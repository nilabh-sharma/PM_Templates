
<file path=[Content_Types].xml><?xml version="1.0" encoding="utf-8"?>
<Types xmlns="http://schemas.openxmlformats.org/package/2006/content-types">
  <Override PartName="/docMetadata/LabelInfo.xml" ContentType="application/vnd.ms-office.classificationlabel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6440" tabRatio="500" activeTab="1"/>
  </bookViews>
  <sheets>
    <sheet name="How to Use" sheetId="1" r:id="rId1"/>
    <sheet name="Application Inventory" sheetId="2" r:id="rId2"/>
    <sheet name="Summary" sheetId="3" r:id="rId3"/>
    <sheet name="Dashboard" sheetId="4" r:id="rId4"/>
    <sheet name="Scoring Settings" sheetId="5" r:id="rId5"/>
  </sheets>
  <definedNames>
    <definedName name="_xlnm._FilterDatabase" localSheetId="1" hidden="1">'Application Inventory'!$A$4:$AQ$1004</definedName>
  </definedNames>
  <calcPr calcId="12451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3" i="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37"/>
  <c r="B38"/>
  <c r="B39"/>
  <c r="B40"/>
  <c r="B41"/>
  <c r="B42"/>
  <c r="B43"/>
  <c r="B44"/>
  <c r="B45"/>
  <c r="B46"/>
  <c r="B47"/>
  <c r="B48"/>
  <c r="B49"/>
  <c r="B50"/>
  <c r="B51"/>
  <c r="B52"/>
  <c r="B36"/>
  <c r="D71"/>
  <c r="C71"/>
  <c r="D70"/>
  <c r="C70"/>
  <c r="D69"/>
  <c r="C69"/>
  <c r="D68"/>
  <c r="C68"/>
  <c r="D67"/>
  <c r="C67"/>
  <c r="D66"/>
  <c r="C66"/>
  <c r="D65"/>
  <c r="C65"/>
  <c r="D64"/>
  <c r="C64"/>
  <c r="D63"/>
  <c r="C63"/>
  <c r="D62"/>
  <c r="C62"/>
  <c r="D61"/>
  <c r="C61"/>
  <c r="D60"/>
  <c r="C60"/>
  <c r="D59"/>
  <c r="C59"/>
  <c r="D58"/>
  <c r="C58"/>
  <c r="D57"/>
  <c r="C57"/>
  <c r="D56"/>
  <c r="C56"/>
  <c r="D55"/>
  <c r="C55"/>
  <c r="D54"/>
  <c r="C54"/>
  <c r="D53"/>
  <c r="C53"/>
  <c r="D52"/>
  <c r="C5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B31"/>
  <c r="B30"/>
  <c r="B29"/>
  <c r="B28"/>
  <c r="B27"/>
  <c r="B26"/>
  <c r="D23"/>
  <c r="C23"/>
  <c r="B23"/>
  <c r="D22"/>
  <c r="C22"/>
  <c r="B22"/>
  <c r="D21"/>
  <c r="C21"/>
  <c r="B21"/>
  <c r="D20"/>
  <c r="C20"/>
  <c r="B20"/>
  <c r="I16"/>
  <c r="H16"/>
  <c r="G16"/>
  <c r="F16"/>
  <c r="I15"/>
  <c r="H15"/>
  <c r="G15"/>
  <c r="F15"/>
  <c r="I14"/>
  <c r="H14"/>
  <c r="G14"/>
  <c r="F14"/>
  <c r="I13"/>
  <c r="H13"/>
  <c r="G13"/>
  <c r="F13"/>
  <c r="B11"/>
  <c r="B10"/>
  <c r="B9"/>
  <c r="B8"/>
  <c r="B7"/>
  <c r="B6"/>
  <c r="B5"/>
  <c r="AM149" i="2"/>
  <c r="AJ149"/>
  <c r="K149"/>
  <c r="AK149" s="1"/>
  <c r="AM148"/>
  <c r="AJ148"/>
  <c r="K148"/>
  <c r="AK148" s="1"/>
  <c r="AM339"/>
  <c r="AJ339"/>
  <c r="K339"/>
  <c r="AK339" s="1"/>
  <c r="AM1004"/>
  <c r="AJ1004"/>
  <c r="K1004"/>
  <c r="AK1004" s="1"/>
  <c r="AM147"/>
  <c r="AJ147"/>
  <c r="K147"/>
  <c r="AK147" s="1"/>
  <c r="AM1003"/>
  <c r="AJ1003"/>
  <c r="K1003"/>
  <c r="AK1003" s="1"/>
  <c r="AM146"/>
  <c r="AJ146"/>
  <c r="K146"/>
  <c r="AK146" s="1"/>
  <c r="AM338"/>
  <c r="AJ338"/>
  <c r="K338"/>
  <c r="AK338" s="1"/>
  <c r="AM337"/>
  <c r="AJ337"/>
  <c r="K337"/>
  <c r="AK337" s="1"/>
  <c r="AM504"/>
  <c r="AJ504"/>
  <c r="K504"/>
  <c r="AK504" s="1"/>
  <c r="AM503"/>
  <c r="AJ503"/>
  <c r="K503"/>
  <c r="AK503" s="1"/>
  <c r="AM1002"/>
  <c r="AJ1002"/>
  <c r="K1002"/>
  <c r="AK1002" s="1"/>
  <c r="AM336"/>
  <c r="AJ336"/>
  <c r="K336"/>
  <c r="AK336" s="1"/>
  <c r="AM1001"/>
  <c r="AJ1001"/>
  <c r="K1001"/>
  <c r="AK1001" s="1"/>
  <c r="AM502"/>
  <c r="AJ502"/>
  <c r="K502"/>
  <c r="AK502" s="1"/>
  <c r="AM145"/>
  <c r="AJ145"/>
  <c r="K145"/>
  <c r="AK145" s="1"/>
  <c r="AM1000"/>
  <c r="AJ1000"/>
  <c r="K1000"/>
  <c r="AK1000" s="1"/>
  <c r="AM999"/>
  <c r="AJ999"/>
  <c r="K999"/>
  <c r="AK999" s="1"/>
  <c r="AM144"/>
  <c r="AJ144"/>
  <c r="K144"/>
  <c r="AK144" s="1"/>
  <c r="AM335"/>
  <c r="AJ335"/>
  <c r="K335"/>
  <c r="AK335" s="1"/>
  <c r="AM334"/>
  <c r="AJ334"/>
  <c r="K334"/>
  <c r="AK334" s="1"/>
  <c r="AM333"/>
  <c r="AJ333"/>
  <c r="K333"/>
  <c r="AK333" s="1"/>
  <c r="AM332"/>
  <c r="AJ332"/>
  <c r="K332"/>
  <c r="AK332" s="1"/>
  <c r="AM143"/>
  <c r="AJ143"/>
  <c r="K143"/>
  <c r="AK143" s="1"/>
  <c r="AM998"/>
  <c r="AJ998"/>
  <c r="K998"/>
  <c r="AK998" s="1"/>
  <c r="AM997"/>
  <c r="AJ997"/>
  <c r="K997"/>
  <c r="AK997" s="1"/>
  <c r="AM331"/>
  <c r="AJ331"/>
  <c r="K331"/>
  <c r="AK331" s="1"/>
  <c r="AM996"/>
  <c r="AJ996"/>
  <c r="K996"/>
  <c r="AK996" s="1"/>
  <c r="AM995"/>
  <c r="AJ995"/>
  <c r="K995"/>
  <c r="AK995" s="1"/>
  <c r="AM501"/>
  <c r="AJ501"/>
  <c r="K501"/>
  <c r="AK501" s="1"/>
  <c r="AM994"/>
  <c r="AJ994"/>
  <c r="K994"/>
  <c r="AK994" s="1"/>
  <c r="AM993"/>
  <c r="AJ993"/>
  <c r="K993"/>
  <c r="AK993" s="1"/>
  <c r="AM992"/>
  <c r="AJ992"/>
  <c r="K992"/>
  <c r="AK992" s="1"/>
  <c r="AM991"/>
  <c r="AJ991"/>
  <c r="K991"/>
  <c r="AK991" s="1"/>
  <c r="AM142"/>
  <c r="AJ142"/>
  <c r="K142"/>
  <c r="AK142" s="1"/>
  <c r="AM990"/>
  <c r="AJ990"/>
  <c r="K990"/>
  <c r="AK990" s="1"/>
  <c r="AM989"/>
  <c r="AJ989"/>
  <c r="K989"/>
  <c r="AK989" s="1"/>
  <c r="AM330"/>
  <c r="AJ330"/>
  <c r="K330"/>
  <c r="AK330" s="1"/>
  <c r="AM141"/>
  <c r="AJ141"/>
  <c r="K141"/>
  <c r="AK141" s="1"/>
  <c r="AM988"/>
  <c r="AJ988"/>
  <c r="K988"/>
  <c r="AK988" s="1"/>
  <c r="AM987"/>
  <c r="AJ987"/>
  <c r="K987"/>
  <c r="AK987" s="1"/>
  <c r="AM140"/>
  <c r="AJ140"/>
  <c r="K140"/>
  <c r="AK140" s="1"/>
  <c r="AM986"/>
  <c r="AJ986"/>
  <c r="K986"/>
  <c r="AK986" s="1"/>
  <c r="AM985"/>
  <c r="AJ985"/>
  <c r="K985"/>
  <c r="AK985" s="1"/>
  <c r="AM984"/>
  <c r="AJ984"/>
  <c r="K984"/>
  <c r="AK984" s="1"/>
  <c r="AM983"/>
  <c r="AJ983"/>
  <c r="K983"/>
  <c r="AK983" s="1"/>
  <c r="AM982"/>
  <c r="AJ982"/>
  <c r="K982"/>
  <c r="AK982" s="1"/>
  <c r="AM329"/>
  <c r="AJ329"/>
  <c r="K329"/>
  <c r="AK329" s="1"/>
  <c r="AM981"/>
  <c r="AJ981"/>
  <c r="K981"/>
  <c r="AK981" s="1"/>
  <c r="AM328"/>
  <c r="AJ328"/>
  <c r="K328"/>
  <c r="AK328" s="1"/>
  <c r="AM980"/>
  <c r="AJ980"/>
  <c r="K980"/>
  <c r="AK980" s="1"/>
  <c r="AM327"/>
  <c r="AJ327"/>
  <c r="K327"/>
  <c r="AK327" s="1"/>
  <c r="AM979"/>
  <c r="AJ979"/>
  <c r="K979"/>
  <c r="AK979" s="1"/>
  <c r="AM326"/>
  <c r="AJ326"/>
  <c r="K326"/>
  <c r="AK326" s="1"/>
  <c r="AM978"/>
  <c r="AJ978"/>
  <c r="K978"/>
  <c r="AK978" s="1"/>
  <c r="AM500"/>
  <c r="AJ500"/>
  <c r="K500"/>
  <c r="AK500" s="1"/>
  <c r="AM325"/>
  <c r="AJ325"/>
  <c r="K325"/>
  <c r="AK325" s="1"/>
  <c r="AM139"/>
  <c r="AJ139"/>
  <c r="K139"/>
  <c r="AK139" s="1"/>
  <c r="AM324"/>
  <c r="AJ324"/>
  <c r="K324"/>
  <c r="AK324" s="1"/>
  <c r="AM138"/>
  <c r="AJ138"/>
  <c r="K138"/>
  <c r="AK138" s="1"/>
  <c r="AM977"/>
  <c r="AJ977"/>
  <c r="K977"/>
  <c r="AK977" s="1"/>
  <c r="AM976"/>
  <c r="AJ976"/>
  <c r="K976"/>
  <c r="AK976" s="1"/>
  <c r="AM323"/>
  <c r="AJ323"/>
  <c r="K323"/>
  <c r="AK323" s="1"/>
  <c r="AM322"/>
  <c r="AJ322"/>
  <c r="K322"/>
  <c r="AK322" s="1"/>
  <c r="AM499"/>
  <c r="AJ499"/>
  <c r="K499"/>
  <c r="AK499" s="1"/>
  <c r="AM975"/>
  <c r="AJ975"/>
  <c r="K975"/>
  <c r="AK975" s="1"/>
  <c r="AM974"/>
  <c r="AJ974"/>
  <c r="K974"/>
  <c r="AK974" s="1"/>
  <c r="AM137"/>
  <c r="AJ137"/>
  <c r="K137"/>
  <c r="AK137" s="1"/>
  <c r="AM973"/>
  <c r="AJ973"/>
  <c r="K973"/>
  <c r="AK973" s="1"/>
  <c r="AM972"/>
  <c r="AJ972"/>
  <c r="K972"/>
  <c r="AK972" s="1"/>
  <c r="AM971"/>
  <c r="AJ971"/>
  <c r="K971"/>
  <c r="AK971" s="1"/>
  <c r="AM970"/>
  <c r="AJ970"/>
  <c r="K970"/>
  <c r="AK970" s="1"/>
  <c r="AM969"/>
  <c r="AJ969"/>
  <c r="K969"/>
  <c r="AK969" s="1"/>
  <c r="AM321"/>
  <c r="AJ321"/>
  <c r="K321"/>
  <c r="AK321" s="1"/>
  <c r="AM320"/>
  <c r="AJ320"/>
  <c r="K320"/>
  <c r="AK320" s="1"/>
  <c r="AM968"/>
  <c r="AJ968"/>
  <c r="K968"/>
  <c r="AK968" s="1"/>
  <c r="AM136"/>
  <c r="AJ136"/>
  <c r="K136"/>
  <c r="AK136" s="1"/>
  <c r="AM319"/>
  <c r="AJ319"/>
  <c r="K319"/>
  <c r="AK319" s="1"/>
  <c r="AM498"/>
  <c r="AJ498"/>
  <c r="K498"/>
  <c r="AK498" s="1"/>
  <c r="AM135"/>
  <c r="AJ135"/>
  <c r="K135"/>
  <c r="AK135" s="1"/>
  <c r="AM497"/>
  <c r="AJ497"/>
  <c r="K497"/>
  <c r="AK497" s="1"/>
  <c r="AM496"/>
  <c r="AJ496"/>
  <c r="K496"/>
  <c r="AK496" s="1"/>
  <c r="AM967"/>
  <c r="AJ967"/>
  <c r="K967"/>
  <c r="AK967" s="1"/>
  <c r="AM134"/>
  <c r="AJ134"/>
  <c r="K134"/>
  <c r="AK134" s="1"/>
  <c r="AM133"/>
  <c r="AJ133"/>
  <c r="K133"/>
  <c r="AK133" s="1"/>
  <c r="AM495"/>
  <c r="AJ495"/>
  <c r="K495"/>
  <c r="AK495" s="1"/>
  <c r="AM966"/>
  <c r="AJ966"/>
  <c r="K966"/>
  <c r="AK966" s="1"/>
  <c r="AM494"/>
  <c r="AJ494"/>
  <c r="K494"/>
  <c r="AK494" s="1"/>
  <c r="AM965"/>
  <c r="AJ965"/>
  <c r="K965"/>
  <c r="AK965" s="1"/>
  <c r="AM493"/>
  <c r="AJ493"/>
  <c r="K493"/>
  <c r="AK493" s="1"/>
  <c r="AM492"/>
  <c r="AJ492"/>
  <c r="K492"/>
  <c r="AK492" s="1"/>
  <c r="AM491"/>
  <c r="AJ491"/>
  <c r="K491"/>
  <c r="AK491" s="1"/>
  <c r="AM964"/>
  <c r="AJ964"/>
  <c r="K964"/>
  <c r="AK964" s="1"/>
  <c r="AM318"/>
  <c r="AJ318"/>
  <c r="K318"/>
  <c r="AK318" s="1"/>
  <c r="AM317"/>
  <c r="AJ317"/>
  <c r="K317"/>
  <c r="AK317" s="1"/>
  <c r="AM490"/>
  <c r="AJ490"/>
  <c r="K490"/>
  <c r="AK490" s="1"/>
  <c r="AM316"/>
  <c r="AJ316"/>
  <c r="K316"/>
  <c r="AK316" s="1"/>
  <c r="AM963"/>
  <c r="AJ963"/>
  <c r="K963"/>
  <c r="AK963" s="1"/>
  <c r="AM489"/>
  <c r="AJ489"/>
  <c r="K489"/>
  <c r="AK489" s="1"/>
  <c r="AM962"/>
  <c r="AJ962"/>
  <c r="K962"/>
  <c r="AK962" s="1"/>
  <c r="AM961"/>
  <c r="AJ961"/>
  <c r="K961"/>
  <c r="AK961" s="1"/>
  <c r="AM960"/>
  <c r="AJ960"/>
  <c r="K960"/>
  <c r="AK960" s="1"/>
  <c r="AM959"/>
  <c r="AJ959"/>
  <c r="K959"/>
  <c r="AK959" s="1"/>
  <c r="AM958"/>
  <c r="AJ958"/>
  <c r="K958"/>
  <c r="AK958" s="1"/>
  <c r="AM132"/>
  <c r="AJ132"/>
  <c r="K132"/>
  <c r="AK132" s="1"/>
  <c r="AM957"/>
  <c r="AJ957"/>
  <c r="K957"/>
  <c r="AK957" s="1"/>
  <c r="AM488"/>
  <c r="AJ488"/>
  <c r="K488"/>
  <c r="AK488" s="1"/>
  <c r="AM956"/>
  <c r="AJ956"/>
  <c r="K956"/>
  <c r="AK956" s="1"/>
  <c r="AM955"/>
  <c r="AJ955"/>
  <c r="K955"/>
  <c r="AK955" s="1"/>
  <c r="AM954"/>
  <c r="AJ954"/>
  <c r="K954"/>
  <c r="AK954" s="1"/>
  <c r="AM953"/>
  <c r="AJ953"/>
  <c r="K953"/>
  <c r="AK953" s="1"/>
  <c r="AM952"/>
  <c r="AJ952"/>
  <c r="K952"/>
  <c r="AK952" s="1"/>
  <c r="AM951"/>
  <c r="AJ951"/>
  <c r="K951"/>
  <c r="AK951" s="1"/>
  <c r="AM950"/>
  <c r="AJ950"/>
  <c r="K950"/>
  <c r="AK950" s="1"/>
  <c r="AM949"/>
  <c r="AJ949"/>
  <c r="K949"/>
  <c r="AK949" s="1"/>
  <c r="AM948"/>
  <c r="AJ948"/>
  <c r="K948"/>
  <c r="AK948" s="1"/>
  <c r="AM947"/>
  <c r="AJ947"/>
  <c r="K947"/>
  <c r="AK947" s="1"/>
  <c r="AM487"/>
  <c r="AJ487"/>
  <c r="K487"/>
  <c r="AK487" s="1"/>
  <c r="AM946"/>
  <c r="AJ946"/>
  <c r="K946"/>
  <c r="AK946" s="1"/>
  <c r="AM945"/>
  <c r="AJ945"/>
  <c r="K945"/>
  <c r="AK945" s="1"/>
  <c r="AM315"/>
  <c r="AJ315"/>
  <c r="K315"/>
  <c r="AK315" s="1"/>
  <c r="AM944"/>
  <c r="AJ944"/>
  <c r="K944"/>
  <c r="AK944" s="1"/>
  <c r="AM943"/>
  <c r="AJ943"/>
  <c r="K943"/>
  <c r="AK943" s="1"/>
  <c r="AM942"/>
  <c r="AJ942"/>
  <c r="K942"/>
  <c r="AK942" s="1"/>
  <c r="AM941"/>
  <c r="AJ941"/>
  <c r="K941"/>
  <c r="AK941" s="1"/>
  <c r="AM940"/>
  <c r="AJ940"/>
  <c r="K940"/>
  <c r="AK940" s="1"/>
  <c r="AM314"/>
  <c r="AJ314"/>
  <c r="K314"/>
  <c r="AK314" s="1"/>
  <c r="AM313"/>
  <c r="AJ313"/>
  <c r="K313"/>
  <c r="AK313" s="1"/>
  <c r="AM131"/>
  <c r="AJ131"/>
  <c r="K131"/>
  <c r="AK131" s="1"/>
  <c r="AM939"/>
  <c r="AJ939"/>
  <c r="K939"/>
  <c r="AK939" s="1"/>
  <c r="AM486"/>
  <c r="AJ486"/>
  <c r="K486"/>
  <c r="AK486" s="1"/>
  <c r="AM938"/>
  <c r="AJ938"/>
  <c r="K938"/>
  <c r="AK938" s="1"/>
  <c r="AM937"/>
  <c r="AJ937"/>
  <c r="K937"/>
  <c r="AK937" s="1"/>
  <c r="AM130"/>
  <c r="AJ130"/>
  <c r="K130"/>
  <c r="AK130" s="1"/>
  <c r="AM485"/>
  <c r="AJ485"/>
  <c r="K485"/>
  <c r="AK485" s="1"/>
  <c r="AM312"/>
  <c r="AJ312"/>
  <c r="K312"/>
  <c r="AK312" s="1"/>
  <c r="AM311"/>
  <c r="AJ311"/>
  <c r="K311"/>
  <c r="AK311" s="1"/>
  <c r="AM936"/>
  <c r="AJ936"/>
  <c r="K936"/>
  <c r="AK936" s="1"/>
  <c r="AM484"/>
  <c r="AJ484"/>
  <c r="K484"/>
  <c r="AK484" s="1"/>
  <c r="AM935"/>
  <c r="AJ935"/>
  <c r="K935"/>
  <c r="AK935" s="1"/>
  <c r="AM934"/>
  <c r="AJ934"/>
  <c r="K934"/>
  <c r="AK934" s="1"/>
  <c r="AM310"/>
  <c r="AJ310"/>
  <c r="K310"/>
  <c r="AK310" s="1"/>
  <c r="AM309"/>
  <c r="AJ309"/>
  <c r="K309"/>
  <c r="AK309" s="1"/>
  <c r="AM483"/>
  <c r="AJ483"/>
  <c r="K483"/>
  <c r="AK483" s="1"/>
  <c r="AM482"/>
  <c r="AJ482"/>
  <c r="K482"/>
  <c r="AK482" s="1"/>
  <c r="AM933"/>
  <c r="AJ933"/>
  <c r="K933"/>
  <c r="AK933" s="1"/>
  <c r="AM308"/>
  <c r="AJ308"/>
  <c r="K308"/>
  <c r="AK308" s="1"/>
  <c r="AM481"/>
  <c r="AJ481"/>
  <c r="K481"/>
  <c r="AK481" s="1"/>
  <c r="AM480"/>
  <c r="AJ480"/>
  <c r="K480"/>
  <c r="AK480" s="1"/>
  <c r="AM932"/>
  <c r="AJ932"/>
  <c r="K932"/>
  <c r="AK932" s="1"/>
  <c r="AM307"/>
  <c r="AJ307"/>
  <c r="K307"/>
  <c r="AK307" s="1"/>
  <c r="AM129"/>
  <c r="AJ129"/>
  <c r="K129"/>
  <c r="AK129" s="1"/>
  <c r="AM931"/>
  <c r="AJ931"/>
  <c r="K931"/>
  <c r="AK931" s="1"/>
  <c r="AM930"/>
  <c r="AJ930"/>
  <c r="K930"/>
  <c r="AK930" s="1"/>
  <c r="AM929"/>
  <c r="AJ929"/>
  <c r="K929"/>
  <c r="AK929" s="1"/>
  <c r="AM928"/>
  <c r="AJ928"/>
  <c r="K928"/>
  <c r="AK928" s="1"/>
  <c r="AM927"/>
  <c r="AJ927"/>
  <c r="K927"/>
  <c r="AK927" s="1"/>
  <c r="AM306"/>
  <c r="AJ306"/>
  <c r="K306"/>
  <c r="AK306" s="1"/>
  <c r="AM926"/>
  <c r="AJ926"/>
  <c r="K926"/>
  <c r="AK926" s="1"/>
  <c r="AM479"/>
  <c r="AJ479"/>
  <c r="K479"/>
  <c r="AK479" s="1"/>
  <c r="AM925"/>
  <c r="AJ925"/>
  <c r="K925"/>
  <c r="AK925" s="1"/>
  <c r="AM478"/>
  <c r="AJ478"/>
  <c r="K478"/>
  <c r="AK478" s="1"/>
  <c r="AM924"/>
  <c r="AJ924"/>
  <c r="K924"/>
  <c r="AK924" s="1"/>
  <c r="AM128"/>
  <c r="AJ128"/>
  <c r="K128"/>
  <c r="AK128" s="1"/>
  <c r="AM127"/>
  <c r="AJ127"/>
  <c r="K127"/>
  <c r="AK127" s="1"/>
  <c r="AM477"/>
  <c r="AJ477"/>
  <c r="K477"/>
  <c r="AK477" s="1"/>
  <c r="AM923"/>
  <c r="AJ923"/>
  <c r="K923"/>
  <c r="AK923" s="1"/>
  <c r="AM922"/>
  <c r="AJ922"/>
  <c r="K922"/>
  <c r="AK922" s="1"/>
  <c r="AM921"/>
  <c r="AJ921"/>
  <c r="K921"/>
  <c r="AK921" s="1"/>
  <c r="AM476"/>
  <c r="AJ476"/>
  <c r="K476"/>
  <c r="AK476" s="1"/>
  <c r="AM475"/>
  <c r="AJ475"/>
  <c r="K475"/>
  <c r="AK475" s="1"/>
  <c r="AM920"/>
  <c r="AJ920"/>
  <c r="K920"/>
  <c r="AK920" s="1"/>
  <c r="AM305"/>
  <c r="AJ305"/>
  <c r="K305"/>
  <c r="AK305" s="1"/>
  <c r="AM474"/>
  <c r="AJ474"/>
  <c r="K474"/>
  <c r="AK474" s="1"/>
  <c r="AM919"/>
  <c r="AJ919"/>
  <c r="K919"/>
  <c r="AK919" s="1"/>
  <c r="AM304"/>
  <c r="AJ304"/>
  <c r="K304"/>
  <c r="AK304" s="1"/>
  <c r="AM126"/>
  <c r="AJ126"/>
  <c r="K126"/>
  <c r="AK126" s="1"/>
  <c r="AM918"/>
  <c r="AJ918"/>
  <c r="K918"/>
  <c r="AK918" s="1"/>
  <c r="AM473"/>
  <c r="AJ473"/>
  <c r="K473"/>
  <c r="AK473" s="1"/>
  <c r="AM125"/>
  <c r="AJ125"/>
  <c r="K125"/>
  <c r="AK125" s="1"/>
  <c r="AM917"/>
  <c r="AJ917"/>
  <c r="K917"/>
  <c r="AK917" s="1"/>
  <c r="AM124"/>
  <c r="AJ124"/>
  <c r="K124"/>
  <c r="AK124" s="1"/>
  <c r="AM916"/>
  <c r="AJ916"/>
  <c r="K916"/>
  <c r="AK916" s="1"/>
  <c r="AM915"/>
  <c r="AJ915"/>
  <c r="K915"/>
  <c r="AK915" s="1"/>
  <c r="AM914"/>
  <c r="AJ914"/>
  <c r="K914"/>
  <c r="AK914" s="1"/>
  <c r="AM913"/>
  <c r="AJ913"/>
  <c r="K913"/>
  <c r="AK913" s="1"/>
  <c r="AM472"/>
  <c r="AJ472"/>
  <c r="K472"/>
  <c r="AK472" s="1"/>
  <c r="AM912"/>
  <c r="AJ912"/>
  <c r="K912"/>
  <c r="AK912" s="1"/>
  <c r="AM911"/>
  <c r="AJ911"/>
  <c r="K911"/>
  <c r="AK911" s="1"/>
  <c r="AM123"/>
  <c r="AJ123"/>
  <c r="K123"/>
  <c r="AK123" s="1"/>
  <c r="AM910"/>
  <c r="AJ910"/>
  <c r="K910"/>
  <c r="AK910" s="1"/>
  <c r="AM909"/>
  <c r="AJ909"/>
  <c r="K909"/>
  <c r="AK909" s="1"/>
  <c r="AM471"/>
  <c r="AJ471"/>
  <c r="K471"/>
  <c r="AK471" s="1"/>
  <c r="AM908"/>
  <c r="AJ908"/>
  <c r="K908"/>
  <c r="AK908" s="1"/>
  <c r="AM122"/>
  <c r="AJ122"/>
  <c r="K122"/>
  <c r="AK122" s="1"/>
  <c r="AM907"/>
  <c r="AJ907"/>
  <c r="K907"/>
  <c r="AK907" s="1"/>
  <c r="AM303"/>
  <c r="AJ303"/>
  <c r="K303"/>
  <c r="AK303" s="1"/>
  <c r="AM906"/>
  <c r="AJ906"/>
  <c r="K906"/>
  <c r="AK906" s="1"/>
  <c r="AM905"/>
  <c r="AJ905"/>
  <c r="K905"/>
  <c r="AK905" s="1"/>
  <c r="AM302"/>
  <c r="AJ302"/>
  <c r="K302"/>
  <c r="AK302" s="1"/>
  <c r="AM904"/>
  <c r="AJ904"/>
  <c r="K904"/>
  <c r="AK904" s="1"/>
  <c r="AM903"/>
  <c r="AJ903"/>
  <c r="K903"/>
  <c r="AK903" s="1"/>
  <c r="AM902"/>
  <c r="AJ902"/>
  <c r="K902"/>
  <c r="AK902" s="1"/>
  <c r="AM301"/>
  <c r="AJ301"/>
  <c r="K301"/>
  <c r="AK301" s="1"/>
  <c r="AM300"/>
  <c r="AJ300"/>
  <c r="K300"/>
  <c r="AK300" s="1"/>
  <c r="AM121"/>
  <c r="AJ121"/>
  <c r="K121"/>
  <c r="AK121" s="1"/>
  <c r="AM901"/>
  <c r="AJ901"/>
  <c r="K901"/>
  <c r="AK901" s="1"/>
  <c r="AM900"/>
  <c r="AJ900"/>
  <c r="K900"/>
  <c r="AK900" s="1"/>
  <c r="AM899"/>
  <c r="AJ899"/>
  <c r="K899"/>
  <c r="AK899" s="1"/>
  <c r="AM299"/>
  <c r="AJ299"/>
  <c r="K299"/>
  <c r="AK299" s="1"/>
  <c r="AM470"/>
  <c r="AJ470"/>
  <c r="K470"/>
  <c r="AK470" s="1"/>
  <c r="AM120"/>
  <c r="AJ120"/>
  <c r="K120"/>
  <c r="AK120" s="1"/>
  <c r="AM469"/>
  <c r="AJ469"/>
  <c r="K469"/>
  <c r="AK469" s="1"/>
  <c r="AM898"/>
  <c r="AJ898"/>
  <c r="K898"/>
  <c r="AK898" s="1"/>
  <c r="AM897"/>
  <c r="AJ897"/>
  <c r="K897"/>
  <c r="AK897" s="1"/>
  <c r="AM896"/>
  <c r="AJ896"/>
  <c r="K896"/>
  <c r="AK896" s="1"/>
  <c r="AM895"/>
  <c r="AJ895"/>
  <c r="K895"/>
  <c r="AK895" s="1"/>
  <c r="AM894"/>
  <c r="AJ894"/>
  <c r="K894"/>
  <c r="AK894" s="1"/>
  <c r="AM893"/>
  <c r="AJ893"/>
  <c r="K893"/>
  <c r="AK893" s="1"/>
  <c r="AM298"/>
  <c r="AJ298"/>
  <c r="K298"/>
  <c r="AK298" s="1"/>
  <c r="AM119"/>
  <c r="AJ119"/>
  <c r="K119"/>
  <c r="AK119" s="1"/>
  <c r="AM892"/>
  <c r="AJ892"/>
  <c r="K892"/>
  <c r="AK892" s="1"/>
  <c r="AM118"/>
  <c r="AJ118"/>
  <c r="K118"/>
  <c r="AK118" s="1"/>
  <c r="AM891"/>
  <c r="AJ891"/>
  <c r="K891"/>
  <c r="AK891" s="1"/>
  <c r="AM890"/>
  <c r="AJ890"/>
  <c r="K890"/>
  <c r="AK890" s="1"/>
  <c r="AM297"/>
  <c r="AJ297"/>
  <c r="K297"/>
  <c r="AK297" s="1"/>
  <c r="AM889"/>
  <c r="AJ889"/>
  <c r="K889"/>
  <c r="AK889" s="1"/>
  <c r="AM117"/>
  <c r="AJ117"/>
  <c r="K117"/>
  <c r="AK117" s="1"/>
  <c r="AM296"/>
  <c r="AJ296"/>
  <c r="K296"/>
  <c r="AK296" s="1"/>
  <c r="AM116"/>
  <c r="AJ116"/>
  <c r="K116"/>
  <c r="AK116" s="1"/>
  <c r="AM888"/>
  <c r="AJ888"/>
  <c r="K888"/>
  <c r="AK888" s="1"/>
  <c r="AM295"/>
  <c r="AJ295"/>
  <c r="K295"/>
  <c r="AK295" s="1"/>
  <c r="AM115"/>
  <c r="AJ115"/>
  <c r="K115"/>
  <c r="AK115" s="1"/>
  <c r="AM887"/>
  <c r="AJ887"/>
  <c r="K887"/>
  <c r="AK887" s="1"/>
  <c r="AM294"/>
  <c r="AJ294"/>
  <c r="K294"/>
  <c r="AK294" s="1"/>
  <c r="AM886"/>
  <c r="AJ886"/>
  <c r="K886"/>
  <c r="AK886" s="1"/>
  <c r="AM468"/>
  <c r="AJ468"/>
  <c r="K468"/>
  <c r="AK468" s="1"/>
  <c r="AM885"/>
  <c r="AJ885"/>
  <c r="K885"/>
  <c r="AK885" s="1"/>
  <c r="AM114"/>
  <c r="AJ114"/>
  <c r="K114"/>
  <c r="AK114" s="1"/>
  <c r="AM884"/>
  <c r="AJ884"/>
  <c r="K884"/>
  <c r="AK884" s="1"/>
  <c r="AM293"/>
  <c r="AJ293"/>
  <c r="K293"/>
  <c r="AK293" s="1"/>
  <c r="AM292"/>
  <c r="AJ292"/>
  <c r="K292"/>
  <c r="AK292" s="1"/>
  <c r="AM291"/>
  <c r="AJ291"/>
  <c r="K291"/>
  <c r="AK291" s="1"/>
  <c r="AM883"/>
  <c r="AJ883"/>
  <c r="K883"/>
  <c r="AK883" s="1"/>
  <c r="AM882"/>
  <c r="AJ882"/>
  <c r="K882"/>
  <c r="AK882" s="1"/>
  <c r="AM881"/>
  <c r="AJ881"/>
  <c r="K881"/>
  <c r="AK881" s="1"/>
  <c r="AM467"/>
  <c r="AJ467"/>
  <c r="K467"/>
  <c r="AK467" s="1"/>
  <c r="AM880"/>
  <c r="AJ880"/>
  <c r="K880"/>
  <c r="AK880" s="1"/>
  <c r="AM879"/>
  <c r="AJ879"/>
  <c r="K879"/>
  <c r="AK879" s="1"/>
  <c r="AM290"/>
  <c r="AJ290"/>
  <c r="K290"/>
  <c r="AK290" s="1"/>
  <c r="AM289"/>
  <c r="AJ289"/>
  <c r="K289"/>
  <c r="AK289" s="1"/>
  <c r="AM878"/>
  <c r="AJ878"/>
  <c r="K878"/>
  <c r="AK878" s="1"/>
  <c r="AM877"/>
  <c r="AJ877"/>
  <c r="K877"/>
  <c r="AK877" s="1"/>
  <c r="AM876"/>
  <c r="AJ876"/>
  <c r="K876"/>
  <c r="AK876" s="1"/>
  <c r="AM875"/>
  <c r="AJ875"/>
  <c r="K875"/>
  <c r="AK875" s="1"/>
  <c r="AM288"/>
  <c r="AJ288"/>
  <c r="K288"/>
  <c r="AK288" s="1"/>
  <c r="AM113"/>
  <c r="AJ113"/>
  <c r="K113"/>
  <c r="AK113" s="1"/>
  <c r="AM874"/>
  <c r="AJ874"/>
  <c r="K874"/>
  <c r="AK874" s="1"/>
  <c r="AM466"/>
  <c r="AJ466"/>
  <c r="K466"/>
  <c r="AK466" s="1"/>
  <c r="AM873"/>
  <c r="AJ873"/>
  <c r="K873"/>
  <c r="AK873" s="1"/>
  <c r="AM872"/>
  <c r="AJ872"/>
  <c r="K872"/>
  <c r="AK872" s="1"/>
  <c r="AM287"/>
  <c r="AJ287"/>
  <c r="K287"/>
  <c r="AK287" s="1"/>
  <c r="AM871"/>
  <c r="AJ871"/>
  <c r="K871"/>
  <c r="AK871" s="1"/>
  <c r="AM465"/>
  <c r="AJ465"/>
  <c r="K465"/>
  <c r="AK465" s="1"/>
  <c r="AM464"/>
  <c r="AJ464"/>
  <c r="K464"/>
  <c r="AK464" s="1"/>
  <c r="AM870"/>
  <c r="AJ870"/>
  <c r="K870"/>
  <c r="AK870" s="1"/>
  <c r="AM463"/>
  <c r="AJ463"/>
  <c r="K463"/>
  <c r="AK463" s="1"/>
  <c r="AM869"/>
  <c r="AJ869"/>
  <c r="K869"/>
  <c r="AK869" s="1"/>
  <c r="AM286"/>
  <c r="AJ286"/>
  <c r="K286"/>
  <c r="AK286" s="1"/>
  <c r="AM868"/>
  <c r="AJ868"/>
  <c r="K868"/>
  <c r="AK868" s="1"/>
  <c r="AM285"/>
  <c r="AJ285"/>
  <c r="K285"/>
  <c r="AK285" s="1"/>
  <c r="AM112"/>
  <c r="AJ112"/>
  <c r="K112"/>
  <c r="AK112" s="1"/>
  <c r="AM462"/>
  <c r="AJ462"/>
  <c r="K462"/>
  <c r="AK462" s="1"/>
  <c r="AM461"/>
  <c r="AJ461"/>
  <c r="K461"/>
  <c r="AK461" s="1"/>
  <c r="AM867"/>
  <c r="AJ867"/>
  <c r="K867"/>
  <c r="AK867" s="1"/>
  <c r="AM111"/>
  <c r="AJ111"/>
  <c r="K111"/>
  <c r="AK111" s="1"/>
  <c r="AM284"/>
  <c r="AJ284"/>
  <c r="K284"/>
  <c r="AK284" s="1"/>
  <c r="AM866"/>
  <c r="AJ866"/>
  <c r="K866"/>
  <c r="AK866" s="1"/>
  <c r="AM283"/>
  <c r="AJ283"/>
  <c r="K283"/>
  <c r="AK283" s="1"/>
  <c r="AM865"/>
  <c r="AJ865"/>
  <c r="K865"/>
  <c r="AK865" s="1"/>
  <c r="AM282"/>
  <c r="AJ282"/>
  <c r="K282"/>
  <c r="AK282" s="1"/>
  <c r="AM110"/>
  <c r="AJ110"/>
  <c r="K110"/>
  <c r="AK110" s="1"/>
  <c r="AM460"/>
  <c r="AJ460"/>
  <c r="K460"/>
  <c r="AK460" s="1"/>
  <c r="AM281"/>
  <c r="AJ281"/>
  <c r="K281"/>
  <c r="AK281" s="1"/>
  <c r="AM864"/>
  <c r="AJ864"/>
  <c r="K864"/>
  <c r="AK864" s="1"/>
  <c r="AM863"/>
  <c r="AJ863"/>
  <c r="K863"/>
  <c r="AK863" s="1"/>
  <c r="AM280"/>
  <c r="AJ280"/>
  <c r="K280"/>
  <c r="AK280" s="1"/>
  <c r="AM862"/>
  <c r="AJ862"/>
  <c r="K862"/>
  <c r="AK862" s="1"/>
  <c r="AM279"/>
  <c r="AJ279"/>
  <c r="K279"/>
  <c r="AK279" s="1"/>
  <c r="AM459"/>
  <c r="AJ459"/>
  <c r="K459"/>
  <c r="AK459" s="1"/>
  <c r="AM458"/>
  <c r="AJ458"/>
  <c r="K458"/>
  <c r="AK458" s="1"/>
  <c r="AM861"/>
  <c r="AJ861"/>
  <c r="K861"/>
  <c r="AK861" s="1"/>
  <c r="AM278"/>
  <c r="AJ278"/>
  <c r="K278"/>
  <c r="AK278" s="1"/>
  <c r="AM109"/>
  <c r="AJ109"/>
  <c r="K109"/>
  <c r="AK109" s="1"/>
  <c r="AM277"/>
  <c r="AJ277"/>
  <c r="K277"/>
  <c r="AK277" s="1"/>
  <c r="AM108"/>
  <c r="AJ108"/>
  <c r="K108"/>
  <c r="AK108" s="1"/>
  <c r="AM860"/>
  <c r="AJ860"/>
  <c r="K860"/>
  <c r="AK860" s="1"/>
  <c r="AM859"/>
  <c r="AJ859"/>
  <c r="K859"/>
  <c r="AK859" s="1"/>
  <c r="AM276"/>
  <c r="AJ276"/>
  <c r="K276"/>
  <c r="AK276" s="1"/>
  <c r="AM107"/>
  <c r="AJ107"/>
  <c r="K107"/>
  <c r="AK107" s="1"/>
  <c r="AM858"/>
  <c r="AJ858"/>
  <c r="K858"/>
  <c r="AK858" s="1"/>
  <c r="AM857"/>
  <c r="AJ857"/>
  <c r="K857"/>
  <c r="AK857" s="1"/>
  <c r="AM856"/>
  <c r="AJ856"/>
  <c r="K856"/>
  <c r="AK856" s="1"/>
  <c r="AM275"/>
  <c r="AJ275"/>
  <c r="K275"/>
  <c r="AK275" s="1"/>
  <c r="AM106"/>
  <c r="AJ106"/>
  <c r="K106"/>
  <c r="AK106" s="1"/>
  <c r="AM855"/>
  <c r="AJ855"/>
  <c r="K855"/>
  <c r="AK855" s="1"/>
  <c r="AM854"/>
  <c r="AJ854"/>
  <c r="K854"/>
  <c r="AK854" s="1"/>
  <c r="AM853"/>
  <c r="AJ853"/>
  <c r="K853"/>
  <c r="AK853" s="1"/>
  <c r="AM457"/>
  <c r="AJ457"/>
  <c r="K457"/>
  <c r="AK457" s="1"/>
  <c r="AM852"/>
  <c r="AJ852"/>
  <c r="K852"/>
  <c r="AK852" s="1"/>
  <c r="AM851"/>
  <c r="AJ851"/>
  <c r="K851"/>
  <c r="AK851" s="1"/>
  <c r="AM105"/>
  <c r="AJ105"/>
  <c r="K105"/>
  <c r="AK105" s="1"/>
  <c r="AM850"/>
  <c r="AJ850"/>
  <c r="K850"/>
  <c r="AK850" s="1"/>
  <c r="AM104"/>
  <c r="AJ104"/>
  <c r="K104"/>
  <c r="AK104" s="1"/>
  <c r="AM274"/>
  <c r="AJ274"/>
  <c r="K274"/>
  <c r="AK274" s="1"/>
  <c r="AM849"/>
  <c r="AJ849"/>
  <c r="K849"/>
  <c r="AK849" s="1"/>
  <c r="AM273"/>
  <c r="AJ273"/>
  <c r="K273"/>
  <c r="AK273" s="1"/>
  <c r="AM103"/>
  <c r="AJ103"/>
  <c r="K103"/>
  <c r="AK103" s="1"/>
  <c r="AM272"/>
  <c r="AJ272"/>
  <c r="K272"/>
  <c r="AK272" s="1"/>
  <c r="AM848"/>
  <c r="AJ848"/>
  <c r="K848"/>
  <c r="AK848" s="1"/>
  <c r="AM456"/>
  <c r="AJ456"/>
  <c r="K456"/>
  <c r="AK456" s="1"/>
  <c r="AM455"/>
  <c r="AJ455"/>
  <c r="K455"/>
  <c r="AK455" s="1"/>
  <c r="AM271"/>
  <c r="AJ271"/>
  <c r="K271"/>
  <c r="AK271" s="1"/>
  <c r="AM847"/>
  <c r="AJ847"/>
  <c r="K847"/>
  <c r="AK847" s="1"/>
  <c r="AM102"/>
  <c r="AJ102"/>
  <c r="K102"/>
  <c r="AK102" s="1"/>
  <c r="AM846"/>
  <c r="AJ846"/>
  <c r="K846"/>
  <c r="AK846" s="1"/>
  <c r="AM845"/>
  <c r="AJ845"/>
  <c r="K845"/>
  <c r="AK845" s="1"/>
  <c r="AM844"/>
  <c r="AJ844"/>
  <c r="K844"/>
  <c r="AK844" s="1"/>
  <c r="AM843"/>
  <c r="AJ843"/>
  <c r="K843"/>
  <c r="AK843" s="1"/>
  <c r="AM101"/>
  <c r="AJ101"/>
  <c r="K101"/>
  <c r="AK101" s="1"/>
  <c r="AM270"/>
  <c r="AJ270"/>
  <c r="K270"/>
  <c r="AK270" s="1"/>
  <c r="AM842"/>
  <c r="AJ842"/>
  <c r="K842"/>
  <c r="AK842" s="1"/>
  <c r="AM841"/>
  <c r="AJ841"/>
  <c r="K841"/>
  <c r="AK841" s="1"/>
  <c r="AM269"/>
  <c r="AJ269"/>
  <c r="K269"/>
  <c r="AK269" s="1"/>
  <c r="AM454"/>
  <c r="AJ454"/>
  <c r="K454"/>
  <c r="AK454" s="1"/>
  <c r="AM453"/>
  <c r="AJ453"/>
  <c r="K453"/>
  <c r="AK453" s="1"/>
  <c r="AM840"/>
  <c r="AJ840"/>
  <c r="K840"/>
  <c r="AK840" s="1"/>
  <c r="AM452"/>
  <c r="AJ452"/>
  <c r="K452"/>
  <c r="AK452" s="1"/>
  <c r="AM100"/>
  <c r="AJ100"/>
  <c r="K100"/>
  <c r="AK100" s="1"/>
  <c r="AM268"/>
  <c r="AJ268"/>
  <c r="K268"/>
  <c r="AK268" s="1"/>
  <c r="AM267"/>
  <c r="AJ267"/>
  <c r="K267"/>
  <c r="AK267" s="1"/>
  <c r="AM99"/>
  <c r="AJ99"/>
  <c r="K99"/>
  <c r="AK99" s="1"/>
  <c r="AM451"/>
  <c r="AJ451"/>
  <c r="K451"/>
  <c r="AK451" s="1"/>
  <c r="AM839"/>
  <c r="AJ839"/>
  <c r="K839"/>
  <c r="AK839" s="1"/>
  <c r="AM98"/>
  <c r="AJ98"/>
  <c r="K98"/>
  <c r="AK98" s="1"/>
  <c r="AM97"/>
  <c r="AJ97"/>
  <c r="K97"/>
  <c r="AK97" s="1"/>
  <c r="AM450"/>
  <c r="AJ450"/>
  <c r="K450"/>
  <c r="AK450" s="1"/>
  <c r="AM838"/>
  <c r="AJ838"/>
  <c r="K838"/>
  <c r="AK838" s="1"/>
  <c r="AM837"/>
  <c r="AJ837"/>
  <c r="K837"/>
  <c r="AK837" s="1"/>
  <c r="AM266"/>
  <c r="AJ266"/>
  <c r="K266"/>
  <c r="AK266" s="1"/>
  <c r="AM836"/>
  <c r="AJ836"/>
  <c r="K836"/>
  <c r="AK836" s="1"/>
  <c r="AM835"/>
  <c r="AJ835"/>
  <c r="K835"/>
  <c r="AK835" s="1"/>
  <c r="AM96"/>
  <c r="AJ96"/>
  <c r="K96"/>
  <c r="AK96" s="1"/>
  <c r="AM265"/>
  <c r="AJ265"/>
  <c r="K265"/>
  <c r="AK265" s="1"/>
  <c r="AM834"/>
  <c r="AJ834"/>
  <c r="K834"/>
  <c r="AK834" s="1"/>
  <c r="AM449"/>
  <c r="AJ449"/>
  <c r="K449"/>
  <c r="AK449" s="1"/>
  <c r="AM833"/>
  <c r="AJ833"/>
  <c r="K833"/>
  <c r="AK833" s="1"/>
  <c r="AM448"/>
  <c r="AJ448"/>
  <c r="K448"/>
  <c r="AK448" s="1"/>
  <c r="AM95"/>
  <c r="AJ95"/>
  <c r="K95"/>
  <c r="AK95" s="1"/>
  <c r="AM264"/>
  <c r="AJ264"/>
  <c r="K264"/>
  <c r="AK264" s="1"/>
  <c r="AM447"/>
  <c r="AJ447"/>
  <c r="K447"/>
  <c r="AK447" s="1"/>
  <c r="AM832"/>
  <c r="AJ832"/>
  <c r="K832"/>
  <c r="AK832" s="1"/>
  <c r="AM831"/>
  <c r="AJ831"/>
  <c r="K831"/>
  <c r="AK831" s="1"/>
  <c r="AM446"/>
  <c r="AJ446"/>
  <c r="K446"/>
  <c r="AK446" s="1"/>
  <c r="AM830"/>
  <c r="AJ830"/>
  <c r="K830"/>
  <c r="AK830" s="1"/>
  <c r="AM94"/>
  <c r="AJ94"/>
  <c r="K94"/>
  <c r="AK94" s="1"/>
  <c r="AM829"/>
  <c r="AJ829"/>
  <c r="K829"/>
  <c r="AK829" s="1"/>
  <c r="AM445"/>
  <c r="AJ445"/>
  <c r="K445"/>
  <c r="AK445" s="1"/>
  <c r="AM444"/>
  <c r="AJ444"/>
  <c r="K444"/>
  <c r="AK444" s="1"/>
  <c r="AM828"/>
  <c r="AJ828"/>
  <c r="K828"/>
  <c r="AK828" s="1"/>
  <c r="AM263"/>
  <c r="AJ263"/>
  <c r="K263"/>
  <c r="AK263" s="1"/>
  <c r="AM827"/>
  <c r="AJ827"/>
  <c r="K827"/>
  <c r="AK827" s="1"/>
  <c r="AM443"/>
  <c r="AJ443"/>
  <c r="K443"/>
  <c r="AK443" s="1"/>
  <c r="AM442"/>
  <c r="AJ442"/>
  <c r="K442"/>
  <c r="AK442" s="1"/>
  <c r="AM826"/>
  <c r="AJ826"/>
  <c r="K826"/>
  <c r="AK826" s="1"/>
  <c r="AM825"/>
  <c r="AJ825"/>
  <c r="K825"/>
  <c r="AK825" s="1"/>
  <c r="AM441"/>
  <c r="AJ441"/>
  <c r="K441"/>
  <c r="AK441" s="1"/>
  <c r="AM824"/>
  <c r="AJ824"/>
  <c r="K824"/>
  <c r="AK824" s="1"/>
  <c r="AM823"/>
  <c r="AJ823"/>
  <c r="K823"/>
  <c r="AK823" s="1"/>
  <c r="AM822"/>
  <c r="AJ822"/>
  <c r="K822"/>
  <c r="AK822" s="1"/>
  <c r="AM440"/>
  <c r="AJ440"/>
  <c r="K440"/>
  <c r="AK440" s="1"/>
  <c r="AM439"/>
  <c r="AJ439"/>
  <c r="K439"/>
  <c r="AK439" s="1"/>
  <c r="AM821"/>
  <c r="AJ821"/>
  <c r="K821"/>
  <c r="AK821" s="1"/>
  <c r="AM820"/>
  <c r="AJ820"/>
  <c r="K820"/>
  <c r="AK820" s="1"/>
  <c r="AM819"/>
  <c r="AJ819"/>
  <c r="K819"/>
  <c r="AK819" s="1"/>
  <c r="AM818"/>
  <c r="AJ818"/>
  <c r="K818"/>
  <c r="AK818" s="1"/>
  <c r="AM438"/>
  <c r="AJ438"/>
  <c r="K438"/>
  <c r="AK438" s="1"/>
  <c r="AM817"/>
  <c r="AJ817"/>
  <c r="K817"/>
  <c r="AK817" s="1"/>
  <c r="AM816"/>
  <c r="AJ816"/>
  <c r="K816"/>
  <c r="AK816" s="1"/>
  <c r="AM815"/>
  <c r="AJ815"/>
  <c r="K815"/>
  <c r="AK815" s="1"/>
  <c r="AM814"/>
  <c r="AJ814"/>
  <c r="K814"/>
  <c r="AK814" s="1"/>
  <c r="AM813"/>
  <c r="AJ813"/>
  <c r="K813"/>
  <c r="AK813" s="1"/>
  <c r="AM812"/>
  <c r="AJ812"/>
  <c r="K812"/>
  <c r="AK812" s="1"/>
  <c r="AM811"/>
  <c r="AJ811"/>
  <c r="K811"/>
  <c r="AK811" s="1"/>
  <c r="AM262"/>
  <c r="AJ262"/>
  <c r="K262"/>
  <c r="AK262" s="1"/>
  <c r="AM810"/>
  <c r="AJ810"/>
  <c r="K810"/>
  <c r="AK810" s="1"/>
  <c r="AM437"/>
  <c r="AJ437"/>
  <c r="K437"/>
  <c r="AK437" s="1"/>
  <c r="AM436"/>
  <c r="AJ436"/>
  <c r="K436"/>
  <c r="AK436" s="1"/>
  <c r="AM93"/>
  <c r="AJ93"/>
  <c r="K93"/>
  <c r="AK93" s="1"/>
  <c r="AM809"/>
  <c r="AJ809"/>
  <c r="K809"/>
  <c r="AK809" s="1"/>
  <c r="AM808"/>
  <c r="AJ808"/>
  <c r="K808"/>
  <c r="AK808" s="1"/>
  <c r="AM435"/>
  <c r="AJ435"/>
  <c r="K435"/>
  <c r="AK435" s="1"/>
  <c r="AM434"/>
  <c r="AJ434"/>
  <c r="K434"/>
  <c r="AK434" s="1"/>
  <c r="AM807"/>
  <c r="AJ807"/>
  <c r="K807"/>
  <c r="AK807" s="1"/>
  <c r="AM433"/>
  <c r="AJ433"/>
  <c r="K433"/>
  <c r="AK433" s="1"/>
  <c r="AM806"/>
  <c r="AJ806"/>
  <c r="K806"/>
  <c r="AK806" s="1"/>
  <c r="AM805"/>
  <c r="AJ805"/>
  <c r="K805"/>
  <c r="AK805" s="1"/>
  <c r="AM804"/>
  <c r="AJ804"/>
  <c r="K804"/>
  <c r="AK804" s="1"/>
  <c r="AM803"/>
  <c r="AJ803"/>
  <c r="K803"/>
  <c r="AK803" s="1"/>
  <c r="AM802"/>
  <c r="AJ802"/>
  <c r="K802"/>
  <c r="AK802" s="1"/>
  <c r="AM261"/>
  <c r="AJ261"/>
  <c r="K261"/>
  <c r="AK261" s="1"/>
  <c r="AM801"/>
  <c r="AJ801"/>
  <c r="K801"/>
  <c r="AK801" s="1"/>
  <c r="AM800"/>
  <c r="AJ800"/>
  <c r="K800"/>
  <c r="AK800" s="1"/>
  <c r="AM92"/>
  <c r="AJ92"/>
  <c r="K92"/>
  <c r="AK92" s="1"/>
  <c r="AM799"/>
  <c r="AJ799"/>
  <c r="K799"/>
  <c r="AK799" s="1"/>
  <c r="AM91"/>
  <c r="AJ91"/>
  <c r="K91"/>
  <c r="AK91" s="1"/>
  <c r="AM798"/>
  <c r="AJ798"/>
  <c r="K798"/>
  <c r="AK798" s="1"/>
  <c r="AM90"/>
  <c r="AJ90"/>
  <c r="K90"/>
  <c r="AK90" s="1"/>
  <c r="AM432"/>
  <c r="AJ432"/>
  <c r="K432"/>
  <c r="AK432" s="1"/>
  <c r="AM260"/>
  <c r="AJ260"/>
  <c r="K260"/>
  <c r="AK260" s="1"/>
  <c r="AM431"/>
  <c r="AJ431"/>
  <c r="K431"/>
  <c r="AK431" s="1"/>
  <c r="AM797"/>
  <c r="AJ797"/>
  <c r="K797"/>
  <c r="AK797" s="1"/>
  <c r="AM796"/>
  <c r="AJ796"/>
  <c r="K796"/>
  <c r="AK796" s="1"/>
  <c r="AM795"/>
  <c r="AJ795"/>
  <c r="K795"/>
  <c r="AK795" s="1"/>
  <c r="AM259"/>
  <c r="AJ259"/>
  <c r="K259"/>
  <c r="AK259" s="1"/>
  <c r="AM794"/>
  <c r="AJ794"/>
  <c r="K794"/>
  <c r="AK794" s="1"/>
  <c r="AM430"/>
  <c r="AJ430"/>
  <c r="K430"/>
  <c r="AK430" s="1"/>
  <c r="AM793"/>
  <c r="AJ793"/>
  <c r="K793"/>
  <c r="AK793" s="1"/>
  <c r="AM89"/>
  <c r="AJ89"/>
  <c r="K89"/>
  <c r="AK89" s="1"/>
  <c r="AM88"/>
  <c r="AJ88"/>
  <c r="K88"/>
  <c r="AK88" s="1"/>
  <c r="AM429"/>
  <c r="AJ429"/>
  <c r="K429"/>
  <c r="AK429" s="1"/>
  <c r="AM792"/>
  <c r="AJ792"/>
  <c r="K792"/>
  <c r="AK792" s="1"/>
  <c r="AM87"/>
  <c r="AJ87"/>
  <c r="K87"/>
  <c r="AK87" s="1"/>
  <c r="AM428"/>
  <c r="AJ428"/>
  <c r="K428"/>
  <c r="AK428" s="1"/>
  <c r="AM258"/>
  <c r="AJ258"/>
  <c r="K258"/>
  <c r="AK258" s="1"/>
  <c r="AM791"/>
  <c r="AJ791"/>
  <c r="K791"/>
  <c r="AK791" s="1"/>
  <c r="AM790"/>
  <c r="AJ790"/>
  <c r="K790"/>
  <c r="AK790" s="1"/>
  <c r="AM86"/>
  <c r="AJ86"/>
  <c r="K86"/>
  <c r="AK86" s="1"/>
  <c r="AM789"/>
  <c r="AJ789"/>
  <c r="K789"/>
  <c r="AK789" s="1"/>
  <c r="AM788"/>
  <c r="AJ788"/>
  <c r="K788"/>
  <c r="AK788" s="1"/>
  <c r="AM787"/>
  <c r="AJ787"/>
  <c r="K787"/>
  <c r="AK787" s="1"/>
  <c r="AM786"/>
  <c r="AJ786"/>
  <c r="K786"/>
  <c r="AK786" s="1"/>
  <c r="AM257"/>
  <c r="AJ257"/>
  <c r="K257"/>
  <c r="AK257" s="1"/>
  <c r="AM256"/>
  <c r="AJ256"/>
  <c r="K256"/>
  <c r="AK256" s="1"/>
  <c r="AM85"/>
  <c r="AJ85"/>
  <c r="K85"/>
  <c r="AK85" s="1"/>
  <c r="AM785"/>
  <c r="AJ785"/>
  <c r="K785"/>
  <c r="AK785" s="1"/>
  <c r="AM427"/>
  <c r="AJ427"/>
  <c r="K427"/>
  <c r="AK427" s="1"/>
  <c r="AM784"/>
  <c r="AJ784"/>
  <c r="K784"/>
  <c r="AK784" s="1"/>
  <c r="AM255"/>
  <c r="AJ255"/>
  <c r="K255"/>
  <c r="AK255" s="1"/>
  <c r="AM84"/>
  <c r="AJ84"/>
  <c r="K84"/>
  <c r="AK84" s="1"/>
  <c r="AM783"/>
  <c r="AJ783"/>
  <c r="K783"/>
  <c r="AK783" s="1"/>
  <c r="AM782"/>
  <c r="AJ782"/>
  <c r="K782"/>
  <c r="AK782" s="1"/>
  <c r="AM781"/>
  <c r="AJ781"/>
  <c r="K781"/>
  <c r="AK781" s="1"/>
  <c r="AM426"/>
  <c r="AJ426"/>
  <c r="K426"/>
  <c r="AK426" s="1"/>
  <c r="AM425"/>
  <c r="AJ425"/>
  <c r="K425"/>
  <c r="AK425" s="1"/>
  <c r="AM780"/>
  <c r="AJ780"/>
  <c r="K780"/>
  <c r="AK780" s="1"/>
  <c r="AM779"/>
  <c r="AJ779"/>
  <c r="K779"/>
  <c r="AK779" s="1"/>
  <c r="AM83"/>
  <c r="AJ83"/>
  <c r="K83"/>
  <c r="AK83" s="1"/>
  <c r="AM254"/>
  <c r="AJ254"/>
  <c r="K254"/>
  <c r="AK254" s="1"/>
  <c r="AM424"/>
  <c r="AJ424"/>
  <c r="K424"/>
  <c r="AK424" s="1"/>
  <c r="AM778"/>
  <c r="AJ778"/>
  <c r="K778"/>
  <c r="AK778" s="1"/>
  <c r="AM423"/>
  <c r="AJ423"/>
  <c r="K423"/>
  <c r="AK423" s="1"/>
  <c r="AM777"/>
  <c r="AJ777"/>
  <c r="K777"/>
  <c r="AK777" s="1"/>
  <c r="AM776"/>
  <c r="AJ776"/>
  <c r="K776"/>
  <c r="AK776" s="1"/>
  <c r="AM775"/>
  <c r="AJ775"/>
  <c r="K775"/>
  <c r="AK775" s="1"/>
  <c r="AM774"/>
  <c r="AJ774"/>
  <c r="K774"/>
  <c r="AK774" s="1"/>
  <c r="AM773"/>
  <c r="AJ773"/>
  <c r="K773"/>
  <c r="AK773" s="1"/>
  <c r="AM422"/>
  <c r="AJ422"/>
  <c r="K422"/>
  <c r="AK422" s="1"/>
  <c r="AM82"/>
  <c r="AJ82"/>
  <c r="K82"/>
  <c r="AK82" s="1"/>
  <c r="AM421"/>
  <c r="AJ421"/>
  <c r="K421"/>
  <c r="AK421" s="1"/>
  <c r="AM253"/>
  <c r="AJ253"/>
  <c r="K253"/>
  <c r="AK253" s="1"/>
  <c r="AM420"/>
  <c r="AJ420"/>
  <c r="K420"/>
  <c r="AK420" s="1"/>
  <c r="AM419"/>
  <c r="AJ419"/>
  <c r="K419"/>
  <c r="AK419" s="1"/>
  <c r="AM81"/>
  <c r="AJ81"/>
  <c r="K81"/>
  <c r="AK81" s="1"/>
  <c r="AM772"/>
  <c r="AJ772"/>
  <c r="K772"/>
  <c r="AK772" s="1"/>
  <c r="AM252"/>
  <c r="AJ252"/>
  <c r="K252"/>
  <c r="AK252" s="1"/>
  <c r="AM771"/>
  <c r="AJ771"/>
  <c r="K771"/>
  <c r="AK771" s="1"/>
  <c r="AM770"/>
  <c r="AJ770"/>
  <c r="K770"/>
  <c r="AK770" s="1"/>
  <c r="AM251"/>
  <c r="AJ251"/>
  <c r="K251"/>
  <c r="AK251" s="1"/>
  <c r="AM250"/>
  <c r="AJ250"/>
  <c r="K250"/>
  <c r="AK250" s="1"/>
  <c r="AM418"/>
  <c r="AJ418"/>
  <c r="K418"/>
  <c r="AK418" s="1"/>
  <c r="AM417"/>
  <c r="AJ417"/>
  <c r="K417"/>
  <c r="AK417" s="1"/>
  <c r="AM80"/>
  <c r="AJ80"/>
  <c r="K80"/>
  <c r="AK80" s="1"/>
  <c r="AM769"/>
  <c r="AJ769"/>
  <c r="K769"/>
  <c r="AK769" s="1"/>
  <c r="AM249"/>
  <c r="AJ249"/>
  <c r="K249"/>
  <c r="AK249" s="1"/>
  <c r="AM416"/>
  <c r="AJ416"/>
  <c r="K416"/>
  <c r="AK416" s="1"/>
  <c r="AM768"/>
  <c r="AJ768"/>
  <c r="K768"/>
  <c r="AK768" s="1"/>
  <c r="AM415"/>
  <c r="AJ415"/>
  <c r="K415"/>
  <c r="AK415" s="1"/>
  <c r="AM248"/>
  <c r="AJ248"/>
  <c r="K248"/>
  <c r="AK248" s="1"/>
  <c r="AM79"/>
  <c r="AJ79"/>
  <c r="K79"/>
  <c r="AK79" s="1"/>
  <c r="AM78"/>
  <c r="AJ78"/>
  <c r="K78"/>
  <c r="AK78" s="1"/>
  <c r="AM77"/>
  <c r="AJ77"/>
  <c r="K77"/>
  <c r="AK77" s="1"/>
  <c r="AM247"/>
  <c r="AJ247"/>
  <c r="K247"/>
  <c r="AK247" s="1"/>
  <c r="AM76"/>
  <c r="AJ76"/>
  <c r="K76"/>
  <c r="AK76" s="1"/>
  <c r="AM75"/>
  <c r="AJ75"/>
  <c r="K75"/>
  <c r="AK75" s="1"/>
  <c r="AM767"/>
  <c r="AJ767"/>
  <c r="K767"/>
  <c r="AK767" s="1"/>
  <c r="AM414"/>
  <c r="AJ414"/>
  <c r="K414"/>
  <c r="AK414" s="1"/>
  <c r="AM413"/>
  <c r="AJ413"/>
  <c r="K413"/>
  <c r="AK413" s="1"/>
  <c r="AM74"/>
  <c r="AJ74"/>
  <c r="K74"/>
  <c r="AK74" s="1"/>
  <c r="AM73"/>
  <c r="AJ73"/>
  <c r="K73"/>
  <c r="AK73" s="1"/>
  <c r="AM766"/>
  <c r="AJ766"/>
  <c r="K766"/>
  <c r="AK766" s="1"/>
  <c r="AM765"/>
  <c r="AJ765"/>
  <c r="K765"/>
  <c r="AK765" s="1"/>
  <c r="AM412"/>
  <c r="AJ412"/>
  <c r="K412"/>
  <c r="AK412" s="1"/>
  <c r="AM72"/>
  <c r="AJ72"/>
  <c r="K72"/>
  <c r="AK72" s="1"/>
  <c r="AM246"/>
  <c r="AJ246"/>
  <c r="K246"/>
  <c r="AK246" s="1"/>
  <c r="AM764"/>
  <c r="AJ764"/>
  <c r="K764"/>
  <c r="AK764" s="1"/>
  <c r="AM71"/>
  <c r="AJ71"/>
  <c r="K71"/>
  <c r="AK71" s="1"/>
  <c r="AM245"/>
  <c r="AJ245"/>
  <c r="K245"/>
  <c r="AK245" s="1"/>
  <c r="AM70"/>
  <c r="AJ70"/>
  <c r="K70"/>
  <c r="AK70" s="1"/>
  <c r="AM244"/>
  <c r="AJ244"/>
  <c r="K244"/>
  <c r="AK244" s="1"/>
  <c r="AM69"/>
  <c r="AJ69"/>
  <c r="K69"/>
  <c r="AK69" s="1"/>
  <c r="AM763"/>
  <c r="AJ763"/>
  <c r="K763"/>
  <c r="AK763" s="1"/>
  <c r="AM68"/>
  <c r="AJ68"/>
  <c r="K68"/>
  <c r="AK68" s="1"/>
  <c r="AM762"/>
  <c r="AJ762"/>
  <c r="K762"/>
  <c r="AK762" s="1"/>
  <c r="AM761"/>
  <c r="AJ761"/>
  <c r="K761"/>
  <c r="AK761" s="1"/>
  <c r="AM760"/>
  <c r="AJ760"/>
  <c r="K760"/>
  <c r="AK760" s="1"/>
  <c r="AM759"/>
  <c r="AJ759"/>
  <c r="K759"/>
  <c r="AK759" s="1"/>
  <c r="AM243"/>
  <c r="AJ243"/>
  <c r="K243"/>
  <c r="AK243" s="1"/>
  <c r="AM242"/>
  <c r="AJ242"/>
  <c r="K242"/>
  <c r="AK242" s="1"/>
  <c r="AM241"/>
  <c r="AJ241"/>
  <c r="K241"/>
  <c r="AK241" s="1"/>
  <c r="AM240"/>
  <c r="AJ240"/>
  <c r="K240"/>
  <c r="AK240" s="1"/>
  <c r="AM67"/>
  <c r="AJ67"/>
  <c r="K67"/>
  <c r="AK67" s="1"/>
  <c r="AM758"/>
  <c r="AJ758"/>
  <c r="K758"/>
  <c r="AK758" s="1"/>
  <c r="AM239"/>
  <c r="AJ239"/>
  <c r="K239"/>
  <c r="AK239" s="1"/>
  <c r="AM757"/>
  <c r="AJ757"/>
  <c r="K757"/>
  <c r="AK757" s="1"/>
  <c r="AM756"/>
  <c r="AJ756"/>
  <c r="K756"/>
  <c r="AK756" s="1"/>
  <c r="AM755"/>
  <c r="AJ755"/>
  <c r="K755"/>
  <c r="AK755" s="1"/>
  <c r="AM754"/>
  <c r="AJ754"/>
  <c r="K754"/>
  <c r="AK754" s="1"/>
  <c r="AM238"/>
  <c r="AJ238"/>
  <c r="K238"/>
  <c r="AK238" s="1"/>
  <c r="AM237"/>
  <c r="AJ237"/>
  <c r="K237"/>
  <c r="AK237" s="1"/>
  <c r="AM411"/>
  <c r="AJ411"/>
  <c r="K411"/>
  <c r="AK411" s="1"/>
  <c r="AM236"/>
  <c r="AJ236"/>
  <c r="K236"/>
  <c r="AK236" s="1"/>
  <c r="AM410"/>
  <c r="AJ410"/>
  <c r="K410"/>
  <c r="AK410" s="1"/>
  <c r="AM753"/>
  <c r="AJ753"/>
  <c r="K753"/>
  <c r="AK753" s="1"/>
  <c r="AM752"/>
  <c r="AJ752"/>
  <c r="K752"/>
  <c r="AK752" s="1"/>
  <c r="AM235"/>
  <c r="AJ235"/>
  <c r="K235"/>
  <c r="AK235" s="1"/>
  <c r="AM751"/>
  <c r="AJ751"/>
  <c r="K751"/>
  <c r="AK751" s="1"/>
  <c r="AM750"/>
  <c r="AJ750"/>
  <c r="K750"/>
  <c r="AK750" s="1"/>
  <c r="AM409"/>
  <c r="AJ409"/>
  <c r="K409"/>
  <c r="AK409" s="1"/>
  <c r="AM749"/>
  <c r="AJ749"/>
  <c r="K749"/>
  <c r="AK749" s="1"/>
  <c r="AM66"/>
  <c r="AJ66"/>
  <c r="K66"/>
  <c r="AK66" s="1"/>
  <c r="AM748"/>
  <c r="AJ748"/>
  <c r="K748"/>
  <c r="AK748" s="1"/>
  <c r="AM408"/>
  <c r="AJ408"/>
  <c r="K408"/>
  <c r="AK408" s="1"/>
  <c r="AM747"/>
  <c r="AJ747"/>
  <c r="K747"/>
  <c r="AK747" s="1"/>
  <c r="AM65"/>
  <c r="AJ65"/>
  <c r="K65"/>
  <c r="AK65" s="1"/>
  <c r="AM746"/>
  <c r="AJ746"/>
  <c r="K746"/>
  <c r="AK746" s="1"/>
  <c r="AM745"/>
  <c r="AJ745"/>
  <c r="K745"/>
  <c r="AK745" s="1"/>
  <c r="AM744"/>
  <c r="AJ744"/>
  <c r="K744"/>
  <c r="AK744" s="1"/>
  <c r="AM407"/>
  <c r="AJ407"/>
  <c r="K407"/>
  <c r="AK407" s="1"/>
  <c r="AM234"/>
  <c r="AJ234"/>
  <c r="K234"/>
  <c r="AK234" s="1"/>
  <c r="AM743"/>
  <c r="AJ743"/>
  <c r="K743"/>
  <c r="AK743" s="1"/>
  <c r="AM742"/>
  <c r="AJ742"/>
  <c r="K742"/>
  <c r="AK742" s="1"/>
  <c r="AM233"/>
  <c r="AJ233"/>
  <c r="K233"/>
  <c r="AK233" s="1"/>
  <c r="AM741"/>
  <c r="AJ741"/>
  <c r="K741"/>
  <c r="AK741" s="1"/>
  <c r="AM232"/>
  <c r="AJ232"/>
  <c r="K232"/>
  <c r="AK232" s="1"/>
  <c r="AM406"/>
  <c r="AJ406"/>
  <c r="K406"/>
  <c r="AK406" s="1"/>
  <c r="AM64"/>
  <c r="AJ64"/>
  <c r="K64"/>
  <c r="AK64" s="1"/>
  <c r="AM740"/>
  <c r="AJ740"/>
  <c r="K740"/>
  <c r="AK740" s="1"/>
  <c r="AM405"/>
  <c r="AJ405"/>
  <c r="K405"/>
  <c r="AK405" s="1"/>
  <c r="AM739"/>
  <c r="AJ739"/>
  <c r="K739"/>
  <c r="AK739" s="1"/>
  <c r="AM63"/>
  <c r="AJ63"/>
  <c r="K63"/>
  <c r="AK63" s="1"/>
  <c r="AM404"/>
  <c r="AJ404"/>
  <c r="K404"/>
  <c r="AK404" s="1"/>
  <c r="AM738"/>
  <c r="AJ738"/>
  <c r="K738"/>
  <c r="AK738" s="1"/>
  <c r="AM737"/>
  <c r="AJ737"/>
  <c r="K737"/>
  <c r="AK737" s="1"/>
  <c r="AM62"/>
  <c r="AJ62"/>
  <c r="K62"/>
  <c r="AK62" s="1"/>
  <c r="AM231"/>
  <c r="AJ231"/>
  <c r="K231"/>
  <c r="AK231" s="1"/>
  <c r="AM736"/>
  <c r="AJ736"/>
  <c r="K736"/>
  <c r="AK736" s="1"/>
  <c r="AM230"/>
  <c r="AJ230"/>
  <c r="K230"/>
  <c r="AK230" s="1"/>
  <c r="AM735"/>
  <c r="AJ735"/>
  <c r="K735"/>
  <c r="AK735" s="1"/>
  <c r="AM734"/>
  <c r="AJ734"/>
  <c r="K734"/>
  <c r="AK734" s="1"/>
  <c r="AM733"/>
  <c r="AJ733"/>
  <c r="K733"/>
  <c r="AK733" s="1"/>
  <c r="AM732"/>
  <c r="AJ732"/>
  <c r="K732"/>
  <c r="AK732" s="1"/>
  <c r="AM731"/>
  <c r="AJ731"/>
  <c r="K731"/>
  <c r="AK731" s="1"/>
  <c r="AM229"/>
  <c r="AJ229"/>
  <c r="K229"/>
  <c r="AK229" s="1"/>
  <c r="AM730"/>
  <c r="AJ730"/>
  <c r="K730"/>
  <c r="AK730" s="1"/>
  <c r="AM228"/>
  <c r="AJ228"/>
  <c r="K228"/>
  <c r="AK228" s="1"/>
  <c r="AM729"/>
  <c r="AJ729"/>
  <c r="K729"/>
  <c r="AK729" s="1"/>
  <c r="AM403"/>
  <c r="AJ403"/>
  <c r="K403"/>
  <c r="AK403" s="1"/>
  <c r="AM402"/>
  <c r="AJ402"/>
  <c r="K402"/>
  <c r="AK402" s="1"/>
  <c r="AM728"/>
  <c r="AJ728"/>
  <c r="K728"/>
  <c r="AK728" s="1"/>
  <c r="AM727"/>
  <c r="AJ727"/>
  <c r="K727"/>
  <c r="AK727" s="1"/>
  <c r="AM61"/>
  <c r="AJ61"/>
  <c r="K61"/>
  <c r="AK61" s="1"/>
  <c r="AM401"/>
  <c r="AJ401"/>
  <c r="K401"/>
  <c r="AK401" s="1"/>
  <c r="AM227"/>
  <c r="AJ227"/>
  <c r="K227"/>
  <c r="AK227" s="1"/>
  <c r="AM226"/>
  <c r="AJ226"/>
  <c r="K226"/>
  <c r="AK226" s="1"/>
  <c r="AM225"/>
  <c r="AJ225"/>
  <c r="K225"/>
  <c r="AK225" s="1"/>
  <c r="AM726"/>
  <c r="AJ726"/>
  <c r="K726"/>
  <c r="AK726" s="1"/>
  <c r="AM224"/>
  <c r="AJ224"/>
  <c r="K224"/>
  <c r="AK224" s="1"/>
  <c r="AM725"/>
  <c r="AJ725"/>
  <c r="K725"/>
  <c r="AK725" s="1"/>
  <c r="AM60"/>
  <c r="AJ60"/>
  <c r="K60"/>
  <c r="AK60" s="1"/>
  <c r="AM724"/>
  <c r="AJ724"/>
  <c r="K724"/>
  <c r="AK724" s="1"/>
  <c r="AM723"/>
  <c r="AJ723"/>
  <c r="K723"/>
  <c r="AK723" s="1"/>
  <c r="AM400"/>
  <c r="AJ400"/>
  <c r="K400"/>
  <c r="AK400" s="1"/>
  <c r="AM722"/>
  <c r="AJ722"/>
  <c r="K722"/>
  <c r="AK722" s="1"/>
  <c r="AM721"/>
  <c r="AJ721"/>
  <c r="K721"/>
  <c r="AK721" s="1"/>
  <c r="AM223"/>
  <c r="AJ223"/>
  <c r="K223"/>
  <c r="AK223" s="1"/>
  <c r="AM720"/>
  <c r="AJ720"/>
  <c r="K720"/>
  <c r="AK720" s="1"/>
  <c r="AM59"/>
  <c r="AJ59"/>
  <c r="K59"/>
  <c r="AK59" s="1"/>
  <c r="AM399"/>
  <c r="AJ399"/>
  <c r="K399"/>
  <c r="AK399" s="1"/>
  <c r="AM398"/>
  <c r="AJ398"/>
  <c r="K398"/>
  <c r="AK398" s="1"/>
  <c r="AM719"/>
  <c r="AJ719"/>
  <c r="K719"/>
  <c r="AK719" s="1"/>
  <c r="AM718"/>
  <c r="AJ718"/>
  <c r="K718"/>
  <c r="AK718" s="1"/>
  <c r="AM58"/>
  <c r="AJ58"/>
  <c r="K58"/>
  <c r="AK58" s="1"/>
  <c r="AM222"/>
  <c r="AJ222"/>
  <c r="K222"/>
  <c r="AK222" s="1"/>
  <c r="AM57"/>
  <c r="AJ57"/>
  <c r="K57"/>
  <c r="AK57" s="1"/>
  <c r="AM717"/>
  <c r="AJ717"/>
  <c r="K717"/>
  <c r="AK717" s="1"/>
  <c r="AM56"/>
  <c r="AJ56"/>
  <c r="K56"/>
  <c r="AK56" s="1"/>
  <c r="AM221"/>
  <c r="AJ221"/>
  <c r="K221"/>
  <c r="AK221" s="1"/>
  <c r="AM220"/>
  <c r="AJ220"/>
  <c r="K220"/>
  <c r="AK220" s="1"/>
  <c r="AM716"/>
  <c r="AJ716"/>
  <c r="K716"/>
  <c r="AK716" s="1"/>
  <c r="AM219"/>
  <c r="AJ219"/>
  <c r="K219"/>
  <c r="AK219" s="1"/>
  <c r="AM715"/>
  <c r="AJ715"/>
  <c r="K715"/>
  <c r="AK715" s="1"/>
  <c r="AM397"/>
  <c r="AJ397"/>
  <c r="K397"/>
  <c r="AK397" s="1"/>
  <c r="AM218"/>
  <c r="AJ218"/>
  <c r="K218"/>
  <c r="AK218" s="1"/>
  <c r="AM217"/>
  <c r="AJ217"/>
  <c r="K217"/>
  <c r="AK217" s="1"/>
  <c r="AM714"/>
  <c r="AJ714"/>
  <c r="K714"/>
  <c r="AK714" s="1"/>
  <c r="AM216"/>
  <c r="AJ216"/>
  <c r="K216"/>
  <c r="AK216" s="1"/>
  <c r="AM713"/>
  <c r="AJ713"/>
  <c r="K713"/>
  <c r="AK713" s="1"/>
  <c r="AM712"/>
  <c r="AJ712"/>
  <c r="K712"/>
  <c r="AK712" s="1"/>
  <c r="AM396"/>
  <c r="AJ396"/>
  <c r="K396"/>
  <c r="AK396" s="1"/>
  <c r="AM711"/>
  <c r="AJ711"/>
  <c r="K711"/>
  <c r="AK711" s="1"/>
  <c r="AM710"/>
  <c r="AJ710"/>
  <c r="K710"/>
  <c r="AK710" s="1"/>
  <c r="AM709"/>
  <c r="AJ709"/>
  <c r="K709"/>
  <c r="AK709" s="1"/>
  <c r="AM708"/>
  <c r="AJ708"/>
  <c r="K708"/>
  <c r="AK708" s="1"/>
  <c r="AM215"/>
  <c r="AJ215"/>
  <c r="K215"/>
  <c r="AK215" s="1"/>
  <c r="AM214"/>
  <c r="AJ214"/>
  <c r="K214"/>
  <c r="AK214" s="1"/>
  <c r="AM707"/>
  <c r="AJ707"/>
  <c r="K707"/>
  <c r="AK707" s="1"/>
  <c r="AM395"/>
  <c r="AJ395"/>
  <c r="K395"/>
  <c r="AK395" s="1"/>
  <c r="AM706"/>
  <c r="AJ706"/>
  <c r="K706"/>
  <c r="AK706" s="1"/>
  <c r="AM55"/>
  <c r="AJ55"/>
  <c r="K55"/>
  <c r="AK55" s="1"/>
  <c r="AM705"/>
  <c r="AJ705"/>
  <c r="K705"/>
  <c r="AK705" s="1"/>
  <c r="AM704"/>
  <c r="AJ704"/>
  <c r="K704"/>
  <c r="AK704" s="1"/>
  <c r="AM213"/>
  <c r="AJ213"/>
  <c r="K213"/>
  <c r="AK213" s="1"/>
  <c r="AM703"/>
  <c r="AJ703"/>
  <c r="K703"/>
  <c r="AK703" s="1"/>
  <c r="AM212"/>
  <c r="AJ212"/>
  <c r="K212"/>
  <c r="AK212" s="1"/>
  <c r="AM702"/>
  <c r="AJ702"/>
  <c r="K702"/>
  <c r="AK702" s="1"/>
  <c r="AM701"/>
  <c r="AJ701"/>
  <c r="K701"/>
  <c r="AK701" s="1"/>
  <c r="AM700"/>
  <c r="AJ700"/>
  <c r="K700"/>
  <c r="AK700" s="1"/>
  <c r="AM699"/>
  <c r="AJ699"/>
  <c r="K699"/>
  <c r="AK699" s="1"/>
  <c r="AM698"/>
  <c r="AJ698"/>
  <c r="K698"/>
  <c r="AK698" s="1"/>
  <c r="AM54"/>
  <c r="AJ54"/>
  <c r="K54"/>
  <c r="AK54" s="1"/>
  <c r="AM211"/>
  <c r="AJ211"/>
  <c r="K211"/>
  <c r="AK211" s="1"/>
  <c r="AM697"/>
  <c r="AJ697"/>
  <c r="K697"/>
  <c r="AK697" s="1"/>
  <c r="AM696"/>
  <c r="AJ696"/>
  <c r="K696"/>
  <c r="AK696" s="1"/>
  <c r="AM695"/>
  <c r="AJ695"/>
  <c r="K695"/>
  <c r="AK695" s="1"/>
  <c r="AM394"/>
  <c r="AJ394"/>
  <c r="K394"/>
  <c r="AK394" s="1"/>
  <c r="AM53"/>
  <c r="AJ53"/>
  <c r="K53"/>
  <c r="AK53" s="1"/>
  <c r="AM210"/>
  <c r="AJ210"/>
  <c r="K210"/>
  <c r="AK210" s="1"/>
  <c r="AM52"/>
  <c r="AJ52"/>
  <c r="K52"/>
  <c r="AK52" s="1"/>
  <c r="AM694"/>
  <c r="AJ694"/>
  <c r="K694"/>
  <c r="AK694" s="1"/>
  <c r="AM393"/>
  <c r="AJ393"/>
  <c r="K393"/>
  <c r="AK393" s="1"/>
  <c r="AM209"/>
  <c r="AJ209"/>
  <c r="K209"/>
  <c r="AK209" s="1"/>
  <c r="AM208"/>
  <c r="AJ208"/>
  <c r="K208"/>
  <c r="AK208" s="1"/>
  <c r="AM693"/>
  <c r="AJ693"/>
  <c r="K693"/>
  <c r="AK693" s="1"/>
  <c r="AM692"/>
  <c r="AJ692"/>
  <c r="K692"/>
  <c r="AK692" s="1"/>
  <c r="AM691"/>
  <c r="AJ691"/>
  <c r="K691"/>
  <c r="AK691" s="1"/>
  <c r="AM690"/>
  <c r="AJ690"/>
  <c r="K690"/>
  <c r="AK690" s="1"/>
  <c r="AM689"/>
  <c r="AJ689"/>
  <c r="K689"/>
  <c r="AK689" s="1"/>
  <c r="AM688"/>
  <c r="AJ688"/>
  <c r="K688"/>
  <c r="AK688" s="1"/>
  <c r="AM687"/>
  <c r="AJ687"/>
  <c r="K687"/>
  <c r="AK687" s="1"/>
  <c r="AM686"/>
  <c r="AJ686"/>
  <c r="K686"/>
  <c r="AK686" s="1"/>
  <c r="AM685"/>
  <c r="AJ685"/>
  <c r="K685"/>
  <c r="AK685" s="1"/>
  <c r="AM51"/>
  <c r="AJ51"/>
  <c r="K51"/>
  <c r="AK51" s="1"/>
  <c r="AM684"/>
  <c r="AJ684"/>
  <c r="K684"/>
  <c r="AK684" s="1"/>
  <c r="AM392"/>
  <c r="AJ392"/>
  <c r="K392"/>
  <c r="AK392" s="1"/>
  <c r="AM391"/>
  <c r="AJ391"/>
  <c r="K391"/>
  <c r="AK391" s="1"/>
  <c r="AM683"/>
  <c r="AJ683"/>
  <c r="K683"/>
  <c r="AK683" s="1"/>
  <c r="AM682"/>
  <c r="AJ682"/>
  <c r="K682"/>
  <c r="AK682" s="1"/>
  <c r="AM390"/>
  <c r="AJ390"/>
  <c r="K390"/>
  <c r="AK390" s="1"/>
  <c r="AM681"/>
  <c r="AJ681"/>
  <c r="K681"/>
  <c r="AK681" s="1"/>
  <c r="AM207"/>
  <c r="AJ207"/>
  <c r="K207"/>
  <c r="AK207" s="1"/>
  <c r="AM680"/>
  <c r="AJ680"/>
  <c r="K680"/>
  <c r="AK680" s="1"/>
  <c r="AM679"/>
  <c r="AJ679"/>
  <c r="K679"/>
  <c r="AK679" s="1"/>
  <c r="AM678"/>
  <c r="AJ678"/>
  <c r="K678"/>
  <c r="AK678" s="1"/>
  <c r="AM677"/>
  <c r="AJ677"/>
  <c r="K677"/>
  <c r="AK677" s="1"/>
  <c r="AM676"/>
  <c r="AJ676"/>
  <c r="K676"/>
  <c r="AK676" s="1"/>
  <c r="AM675"/>
  <c r="AJ675"/>
  <c r="K675"/>
  <c r="AK675" s="1"/>
  <c r="AM389"/>
  <c r="AJ389"/>
  <c r="K389"/>
  <c r="AK389" s="1"/>
  <c r="AM674"/>
  <c r="AJ674"/>
  <c r="K674"/>
  <c r="AK674" s="1"/>
  <c r="AM673"/>
  <c r="AJ673"/>
  <c r="K673"/>
  <c r="AK673" s="1"/>
  <c r="AM672"/>
  <c r="AJ672"/>
  <c r="K672"/>
  <c r="AK672" s="1"/>
  <c r="AM671"/>
  <c r="AJ671"/>
  <c r="K671"/>
  <c r="AK671" s="1"/>
  <c r="AM388"/>
  <c r="AJ388"/>
  <c r="K388"/>
  <c r="AK388" s="1"/>
  <c r="AM670"/>
  <c r="AJ670"/>
  <c r="K670"/>
  <c r="AK670" s="1"/>
  <c r="AM206"/>
  <c r="AJ206"/>
  <c r="K206"/>
  <c r="AK206" s="1"/>
  <c r="AM205"/>
  <c r="AJ205"/>
  <c r="K205"/>
  <c r="AK205" s="1"/>
  <c r="AM669"/>
  <c r="AJ669"/>
  <c r="K669"/>
  <c r="AK669" s="1"/>
  <c r="AM387"/>
  <c r="AJ387"/>
  <c r="K387"/>
  <c r="AK387" s="1"/>
  <c r="AM668"/>
  <c r="AJ668"/>
  <c r="K668"/>
  <c r="AK668" s="1"/>
  <c r="AM204"/>
  <c r="AJ204"/>
  <c r="K204"/>
  <c r="AK204" s="1"/>
  <c r="AM50"/>
  <c r="AJ50"/>
  <c r="K50"/>
  <c r="AK50" s="1"/>
  <c r="AM386"/>
  <c r="AJ386"/>
  <c r="K386"/>
  <c r="AK386" s="1"/>
  <c r="AM667"/>
  <c r="AJ667"/>
  <c r="K667"/>
  <c r="AK667" s="1"/>
  <c r="AM203"/>
  <c r="AJ203"/>
  <c r="K203"/>
  <c r="AK203" s="1"/>
  <c r="AM49"/>
  <c r="AJ49"/>
  <c r="K49"/>
  <c r="AK49" s="1"/>
  <c r="AM48"/>
  <c r="AJ48"/>
  <c r="K48"/>
  <c r="AK48" s="1"/>
  <c r="AM666"/>
  <c r="AJ666"/>
  <c r="K666"/>
  <c r="AK666" s="1"/>
  <c r="AM202"/>
  <c r="AJ202"/>
  <c r="K202"/>
  <c r="AK202" s="1"/>
  <c r="AM201"/>
  <c r="AJ201"/>
  <c r="K201"/>
  <c r="AK201" s="1"/>
  <c r="AM385"/>
  <c r="AJ385"/>
  <c r="K385"/>
  <c r="AK385" s="1"/>
  <c r="AM665"/>
  <c r="AJ665"/>
  <c r="K665"/>
  <c r="AK665" s="1"/>
  <c r="AM664"/>
  <c r="AJ664"/>
  <c r="K664"/>
  <c r="AK664" s="1"/>
  <c r="AM663"/>
  <c r="AJ663"/>
  <c r="K663"/>
  <c r="AK663" s="1"/>
  <c r="AM662"/>
  <c r="AJ662"/>
  <c r="K662"/>
  <c r="AK662" s="1"/>
  <c r="AM47"/>
  <c r="AJ47"/>
  <c r="K47"/>
  <c r="AK47" s="1"/>
  <c r="AM661"/>
  <c r="AJ661"/>
  <c r="K661"/>
  <c r="AK661" s="1"/>
  <c r="AM200"/>
  <c r="AJ200"/>
  <c r="K200"/>
  <c r="AK200" s="1"/>
  <c r="AM199"/>
  <c r="AJ199"/>
  <c r="K199"/>
  <c r="AK199" s="1"/>
  <c r="AM660"/>
  <c r="AJ660"/>
  <c r="K660"/>
  <c r="AK660" s="1"/>
  <c r="AM659"/>
  <c r="AJ659"/>
  <c r="K659"/>
  <c r="AK659" s="1"/>
  <c r="AM658"/>
  <c r="AJ658"/>
  <c r="K658"/>
  <c r="AK658" s="1"/>
  <c r="AM198"/>
  <c r="AJ198"/>
  <c r="K198"/>
  <c r="AK198" s="1"/>
  <c r="AM657"/>
  <c r="AJ657"/>
  <c r="K657"/>
  <c r="AK657" s="1"/>
  <c r="AM46"/>
  <c r="AJ46"/>
  <c r="K46"/>
  <c r="AK46" s="1"/>
  <c r="AM656"/>
  <c r="AJ656"/>
  <c r="K656"/>
  <c r="AK656" s="1"/>
  <c r="AM655"/>
  <c r="AJ655"/>
  <c r="K655"/>
  <c r="AK655" s="1"/>
  <c r="AM654"/>
  <c r="AJ654"/>
  <c r="K654"/>
  <c r="AK654" s="1"/>
  <c r="AM384"/>
  <c r="AJ384"/>
  <c r="K384"/>
  <c r="AK384" s="1"/>
  <c r="AM197"/>
  <c r="AJ197"/>
  <c r="K197"/>
  <c r="AK197" s="1"/>
  <c r="AM196"/>
  <c r="AJ196"/>
  <c r="K196"/>
  <c r="AK196" s="1"/>
  <c r="AM45"/>
  <c r="AJ45"/>
  <c r="K45"/>
  <c r="AK45" s="1"/>
  <c r="AM44"/>
  <c r="AJ44"/>
  <c r="K44"/>
  <c r="AK44" s="1"/>
  <c r="AM653"/>
  <c r="AJ653"/>
  <c r="K653"/>
  <c r="AK653" s="1"/>
  <c r="AM652"/>
  <c r="AJ652"/>
  <c r="K652"/>
  <c r="AK652" s="1"/>
  <c r="AM651"/>
  <c r="AJ651"/>
  <c r="K651"/>
  <c r="AK651" s="1"/>
  <c r="AM195"/>
  <c r="AJ195"/>
  <c r="K195"/>
  <c r="AK195" s="1"/>
  <c r="AM650"/>
  <c r="AJ650"/>
  <c r="K650"/>
  <c r="AK650" s="1"/>
  <c r="AM383"/>
  <c r="AJ383"/>
  <c r="K383"/>
  <c r="AK383" s="1"/>
  <c r="AM649"/>
  <c r="AJ649"/>
  <c r="K649"/>
  <c r="AK649" s="1"/>
  <c r="AM43"/>
  <c r="AJ43"/>
  <c r="K43"/>
  <c r="AK43" s="1"/>
  <c r="AM648"/>
  <c r="AJ648"/>
  <c r="K648"/>
  <c r="AK648" s="1"/>
  <c r="AM194"/>
  <c r="AJ194"/>
  <c r="K194"/>
  <c r="AK194" s="1"/>
  <c r="AM647"/>
  <c r="AJ647"/>
  <c r="K647"/>
  <c r="AK647" s="1"/>
  <c r="AM646"/>
  <c r="AJ646"/>
  <c r="K646"/>
  <c r="AK646" s="1"/>
  <c r="AM645"/>
  <c r="AJ645"/>
  <c r="K645"/>
  <c r="AK645" s="1"/>
  <c r="AM644"/>
  <c r="AJ644"/>
  <c r="K644"/>
  <c r="AK644" s="1"/>
  <c r="AM193"/>
  <c r="AJ193"/>
  <c r="K193"/>
  <c r="AK193" s="1"/>
  <c r="AM42"/>
  <c r="AJ42"/>
  <c r="K42"/>
  <c r="AK42" s="1"/>
  <c r="AM382"/>
  <c r="AJ382"/>
  <c r="K382"/>
  <c r="AK382" s="1"/>
  <c r="AM381"/>
  <c r="AJ381"/>
  <c r="K381"/>
  <c r="AK381" s="1"/>
  <c r="AM643"/>
  <c r="AJ643"/>
  <c r="K643"/>
  <c r="AK643" s="1"/>
  <c r="AM380"/>
  <c r="AJ380"/>
  <c r="K380"/>
  <c r="AK380" s="1"/>
  <c r="AM642"/>
  <c r="AJ642"/>
  <c r="K642"/>
  <c r="AK642" s="1"/>
  <c r="AM379"/>
  <c r="AJ379"/>
  <c r="K379"/>
  <c r="AK379" s="1"/>
  <c r="AM41"/>
  <c r="AJ41"/>
  <c r="K41"/>
  <c r="AK41" s="1"/>
  <c r="AM378"/>
  <c r="AJ378"/>
  <c r="K378"/>
  <c r="AK378" s="1"/>
  <c r="AM192"/>
  <c r="AJ192"/>
  <c r="K192"/>
  <c r="AK192" s="1"/>
  <c r="AM191"/>
  <c r="AJ191"/>
  <c r="K191"/>
  <c r="AK191" s="1"/>
  <c r="AM641"/>
  <c r="AJ641"/>
  <c r="K641"/>
  <c r="AK641" s="1"/>
  <c r="AM640"/>
  <c r="AJ640"/>
  <c r="K640"/>
  <c r="AK640" s="1"/>
  <c r="AM639"/>
  <c r="AJ639"/>
  <c r="K639"/>
  <c r="AK639" s="1"/>
  <c r="AM638"/>
  <c r="AJ638"/>
  <c r="K638"/>
  <c r="AK638" s="1"/>
  <c r="AM637"/>
  <c r="AJ637"/>
  <c r="K637"/>
  <c r="AK637" s="1"/>
  <c r="AM190"/>
  <c r="AJ190"/>
  <c r="K190"/>
  <c r="AK190" s="1"/>
  <c r="AM636"/>
  <c r="AJ636"/>
  <c r="K636"/>
  <c r="AK636" s="1"/>
  <c r="AM635"/>
  <c r="AJ635"/>
  <c r="K635"/>
  <c r="AK635" s="1"/>
  <c r="AM40"/>
  <c r="AJ40"/>
  <c r="K40"/>
  <c r="AK40" s="1"/>
  <c r="AM377"/>
  <c r="AJ377"/>
  <c r="K377"/>
  <c r="AK377" s="1"/>
  <c r="AM634"/>
  <c r="AJ634"/>
  <c r="K634"/>
  <c r="AK634" s="1"/>
  <c r="AM633"/>
  <c r="AJ633"/>
  <c r="K633"/>
  <c r="AK633" s="1"/>
  <c r="AM376"/>
  <c r="AJ376"/>
  <c r="K376"/>
  <c r="AK376" s="1"/>
  <c r="AM632"/>
  <c r="AJ632"/>
  <c r="K632"/>
  <c r="AK632" s="1"/>
  <c r="AM631"/>
  <c r="AJ631"/>
  <c r="K631"/>
  <c r="AK631" s="1"/>
  <c r="AM630"/>
  <c r="AJ630"/>
  <c r="K630"/>
  <c r="AK630" s="1"/>
  <c r="AM189"/>
  <c r="AJ189"/>
  <c r="K189"/>
  <c r="AK189" s="1"/>
  <c r="AM39"/>
  <c r="AJ39"/>
  <c r="K39"/>
  <c r="AK39" s="1"/>
  <c r="AM629"/>
  <c r="AJ629"/>
  <c r="K629"/>
  <c r="AK629" s="1"/>
  <c r="AM628"/>
  <c r="AJ628"/>
  <c r="K628"/>
  <c r="AK628" s="1"/>
  <c r="AM627"/>
  <c r="AJ627"/>
  <c r="K627"/>
  <c r="AK627" s="1"/>
  <c r="AM188"/>
  <c r="AJ188"/>
  <c r="K188"/>
  <c r="AK188" s="1"/>
  <c r="AM626"/>
  <c r="AJ626"/>
  <c r="K626"/>
  <c r="AK626" s="1"/>
  <c r="AM625"/>
  <c r="AJ625"/>
  <c r="K625"/>
  <c r="AK625" s="1"/>
  <c r="AM624"/>
  <c r="AJ624"/>
  <c r="K624"/>
  <c r="AK624" s="1"/>
  <c r="AM623"/>
  <c r="AJ623"/>
  <c r="K623"/>
  <c r="AK623" s="1"/>
  <c r="AM622"/>
  <c r="AJ622"/>
  <c r="K622"/>
  <c r="AK622" s="1"/>
  <c r="AM621"/>
  <c r="AJ621"/>
  <c r="K621"/>
  <c r="AK621" s="1"/>
  <c r="AM375"/>
  <c r="AJ375"/>
  <c r="K375"/>
  <c r="AK375" s="1"/>
  <c r="AM374"/>
  <c r="AJ374"/>
  <c r="K374"/>
  <c r="AK374" s="1"/>
  <c r="AM187"/>
  <c r="AJ187"/>
  <c r="K187"/>
  <c r="AK187" s="1"/>
  <c r="AM620"/>
  <c r="AJ620"/>
  <c r="K620"/>
  <c r="AK620" s="1"/>
  <c r="AM38"/>
  <c r="AJ38"/>
  <c r="K38"/>
  <c r="AK38" s="1"/>
  <c r="AM619"/>
  <c r="AJ619"/>
  <c r="K619"/>
  <c r="AK619" s="1"/>
  <c r="AM618"/>
  <c r="AJ618"/>
  <c r="K618"/>
  <c r="AK618" s="1"/>
  <c r="AM186"/>
  <c r="AJ186"/>
  <c r="K186"/>
  <c r="AK186" s="1"/>
  <c r="AM617"/>
  <c r="AJ617"/>
  <c r="K617"/>
  <c r="AK617" s="1"/>
  <c r="AM37"/>
  <c r="AJ37"/>
  <c r="K37"/>
  <c r="AK37" s="1"/>
  <c r="AM616"/>
  <c r="AJ616"/>
  <c r="K616"/>
  <c r="AK616" s="1"/>
  <c r="AM373"/>
  <c r="AJ373"/>
  <c r="K373"/>
  <c r="AK373" s="1"/>
  <c r="AM615"/>
  <c r="AJ615"/>
  <c r="K615"/>
  <c r="AK615" s="1"/>
  <c r="AM185"/>
  <c r="AJ185"/>
  <c r="K185"/>
  <c r="AK185" s="1"/>
  <c r="AM372"/>
  <c r="AJ372"/>
  <c r="K372"/>
  <c r="AK372" s="1"/>
  <c r="AM184"/>
  <c r="AJ184"/>
  <c r="K184"/>
  <c r="AK184" s="1"/>
  <c r="AM371"/>
  <c r="AJ371"/>
  <c r="K371"/>
  <c r="AK371" s="1"/>
  <c r="AM614"/>
  <c r="AJ614"/>
  <c r="K614"/>
  <c r="AK614" s="1"/>
  <c r="AM613"/>
  <c r="AJ613"/>
  <c r="K613"/>
  <c r="AK613" s="1"/>
  <c r="AM36"/>
  <c r="AJ36"/>
  <c r="K36"/>
  <c r="AK36" s="1"/>
  <c r="AM612"/>
  <c r="AJ612"/>
  <c r="K612"/>
  <c r="AK612" s="1"/>
  <c r="AM611"/>
  <c r="AJ611"/>
  <c r="K611"/>
  <c r="AK611" s="1"/>
  <c r="AM610"/>
  <c r="AJ610"/>
  <c r="K610"/>
  <c r="AK610" s="1"/>
  <c r="AM609"/>
  <c r="AJ609"/>
  <c r="K609"/>
  <c r="AK609" s="1"/>
  <c r="AM370"/>
  <c r="AJ370"/>
  <c r="K370"/>
  <c r="AK370" s="1"/>
  <c r="AM608"/>
  <c r="AJ608"/>
  <c r="K608"/>
  <c r="AK608" s="1"/>
  <c r="AM607"/>
  <c r="AJ607"/>
  <c r="K607"/>
  <c r="AK607" s="1"/>
  <c r="AM183"/>
  <c r="AJ183"/>
  <c r="K183"/>
  <c r="AK183" s="1"/>
  <c r="AM182"/>
  <c r="AJ182"/>
  <c r="K182"/>
  <c r="AK182" s="1"/>
  <c r="AM606"/>
  <c r="AJ606"/>
  <c r="K606"/>
  <c r="AK606" s="1"/>
  <c r="AM181"/>
  <c r="AJ181"/>
  <c r="K181"/>
  <c r="AK181" s="1"/>
  <c r="AM605"/>
  <c r="AJ605"/>
  <c r="K605"/>
  <c r="AK605" s="1"/>
  <c r="AM369"/>
  <c r="AJ369"/>
  <c r="K369"/>
  <c r="AK369" s="1"/>
  <c r="AM604"/>
  <c r="AJ604"/>
  <c r="K604"/>
  <c r="AK604" s="1"/>
  <c r="AM603"/>
  <c r="AJ603"/>
  <c r="K603"/>
  <c r="AK603" s="1"/>
  <c r="AM35"/>
  <c r="AJ35"/>
  <c r="K35"/>
  <c r="AK35" s="1"/>
  <c r="AM368"/>
  <c r="AJ368"/>
  <c r="K368"/>
  <c r="AK368" s="1"/>
  <c r="AM602"/>
  <c r="AJ602"/>
  <c r="K602"/>
  <c r="AK602" s="1"/>
  <c r="AM367"/>
  <c r="AJ367"/>
  <c r="K367"/>
  <c r="AK367" s="1"/>
  <c r="AM601"/>
  <c r="AJ601"/>
  <c r="K601"/>
  <c r="AK601" s="1"/>
  <c r="AM366"/>
  <c r="AJ366"/>
  <c r="K366"/>
  <c r="AK366" s="1"/>
  <c r="AM365"/>
  <c r="AJ365"/>
  <c r="K365"/>
  <c r="AK365" s="1"/>
  <c r="AM600"/>
  <c r="AJ600"/>
  <c r="K600"/>
  <c r="AK600" s="1"/>
  <c r="AM599"/>
  <c r="AJ599"/>
  <c r="K599"/>
  <c r="AK599" s="1"/>
  <c r="AM598"/>
  <c r="AJ598"/>
  <c r="K598"/>
  <c r="AK598" s="1"/>
  <c r="AM180"/>
  <c r="AJ180"/>
  <c r="K180"/>
  <c r="AK180" s="1"/>
  <c r="AM597"/>
  <c r="AJ597"/>
  <c r="K597"/>
  <c r="AK597" s="1"/>
  <c r="AM34"/>
  <c r="AJ34"/>
  <c r="K34"/>
  <c r="AK34" s="1"/>
  <c r="AM179"/>
  <c r="AJ179"/>
  <c r="K179"/>
  <c r="AK179" s="1"/>
  <c r="AM596"/>
  <c r="AJ596"/>
  <c r="K596"/>
  <c r="AK596" s="1"/>
  <c r="AM178"/>
  <c r="AJ178"/>
  <c r="K178"/>
  <c r="AK178" s="1"/>
  <c r="AM33"/>
  <c r="AJ33"/>
  <c r="K33"/>
  <c r="AK33" s="1"/>
  <c r="AM364"/>
  <c r="AJ364"/>
  <c r="K364"/>
  <c r="AK364" s="1"/>
  <c r="AM363"/>
  <c r="AJ363"/>
  <c r="K363"/>
  <c r="AK363" s="1"/>
  <c r="AM177"/>
  <c r="AJ177"/>
  <c r="K177"/>
  <c r="AK177" s="1"/>
  <c r="AM176"/>
  <c r="AJ176"/>
  <c r="K176"/>
  <c r="AK176" s="1"/>
  <c r="AM32"/>
  <c r="AJ32"/>
  <c r="K32"/>
  <c r="AK32" s="1"/>
  <c r="AM595"/>
  <c r="AJ595"/>
  <c r="K595"/>
  <c r="AK595" s="1"/>
  <c r="AM31"/>
  <c r="AJ31"/>
  <c r="K31"/>
  <c r="AK31" s="1"/>
  <c r="AM30"/>
  <c r="AJ30"/>
  <c r="K30"/>
  <c r="AK30" s="1"/>
  <c r="AM175"/>
  <c r="AJ175"/>
  <c r="K175"/>
  <c r="AK175" s="1"/>
  <c r="AM594"/>
  <c r="AJ594"/>
  <c r="K594"/>
  <c r="AK594" s="1"/>
  <c r="AM362"/>
  <c r="AJ362"/>
  <c r="K362"/>
  <c r="AK362" s="1"/>
  <c r="AM29"/>
  <c r="AJ29"/>
  <c r="K29"/>
  <c r="AK29" s="1"/>
  <c r="AM28"/>
  <c r="AJ28"/>
  <c r="K28"/>
  <c r="AK28" s="1"/>
  <c r="AM593"/>
  <c r="AJ593"/>
  <c r="K593"/>
  <c r="AK593" s="1"/>
  <c r="AM27"/>
  <c r="AJ27"/>
  <c r="K27"/>
  <c r="AK27" s="1"/>
  <c r="AM174"/>
  <c r="AJ174"/>
  <c r="K174"/>
  <c r="AK174" s="1"/>
  <c r="AM173"/>
  <c r="AJ173"/>
  <c r="K173"/>
  <c r="AK173" s="1"/>
  <c r="AM361"/>
  <c r="AJ361"/>
  <c r="K361"/>
  <c r="AK361" s="1"/>
  <c r="AM592"/>
  <c r="AJ592"/>
  <c r="K592"/>
  <c r="AK592" s="1"/>
  <c r="AM591"/>
  <c r="AJ591"/>
  <c r="K591"/>
  <c r="AK591" s="1"/>
  <c r="AM590"/>
  <c r="AJ590"/>
  <c r="K590"/>
  <c r="AK590" s="1"/>
  <c r="AM589"/>
  <c r="AJ589"/>
  <c r="K589"/>
  <c r="AK589" s="1"/>
  <c r="AM26"/>
  <c r="AJ26"/>
  <c r="K26"/>
  <c r="AK26" s="1"/>
  <c r="AM360"/>
  <c r="AJ360"/>
  <c r="K360"/>
  <c r="AK360" s="1"/>
  <c r="AM588"/>
  <c r="AJ588"/>
  <c r="K588"/>
  <c r="AK588" s="1"/>
  <c r="AM587"/>
  <c r="AJ587"/>
  <c r="K587"/>
  <c r="AK587" s="1"/>
  <c r="AM586"/>
  <c r="AJ586"/>
  <c r="K586"/>
  <c r="AK586" s="1"/>
  <c r="AM172"/>
  <c r="AJ172"/>
  <c r="K172"/>
  <c r="AK172" s="1"/>
  <c r="AM585"/>
  <c r="AJ585"/>
  <c r="K585"/>
  <c r="AK585" s="1"/>
  <c r="AM359"/>
  <c r="AJ359"/>
  <c r="K359"/>
  <c r="AK359" s="1"/>
  <c r="AM171"/>
  <c r="AJ171"/>
  <c r="K171"/>
  <c r="AK171" s="1"/>
  <c r="AM358"/>
  <c r="AJ358"/>
  <c r="K358"/>
  <c r="AK358" s="1"/>
  <c r="AM584"/>
  <c r="AJ584"/>
  <c r="K584"/>
  <c r="AK584" s="1"/>
  <c r="AM583"/>
  <c r="AJ583"/>
  <c r="K583"/>
  <c r="AK583" s="1"/>
  <c r="AM582"/>
  <c r="AJ582"/>
  <c r="K582"/>
  <c r="AK582" s="1"/>
  <c r="AM581"/>
  <c r="AJ581"/>
  <c r="K581"/>
  <c r="AK581" s="1"/>
  <c r="AM580"/>
  <c r="AJ580"/>
  <c r="K580"/>
  <c r="AK580" s="1"/>
  <c r="AM579"/>
  <c r="AJ579"/>
  <c r="K579"/>
  <c r="AK579" s="1"/>
  <c r="AM578"/>
  <c r="AJ578"/>
  <c r="K578"/>
  <c r="AK578" s="1"/>
  <c r="AM577"/>
  <c r="AJ577"/>
  <c r="K577"/>
  <c r="AK577" s="1"/>
  <c r="AM576"/>
  <c r="AJ576"/>
  <c r="K576"/>
  <c r="AK576" s="1"/>
  <c r="AM575"/>
  <c r="AJ575"/>
  <c r="K575"/>
  <c r="AK575" s="1"/>
  <c r="AM574"/>
  <c r="AJ574"/>
  <c r="K574"/>
  <c r="AK574" s="1"/>
  <c r="AM357"/>
  <c r="AJ357"/>
  <c r="K357"/>
  <c r="AK357" s="1"/>
  <c r="AM573"/>
  <c r="AJ573"/>
  <c r="K573"/>
  <c r="AK573" s="1"/>
  <c r="AM356"/>
  <c r="AJ356"/>
  <c r="K356"/>
  <c r="AK356" s="1"/>
  <c r="AM25"/>
  <c r="AJ25"/>
  <c r="K25"/>
  <c r="AK25" s="1"/>
  <c r="AM572"/>
  <c r="AJ572"/>
  <c r="K572"/>
  <c r="AK572" s="1"/>
  <c r="AM170"/>
  <c r="AJ170"/>
  <c r="K170"/>
  <c r="AK170" s="1"/>
  <c r="AM355"/>
  <c r="AJ355"/>
  <c r="K355"/>
  <c r="AK355" s="1"/>
  <c r="AM24"/>
  <c r="AJ24"/>
  <c r="K24"/>
  <c r="AK24" s="1"/>
  <c r="AM571"/>
  <c r="AJ571"/>
  <c r="K571"/>
  <c r="AK571" s="1"/>
  <c r="AM570"/>
  <c r="AJ570"/>
  <c r="K570"/>
  <c r="AK570" s="1"/>
  <c r="AM354"/>
  <c r="AJ354"/>
  <c r="K354"/>
  <c r="AK354" s="1"/>
  <c r="AM569"/>
  <c r="AJ569"/>
  <c r="K569"/>
  <c r="AK569" s="1"/>
  <c r="AM568"/>
  <c r="AJ568"/>
  <c r="K568"/>
  <c r="AK568" s="1"/>
  <c r="AM23"/>
  <c r="AJ23"/>
  <c r="K23"/>
  <c r="AK23" s="1"/>
  <c r="AM567"/>
  <c r="AJ567"/>
  <c r="K567"/>
  <c r="AK567" s="1"/>
  <c r="AM169"/>
  <c r="AJ169"/>
  <c r="K169"/>
  <c r="AK169" s="1"/>
  <c r="AM566"/>
  <c r="AJ566"/>
  <c r="K566"/>
  <c r="AK566" s="1"/>
  <c r="AM565"/>
  <c r="AJ565"/>
  <c r="K565"/>
  <c r="AK565" s="1"/>
  <c r="AM353"/>
  <c r="AJ353"/>
  <c r="K353"/>
  <c r="AK353" s="1"/>
  <c r="AM564"/>
  <c r="AJ564"/>
  <c r="K564"/>
  <c r="AK564" s="1"/>
  <c r="AM563"/>
  <c r="AJ563"/>
  <c r="K563"/>
  <c r="AK563" s="1"/>
  <c r="AM22"/>
  <c r="AJ22"/>
  <c r="K22"/>
  <c r="AK22" s="1"/>
  <c r="AM562"/>
  <c r="AJ562"/>
  <c r="K562"/>
  <c r="AK562" s="1"/>
  <c r="AM168"/>
  <c r="AJ168"/>
  <c r="K168"/>
  <c r="AK168" s="1"/>
  <c r="AM167"/>
  <c r="AJ167"/>
  <c r="K167"/>
  <c r="AK167" s="1"/>
  <c r="AM21"/>
  <c r="AJ21"/>
  <c r="K21"/>
  <c r="AK21" s="1"/>
  <c r="AM20"/>
  <c r="AJ20"/>
  <c r="K20"/>
  <c r="AK20" s="1"/>
  <c r="AM561"/>
  <c r="AJ561"/>
  <c r="K561"/>
  <c r="AK561" s="1"/>
  <c r="AM560"/>
  <c r="AJ560"/>
  <c r="K560"/>
  <c r="AK560" s="1"/>
  <c r="AM166"/>
  <c r="AJ166"/>
  <c r="K166"/>
  <c r="AK166" s="1"/>
  <c r="AM559"/>
  <c r="AJ559"/>
  <c r="K559"/>
  <c r="AK559" s="1"/>
  <c r="AM19"/>
  <c r="AJ19"/>
  <c r="K19"/>
  <c r="AK19" s="1"/>
  <c r="AM165"/>
  <c r="AJ165"/>
  <c r="K165"/>
  <c r="AK165" s="1"/>
  <c r="AM164"/>
  <c r="AJ164"/>
  <c r="K164"/>
  <c r="AK164" s="1"/>
  <c r="AM558"/>
  <c r="AJ558"/>
  <c r="K558"/>
  <c r="AK558" s="1"/>
  <c r="AM18"/>
  <c r="AJ18"/>
  <c r="K18"/>
  <c r="AK18" s="1"/>
  <c r="AM557"/>
  <c r="AJ557"/>
  <c r="K557"/>
  <c r="AK557" s="1"/>
  <c r="AM17"/>
  <c r="AJ17"/>
  <c r="K17"/>
  <c r="AK17" s="1"/>
  <c r="AM556"/>
  <c r="AJ556"/>
  <c r="K556"/>
  <c r="AK556" s="1"/>
  <c r="AM16"/>
  <c r="AJ16"/>
  <c r="K16"/>
  <c r="AK16" s="1"/>
  <c r="AM555"/>
  <c r="AJ555"/>
  <c r="K555"/>
  <c r="AK555" s="1"/>
  <c r="AM352"/>
  <c r="AJ352"/>
  <c r="K352"/>
  <c r="AK352" s="1"/>
  <c r="AM554"/>
  <c r="AJ554"/>
  <c r="K554"/>
  <c r="AK554" s="1"/>
  <c r="AM553"/>
  <c r="AJ553"/>
  <c r="K553"/>
  <c r="AK553" s="1"/>
  <c r="AM15"/>
  <c r="AJ15"/>
  <c r="K15"/>
  <c r="AK15" s="1"/>
  <c r="AM351"/>
  <c r="AJ351"/>
  <c r="K351"/>
  <c r="AK351" s="1"/>
  <c r="AM552"/>
  <c r="AJ552"/>
  <c r="K552"/>
  <c r="AK552" s="1"/>
  <c r="AM551"/>
  <c r="AJ551"/>
  <c r="K551"/>
  <c r="AK551" s="1"/>
  <c r="AM550"/>
  <c r="AJ550"/>
  <c r="K550"/>
  <c r="AK550" s="1"/>
  <c r="AM549"/>
  <c r="AJ549"/>
  <c r="K549"/>
  <c r="AK549" s="1"/>
  <c r="AM548"/>
  <c r="AJ548"/>
  <c r="K548"/>
  <c r="AK548" s="1"/>
  <c r="AM350"/>
  <c r="AJ350"/>
  <c r="K350"/>
  <c r="AK350" s="1"/>
  <c r="AM547"/>
  <c r="AJ547"/>
  <c r="K547"/>
  <c r="AK547" s="1"/>
  <c r="AM546"/>
  <c r="AJ546"/>
  <c r="K546"/>
  <c r="AK546" s="1"/>
  <c r="AM545"/>
  <c r="AJ545"/>
  <c r="K545"/>
  <c r="AK545" s="1"/>
  <c r="AM349"/>
  <c r="AJ349"/>
  <c r="K349"/>
  <c r="AK349" s="1"/>
  <c r="AM544"/>
  <c r="AJ544"/>
  <c r="K544"/>
  <c r="AK544" s="1"/>
  <c r="AM163"/>
  <c r="AJ163"/>
  <c r="K163"/>
  <c r="AK163" s="1"/>
  <c r="AM162"/>
  <c r="AJ162"/>
  <c r="K162"/>
  <c r="AK162" s="1"/>
  <c r="AM543"/>
  <c r="AJ543"/>
  <c r="K543"/>
  <c r="AK543" s="1"/>
  <c r="AM161"/>
  <c r="AJ161"/>
  <c r="K161"/>
  <c r="AK161" s="1"/>
  <c r="AM542"/>
  <c r="AJ542"/>
  <c r="K542"/>
  <c r="AK542" s="1"/>
  <c r="AM160"/>
  <c r="AJ160"/>
  <c r="K160"/>
  <c r="AK160" s="1"/>
  <c r="AM159"/>
  <c r="AJ159"/>
  <c r="K159"/>
  <c r="AK159" s="1"/>
  <c r="AM14"/>
  <c r="AJ14"/>
  <c r="K14"/>
  <c r="AK14" s="1"/>
  <c r="AM541"/>
  <c r="AJ541"/>
  <c r="K541"/>
  <c r="AK541" s="1"/>
  <c r="AM540"/>
  <c r="AJ540"/>
  <c r="K540"/>
  <c r="AK540" s="1"/>
  <c r="AM539"/>
  <c r="AJ539"/>
  <c r="K539"/>
  <c r="AK539" s="1"/>
  <c r="AM538"/>
  <c r="AJ538"/>
  <c r="K538"/>
  <c r="AK538" s="1"/>
  <c r="AM537"/>
  <c r="AJ537"/>
  <c r="K537"/>
  <c r="AK537" s="1"/>
  <c r="AM536"/>
  <c r="AJ536"/>
  <c r="K536"/>
  <c r="AK536" s="1"/>
  <c r="AM535"/>
  <c r="AJ535"/>
  <c r="K535"/>
  <c r="AK535" s="1"/>
  <c r="AM13"/>
  <c r="AJ13"/>
  <c r="K13"/>
  <c r="AK13" s="1"/>
  <c r="AM12"/>
  <c r="AJ12"/>
  <c r="K12"/>
  <c r="AK12" s="1"/>
  <c r="AM11"/>
  <c r="AJ11"/>
  <c r="K11"/>
  <c r="AK11" s="1"/>
  <c r="AM10"/>
  <c r="AJ10"/>
  <c r="K10"/>
  <c r="AK10" s="1"/>
  <c r="AM534"/>
  <c r="AJ534"/>
  <c r="K534"/>
  <c r="AK534" s="1"/>
  <c r="AM533"/>
  <c r="AJ533"/>
  <c r="K533"/>
  <c r="AK533" s="1"/>
  <c r="AM348"/>
  <c r="AJ348"/>
  <c r="K348"/>
  <c r="AK348" s="1"/>
  <c r="AM532"/>
  <c r="AJ532"/>
  <c r="K532"/>
  <c r="AK532" s="1"/>
  <c r="AM9"/>
  <c r="AJ9"/>
  <c r="K9"/>
  <c r="AK9" s="1"/>
  <c r="AM158"/>
  <c r="AJ158"/>
  <c r="K158"/>
  <c r="AK158" s="1"/>
  <c r="AM531"/>
  <c r="AJ531"/>
  <c r="K531"/>
  <c r="AK531" s="1"/>
  <c r="AM530"/>
  <c r="AJ530"/>
  <c r="K530"/>
  <c r="AK530" s="1"/>
  <c r="AM529"/>
  <c r="AJ529"/>
  <c r="K529"/>
  <c r="AK529" s="1"/>
  <c r="AM528"/>
  <c r="AJ528"/>
  <c r="K528"/>
  <c r="AK528" s="1"/>
  <c r="AM527"/>
  <c r="AJ527"/>
  <c r="K527"/>
  <c r="AK527" s="1"/>
  <c r="AM157"/>
  <c r="AJ157"/>
  <c r="K157"/>
  <c r="AK157" s="1"/>
  <c r="AM526"/>
  <c r="AJ526"/>
  <c r="K526"/>
  <c r="AK526" s="1"/>
  <c r="AM347"/>
  <c r="AJ347"/>
  <c r="K347"/>
  <c r="AK347" s="1"/>
  <c r="AM8"/>
  <c r="AJ8"/>
  <c r="K8"/>
  <c r="AK8" s="1"/>
  <c r="AM346"/>
  <c r="AJ346"/>
  <c r="K346"/>
  <c r="AK346" s="1"/>
  <c r="AM525"/>
  <c r="AJ525"/>
  <c r="K525"/>
  <c r="AK525" s="1"/>
  <c r="AM7"/>
  <c r="AJ7"/>
  <c r="K7"/>
  <c r="AK7" s="1"/>
  <c r="AM524"/>
  <c r="AJ524"/>
  <c r="K524"/>
  <c r="AK524" s="1"/>
  <c r="AM523"/>
  <c r="AJ523"/>
  <c r="K523"/>
  <c r="AK523" s="1"/>
  <c r="AM522"/>
  <c r="AJ522"/>
  <c r="K522"/>
  <c r="AK522" s="1"/>
  <c r="AM521"/>
  <c r="AJ521"/>
  <c r="K521"/>
  <c r="AK521" s="1"/>
  <c r="AM156"/>
  <c r="AJ156"/>
  <c r="K156"/>
  <c r="AK156" s="1"/>
  <c r="AM520"/>
  <c r="AJ520"/>
  <c r="K520"/>
  <c r="AK520" s="1"/>
  <c r="AM345"/>
  <c r="AJ345"/>
  <c r="K345"/>
  <c r="AK345" s="1"/>
  <c r="AM6"/>
  <c r="AJ6"/>
  <c r="K6"/>
  <c r="AK6" s="1"/>
  <c r="AM519"/>
  <c r="AJ519"/>
  <c r="K519"/>
  <c r="AK519" s="1"/>
  <c r="AM155"/>
  <c r="AJ155"/>
  <c r="K155"/>
  <c r="AK155" s="1"/>
  <c r="AM518"/>
  <c r="AJ518"/>
  <c r="K518"/>
  <c r="AK518" s="1"/>
  <c r="AM517"/>
  <c r="AJ517"/>
  <c r="K517"/>
  <c r="AK517" s="1"/>
  <c r="AM516"/>
  <c r="AJ516"/>
  <c r="K516"/>
  <c r="AK516" s="1"/>
  <c r="AM154"/>
  <c r="AJ154"/>
  <c r="K154"/>
  <c r="AK154" s="1"/>
  <c r="AM515"/>
  <c r="AJ515"/>
  <c r="K515"/>
  <c r="AK515" s="1"/>
  <c r="AM514"/>
  <c r="AJ514"/>
  <c r="K514"/>
  <c r="AK514" s="1"/>
  <c r="AM513"/>
  <c r="AJ513"/>
  <c r="K513"/>
  <c r="AK513" s="1"/>
  <c r="AM153"/>
  <c r="AJ153"/>
  <c r="K153"/>
  <c r="AK153" s="1"/>
  <c r="AM344"/>
  <c r="AJ344"/>
  <c r="K344"/>
  <c r="AK344" s="1"/>
  <c r="AM152"/>
  <c r="AJ152"/>
  <c r="K152"/>
  <c r="AK152" s="1"/>
  <c r="AM512"/>
  <c r="AJ512"/>
  <c r="K512"/>
  <c r="AK512" s="1"/>
  <c r="AM343"/>
  <c r="AJ343"/>
  <c r="K343"/>
  <c r="AK343" s="1"/>
  <c r="AM511"/>
  <c r="AJ511"/>
  <c r="K511"/>
  <c r="AK511" s="1"/>
  <c r="AM5"/>
  <c r="AJ5"/>
  <c r="K5"/>
  <c r="AK5" s="1"/>
  <c r="AM510"/>
  <c r="AJ510"/>
  <c r="K510"/>
  <c r="AK510" s="1"/>
  <c r="AM509"/>
  <c r="AJ509"/>
  <c r="K509"/>
  <c r="AK509" s="1"/>
  <c r="AM342"/>
  <c r="AJ342"/>
  <c r="K342"/>
  <c r="AK342" s="1"/>
  <c r="AM508"/>
  <c r="AJ508"/>
  <c r="K508"/>
  <c r="AK508" s="1"/>
  <c r="AM341"/>
  <c r="AJ341"/>
  <c r="K341"/>
  <c r="AK341" s="1"/>
  <c r="AM340"/>
  <c r="AJ340"/>
  <c r="K340"/>
  <c r="AK340" s="1"/>
  <c r="AM151"/>
  <c r="AJ151"/>
  <c r="K151"/>
  <c r="AK151" s="1"/>
  <c r="AM507"/>
  <c r="AJ507"/>
  <c r="K507"/>
  <c r="AK507" s="1"/>
  <c r="AM506"/>
  <c r="AJ506"/>
  <c r="K506"/>
  <c r="AK506" s="1"/>
  <c r="AM150"/>
  <c r="AJ150"/>
  <c r="K150"/>
  <c r="AK150" s="1"/>
  <c r="AM505"/>
  <c r="AJ505"/>
  <c r="K505"/>
  <c r="AK505" s="1"/>
  <c r="E36" i="3" l="1"/>
  <c r="E40"/>
  <c r="E52"/>
  <c r="E56"/>
  <c r="E60"/>
  <c r="E68"/>
  <c r="E64"/>
  <c r="E69"/>
  <c r="E44"/>
  <c r="E66"/>
  <c r="E70"/>
  <c r="E48"/>
  <c r="H17"/>
  <c r="E71"/>
  <c r="I17"/>
  <c r="E38"/>
  <c r="E42"/>
  <c r="E46"/>
  <c r="E50"/>
  <c r="E54"/>
  <c r="E58"/>
  <c r="E62"/>
  <c r="C14"/>
  <c r="C16"/>
  <c r="B16"/>
  <c r="D16"/>
  <c r="D14"/>
  <c r="B14"/>
  <c r="C72"/>
  <c r="D15"/>
  <c r="C15"/>
  <c r="B15"/>
  <c r="D72"/>
  <c r="C13"/>
  <c r="B13"/>
  <c r="D13"/>
  <c r="G17"/>
  <c r="F17"/>
  <c r="E37"/>
  <c r="E41"/>
  <c r="E45"/>
  <c r="E49"/>
  <c r="E53"/>
  <c r="E57"/>
  <c r="E61"/>
  <c r="E65"/>
  <c r="E39"/>
  <c r="E43"/>
  <c r="E47"/>
  <c r="E51"/>
  <c r="E55"/>
  <c r="E59"/>
  <c r="E63"/>
  <c r="E67"/>
  <c r="B72"/>
  <c r="E15" l="1"/>
  <c r="E16"/>
  <c r="C17"/>
  <c r="D17"/>
  <c r="E72"/>
  <c r="E14"/>
  <c r="E13"/>
  <c r="B17"/>
  <c r="E17" l="1"/>
</calcChain>
</file>

<file path=xl/sharedStrings.xml><?xml version="1.0" encoding="utf-8"?>
<sst xmlns="http://schemas.openxmlformats.org/spreadsheetml/2006/main" count="22756" uniqueCount="2228">
  <si>
    <t>How to Use</t>
  </si>
  <si>
    <t>1. Fill the cream cells (blue text) on Application Inventory, one row per application. Grey cells are formulas.</t>
  </si>
  <si>
    <t>2. Usage Status: Active Users = 0 or not used for 6+ months → 'Not in use'.</t>
  </si>
  <si>
    <t>3. Retirement drivers (0–4): low / no use · replacement named · out of support · low business value.</t>
  </si>
  <si>
    <t xml:space="preserve">     Drivers are indicative only. Decision is chosen from the dropdown: Decommission · Retire · Retire + Archive · Retain · Pending.</t>
  </si>
  <si>
    <t>4. Complexity: Data Archival Required = N → Easy · else High if many interfaces, large data or critical · else Medium.</t>
  </si>
  <si>
    <t>5. Record what must remain after shutdown in Post-Retirement Requirement (archive, read-only, legal hold).</t>
  </si>
  <si>
    <t>6. Decision is an input (cream cell). Record any exception or rationale in Comments / Questions.</t>
  </si>
  <si>
    <t>7. TBD = information still to be confirmed with the owner.</t>
  </si>
  <si>
    <t>8. Thresholds and the as-of date (01-May-2021) are on the Scoring Settings tab.</t>
  </si>
  <si>
    <t>9. Status: Completed = switched off · In progress = executing now · Approved = funded and scheduled · Under Review = awaiting decision · On hold = paused · Rejected = retained.</t>
  </si>
  <si>
    <t>Application Inventory</t>
  </si>
  <si>
    <t>Cream cells = inputs (blue text). Grey cells = formulas. TBD = to be confirmed. Rules and thresholds on the 'Scoring Settings' tab.</t>
  </si>
  <si>
    <t>Identity</t>
  </si>
  <si>
    <t>Ownership</t>
  </si>
  <si>
    <t>Usage &amp; Value</t>
  </si>
  <si>
    <t>Infrastructure</t>
  </si>
  <si>
    <t>Data &amp; Archival</t>
  </si>
  <si>
    <t>Dependencies</t>
  </si>
  <si>
    <t>Documentation</t>
  </si>
  <si>
    <t>Cost &amp; Contract</t>
  </si>
  <si>
    <t>Decision</t>
  </si>
  <si>
    <t>Plan</t>
  </si>
  <si>
    <t>App ID</t>
  </si>
  <si>
    <t>App Name</t>
  </si>
  <si>
    <t>Business Capability</t>
  </si>
  <si>
    <t>Line of Business</t>
  </si>
  <si>
    <t>Exposure (Internal / External / Partner)</t>
  </si>
  <si>
    <t>Business Owner</t>
  </si>
  <si>
    <t>IT Owner</t>
  </si>
  <si>
    <t>Infra Owner</t>
  </si>
  <si>
    <t>Active Users (last 90d)</t>
  </si>
  <si>
    <t>Last Used Date</t>
  </si>
  <si>
    <t>Usage Status</t>
  </si>
  <si>
    <t>Business Value (1-5)</t>
  </si>
  <si>
    <t>Criticality Tier (1-4)</t>
  </si>
  <si>
    <t>Replacement / Target App</t>
  </si>
  <si>
    <t>Hosting</t>
  </si>
  <si>
    <t>Server Hostname(s)</t>
  </si>
  <si>
    <t># Servers</t>
  </si>
  <si>
    <t>OS / Version</t>
  </si>
  <si>
    <t>Database / Version</t>
  </si>
  <si>
    <t>Data Centre / Cloud Region</t>
  </si>
  <si>
    <t>End-of-Support Date</t>
  </si>
  <si>
    <t>Data Type</t>
  </si>
  <si>
    <t>Data Volume (GB)</t>
  </si>
  <si>
    <t>PII / Regulated (Y/N)</t>
  </si>
  <si>
    <t>Retention (yrs)</t>
  </si>
  <si>
    <t>Data Archival Required (Y/N)</t>
  </si>
  <si>
    <t>Post-Retirement Requirement</t>
  </si>
  <si>
    <t>Interfaces (#)</t>
  </si>
  <si>
    <t>User / Functional Docs</t>
  </si>
  <si>
    <t>Technical Design Docs</t>
  </si>
  <si>
    <t>Architecture Diagram</t>
  </si>
  <si>
    <t>Annual Run Cost ($)</t>
  </si>
  <si>
    <t>Contract End Date</t>
  </si>
  <si>
    <t>Est. Decom Cost ($)</t>
  </si>
  <si>
    <t>Annual Savings ($)</t>
  </si>
  <si>
    <t>Payback (months)</t>
  </si>
  <si>
    <t>Retirement Drivers (0-4)</t>
  </si>
  <si>
    <t>Complexity</t>
  </si>
  <si>
    <t>Wave</t>
  </si>
  <si>
    <t>Target Retirement Date</t>
  </si>
  <si>
    <t>Status</t>
  </si>
  <si>
    <t>Comments / Questions</t>
  </si>
  <si>
    <t>Credit Check Portal 2008</t>
  </si>
  <si>
    <t>Credit Mgmt</t>
  </si>
  <si>
    <t>Finance</t>
  </si>
  <si>
    <t>Internal</t>
  </si>
  <si>
    <t>Vikram Rao</t>
  </si>
  <si>
    <t>Louis Faure</t>
  </si>
  <si>
    <t>Cloud Platform Team</t>
  </si>
  <si>
    <t>TBD</t>
  </si>
  <si>
    <t>On-prem DC</t>
  </si>
  <si>
    <t>ccp-app01–07, ccp-db01</t>
  </si>
  <si>
    <t>Windows Server 2016</t>
  </si>
  <si>
    <t>SQL Server 2017</t>
  </si>
  <si>
    <t>US DC-1</t>
  </si>
  <si>
    <t>Unstructured</t>
  </si>
  <si>
    <t>N</t>
  </si>
  <si>
    <t>Y</t>
  </si>
  <si>
    <t>Data archive</t>
  </si>
  <si>
    <t>Partial</t>
  </si>
  <si>
    <t>Retain</t>
  </si>
  <si>
    <t>Rejected</t>
  </si>
  <si>
    <t>Active user base; no replacement planned</t>
  </si>
  <si>
    <t>Legacy Maintenance Scheduler (US)</t>
  </si>
  <si>
    <t>Asset Maintenance</t>
  </si>
  <si>
    <t>Operations</t>
  </si>
  <si>
    <t>Marc Laurent</t>
  </si>
  <si>
    <t>Baptiste Henry</t>
  </si>
  <si>
    <t>Infra Ops US</t>
  </si>
  <si>
    <t>lmsapp01, lmsdb01, lmsweb01</t>
  </si>
  <si>
    <t>HP-UX 11i v3</t>
  </si>
  <si>
    <t>Sybase ASE 15.7</t>
  </si>
  <si>
    <t>Both</t>
  </si>
  <si>
    <t>Retire + Archive</t>
  </si>
  <si>
    <t>Wave 2</t>
  </si>
  <si>
    <t>Under Review</t>
  </si>
  <si>
    <t>Awaiting dependency mapping
Blocker: Month-end close dependency
Q: Can the cut-over avoid the quarter-end freeze?</t>
  </si>
  <si>
    <t>Old Price List Manager Classic</t>
  </si>
  <si>
    <t>Pricing</t>
  </si>
  <si>
    <t>Sales</t>
  </si>
  <si>
    <t>Karan Blanc</t>
  </si>
  <si>
    <t>Kavya Reddy</t>
  </si>
  <si>
    <t>Plant IT Services</t>
  </si>
  <si>
    <t>oplapp01, opldb01, oplweb01, oplfs01</t>
  </si>
  <si>
    <t>Windows Server 2008</t>
  </si>
  <si>
    <t>SQL Server 2008</t>
  </si>
  <si>
    <t>Plant DC</t>
  </si>
  <si>
    <t>None</t>
  </si>
  <si>
    <t>Pending</t>
  </si>
  <si>
    <t>Dependencies to be mapped</t>
  </si>
  <si>
    <t>Old Survey Tool 2010</t>
  </si>
  <si>
    <t>Market Research</t>
  </si>
  <si>
    <t>Marketing</t>
  </si>
  <si>
    <t>Julia Rao</t>
  </si>
  <si>
    <t>Theo Lopez</t>
  </si>
  <si>
    <t>Database Services</t>
  </si>
  <si>
    <t>Adobe Experience Manager (planned)</t>
  </si>
  <si>
    <t>ost-app01–04, ost-db01</t>
  </si>
  <si>
    <t>SQL Server 2016</t>
  </si>
  <si>
    <t>EU DC-2</t>
  </si>
  <si>
    <t>Reporting extract</t>
  </si>
  <si>
    <t>Low business value; validate with owner</t>
  </si>
  <si>
    <t>Old Safety Incident Tracker 2010</t>
  </si>
  <si>
    <t>Health &amp; Safety</t>
  </si>
  <si>
    <t>Julien Petit</t>
  </si>
  <si>
    <t>Sameer Joshi</t>
  </si>
  <si>
    <t>Unix Platform Team</t>
  </si>
  <si>
    <t>IaaS</t>
  </si>
  <si>
    <t>osiapp01</t>
  </si>
  <si>
    <t>Solaris 10</t>
  </si>
  <si>
    <t>Oracle 11g</t>
  </si>
  <si>
    <t>AWS us-east-1</t>
  </si>
  <si>
    <t>Structured</t>
  </si>
  <si>
    <t>Business case under review with owner</t>
  </si>
  <si>
    <t>Corporate Purchase Order System (Nordics)</t>
  </si>
  <si>
    <t>Procurement</t>
  </si>
  <si>
    <t>Supply Chain</t>
  </si>
  <si>
    <t>Nicolas Sharma</t>
  </si>
  <si>
    <t>Ananya Pillai</t>
  </si>
  <si>
    <t>SaaS Vendor Mgmt</t>
  </si>
  <si>
    <t>SaaS</t>
  </si>
  <si>
    <t>N/A (SaaS)</t>
  </si>
  <si>
    <t>N/A</t>
  </si>
  <si>
    <t>Vendor cloud (EU)</t>
  </si>
  <si>
    <t>Legal hold</t>
  </si>
  <si>
    <t>Wave 3</t>
  </si>
  <si>
    <t>Awaiting dependency mapping</t>
  </si>
  <si>
    <t>Custom Quote Manager 2010</t>
  </si>
  <si>
    <t>Quoting</t>
  </si>
  <si>
    <t>Camille Fontaine</t>
  </si>
  <si>
    <t>Hugo Perrin</t>
  </si>
  <si>
    <t>cqmapp01</t>
  </si>
  <si>
    <t>Legacy Warehouse Mgmt System</t>
  </si>
  <si>
    <t>Warehouse Mgmt</t>
  </si>
  <si>
    <t>Hannah Weber</t>
  </si>
  <si>
    <t>lwmapp01, lwmdb01</t>
  </si>
  <si>
    <t>Owner to confirm usage before decision</t>
  </si>
  <si>
    <t>Old Document Repository</t>
  </si>
  <si>
    <t>Document Mgmt</t>
  </si>
  <si>
    <t>IT</t>
  </si>
  <si>
    <t>Isabelle Singh</t>
  </si>
  <si>
    <t>SharePoint Online</t>
  </si>
  <si>
    <t>odrapp01, odrdb01, odrweb01, odrfs01</t>
  </si>
  <si>
    <t>Windows Server 2012 R2</t>
  </si>
  <si>
    <t>SQL Server 2014</t>
  </si>
  <si>
    <t>AWS eu-west-1</t>
  </si>
  <si>
    <t>Decommission</t>
  </si>
  <si>
    <t>Replacement option being confirmed</t>
  </si>
  <si>
    <t>Regional Batch Scheduler 2010</t>
  </si>
  <si>
    <t>Batch Scheduling</t>
  </si>
  <si>
    <t>Antoine Patel</t>
  </si>
  <si>
    <t>Wintel Platform Team</t>
  </si>
  <si>
    <t>ServiceNow (planned)</t>
  </si>
  <si>
    <t>rbs-app01–06, rbs-db01</t>
  </si>
  <si>
    <t>Corporate Safety Incident Tracker (FR)</t>
  </si>
  <si>
    <t>Oscar Lindqvist</t>
  </si>
  <si>
    <t>Remi Masson</t>
  </si>
  <si>
    <t>IBM Maximo</t>
  </si>
  <si>
    <t>csi-app01–07, csi-db01</t>
  </si>
  <si>
    <t>AIX 6.1</t>
  </si>
  <si>
    <t>DB2 9.7</t>
  </si>
  <si>
    <t>EU DC-1</t>
  </si>
  <si>
    <t>Read-only access</t>
  </si>
  <si>
    <t>Global Cash Position Reporter (Nordics)</t>
  </si>
  <si>
    <t>Treasury</t>
  </si>
  <si>
    <t>Laura Martin</t>
  </si>
  <si>
    <t>Infra Ops EMEA</t>
  </si>
  <si>
    <t>SAP Concur</t>
  </si>
  <si>
    <t>PaaS</t>
  </si>
  <si>
    <t>Azure App Service (PaaS)</t>
  </si>
  <si>
    <t>N/A (PaaS)</t>
  </si>
  <si>
    <t>Cosmos DB</t>
  </si>
  <si>
    <t>Azure West Europe</t>
  </si>
  <si>
    <t>Wave 1</t>
  </si>
  <si>
    <t>Approved</t>
  </si>
  <si>
    <t>Funding approved; migration to SAP Concur scheduled</t>
  </si>
  <si>
    <t>Web Analytics Mart (UK)</t>
  </si>
  <si>
    <t>Analytics</t>
  </si>
  <si>
    <t>Fatima Khan</t>
  </si>
  <si>
    <t>wamapp01, wamdb01, wamweb01, wamfs01</t>
  </si>
  <si>
    <t>RHEL 8</t>
  </si>
  <si>
    <t>Oracle 19c</t>
  </si>
  <si>
    <t>Archive + read-only</t>
  </si>
  <si>
    <t>Strategic platform; refresh planned</t>
  </si>
  <si>
    <t>Regional Contract Repository Classic</t>
  </si>
  <si>
    <t>Contract Mgmt</t>
  </si>
  <si>
    <t>Pierre Roux</t>
  </si>
  <si>
    <t>Varun Malhotra</t>
  </si>
  <si>
    <t>SAP S/4HANA</t>
  </si>
  <si>
    <t>rcrapp01, rcrdb01, rcrweb01, rcrfs01</t>
  </si>
  <si>
    <t>Retention requirement to be confirmed</t>
  </si>
  <si>
    <t>Demand Planner Plus</t>
  </si>
  <si>
    <t>Demand Planning</t>
  </si>
  <si>
    <t>Ariba</t>
  </si>
  <si>
    <t>dpp-app01–06, dpp-db01</t>
  </si>
  <si>
    <t>Awaiting assessment workshop</t>
  </si>
  <si>
    <t>Old Freight Booking Tool</t>
  </si>
  <si>
    <t>Transport</t>
  </si>
  <si>
    <t>Chloe Vidal</t>
  </si>
  <si>
    <t>ofbapp01</t>
  </si>
  <si>
    <t>Retire</t>
  </si>
  <si>
    <t>Asset Register 2008</t>
  </si>
  <si>
    <t>Fixed Assets</t>
  </si>
  <si>
    <t>Aditi Menon</t>
  </si>
  <si>
    <t>Anaplan</t>
  </si>
  <si>
    <t>5 feeds to re-point to Anaplan</t>
  </si>
  <si>
    <t>Custom Brand Asset Library (Nordics)</t>
  </si>
  <si>
    <t>Digital Assets</t>
  </si>
  <si>
    <t>HubSpot (planned)</t>
  </si>
  <si>
    <t>cbaapp01, cbadb01, cbaweb01</t>
  </si>
  <si>
    <t>Custom Order Entry Portal v4</t>
  </si>
  <si>
    <t>Order Entry</t>
  </si>
  <si>
    <t>Asset Register (FR)</t>
  </si>
  <si>
    <t>Thomas Moreau</t>
  </si>
  <si>
    <t>Lena Fischer</t>
  </si>
  <si>
    <t>arfapp01, arfdb01, arfweb01, arffs01</t>
  </si>
  <si>
    <t>Ubuntu 16.04</t>
  </si>
  <si>
    <t>MySQL 5.7</t>
  </si>
  <si>
    <t>Regional Newsletter Mailer (FR)</t>
  </si>
  <si>
    <t>Email</t>
  </si>
  <si>
    <t>Claire Mehta</t>
  </si>
  <si>
    <t>rnmapp01, rnmdb01</t>
  </si>
  <si>
    <t>Ubuntu 20.04</t>
  </si>
  <si>
    <t>MySQL 8.0</t>
  </si>
  <si>
    <t>Retain - revisit at next portfolio review</t>
  </si>
  <si>
    <t>Regional Maintenance Scheduler</t>
  </si>
  <si>
    <t>Yuki Tanaka</t>
  </si>
  <si>
    <t>rmsapp01, rmsdb01, rmsweb01, rmsfs01</t>
  </si>
  <si>
    <t>RHEL 6</t>
  </si>
  <si>
    <t>Functionality covered by existing tools</t>
  </si>
  <si>
    <t>Price List Manager 2010</t>
  </si>
  <si>
    <t>Salesforce Partner Community</t>
  </si>
  <si>
    <t>plmapp01, plmdb01, plmweb01, plmfs01</t>
  </si>
  <si>
    <t>Ubuntu 18.04</t>
  </si>
  <si>
    <t>PostgreSQL 10</t>
  </si>
  <si>
    <t>Corporate Expense Portal (UK)</t>
  </si>
  <si>
    <t>Expense Mgmt</t>
  </si>
  <si>
    <t>cepapp01, cepdb01, cepweb01, cepfs01</t>
  </si>
  <si>
    <t>Custom AP Invoice Processor 2008</t>
  </si>
  <si>
    <t>Accounts Payable</t>
  </si>
  <si>
    <t>Priya Sharma</t>
  </si>
  <si>
    <t>Commission Calculator (Nordics)</t>
  </si>
  <si>
    <t>Commissions</t>
  </si>
  <si>
    <t>Diego Alvarez</t>
  </si>
  <si>
    <t>Tara Khanna</t>
  </si>
  <si>
    <t>ccnapp01, ccndb01</t>
  </si>
  <si>
    <t>Shared Shipment Tracker Plus</t>
  </si>
  <si>
    <t>Logistics</t>
  </si>
  <si>
    <t>Ishaan Desai</t>
  </si>
  <si>
    <t>sst-app01–05, sst-db01</t>
  </si>
  <si>
    <t>Business-critical, well supported</t>
  </si>
  <si>
    <t>Corporate Asset Register v2</t>
  </si>
  <si>
    <t>carapp01, cardb01, carweb01, carfs01</t>
  </si>
  <si>
    <t>Read-only access needed for audit</t>
  </si>
  <si>
    <t>Legacy Freight Booking Tool 2010</t>
  </si>
  <si>
    <t>Omar Haddad</t>
  </si>
  <si>
    <t>SAP EWM (planned)</t>
  </si>
  <si>
    <t>Funding approved; migration to SAP EWM scheduled</t>
  </si>
  <si>
    <t>Corporate Shipment Tracker (US)</t>
  </si>
  <si>
    <t>cstapp01</t>
  </si>
  <si>
    <t>Old Commission Calculator Lite</t>
  </si>
  <si>
    <t>Manon Chevalier</t>
  </si>
  <si>
    <t>occapp01, occdb01, occweb01</t>
  </si>
  <si>
    <t>Legacy Licence Manager</t>
  </si>
  <si>
    <t>Licence Mgmt</t>
  </si>
  <si>
    <t>Mateo Girard</t>
  </si>
  <si>
    <t>Microsoft 365</t>
  </si>
  <si>
    <t>llm-app01–04, llm-db01</t>
  </si>
  <si>
    <t>Owner to confirm usage before decision
Blocker: Legal sign-off on retention
Q: Who owns the retention decision for archived records?</t>
  </si>
  <si>
    <t>Old Ticket Desk v3</t>
  </si>
  <si>
    <t>Service Desk</t>
  </si>
  <si>
    <t>otdapp01, otddb01, otdweb01, otdfs01</t>
  </si>
  <si>
    <t>Legacy Travel Booking Tool 2008</t>
  </si>
  <si>
    <t>Travel</t>
  </si>
  <si>
    <t>HR</t>
  </si>
  <si>
    <t>External</t>
  </si>
  <si>
    <t>Neha Nair</t>
  </si>
  <si>
    <t>Monitoring Console 2010</t>
  </si>
  <si>
    <t>Monitoring</t>
  </si>
  <si>
    <t>Rahul Iyer</t>
  </si>
  <si>
    <t>mcxapp01</t>
  </si>
  <si>
    <t>Benefits Enrolment Lite</t>
  </si>
  <si>
    <t>Benefits</t>
  </si>
  <si>
    <t>Workday Recruiting</t>
  </si>
  <si>
    <t>fs-bel02 (file share)</t>
  </si>
  <si>
    <t>MS Access 2010</t>
  </si>
  <si>
    <t>Cut-over planned for Oct-21; parallel run scheduled
Blocker: Archive platform capacity not confirmed
Q: Can the enterprise archive take this volume this year?</t>
  </si>
  <si>
    <t>Regional Purchase Order System (US)</t>
  </si>
  <si>
    <t>Partner</t>
  </si>
  <si>
    <t>Elena Garcia</t>
  </si>
  <si>
    <t>rpoapp01, rpodb01</t>
  </si>
  <si>
    <t>Cheap &amp; healthy - retain</t>
  </si>
  <si>
    <t>Billing Engine 2008</t>
  </si>
  <si>
    <t>Billing</t>
  </si>
  <si>
    <t>Icertis CLM</t>
  </si>
  <si>
    <t>Azure SQL</t>
  </si>
  <si>
    <t>4 feeds to re-point to Icertis CLM</t>
  </si>
  <si>
    <t>Warehouse Mgmt System (Nordics)</t>
  </si>
  <si>
    <t>wmsapp01, wmsdb01, wmsweb01, wmsfs01</t>
  </si>
  <si>
    <t>On hold</t>
  </si>
  <si>
    <t>On hold - audit request needs system access until Q3</t>
  </si>
  <si>
    <t>Shared Supplier Portal 2008</t>
  </si>
  <si>
    <t>Supplier Mgmt</t>
  </si>
  <si>
    <t>Sara Kapoor</t>
  </si>
  <si>
    <t>sspapp01, sspdb01</t>
  </si>
  <si>
    <t>Legacy Web Analytics Mart (UK)</t>
  </si>
  <si>
    <t>lwa-app01–04, lwa-db01</t>
  </si>
  <si>
    <t>AIX 7.1</t>
  </si>
  <si>
    <t>DB2 10.5</t>
  </si>
  <si>
    <t>Campaign DB v3</t>
  </si>
  <si>
    <t>Campaign Mgmt</t>
  </si>
  <si>
    <t>cdvapp01, cdvdb01, cdvweb01</t>
  </si>
  <si>
    <t>RHEL 7</t>
  </si>
  <si>
    <t>Oracle 12c</t>
  </si>
  <si>
    <t>Inventory Control</t>
  </si>
  <si>
    <t>Inventory</t>
  </si>
  <si>
    <t>icxapp01, icxdb01, icxweb01, icxfs01</t>
  </si>
  <si>
    <t>Old Quote Manager v4</t>
  </si>
  <si>
    <t>oqmapp01, oqmdb01, oqmweb01</t>
  </si>
  <si>
    <t>Old Sales Forecast Tool v4</t>
  </si>
  <si>
    <t>Sales Planning</t>
  </si>
  <si>
    <t>osfapp01, osfdb01, osfweb01</t>
  </si>
  <si>
    <t>Corporate Ticket Desk (US)</t>
  </si>
  <si>
    <t>Amelie Martin</t>
  </si>
  <si>
    <t>Shipment Tracker</t>
  </si>
  <si>
    <t>stx-app01–04, stx-db01</t>
  </si>
  <si>
    <t>Corporate Purchase Order System (APAC)</t>
  </si>
  <si>
    <t>SAP TM</t>
  </si>
  <si>
    <t>cpoapp01, cpodb01, cpoweb01</t>
  </si>
  <si>
    <t>Windows Server 2019</t>
  </si>
  <si>
    <t>SQL Server 2019</t>
  </si>
  <si>
    <t>6 feeds to re-point to SAP TM</t>
  </si>
  <si>
    <t>Shared Licence Manager v3</t>
  </si>
  <si>
    <t>Adrien Colin</t>
  </si>
  <si>
    <t>slmapp01, slmdb01</t>
  </si>
  <si>
    <t>SUSE Linux 11</t>
  </si>
  <si>
    <t>In progress</t>
  </si>
  <si>
    <t>Migration to Microsoft 365 70% complete; cut-over by end of May</t>
  </si>
  <si>
    <t>Departmental Batch Scheduler (FR)</t>
  </si>
  <si>
    <t>dbsapp01, dbsdb01</t>
  </si>
  <si>
    <t>Shared Access Request Tool Classic</t>
  </si>
  <si>
    <t>Replacement option being confirmed
Blocker: Month-end close dependency
Q: Can the cut-over avoid the quarter-end freeze?</t>
  </si>
  <si>
    <t>Inventory Control (Nordics)</t>
  </si>
  <si>
    <t>Manhattan WMS</t>
  </si>
  <si>
    <t>icnapp01</t>
  </si>
  <si>
    <t>Dependencies to be mapped
Blocker: Vendor notice period of 12 months
Q: Can the contract end be brought forward?</t>
  </si>
  <si>
    <t>Document Repository (US)</t>
  </si>
  <si>
    <t>Intranet (SharePoint) (US)</t>
  </si>
  <si>
    <t>Collaboration</t>
  </si>
  <si>
    <t>Completed</t>
  </si>
  <si>
    <t>Data archived and validated; switched off Apr-21</t>
  </si>
  <si>
    <t>Shared Inventory Control (APAC)</t>
  </si>
  <si>
    <t>Switched off Mar-21; licence terminated</t>
  </si>
  <si>
    <t>Global Shipment Tracker</t>
  </si>
  <si>
    <t>Oracle SCM Cloud</t>
  </si>
  <si>
    <t>Migrated to Oracle SCM Cloud; legacy switched off Feb-21</t>
  </si>
  <si>
    <t>Customer Contact Manager (DE)</t>
  </si>
  <si>
    <t>CRM</t>
  </si>
  <si>
    <t>Salesforce</t>
  </si>
  <si>
    <t>ccmapp01</t>
  </si>
  <si>
    <t>Switched off Apr-21; licence terminated</t>
  </si>
  <si>
    <t>Legacy Purchase Order System (US)</t>
  </si>
  <si>
    <t>Old Contract Repository v2</t>
  </si>
  <si>
    <t>Departmental Brand Asset Library (Nordics)</t>
  </si>
  <si>
    <t>Lucas Bernard</t>
  </si>
  <si>
    <t>dbaapp01</t>
  </si>
  <si>
    <t>Old Quality Incident Log (US)</t>
  </si>
  <si>
    <t>Quality</t>
  </si>
  <si>
    <t>oqi-app01–06, oqi-db01</t>
  </si>
  <si>
    <t>Global Campaign DB (APAC)</t>
  </si>
  <si>
    <t>fs-gcd02 (file share)</t>
  </si>
  <si>
    <t>Regional Field Service Dispatcher 2012</t>
  </si>
  <si>
    <t>Field Service</t>
  </si>
  <si>
    <t>Sophie Dubois</t>
  </si>
  <si>
    <t>Custom Warehouse Mgmt System v2</t>
  </si>
  <si>
    <t>Price List Manager</t>
  </si>
  <si>
    <t>Archive format agreed; load scheduled before switch-off</t>
  </si>
  <si>
    <t>Purchase Order System 2012</t>
  </si>
  <si>
    <t>SAP IBP</t>
  </si>
  <si>
    <t>Read-only access needed for audit
Blocker: Interface owners not yet identified
Q: Which teams consume the outbound feeds?</t>
  </si>
  <si>
    <t>Demand Planner</t>
  </si>
  <si>
    <t>Rohan Bhatt</t>
  </si>
  <si>
    <t>SAP IBP (planned)</t>
  </si>
  <si>
    <t>dpxapp01, dpxdb01, dpxweb01</t>
  </si>
  <si>
    <t>5 feeds to re-point to SAP IBP</t>
  </si>
  <si>
    <t>Corporate Website CMS (UK)</t>
  </si>
  <si>
    <t>Web</t>
  </si>
  <si>
    <t>cwcapp01, cwcdb01, cwcweb01, cwcfs01</t>
  </si>
  <si>
    <t>Shared Sales Forecast Tool (UK)</t>
  </si>
  <si>
    <t>fs-ssf02 (file share)</t>
  </si>
  <si>
    <t>Departmental Cash Position Reporter v2</t>
  </si>
  <si>
    <t>dcpapp01, dcpdb01, dcpweb01</t>
  </si>
  <si>
    <t>Custom Batch Scheduler</t>
  </si>
  <si>
    <t>Splunk</t>
  </si>
  <si>
    <t>3 feeds to re-point to Splunk
Blocker: Month-end close dependency
Q: Can the cut-over avoid the quarter-end freeze?</t>
  </si>
  <si>
    <t>Corporate Expense Portal 2008</t>
  </si>
  <si>
    <t>Anika Patel</t>
  </si>
  <si>
    <t>cepapp01, cepdb01, cepweb01</t>
  </si>
  <si>
    <t>Retention requirement to be confirmed
Blocker: Replacement rollout dependency
Q: What is the go-live date of the target platform?</t>
  </si>
  <si>
    <t>Old Tax Compliance Tool (Nordics)</t>
  </si>
  <si>
    <t>Tax</t>
  </si>
  <si>
    <t>Custom Licence Manager v2</t>
  </si>
  <si>
    <t>clmapp01, clmdb01, clmweb01</t>
  </si>
  <si>
    <t>Shared Order Entry Portal 2008</t>
  </si>
  <si>
    <t>soe-app01–06, soe-db01</t>
  </si>
  <si>
    <t>Quality Incident Log Classic</t>
  </si>
  <si>
    <t>qilapp01</t>
  </si>
  <si>
    <t>Shared Intranet (SharePoint) Classic</t>
  </si>
  <si>
    <t>fs-sis02 (file share)</t>
  </si>
  <si>
    <t>Legacy Maintenance Scheduler 2012</t>
  </si>
  <si>
    <t>ServiceMax</t>
  </si>
  <si>
    <t>Old Commission Calculator (UK)</t>
  </si>
  <si>
    <t>Custom Licence Manager (FR)</t>
  </si>
  <si>
    <t>clmapp01, clmdb01</t>
  </si>
  <si>
    <t>Regional Billing Engine (APAC)</t>
  </si>
  <si>
    <t>rbeapp01, rbedb01, rbeweb01</t>
  </si>
  <si>
    <t>Corporate Travel Booking Tool (UK)</t>
  </si>
  <si>
    <t>Departmental Shipment Tracker</t>
  </si>
  <si>
    <t>Departmental Tax Compliance Tool 2010</t>
  </si>
  <si>
    <t>Coupa</t>
  </si>
  <si>
    <t>dtcapp01, dtcdb01</t>
  </si>
  <si>
    <t>Corporate Ticket Desk</t>
  </si>
  <si>
    <t>ctdapp01, ctddb01, ctdweb01</t>
  </si>
  <si>
    <t>Sales Forecast Tool 2010</t>
  </si>
  <si>
    <t>sft-app01–04, sft-db01</t>
  </si>
  <si>
    <t>Intranet (SharePoint) Plus</t>
  </si>
  <si>
    <t>ispapp01</t>
  </si>
  <si>
    <t>Shipment Tracker (DE)</t>
  </si>
  <si>
    <t>stdapp01, stddb01, stdweb01, stdfs01</t>
  </si>
  <si>
    <t>Legacy GL Consolidation Tool 2010</t>
  </si>
  <si>
    <t>General Ledger</t>
  </si>
  <si>
    <t>SAP S/4HANA (planned)</t>
  </si>
  <si>
    <t>lgcapp01, lgcdb01, lgcweb01, lgcfs01</t>
  </si>
  <si>
    <t>Awaiting assessment workshop
Blocker: Replacement rollout dependency
Q: What is the go-live date of the target platform?</t>
  </si>
  <si>
    <t>Custom Batch Scheduler (APAC)</t>
  </si>
  <si>
    <t>ServiceNow</t>
  </si>
  <si>
    <t>cbs-app01–05, cbs-db01</t>
  </si>
  <si>
    <t>Cut-over planned for Jul-21; parallel run scheduled</t>
  </si>
  <si>
    <t>Shared Freight Booking Tool v2</t>
  </si>
  <si>
    <t>sfbapp01, sfbdb01</t>
  </si>
  <si>
    <t>Regional Facilities Request Portal (Nordics)</t>
  </si>
  <si>
    <t>Facilities</t>
  </si>
  <si>
    <t>rfrapp01, rfrdb01, rfrweb01, rfrfs01</t>
  </si>
  <si>
    <t>Legacy Training Records (DE)</t>
  </si>
  <si>
    <t>Learning</t>
  </si>
  <si>
    <t>ltrapp01, ltrdb01</t>
  </si>
  <si>
    <t>Regional Timesheet Portal 2012</t>
  </si>
  <si>
    <t>Time &amp; Attendance</t>
  </si>
  <si>
    <t>Shared Shipment Tracker</t>
  </si>
  <si>
    <t>sstapp01</t>
  </si>
  <si>
    <t>Field Service Dispatcher Classic</t>
  </si>
  <si>
    <t>SAP EAM</t>
  </si>
  <si>
    <t>Legacy Demand Planner Classic</t>
  </si>
  <si>
    <t>Arjun Lambert</t>
  </si>
  <si>
    <t>ldpapp01, ldpdb01</t>
  </si>
  <si>
    <t>Windows Server 2008 R2</t>
  </si>
  <si>
    <t>SQL Server 2008 R2</t>
  </si>
  <si>
    <t>Global Newsletter Mailer (DE)</t>
  </si>
  <si>
    <t>gnmapp01, gnmdb01, gnmweb01, gnmfs01</t>
  </si>
  <si>
    <t>Corporate Fleet Manager Lite</t>
  </si>
  <si>
    <t>Fleet</t>
  </si>
  <si>
    <t>Shipment Tracker (APAC)</t>
  </si>
  <si>
    <t>sta-app01–04, sta-db01</t>
  </si>
  <si>
    <t>Retention 3 yrs - archive slot booked</t>
  </si>
  <si>
    <t>Custom Fleet Manager (APAC)</t>
  </si>
  <si>
    <t>Old Training Records (US)</t>
  </si>
  <si>
    <t>otrapp01, otrdb01</t>
  </si>
  <si>
    <t>Core ERP (SAP ECC)</t>
  </si>
  <si>
    <t>Enterprise Resource Planning</t>
  </si>
  <si>
    <t>ecc-app01–05, ecc-db01</t>
  </si>
  <si>
    <t>Retire after S/4HANA cut-over; finance history retained in S/4HANA - no separate archive</t>
  </si>
  <si>
    <t>Old CMDB Lite</t>
  </si>
  <si>
    <t>Config Mgmt</t>
  </si>
  <si>
    <t>ocl-app01–04, ocl-db01</t>
  </si>
  <si>
    <t>3 feeds to re-point to ServiceNow</t>
  </si>
  <si>
    <t>Monitoring Console (APAC)</t>
  </si>
  <si>
    <t>No active users; switch-off confirmed with owner</t>
  </si>
  <si>
    <t>Tax Compliance Tool Plus</t>
  </si>
  <si>
    <t>BlackLine</t>
  </si>
  <si>
    <t>Cut-over planned for May-22; parallel run scheduled</t>
  </si>
  <si>
    <t>Legacy Inventory Control 2010</t>
  </si>
  <si>
    <t>Supplier Portal</t>
  </si>
  <si>
    <t>spxapp01, spxdb01, spxweb01, spxfs01</t>
  </si>
  <si>
    <t>Corporate Price List Manager 2012</t>
  </si>
  <si>
    <t>cplapp01</t>
  </si>
  <si>
    <t>PostgreSQL 12</t>
  </si>
  <si>
    <t>Cash Position Reporter (DE)</t>
  </si>
  <si>
    <t>cprapp01</t>
  </si>
  <si>
    <t>Demand Planner (DE)</t>
  </si>
  <si>
    <t>Oracle SCM Cloud (planned)</t>
  </si>
  <si>
    <t>fs-dpd02 (file share)</t>
  </si>
  <si>
    <t>Shared Partner Portal Lite</t>
  </si>
  <si>
    <t>Partner Mgmt</t>
  </si>
  <si>
    <t>sppapp01</t>
  </si>
  <si>
    <t>Document Repository (DE)</t>
  </si>
  <si>
    <t>drdapp01, drddb01, drdweb01, drdfs01</t>
  </si>
  <si>
    <t>Global CMDB Lite (UK)</t>
  </si>
  <si>
    <t>gcl-app01–04, gcl-db01</t>
  </si>
  <si>
    <t>Regional Org Chart Publisher</t>
  </si>
  <si>
    <t>Org Mgmt</t>
  </si>
  <si>
    <t>rocapp01</t>
  </si>
  <si>
    <t>Corporate Inventory Control (UK)</t>
  </si>
  <si>
    <t>Departmental Licence Manager Plus</t>
  </si>
  <si>
    <t>dlmapp01, dlmdb01, dlmweb01</t>
  </si>
  <si>
    <t>Legacy Quality Incident Log Plus</t>
  </si>
  <si>
    <t>lqiapp01, lqidb01, lqiweb01, lqifs01</t>
  </si>
  <si>
    <t>Order Entry Portal Lite</t>
  </si>
  <si>
    <t>Legacy Batch Scheduler Classic</t>
  </si>
  <si>
    <t>Corporate Timesheet Portal 2010</t>
  </si>
  <si>
    <t>Corporate Access Request Tool (UK)</t>
  </si>
  <si>
    <t>Azure Monitor</t>
  </si>
  <si>
    <t>car-app01–05, car-db01</t>
  </si>
  <si>
    <t>Old Maintenance Scheduler (APAC)</t>
  </si>
  <si>
    <t>oms-app01–06, oms-db01</t>
  </si>
  <si>
    <t>Funding approved; migration to SAP EAM scheduled</t>
  </si>
  <si>
    <t>Shared Warehouse Mgmt System Lite</t>
  </si>
  <si>
    <t>swmapp01</t>
  </si>
  <si>
    <t>Old GL Consolidation Tool 2010</t>
  </si>
  <si>
    <t>ogcapp01, ogcdb01, ogcweb01</t>
  </si>
  <si>
    <t>Departmental Quality Incident Log v2</t>
  </si>
  <si>
    <t>Fiix</t>
  </si>
  <si>
    <t>dqiapp01, dqidb01</t>
  </si>
  <si>
    <t>Funding approved; migration to Fiix scheduled</t>
  </si>
  <si>
    <t>Corporate Purchase Order System (US)</t>
  </si>
  <si>
    <t>cpo-app01–07, cpo-db01</t>
  </si>
  <si>
    <t>Old Campaign DB (Nordics)</t>
  </si>
  <si>
    <t>Marketo</t>
  </si>
  <si>
    <t>ocdapp01, ocddb01</t>
  </si>
  <si>
    <t>Batch Scheduler 2012</t>
  </si>
  <si>
    <t>Custom Org Chart Publisher (UK)</t>
  </si>
  <si>
    <t>Awaiting assessment workshop
Blocker: Interface owners not yet identified
Q: Which teams consume the outbound feeds?</t>
  </si>
  <si>
    <t>Commission Calculator (US)</t>
  </si>
  <si>
    <t>ccuapp01</t>
  </si>
  <si>
    <t>Shared Appraisal Tool</t>
  </si>
  <si>
    <t>Performance</t>
  </si>
  <si>
    <t>Shared Licence Manager v4</t>
  </si>
  <si>
    <t>Regional Web Analytics Mart</t>
  </si>
  <si>
    <t>Meera Dubois</t>
  </si>
  <si>
    <t>rwa-app01–05, rwa-db01</t>
  </si>
  <si>
    <t>Old Customer Contact Manager (US)</t>
  </si>
  <si>
    <t>occapp01, occdb01, occweb01, occfs01</t>
  </si>
  <si>
    <t>SQL Server 2012</t>
  </si>
  <si>
    <t>Licence Manager v3</t>
  </si>
  <si>
    <t>lmvapp01, lmvdb01, lmvweb01</t>
  </si>
  <si>
    <t>Global Inventory Control Lite</t>
  </si>
  <si>
    <t>gicapp01, gicdb01, gicweb01, gicfs01</t>
  </si>
  <si>
    <t>Corporate Asset Register (APAC)</t>
  </si>
  <si>
    <t>carapp01</t>
  </si>
  <si>
    <t>Legacy Monitoring Console (UK)</t>
  </si>
  <si>
    <t>Legacy CMDB Lite Plus</t>
  </si>
  <si>
    <t>lclapp01, lcldb01, lclweb01, lclfs01</t>
  </si>
  <si>
    <t>Training Records Lite</t>
  </si>
  <si>
    <t>SuccessFactors</t>
  </si>
  <si>
    <t>trlapp01, trldb01, trlweb01</t>
  </si>
  <si>
    <t>Legacy Licence Manager 2012</t>
  </si>
  <si>
    <t>Global Newsletter Mailer</t>
  </si>
  <si>
    <t>fs-gnm02 (file share)</t>
  </si>
  <si>
    <t>Custom Tax Compliance Tool 2012</t>
  </si>
  <si>
    <t>ctcapp01</t>
  </si>
  <si>
    <t>Document Repository v4</t>
  </si>
  <si>
    <t>drvapp01, drvdb01</t>
  </si>
  <si>
    <t>No active users; switch-off confirmed with owner
Blocker: Vendor notice period of 12 months
Q: Can the contract end be brought forward?</t>
  </si>
  <si>
    <t>Custom Campaign DB 2008</t>
  </si>
  <si>
    <t>ccdapp01, ccddb01, ccdweb01</t>
  </si>
  <si>
    <t>Corporate Sales Forecast Tool 2010</t>
  </si>
  <si>
    <t>Awaiting assessment workshop
Blocker: Archive platform capacity not confirmed
Q: Can the enterprise archive take this volume this year?</t>
  </si>
  <si>
    <t>Monitoring Console 2012</t>
  </si>
  <si>
    <t>Field Service Dispatcher v4</t>
  </si>
  <si>
    <t>Fiix (planned)</t>
  </si>
  <si>
    <t>fsd-app01–04, fsd-db01</t>
  </si>
  <si>
    <t>Custom Billing Engine</t>
  </si>
  <si>
    <t>cbeapp01, cbedb01, cbeweb01</t>
  </si>
  <si>
    <t>User comms sent; switch-off scheduled for end of May</t>
  </si>
  <si>
    <t>Departmental Field Service Dispatcher Classic</t>
  </si>
  <si>
    <t>Regional Shipment Tracker Lite</t>
  </si>
  <si>
    <t>Corporate Budget Planner (DE)</t>
  </si>
  <si>
    <t>Budgeting</t>
  </si>
  <si>
    <t>cbpapp01, cbpdb01, cbpweb01, cbpfs01</t>
  </si>
  <si>
    <t>Departmental Batch Scheduler v3</t>
  </si>
  <si>
    <t>dbsapp01, dbsdb01, dbsweb01, dbsfs01</t>
  </si>
  <si>
    <t>Low business value; validate with owner
Blocker: Archive platform capacity not confirmed
Q: Can the enterprise archive take this volume this year?</t>
  </si>
  <si>
    <t>Org Chart Publisher (FR)</t>
  </si>
  <si>
    <t>ocpapp01, ocpdb01</t>
  </si>
  <si>
    <t>Legacy Quote Manager Lite</t>
  </si>
  <si>
    <t>lqmapp01</t>
  </si>
  <si>
    <t>Legacy Document Repository v2</t>
  </si>
  <si>
    <t>Departmental Budget Planner (FR)</t>
  </si>
  <si>
    <t>dbpapp01, dbpdb01</t>
  </si>
  <si>
    <t>Switched off Feb-21; licence terminated</t>
  </si>
  <si>
    <t>Departmental Quote Manager Classic</t>
  </si>
  <si>
    <t>Legacy Timesheet Portal (FR)</t>
  </si>
  <si>
    <t>ltpapp01, ltpdb01, ltpweb01</t>
  </si>
  <si>
    <t>6 feeds to re-point to SuccessFactors</t>
  </si>
  <si>
    <t>Travel Booking Tool 2012</t>
  </si>
  <si>
    <t>Workday HCM</t>
  </si>
  <si>
    <t>tbtapp01, tbtdb01</t>
  </si>
  <si>
    <t>Cut-over planned for Sep-21; parallel run scheduled</t>
  </si>
  <si>
    <t>Regional Corporate Website CMS</t>
  </si>
  <si>
    <t>rcwapp01, rcwdb01, rcwweb01, rcwfs01</t>
  </si>
  <si>
    <t>Retention requirement to be confirmed
Blocker: Interface owners not yet identified
Q: Which teams consume the outbound feeds?</t>
  </si>
  <si>
    <t>Regional Travel Booking Tool Plus</t>
  </si>
  <si>
    <t>rtb-app01–07, rtb-db01</t>
  </si>
  <si>
    <t>Global Org Chart Publisher</t>
  </si>
  <si>
    <t>gocapp01, gocdb01, gocweb01</t>
  </si>
  <si>
    <t>Shared Contract Repository (FR)</t>
  </si>
  <si>
    <t>Retention 7 yrs - archive slot booked</t>
  </si>
  <si>
    <t>Old Safety Incident Tracker Lite</t>
  </si>
  <si>
    <t>osiapp01, osidb01, osiweb01</t>
  </si>
  <si>
    <t>Global Billing Engine (FR)</t>
  </si>
  <si>
    <t>fs-gbe02 (file share)</t>
  </si>
  <si>
    <t>Payroll Interface (UK)</t>
  </si>
  <si>
    <t>Payroll</t>
  </si>
  <si>
    <t>Departmental Newsletter Mailer (UK)</t>
  </si>
  <si>
    <t>dnmapp01, dnmdb01, dnmweb01, dnmfs01</t>
  </si>
  <si>
    <t>Cut-over planned for Mar-22; parallel run scheduled</t>
  </si>
  <si>
    <t>Production Scheduler Classic</t>
  </si>
  <si>
    <t>Production Planning</t>
  </si>
  <si>
    <t>psc-app01–04, psc-db01</t>
  </si>
  <si>
    <t>Freight Booking Tool</t>
  </si>
  <si>
    <t>Warehouse Mgmt System v2</t>
  </si>
  <si>
    <t>wmsapp01, wmsdb01</t>
  </si>
  <si>
    <t>Shared Safety Incident Tracker</t>
  </si>
  <si>
    <t>Corporate GL Consolidation Tool (DE)</t>
  </si>
  <si>
    <t>cgcapp01, cgcdb01</t>
  </si>
  <si>
    <t>Global Warehouse Mgmt System</t>
  </si>
  <si>
    <t>gwmapp01, gwmdb01</t>
  </si>
  <si>
    <t>Regional Tax Compliance Tool Plus</t>
  </si>
  <si>
    <t>rtcapp01</t>
  </si>
  <si>
    <t>Corporate Travel Booking Tool</t>
  </si>
  <si>
    <t>Workday HCM (planned)</t>
  </si>
  <si>
    <t>fs-ctb02 (file share)</t>
  </si>
  <si>
    <t>Cut-over planned for Oct-21; parallel run scheduled</t>
  </si>
  <si>
    <t>Legacy Expense Portal (APAC)</t>
  </si>
  <si>
    <t>lepapp01, lepdb01</t>
  </si>
  <si>
    <t>Regional Licence Manager (Nordics)</t>
  </si>
  <si>
    <t>Funding approved; migration to ServiceNow scheduled</t>
  </si>
  <si>
    <t>Custom Ticket Desk</t>
  </si>
  <si>
    <t>ctdapp01</t>
  </si>
  <si>
    <t>Corporate Licence Manager</t>
  </si>
  <si>
    <t>clmapp01</t>
  </si>
  <si>
    <t>Regional GL Consolidation Tool 2010</t>
  </si>
  <si>
    <t>rgcapp01, rgcdb01, rgcweb01, rgcfs01</t>
  </si>
  <si>
    <t>Regional Access Request Tool (DE)</t>
  </si>
  <si>
    <t>Event Registration Tool (APAC)</t>
  </si>
  <si>
    <t>Events</t>
  </si>
  <si>
    <t>Adobe Campaign</t>
  </si>
  <si>
    <t>Retention 10 yrs - archive slot booked</t>
  </si>
  <si>
    <t>Custom Sales Forecast Tool Plus</t>
  </si>
  <si>
    <t>csfapp01, csfdb01</t>
  </si>
  <si>
    <t>Custom Training Records (US)</t>
  </si>
  <si>
    <t>ctrapp01, ctrdb01, ctrweb01, ctrfs01</t>
  </si>
  <si>
    <t>Departmental Newsletter Mailer (FR)</t>
  </si>
  <si>
    <t>Facilities Request Portal</t>
  </si>
  <si>
    <t>frpapp01</t>
  </si>
  <si>
    <t>Monitoring Console 2008</t>
  </si>
  <si>
    <t>Microsoft 365 (planned)</t>
  </si>
  <si>
    <t>mcxapp01, mcxdb01</t>
  </si>
  <si>
    <t>Legacy Document Repository</t>
  </si>
  <si>
    <t>ldrapp01, ldrdb01</t>
  </si>
  <si>
    <t>Old Credit Check Portal (APAC)</t>
  </si>
  <si>
    <t>Org Chart Publisher Classic</t>
  </si>
  <si>
    <t>ocpapp01</t>
  </si>
  <si>
    <t>Shared Travel Booking Tool (UK)</t>
  </si>
  <si>
    <t>stbapp01</t>
  </si>
  <si>
    <t>Expense Portal Plus</t>
  </si>
  <si>
    <t>Owner sign-off received; switch-off scheduled</t>
  </si>
  <si>
    <t>Old Inventory Control (DE)</t>
  </si>
  <si>
    <t>Intranet (SharePoint) v3</t>
  </si>
  <si>
    <t>isvapp01</t>
  </si>
  <si>
    <t>Replacement option being confirmed
Blocker: Interface owners not yet identified
Q: Which teams consume the outbound feeds?</t>
  </si>
  <si>
    <t>Shared Tax Compliance Tool</t>
  </si>
  <si>
    <t>stcapp01</t>
  </si>
  <si>
    <t>Shared Budget Planner (DE)</t>
  </si>
  <si>
    <t>sbpapp01, sbpdb01, sbpweb01, sbpfs01</t>
  </si>
  <si>
    <t>Shared Asset Register</t>
  </si>
  <si>
    <t>Global Recruitment Tracker (Nordics)</t>
  </si>
  <si>
    <t>Recruitment</t>
  </si>
  <si>
    <t>grtapp01</t>
  </si>
  <si>
    <t>Customer Contact Manager Classic</t>
  </si>
  <si>
    <t>ccmapp01, ccmdb01, ccmweb01</t>
  </si>
  <si>
    <t>Legacy Newsletter Mailer 2010</t>
  </si>
  <si>
    <t>lnmapp01, lnmdb01, lnmweb01, lnmfs01</t>
  </si>
  <si>
    <t>Contract Repository 2012</t>
  </si>
  <si>
    <t>Facilities Request Portal (Nordics)</t>
  </si>
  <si>
    <t>frpapp01, frpdb01</t>
  </si>
  <si>
    <t>Departmental Safety Incident Tracker</t>
  </si>
  <si>
    <t>dsiapp01</t>
  </si>
  <si>
    <t>Old Access Request Tool 2008</t>
  </si>
  <si>
    <t>SailPoint</t>
  </si>
  <si>
    <t>Corporate Safety Incident Tracker</t>
  </si>
  <si>
    <t>csiapp01, csidb01</t>
  </si>
  <si>
    <t>Shared Demand Planner (DE)</t>
  </si>
  <si>
    <t>Benefits Enrolment</t>
  </si>
  <si>
    <t>Functionality covered by existing tools
Blocker: Month-end close dependency
Q: Can the cut-over avoid the quarter-end freeze?</t>
  </si>
  <si>
    <t>Custom Fleet Manager (UK)</t>
  </si>
  <si>
    <t>cfmapp01</t>
  </si>
  <si>
    <t>Awaiting dependency mapping
Blocker: Interface owners not yet identified
Q: Which teams consume the outbound feeds?</t>
  </si>
  <si>
    <t>Credit Check Portal v2</t>
  </si>
  <si>
    <t>ccpapp01, ccpdb01, ccpweb01</t>
  </si>
  <si>
    <t>Regional Benefits Enrolment v2</t>
  </si>
  <si>
    <t>Workday Payroll</t>
  </si>
  <si>
    <t>rbeapp01</t>
  </si>
  <si>
    <t>Old Access Request Tool Lite</t>
  </si>
  <si>
    <t>oarapp01, oardb01</t>
  </si>
  <si>
    <t>Custom Intranet (SharePoint) 2012</t>
  </si>
  <si>
    <t>Inventory Control Plus</t>
  </si>
  <si>
    <t>icpapp01, icpdb01</t>
  </si>
  <si>
    <t>Departmental Web Analytics Mart Lite</t>
  </si>
  <si>
    <t>Regional Quote Manager</t>
  </si>
  <si>
    <t>rqmapp01, rqmdb01, rqmweb01, rqmfs01</t>
  </si>
  <si>
    <t>Regional Freight Booking Tool Classic</t>
  </si>
  <si>
    <t>rfbapp01, rfbdb01</t>
  </si>
  <si>
    <t>Maintenance Scheduler (Nordics)</t>
  </si>
  <si>
    <t>Tax Compliance Tool (APAC)</t>
  </si>
  <si>
    <t>tctapp01, tctdb01, tctweb01</t>
  </si>
  <si>
    <t>Data archived and validated; switched off Feb-21</t>
  </si>
  <si>
    <t>AP Invoice Processor (APAC)</t>
  </si>
  <si>
    <t>aipapp01, aipdb01, aipweb01, aipfs01</t>
  </si>
  <si>
    <t>Departmental Benefits Enrolment 2010</t>
  </si>
  <si>
    <t>dbeapp01, dbedb01, dbeweb01</t>
  </si>
  <si>
    <t>Replacement option being confirmed
Blocker: Replacement rollout dependency
Q: What is the go-live date of the target platform?</t>
  </si>
  <si>
    <t>Old Monitoring Console v4</t>
  </si>
  <si>
    <t>omcapp01, omcdb01, omcweb01</t>
  </si>
  <si>
    <t>Shared Shipment Tracker (APAC)</t>
  </si>
  <si>
    <t>Replacement option being confirmed
Blocker: Legal sign-off on retention
Q: Who owns the retention decision for archived records?</t>
  </si>
  <si>
    <t>Credit Check Portal (FR)</t>
  </si>
  <si>
    <t>ccpapp01, ccpdb01, ccpweb01, ccpfs01</t>
  </si>
  <si>
    <t>Owner to confirm usage before decision
Blocker: Replacement rollout dependency
Q: What is the go-live date of the target platform?</t>
  </si>
  <si>
    <t>Recruitment Tracker 2012</t>
  </si>
  <si>
    <t>Corporate Website CMS v2</t>
  </si>
  <si>
    <t>Global Appraisal Tool 2010</t>
  </si>
  <si>
    <t>Survey Tool 2010</t>
  </si>
  <si>
    <t>Qualtrics</t>
  </si>
  <si>
    <t>stx-app01–05, stx-db01</t>
  </si>
  <si>
    <t>Regional Field Service Dispatcher Classic</t>
  </si>
  <si>
    <t>rfs-app01–07, rfs-db01</t>
  </si>
  <si>
    <t>Expense Portal Classic</t>
  </si>
  <si>
    <t>3 feeds to re-point to SAP S/4HANA</t>
  </si>
  <si>
    <t>Batch Scheduler v4</t>
  </si>
  <si>
    <t>bsvapp01, bsvdb01</t>
  </si>
  <si>
    <t>Survey Tool (DE)</t>
  </si>
  <si>
    <t>Regional Event Registration Tool v3</t>
  </si>
  <si>
    <t>Custom Org Chart Publisher (APAC)</t>
  </si>
  <si>
    <t>cocapp01, cocdb01, cocweb01</t>
  </si>
  <si>
    <t>Regional Credit Check Portal (DE)</t>
  </si>
  <si>
    <t>rccapp01, rccdb01, rccweb01</t>
  </si>
  <si>
    <t>Legacy Supplier Portal (APAC)</t>
  </si>
  <si>
    <t>lspapp01, lspdb01, lspweb01, lspfs01</t>
  </si>
  <si>
    <t>Custom Leave Manager (APAC)</t>
  </si>
  <si>
    <t>Leave Mgmt</t>
  </si>
  <si>
    <t>Departmental Travel Booking Tool</t>
  </si>
  <si>
    <t>Regional Travel Booking Tool v4</t>
  </si>
  <si>
    <t>Departmental Web Analytics Mart Classic</t>
  </si>
  <si>
    <t>Legacy Access Request Tool Lite</t>
  </si>
  <si>
    <t>larapp01, lardb01</t>
  </si>
  <si>
    <t>Global Ticket Desk (UK)</t>
  </si>
  <si>
    <t>gtdapp01, gtddb01</t>
  </si>
  <si>
    <t>Retention requirement to be confirmed
Blocker: Archive platform capacity not confirmed
Q: Can the enterprise archive take this volume this year?</t>
  </si>
  <si>
    <t>Shared Inventory Control Classic</t>
  </si>
  <si>
    <t>sicapp01</t>
  </si>
  <si>
    <t>Old Partner Portal (UK)</t>
  </si>
  <si>
    <t>Salesforce CPQ</t>
  </si>
  <si>
    <t>oppapp01</t>
  </si>
  <si>
    <t>Corporate AP Invoice Processor (APAC)</t>
  </si>
  <si>
    <t>caiapp01, caidb01</t>
  </si>
  <si>
    <t>Sales Forecast Tool (FR)</t>
  </si>
  <si>
    <t>No active users; switch-off confirmed with owner
Blocker: Replacement not yet funded
Q: Is budget confirmed in the next planning cycle?</t>
  </si>
  <si>
    <t>Billing Engine Classic</t>
  </si>
  <si>
    <t>bec-app01–04, bec-db01</t>
  </si>
  <si>
    <t>Benefits Enrolment (FR)</t>
  </si>
  <si>
    <t>befapp01, befdb01, befweb01, beffs01</t>
  </si>
  <si>
    <t>Customer Contact Manager v2</t>
  </si>
  <si>
    <t>ccmapp01, ccmdb01, ccmweb01, ccmfs01</t>
  </si>
  <si>
    <t>Low business value; validate with owner
Blocker: Interface owners not yet identified
Q: Which teams consume the outbound feeds?</t>
  </si>
  <si>
    <t>Timesheet Portal (FR)</t>
  </si>
  <si>
    <t>Custom Document Repository v2</t>
  </si>
  <si>
    <t>cdr-app01–05, cdr-db01</t>
  </si>
  <si>
    <t>Shared Recruitment Tracker Lite</t>
  </si>
  <si>
    <t>srtapp01, srtdb01, srtweb01</t>
  </si>
  <si>
    <t>Replacement option being confirmed
Blocker: Replacement not yet funded
Q: Is budget confirmed in the next planning cycle?</t>
  </si>
  <si>
    <t>Departmental Campaign DB v2</t>
  </si>
  <si>
    <t>fs-dcd02 (file share)</t>
  </si>
  <si>
    <t>Appraisal Tool (FR)</t>
  </si>
  <si>
    <t>atfapp01, atfdb01, atfweb01, atffs01</t>
  </si>
  <si>
    <t>Global Supplier Portal</t>
  </si>
  <si>
    <t>gspapp01, gspdb01, gspweb01</t>
  </si>
  <si>
    <t>Newsletter Mailer 2010</t>
  </si>
  <si>
    <t>Eventbrite</t>
  </si>
  <si>
    <t>Licence Manager 2008</t>
  </si>
  <si>
    <t>lmx-app01–06, lmx-db01</t>
  </si>
  <si>
    <t>Custom Contract Repository Plus</t>
  </si>
  <si>
    <t>ccrapp01, ccrdb01, ccrweb01</t>
  </si>
  <si>
    <t>Old Intranet (SharePoint) v2</t>
  </si>
  <si>
    <t>oisapp01, oisdb01</t>
  </si>
  <si>
    <t>Global Event Registration Tool</t>
  </si>
  <si>
    <t>ger-app01–05, ger-db01</t>
  </si>
  <si>
    <t>Regional Fleet Manager (Nordics)</t>
  </si>
  <si>
    <t>rfm-app01–04, rfm-db01</t>
  </si>
  <si>
    <t>Departmental Supplier Portal Plus</t>
  </si>
  <si>
    <t>dspapp01, dspdb01, dspweb01, dspfs01</t>
  </si>
  <si>
    <t>Migrated to SAP TM; legacy switched off Feb-21</t>
  </si>
  <si>
    <t>GL Consolidation Tool Lite</t>
  </si>
  <si>
    <t>gctapp01</t>
  </si>
  <si>
    <t>Old Leave Manager (APAC)</t>
  </si>
  <si>
    <t>Cornerstone</t>
  </si>
  <si>
    <t>Old Survey Tool Classic</t>
  </si>
  <si>
    <t>ostapp01, ostdb01</t>
  </si>
  <si>
    <t>Payroll Interface (DE)</t>
  </si>
  <si>
    <t>pidapp01</t>
  </si>
  <si>
    <t>Departmental Demand Planner (APAC)</t>
  </si>
  <si>
    <t>ddpapp01, ddpdb01, ddpweb01</t>
  </si>
  <si>
    <t>Regional Training Records (Nordics)</t>
  </si>
  <si>
    <t>rtrapp01, rtrdb01</t>
  </si>
  <si>
    <t>Custom Fleet Manager (FR)</t>
  </si>
  <si>
    <t>cfmapp01, cfmdb01, cfmweb01, cfmfs01</t>
  </si>
  <si>
    <t>Shared Brand Asset Library Classic</t>
  </si>
  <si>
    <t>sbaapp01</t>
  </si>
  <si>
    <t>Data archived and validated; switched off Jan-21</t>
  </si>
  <si>
    <t>Corporate Access Request Tool (APAC)</t>
  </si>
  <si>
    <t>Shared Benefits Enrolment v3</t>
  </si>
  <si>
    <t>sbeapp01</t>
  </si>
  <si>
    <t>Retention 5 yrs - archive slot booked</t>
  </si>
  <si>
    <t>Regional Access Request Tool v4</t>
  </si>
  <si>
    <t>rar-app01–07, rar-db01</t>
  </si>
  <si>
    <t>Custom Cash Position Reporter (APAC)</t>
  </si>
  <si>
    <t>Benefits Enrolment 2012</t>
  </si>
  <si>
    <t>Global Warehouse Mgmt System (Nordics)</t>
  </si>
  <si>
    <t>gwm-app01–07, gwm-db01</t>
  </si>
  <si>
    <t>Regional Inventory Control (UK)</t>
  </si>
  <si>
    <t>ricapp01, ricdb01, ricweb01</t>
  </si>
  <si>
    <t>Inventory Control Classic</t>
  </si>
  <si>
    <t>iccapp01, iccdb01</t>
  </si>
  <si>
    <t>Shared Survey Tool Classic</t>
  </si>
  <si>
    <t>Qualtrics (planned)</t>
  </si>
  <si>
    <t>sstapp01, sstdb01</t>
  </si>
  <si>
    <t>Cut-over planned for Jul-21; parallel run scheduled
Blocker: Legal sign-off on retention
Q: Who owns the retention decision for archived records?</t>
  </si>
  <si>
    <t>Warehouse Mgmt System</t>
  </si>
  <si>
    <t>Awaiting dependency mapping
Blocker: Replacement rollout dependency
Q: What is the go-live date of the target platform?</t>
  </si>
  <si>
    <t>Departmental Commission Calculator 2008</t>
  </si>
  <si>
    <t>Salesforce (planned)</t>
  </si>
  <si>
    <t>Funding approved; migration to Salesforce scheduled</t>
  </si>
  <si>
    <t>Legacy Maintenance Scheduler (APAC)</t>
  </si>
  <si>
    <t>Intelex (planned)</t>
  </si>
  <si>
    <t>lms-app01–06, lms-db01</t>
  </si>
  <si>
    <t>Business case under review with owner
Blocker: Regulatory retention requirement
Q: Can the archive move to the enterprise archive, or must it stay vendor-hosted?</t>
  </si>
  <si>
    <t>Corporate Sales Forecast Tool Lite</t>
  </si>
  <si>
    <t>csfapp01, csfdb01, csfweb01, csffs01</t>
  </si>
  <si>
    <t>Legacy Facilities Request Portal Classic</t>
  </si>
  <si>
    <t>lfrapp01, lfrdb01, lfrweb01</t>
  </si>
  <si>
    <t>Corporate Sales Forecast Tool (UK)</t>
  </si>
  <si>
    <t>csfapp01</t>
  </si>
  <si>
    <t>Shared Recruitment Tracker Plus</t>
  </si>
  <si>
    <t>srtapp01</t>
  </si>
  <si>
    <t>Data archived and validated; switched off Mar-21</t>
  </si>
  <si>
    <t>Old Brand Asset Library</t>
  </si>
  <si>
    <t>oba-app01–07, oba-db01</t>
  </si>
  <si>
    <t>Regional Campaign DB v3</t>
  </si>
  <si>
    <t>rcdapp01, rcddb01, rcdweb01</t>
  </si>
  <si>
    <t>Funding approved; migration to Eventbrite scheduled</t>
  </si>
  <si>
    <t>Corporate Order Entry Portal</t>
  </si>
  <si>
    <t>Custom Field Service Dispatcher 2008</t>
  </si>
  <si>
    <t>cfs-app01–04, cfs-db01</t>
  </si>
  <si>
    <t>Regional Inventory Control Plus</t>
  </si>
  <si>
    <t>Licence Manager (US)</t>
  </si>
  <si>
    <t>lmuapp01, lmudb01, lmuweb01</t>
  </si>
  <si>
    <t>Regional Quote Manager (FR)</t>
  </si>
  <si>
    <t>rqmapp01, rqmdb01</t>
  </si>
  <si>
    <t>Shared Budget Planner v2</t>
  </si>
  <si>
    <t>sbpapp01, sbpdb01, sbpweb01</t>
  </si>
  <si>
    <t>Corporate Asset Register Classic</t>
  </si>
  <si>
    <t>Anaplan (planned)</t>
  </si>
  <si>
    <t>carapp01, cardb01, carweb01</t>
  </si>
  <si>
    <t>3 feeds to re-point to Anaplan</t>
  </si>
  <si>
    <t>Shared Ticket Desk Plus</t>
  </si>
  <si>
    <t>std-app01–05, std-db01</t>
  </si>
  <si>
    <t>Old Production Scheduler Plus</t>
  </si>
  <si>
    <t>opsapp01</t>
  </si>
  <si>
    <t>Quality Incident Log v2</t>
  </si>
  <si>
    <t>qil-app01–07, qil-db01</t>
  </si>
  <si>
    <t>Awaiting assessment workshop
Blocker: Month-end close dependency
Q: Can the cut-over avoid the quarter-end freeze?</t>
  </si>
  <si>
    <t>Corporate Access Request Tool (Nordics)</t>
  </si>
  <si>
    <t>carapp01, cardb01</t>
  </si>
  <si>
    <t>Fleet Manager (APAC)</t>
  </si>
  <si>
    <t>fmaapp01</t>
  </si>
  <si>
    <t>Purchase Order System</t>
  </si>
  <si>
    <t>Shared Cash Position Reporter</t>
  </si>
  <si>
    <t>scpapp01</t>
  </si>
  <si>
    <t>Retention 10 yrs - archive slot booked
Blocker: Replacement not yet funded
Q: Is budget confirmed in the next planning cycle?</t>
  </si>
  <si>
    <t>Asset Register Plus</t>
  </si>
  <si>
    <t>BlackLine (planned)</t>
  </si>
  <si>
    <t>Dependencies to be mapped
Blocker: Month-end close dependency
Q: Can the cut-over avoid the quarter-end freeze?</t>
  </si>
  <si>
    <t>Partner Portal Plus</t>
  </si>
  <si>
    <t>pppapp01</t>
  </si>
  <si>
    <t>Regional GL Consolidation Tool</t>
  </si>
  <si>
    <t>rgcapp01, rgcdb01</t>
  </si>
  <si>
    <t>Shared Training Records (FR)</t>
  </si>
  <si>
    <t>Field Service Dispatcher (DE)</t>
  </si>
  <si>
    <t>AP Invoice Processor (UK)</t>
  </si>
  <si>
    <t>aip-app01–06, aip-db01</t>
  </si>
  <si>
    <t>Legacy CMDB Lite</t>
  </si>
  <si>
    <t>lclapp01, lcldb01</t>
  </si>
  <si>
    <t>Price List Manager 2008</t>
  </si>
  <si>
    <t>Contract Repository v3</t>
  </si>
  <si>
    <t>crvapp01</t>
  </si>
  <si>
    <t>Regional Demand Planner</t>
  </si>
  <si>
    <t>rdpapp01, rdpdb01</t>
  </si>
  <si>
    <t>Web Analytics Mart Classic</t>
  </si>
  <si>
    <t>Adobe Experience Manager</t>
  </si>
  <si>
    <t>wamapp01</t>
  </si>
  <si>
    <t>Tax Compliance Tool</t>
  </si>
  <si>
    <t>Custom Appraisal Tool v2</t>
  </si>
  <si>
    <t>AP Invoice Processor 2010</t>
  </si>
  <si>
    <t>Event Registration Tool (DE)</t>
  </si>
  <si>
    <t>ertapp01</t>
  </si>
  <si>
    <t>Newsletter Mailer (FR)</t>
  </si>
  <si>
    <t>Access Request Tool (US)</t>
  </si>
  <si>
    <t>Departmental Shipment Tracker Lite</t>
  </si>
  <si>
    <t>Departmental Demand Planner 2012</t>
  </si>
  <si>
    <t>ddpapp01, ddpdb01</t>
  </si>
  <si>
    <t>Shared Org Chart Publisher (UK)</t>
  </si>
  <si>
    <t>Cut-over planned for Jun-23; parallel run scheduled</t>
  </si>
  <si>
    <t>Shared Demand Planner (UK)</t>
  </si>
  <si>
    <t>sdpapp01, sdpdb01, sdpweb01</t>
  </si>
  <si>
    <t>Global Event Registration Tool Lite</t>
  </si>
  <si>
    <t>gerapp01, gerdb01, gerweb01, gerfs01</t>
  </si>
  <si>
    <t>Field Service Dispatcher (UK)</t>
  </si>
  <si>
    <t>Shared Appraisal Tool v2</t>
  </si>
  <si>
    <t>sat-app01–06, sat-db01</t>
  </si>
  <si>
    <t>Corporate Facilities Request Portal Classic</t>
  </si>
  <si>
    <t>Legacy Price List Manager (US)</t>
  </si>
  <si>
    <t>Xactly</t>
  </si>
  <si>
    <t>lplapp01, lpldb01</t>
  </si>
  <si>
    <t>Budget Planner</t>
  </si>
  <si>
    <t>bpxapp01, bpxdb01, bpxweb01, bpxfs01</t>
  </si>
  <si>
    <t>AP Invoice Processor</t>
  </si>
  <si>
    <t>aipapp01, aipdb01, aipweb01</t>
  </si>
  <si>
    <t>Global Batch Scheduler</t>
  </si>
  <si>
    <t>gbsapp01</t>
  </si>
  <si>
    <t>Facilities Request Portal v4</t>
  </si>
  <si>
    <t>Regional Price List Manager 2010</t>
  </si>
  <si>
    <t>rplapp01, rpldb01, rplweb01</t>
  </si>
  <si>
    <t>Access Request Tool Lite</t>
  </si>
  <si>
    <t>Licence Manager 2010</t>
  </si>
  <si>
    <t>Departmental Quote Manager</t>
  </si>
  <si>
    <t>dqmapp01, dqmdb01</t>
  </si>
  <si>
    <t>Departmental Inventory Control 2012</t>
  </si>
  <si>
    <t>dicapp01, dicdb01, dicweb01, dicfs01</t>
  </si>
  <si>
    <t>Batch Scheduler Lite</t>
  </si>
  <si>
    <t>bslapp01</t>
  </si>
  <si>
    <t>Quote Manager v4</t>
  </si>
  <si>
    <t>qmvapp01, qmvdb01, qmvweb01</t>
  </si>
  <si>
    <t>Order Entry Portal 2008</t>
  </si>
  <si>
    <t>Departmental Facilities Request Portal (APAC)</t>
  </si>
  <si>
    <t>dfrapp01, dfrdb01</t>
  </si>
  <si>
    <t>Shared Travel Booking Tool (Nordics)</t>
  </si>
  <si>
    <t>stb-app01–06, stb-db01</t>
  </si>
  <si>
    <t>Event Registration Tool Lite</t>
  </si>
  <si>
    <t>Regional Production Scheduler (APAC)</t>
  </si>
  <si>
    <t>Warehouse Mgmt System (APAC)</t>
  </si>
  <si>
    <t>wmsapp01</t>
  </si>
  <si>
    <t>Regional Web Analytics Mart (UK)</t>
  </si>
  <si>
    <t>rwaapp01</t>
  </si>
  <si>
    <t>Shared Quote Manager</t>
  </si>
  <si>
    <t>sqmapp01, sqmdb01</t>
  </si>
  <si>
    <t>Web Analytics Mart (FR)</t>
  </si>
  <si>
    <t>Business case under review with owner
Blocker: Replacement rollout dependency
Q: What is the go-live date of the target platform?</t>
  </si>
  <si>
    <t>Price List Manager Lite</t>
  </si>
  <si>
    <t>plmapp01, plmdb01</t>
  </si>
  <si>
    <t>Retention requirement to be confirmed
Blocker: Month-end close dependency
Q: Can the cut-over avoid the quarter-end freeze?</t>
  </si>
  <si>
    <t>Shared Demand Planner (APAC)</t>
  </si>
  <si>
    <t>Regional Order Entry Portal</t>
  </si>
  <si>
    <t>roeapp01</t>
  </si>
  <si>
    <t>Corporate Commission Calculator Plus</t>
  </si>
  <si>
    <t>cccapp01, cccdb01</t>
  </si>
  <si>
    <t>Regional Recruitment Tracker v4</t>
  </si>
  <si>
    <t>rrtapp01, rrtdb01, rrtweb01</t>
  </si>
  <si>
    <t>Shared Leave Manager 2008</t>
  </si>
  <si>
    <t>slmapp01, slmdb01, slmweb01</t>
  </si>
  <si>
    <t>Custom AP Invoice Processor Plus</t>
  </si>
  <si>
    <t>cai-app01–06, cai-db01</t>
  </si>
  <si>
    <t>Monitoring Console Plus</t>
  </si>
  <si>
    <t>mcpapp01, mcpdb01, mcpweb01, mcpfs01</t>
  </si>
  <si>
    <t>Global Demand Planner 2008</t>
  </si>
  <si>
    <t>SAP EWM</t>
  </si>
  <si>
    <t>Shared Newsletter Mailer (US)</t>
  </si>
  <si>
    <t>HubSpot</t>
  </si>
  <si>
    <t>snmapp01, snmdb01</t>
  </si>
  <si>
    <t>SAP BW</t>
  </si>
  <si>
    <t>Enterprise Data Warehouse</t>
  </si>
  <si>
    <t>SAP Analytics Cloud</t>
  </si>
  <si>
    <t>bw-app01–02, bw-db01–02</t>
  </si>
  <si>
    <t>SAP HANA 1.0</t>
  </si>
  <si>
    <t>Reports rebuilt in SAP Analytics Cloud; archive load in progress; switch-off May-21</t>
  </si>
  <si>
    <t>Custom Supplier Portal v4</t>
  </si>
  <si>
    <t>Departmental Customer Contact Manager Lite</t>
  </si>
  <si>
    <t>Global Contract Repository 2012</t>
  </si>
  <si>
    <t>Global Sales Forecast Tool v4</t>
  </si>
  <si>
    <t>gsfapp01</t>
  </si>
  <si>
    <t>Global Campaign DB (UK)</t>
  </si>
  <si>
    <t>Regional Price List Manager (APAC)</t>
  </si>
  <si>
    <t>rpl-app01–07, rpl-db01</t>
  </si>
  <si>
    <t>Awaiting dependency mapping
Blocker: Regulatory retention requirement
Q: Can the archive move to the enterprise archive, or must it stay vendor-hosted?</t>
  </si>
  <si>
    <t>Departmental Credit Check Portal (APAC)</t>
  </si>
  <si>
    <t>Legacy Survey Tool (APAC)</t>
  </si>
  <si>
    <t>lstapp01, lstdb01, lstweb01, lstfs01</t>
  </si>
  <si>
    <t>Cut-over planned for Nov-22; parallel run scheduled</t>
  </si>
  <si>
    <t>Newsletter Mailer Classic</t>
  </si>
  <si>
    <t>nmcapp01, nmcdb01</t>
  </si>
  <si>
    <t>Shared Document Repository 2012</t>
  </si>
  <si>
    <t>sdrapp01, sdrdb01, sdrweb01, sdrfs01</t>
  </si>
  <si>
    <t>Old Commission Calculator</t>
  </si>
  <si>
    <t>occapp01</t>
  </si>
  <si>
    <t>Migrated to Salesforce CPQ; legacy switched off Mar-21</t>
  </si>
  <si>
    <t>Corporate Fleet Manager (Nordics)</t>
  </si>
  <si>
    <t>Regional Credit Check Portal (US)</t>
  </si>
  <si>
    <t>Corporate Intranet (SharePoint) (Nordics)</t>
  </si>
  <si>
    <t>cisapp01, cisdb01, cisweb01, cisfs01</t>
  </si>
  <si>
    <t>Legacy Facilities Request Portal 2008</t>
  </si>
  <si>
    <t>lfrapp01</t>
  </si>
  <si>
    <t>Shared Commission Calculator 2012</t>
  </si>
  <si>
    <t>sccapp01, sccdb01</t>
  </si>
  <si>
    <t>Old Production Scheduler (FR)</t>
  </si>
  <si>
    <t>Departmental Maintenance Scheduler v4</t>
  </si>
  <si>
    <t>Custom Payroll Interface (UK)</t>
  </si>
  <si>
    <t>Custom Quote Manager (DE)</t>
  </si>
  <si>
    <t>cqmapp01, cqmdb01</t>
  </si>
  <si>
    <t>Expense Portal v3</t>
  </si>
  <si>
    <t>epvapp01</t>
  </si>
  <si>
    <t>Billing Engine 2010</t>
  </si>
  <si>
    <t>bexapp01</t>
  </si>
  <si>
    <t>Corporate Payroll Interface Classic</t>
  </si>
  <si>
    <t>cpiapp01</t>
  </si>
  <si>
    <t>Tax Compliance Tool (DE)</t>
  </si>
  <si>
    <t>Funding approved; migration to Anaplan scheduled
Blocker: Month-end close dependency
Q: Can the cut-over avoid the quarter-end freeze?</t>
  </si>
  <si>
    <t>Old Access Request Tool 2010</t>
  </si>
  <si>
    <t>Shared Commission Calculator (DE)</t>
  </si>
  <si>
    <t>Monitoring Console</t>
  </si>
  <si>
    <t>fs-mcx02 (file share)</t>
  </si>
  <si>
    <t>Read-only access needed for audit
Blocker: Month-end close dependency
Q: Can the cut-over avoid the quarter-end freeze?</t>
  </si>
  <si>
    <t>Departmental Asset Register (FR)</t>
  </si>
  <si>
    <t>darapp01, dardb01, darweb01, darfs01</t>
  </si>
  <si>
    <t>Corporate Event Registration Tool 2010</t>
  </si>
  <si>
    <t>cerapp01, cerdb01, cerweb01</t>
  </si>
  <si>
    <t>Quote Manager v3</t>
  </si>
  <si>
    <t>qmvapp01, qmvdb01, qmvweb01, qmvfs01</t>
  </si>
  <si>
    <t>Demand Planner (APAC)</t>
  </si>
  <si>
    <t>dpaapp01</t>
  </si>
  <si>
    <t>Global Order Entry Portal (DE)</t>
  </si>
  <si>
    <t>goeapp01, goedb01, goeweb01, goefs01</t>
  </si>
  <si>
    <t>Intranet (SharePoint) (Nordics)</t>
  </si>
  <si>
    <t>isnapp01</t>
  </si>
  <si>
    <t>Regional GL Consolidation Tool Plus</t>
  </si>
  <si>
    <t>Event Registration Tool (FR)</t>
  </si>
  <si>
    <t>ertapp01, ertdb01, ertweb01</t>
  </si>
  <si>
    <t>AP Invoice Processor v4</t>
  </si>
  <si>
    <t>aipapp01</t>
  </si>
  <si>
    <t>Regional Sales Forecast Tool 2012</t>
  </si>
  <si>
    <t>Functionality covered by existing tools
Blocker: Regulatory retention requirement
Q: Can the archive move to the enterprise archive, or must it stay vendor-hosted?</t>
  </si>
  <si>
    <t>Purchase Order System v4</t>
  </si>
  <si>
    <t>posapp01, posdb01, posweb01, posfs01</t>
  </si>
  <si>
    <t>Global Order Entry Portal v4</t>
  </si>
  <si>
    <t>Corporate Batch Scheduler (FR)</t>
  </si>
  <si>
    <t>cbsapp01</t>
  </si>
  <si>
    <t>Document Repository</t>
  </si>
  <si>
    <t>drx-app01–06, drx-db01</t>
  </si>
  <si>
    <t>Licence Manager (UK)</t>
  </si>
  <si>
    <t>lmuapp01, lmudb01</t>
  </si>
  <si>
    <t>Quote Manager (Nordics)</t>
  </si>
  <si>
    <t>qmnapp01, qmndb01, qmnweb01, qmnfs01</t>
  </si>
  <si>
    <t>Legacy Quote Manager v3</t>
  </si>
  <si>
    <t>Old Benefits Enrolment (FR)</t>
  </si>
  <si>
    <t>obeapp01, obedb01</t>
  </si>
  <si>
    <t>Recruitment Tracker (DE)</t>
  </si>
  <si>
    <t>rtdapp01, rtddb01, rtdweb01</t>
  </si>
  <si>
    <t>Departmental Access Request Tool (DE)</t>
  </si>
  <si>
    <t>Low business value; validate with owner
Blocker: Regulatory retention requirement
Q: Can the archive move to the enterprise archive, or must it stay vendor-hosted?</t>
  </si>
  <si>
    <t>Recruitment Tracker</t>
  </si>
  <si>
    <t>Regional Access Request Tool (US)</t>
  </si>
  <si>
    <t>Facilities Request Portal 2008</t>
  </si>
  <si>
    <t>frpapp01, frpdb01, frpweb01</t>
  </si>
  <si>
    <t>Customer Contact Manager v3</t>
  </si>
  <si>
    <t>Cut-over planned for Nov-21; parallel run scheduled</t>
  </si>
  <si>
    <t>Old Shipment Tracker (DE)</t>
  </si>
  <si>
    <t>Custom Order Entry Portal (Nordics)</t>
  </si>
  <si>
    <t>coeapp01</t>
  </si>
  <si>
    <t>Warehouse Mgmt System Plus</t>
  </si>
  <si>
    <t>Sales Forecast Tool</t>
  </si>
  <si>
    <t>sftapp01</t>
  </si>
  <si>
    <t>Custom Document Repository (DE)</t>
  </si>
  <si>
    <t>cdrapp01, cdrdb01, cdrweb01, cdrfs01</t>
  </si>
  <si>
    <t>Global Demand Planner (APAC)</t>
  </si>
  <si>
    <t>Customer Contact Manager Plus</t>
  </si>
  <si>
    <t>Salesforce Partner Community (planned)</t>
  </si>
  <si>
    <t>ccm-app01–04, ccm-db01</t>
  </si>
  <si>
    <t>5 feeds to re-point to Salesforce Partner Community</t>
  </si>
  <si>
    <t>Regional Tax Compliance Tool v4</t>
  </si>
  <si>
    <t>rtc-app01–04, rtc-db01</t>
  </si>
  <si>
    <t>Cut-over planned for Jun-21; parallel run scheduled</t>
  </si>
  <si>
    <t>Document Repository (FR)</t>
  </si>
  <si>
    <t>fs-drf02 (file share)</t>
  </si>
  <si>
    <t>Regional Intranet (SharePoint) 2010</t>
  </si>
  <si>
    <t>risapp01, risdb01, risweb01, risfs01</t>
  </si>
  <si>
    <t>Budget Planner 2010</t>
  </si>
  <si>
    <t>SAP Concur (planned)</t>
  </si>
  <si>
    <t>bpx-app01–06, bpx-db01</t>
  </si>
  <si>
    <t>Old Inventory Control v4</t>
  </si>
  <si>
    <t>fs-oic02 (file share)</t>
  </si>
  <si>
    <t>Order Entry Portal (Nordics)</t>
  </si>
  <si>
    <t>fs-oep02 (file share)</t>
  </si>
  <si>
    <t>Custom Safety Incident Tracker (US)</t>
  </si>
  <si>
    <t>csiapp01, csidb01, csiweb01</t>
  </si>
  <si>
    <t>Safety Incident Tracker (DE)</t>
  </si>
  <si>
    <t>Legacy Facilities Request Portal v3</t>
  </si>
  <si>
    <t>lfrapp01, lfrdb01</t>
  </si>
  <si>
    <t>5 feeds to re-point to IBM Maximo</t>
  </si>
  <si>
    <t>Regional Access Request Tool (UK)</t>
  </si>
  <si>
    <t>rarapp01, rardb01, rarweb01, rarfs01</t>
  </si>
  <si>
    <t>Corporate Batch Scheduler (UK)</t>
  </si>
  <si>
    <t>Shared Tax Compliance Tool (UK)</t>
  </si>
  <si>
    <t>Oracle Cloud ERP</t>
  </si>
  <si>
    <t>Old Asset Register (APAC)</t>
  </si>
  <si>
    <t>Custom Order Entry Portal 2008</t>
  </si>
  <si>
    <t>coeapp01, coedb01</t>
  </si>
  <si>
    <t>Training Records (UK)</t>
  </si>
  <si>
    <t>truapp01, trudb01, truweb01</t>
  </si>
  <si>
    <t>5 feeds to re-point to Workday Recruiting
Blocker: Vendor notice period of 12 months
Q: Can the contract end be brought forward?</t>
  </si>
  <si>
    <t>Regional Newsletter Mailer</t>
  </si>
  <si>
    <t>rnmapp01, rnmdb01, rnmweb01</t>
  </si>
  <si>
    <t>Shared Event Registration Tool 2012</t>
  </si>
  <si>
    <t>Corporate Cash Position Reporter (FR)</t>
  </si>
  <si>
    <t>Survey Tool (Nordics)</t>
  </si>
  <si>
    <t>Corporate Survey Tool</t>
  </si>
  <si>
    <t>Shared Ticket Desk 2012</t>
  </si>
  <si>
    <t>stdapp01, stddb01</t>
  </si>
  <si>
    <t>Kronos</t>
  </si>
  <si>
    <t>Workday Time Tracking</t>
  </si>
  <si>
    <t>kronos-app01–02, kronos-db01</t>
  </si>
  <si>
    <t>Payroll interface re-pointed to Workday; timecard history archived before switch-off (May-21)</t>
  </si>
  <si>
    <t>Corporate Safety Incident Tracker 2008</t>
  </si>
  <si>
    <t>Legacy Customer Contact Manager 2010</t>
  </si>
  <si>
    <t>Salesforce CPQ (planned)</t>
  </si>
  <si>
    <t>Old Intranet (SharePoint)</t>
  </si>
  <si>
    <t>oisapp01</t>
  </si>
  <si>
    <t>Custom Licence Manager 2010</t>
  </si>
  <si>
    <t>Azure Monitor (planned)</t>
  </si>
  <si>
    <t>clmapp01, clmdb01, clmweb01, clmfs01</t>
  </si>
  <si>
    <t>Facilities Request Portal v3</t>
  </si>
  <si>
    <t>Shared Monitoring Console Classic</t>
  </si>
  <si>
    <t>Splunk (planned)</t>
  </si>
  <si>
    <t>smcapp01, smcdb01, smcweb01, smcfs01</t>
  </si>
  <si>
    <t>Business case under review with owner
Blocker: Vendor notice period of 12 months
Q: Can the contract end be brought forward?</t>
  </si>
  <si>
    <t>Legacy Payroll Interface 2012</t>
  </si>
  <si>
    <t>Web Analytics Mart v4</t>
  </si>
  <si>
    <t>Adobe Campaign (planned)</t>
  </si>
  <si>
    <t>Purchase Order System Classic</t>
  </si>
  <si>
    <t>posapp01, posdb01, posweb01</t>
  </si>
  <si>
    <t>Shared Warehouse Mgmt System (FR)</t>
  </si>
  <si>
    <t>swm-app01–06, swm-db01</t>
  </si>
  <si>
    <t>Corporate Access Request Tool</t>
  </si>
  <si>
    <t>Old Supplier Portal 2008</t>
  </si>
  <si>
    <t>osp-app01–06, osp-db01</t>
  </si>
  <si>
    <t>Corporate Customer Contact Manager v3</t>
  </si>
  <si>
    <t>Regional Budget Planner (Nordics)</t>
  </si>
  <si>
    <t>fs-rbp02 (file share)</t>
  </si>
  <si>
    <t>Dependencies to be mapped
Blocker: Archive platform capacity not confirmed
Q: Can the enterprise archive take this volume this year?</t>
  </si>
  <si>
    <t>Corporate Budget Planner</t>
  </si>
  <si>
    <t>cbpapp01</t>
  </si>
  <si>
    <t>Sales Forecast Tool (UK)</t>
  </si>
  <si>
    <t>sftapp01, sftdb01, sftweb01, sftfs01</t>
  </si>
  <si>
    <t>Funding approved; migration to Salesforce CPQ scheduled</t>
  </si>
  <si>
    <t>Legacy Customer Contact Manager Plus</t>
  </si>
  <si>
    <t>lccapp01, lccdb01, lccweb01</t>
  </si>
  <si>
    <t>Licence Manager v2</t>
  </si>
  <si>
    <t>lmvapp01</t>
  </si>
  <si>
    <t>Funding approved; migration to Microsoft 365 scheduled
Blocker: Interface owners not yet identified
Q: Which teams consume the outbound feeds?</t>
  </si>
  <si>
    <t>Custom Document Repository</t>
  </si>
  <si>
    <t>Custom Batch Scheduler Lite</t>
  </si>
  <si>
    <t>Archive load in progress; validation with data owner</t>
  </si>
  <si>
    <t>Global Ticket Desk (APAC)</t>
  </si>
  <si>
    <t>Shared Corporate Website CMS</t>
  </si>
  <si>
    <t>scwapp01</t>
  </si>
  <si>
    <t>Corporate Website CMS 2010</t>
  </si>
  <si>
    <t>cwc-app01–05, cwc-db01</t>
  </si>
  <si>
    <t>Regional CMDB Lite 2010</t>
  </si>
  <si>
    <t>Dependencies to be mapped
Blocker: Regulatory retention requirement
Q: Can the archive move to the enterprise archive, or must it stay vendor-hosted?</t>
  </si>
  <si>
    <t>Regional Production Scheduler</t>
  </si>
  <si>
    <t>rpsapp01, rpsdb01, rpsweb01</t>
  </si>
  <si>
    <t>Regional Quality Incident Log</t>
  </si>
  <si>
    <t>rqiapp01, rqidb01, rqiweb01, rqifs01</t>
  </si>
  <si>
    <t>Shared Corporate Website CMS (FR)</t>
  </si>
  <si>
    <t>scwapp01, scwdb01, scwweb01, scwfs01</t>
  </si>
  <si>
    <t>Newsletter Mailer</t>
  </si>
  <si>
    <t>nmxapp01, nmxdb01, nmxweb01, nmxfs01</t>
  </si>
  <si>
    <t>Awaiting dependency mapping
Blocker: Archive platform capacity not confirmed
Q: Can the enterprise archive take this volume this year?</t>
  </si>
  <si>
    <t>Shared Brand Asset Library (UK)</t>
  </si>
  <si>
    <t>sbaapp01, sbadb01, sbaweb01</t>
  </si>
  <si>
    <t>Leave Manager (Nordics)</t>
  </si>
  <si>
    <t>lmnapp01, lmndb01</t>
  </si>
  <si>
    <t>Corporate CMDB Lite Lite</t>
  </si>
  <si>
    <t>cclapp01, ccldb01</t>
  </si>
  <si>
    <t>Corporate AP Invoice Processor 2008</t>
  </si>
  <si>
    <t>Regional Partner Portal</t>
  </si>
  <si>
    <t>rpp-app01–07, rpp-db01</t>
  </si>
  <si>
    <t>Legacy Supplier Portal</t>
  </si>
  <si>
    <t>lspapp01</t>
  </si>
  <si>
    <t>Shared Maintenance Scheduler (UK)</t>
  </si>
  <si>
    <t>fs-sms02 (file share)</t>
  </si>
  <si>
    <t>Warehouse Mgmt System (US)</t>
  </si>
  <si>
    <t>CMDB Lite Lite</t>
  </si>
  <si>
    <t>cllapp01, clldb01, cllweb01</t>
  </si>
  <si>
    <t>Expense Portal (UK)</t>
  </si>
  <si>
    <t>epuapp01, epudb01, epuweb01</t>
  </si>
  <si>
    <t>Departmental Supplier Portal v4</t>
  </si>
  <si>
    <t>dspapp01</t>
  </si>
  <si>
    <t>Batch Scheduler</t>
  </si>
  <si>
    <t>bsxapp01, bsxdb01, bsxweb01, bsxfs01</t>
  </si>
  <si>
    <t>Cut-over planned for Dec-22; parallel run scheduled</t>
  </si>
  <si>
    <t>Regional Leave Manager</t>
  </si>
  <si>
    <t>rlm-app01–07, rlm-db01</t>
  </si>
  <si>
    <t>Shared Batch Scheduler v4</t>
  </si>
  <si>
    <t>sbsapp01</t>
  </si>
  <si>
    <t>Archive format agreed; load scheduled before switch-off
Blocker: Legal sign-off on retention
Q: Who owns the retention decision for archived records?</t>
  </si>
  <si>
    <t>Shared Access Request Tool Lite</t>
  </si>
  <si>
    <t>sarapp01, sardb01, sarweb01, sarfs01</t>
  </si>
  <si>
    <t>Global Recruitment Tracker v2</t>
  </si>
  <si>
    <t>Old Partner Portal v2</t>
  </si>
  <si>
    <t>oppapp01, oppdb01, oppweb01, oppfs01</t>
  </si>
  <si>
    <t>Custom Safety Incident Tracker v4</t>
  </si>
  <si>
    <t>Legacy CMDB Lite Lite</t>
  </si>
  <si>
    <t>Budget Planner v3</t>
  </si>
  <si>
    <t>bpvapp01, bpvdb01, bpvweb01</t>
  </si>
  <si>
    <t>Shared Field Service Dispatcher (APAC)</t>
  </si>
  <si>
    <t>sfsapp01</t>
  </si>
  <si>
    <t>Old Ticket Desk</t>
  </si>
  <si>
    <t>otdapp01, otddb01, otdweb01</t>
  </si>
  <si>
    <t>Regional Recruitment Tracker Plus</t>
  </si>
  <si>
    <t>rrtapp01, rrtdb01</t>
  </si>
  <si>
    <t>Shared Travel Booking Tool v2</t>
  </si>
  <si>
    <t>stbapp01, stbdb01</t>
  </si>
  <si>
    <t>Customer Contact Manager (UK)</t>
  </si>
  <si>
    <t>Old Intranet (SharePoint) Lite</t>
  </si>
  <si>
    <t>Intranet (SharePoint)</t>
  </si>
  <si>
    <t>isx-app01–07, isx-db01</t>
  </si>
  <si>
    <t>Global Safety Incident Tracker (Nordics)</t>
  </si>
  <si>
    <t>Old Brand Asset Library Plus</t>
  </si>
  <si>
    <t>obaapp01, obadb01</t>
  </si>
  <si>
    <t>On hold - waiting for interface owner sign-off</t>
  </si>
  <si>
    <t>Survey Tool</t>
  </si>
  <si>
    <t>No active users; switch-off confirmed with owner
Blocker: Interface owners not yet identified
Q: Which teams consume the outbound feeds?</t>
  </si>
  <si>
    <t>Document Repository Classic</t>
  </si>
  <si>
    <t>drcapp01</t>
  </si>
  <si>
    <t>Global Freight Booking Tool (Nordics)</t>
  </si>
  <si>
    <t>gfbapp01</t>
  </si>
  <si>
    <t>Custom Corporate Website CMS</t>
  </si>
  <si>
    <t>ccwapp01, ccwdb01, ccwweb01, ccwfs01</t>
  </si>
  <si>
    <t>Event Registration Tool v4</t>
  </si>
  <si>
    <t>Departmental Fleet Manager 2012</t>
  </si>
  <si>
    <t>dfmapp01</t>
  </si>
  <si>
    <t>Batch Scheduler (UK)</t>
  </si>
  <si>
    <t>Departmental Field Service Dispatcher (US)</t>
  </si>
  <si>
    <t>dfsapp01, dfsdb01</t>
  </si>
  <si>
    <t>Custom Appraisal Tool (APAC)</t>
  </si>
  <si>
    <t>catapp01, catdb01</t>
  </si>
  <si>
    <t>Legacy Price List Manager 2008</t>
  </si>
  <si>
    <t>Regional Facilities Request Portal 2012</t>
  </si>
  <si>
    <t>Travel Booking Tool (Nordics)</t>
  </si>
  <si>
    <t>Corporate Newsletter Mailer</t>
  </si>
  <si>
    <t>cnmapp01, cnmdb01, cnmweb01</t>
  </si>
  <si>
    <t>Shared Sales Forecast Tool</t>
  </si>
  <si>
    <t>Legacy AP Invoice Processor v3</t>
  </si>
  <si>
    <t>laiapp01, laidb01, laiweb01</t>
  </si>
  <si>
    <t>Corporate Demand Planner (FR)</t>
  </si>
  <si>
    <t>Commission Calculator</t>
  </si>
  <si>
    <t>ccxapp01, ccxdb01</t>
  </si>
  <si>
    <t>Regional Travel Booking Tool 2012</t>
  </si>
  <si>
    <t>rtbapp01</t>
  </si>
  <si>
    <t>Global Licence Manager (US)</t>
  </si>
  <si>
    <t>glmapp01</t>
  </si>
  <si>
    <t>Old Asset Register Plus</t>
  </si>
  <si>
    <t>Low business value; validate with owner
Blocker: Vendor notice period of 12 months
Q: Can the contract end be brought forward?</t>
  </si>
  <si>
    <t>Corporate Corporate Website CMS (DE)</t>
  </si>
  <si>
    <t>ccw-app01–05, ccw-db01</t>
  </si>
  <si>
    <t>Shared Billing Engine (UK)</t>
  </si>
  <si>
    <t>sbeapp01, sbedb01, sbeweb01, sbefs01</t>
  </si>
  <si>
    <t>Global Training Records Classic</t>
  </si>
  <si>
    <t>gtrapp01</t>
  </si>
  <si>
    <t>CMDB Lite (DE)</t>
  </si>
  <si>
    <t>Partner Portal v3</t>
  </si>
  <si>
    <t>ppvapp01</t>
  </si>
  <si>
    <t>Maintenance Scheduler 2012</t>
  </si>
  <si>
    <t>msxapp01, msxdb01, msxweb01, msxfs01</t>
  </si>
  <si>
    <t>Custom Document Repository v4</t>
  </si>
  <si>
    <t>Global Sales Forecast Tool v3</t>
  </si>
  <si>
    <t>Replacement option being confirmed
Blocker: Vendor notice period of 12 months
Q: Can the contract end be brought forward?</t>
  </si>
  <si>
    <t>Fleet Manager (Nordics)</t>
  </si>
  <si>
    <t>fmn-app01–04, fmn-db01</t>
  </si>
  <si>
    <t>Global Leave Manager v2</t>
  </si>
  <si>
    <t>glmapp01, glmdb01</t>
  </si>
  <si>
    <t>Shared Web Analytics Mart</t>
  </si>
  <si>
    <t>swaapp01, swadb01</t>
  </si>
  <si>
    <t>Regional Commission Calculator</t>
  </si>
  <si>
    <t>Custom CMDB Lite v3</t>
  </si>
  <si>
    <t>No active users; switch-off confirmed with owner
Blocker: Month-end close dependency
Q: Can the cut-over avoid the quarter-end freeze?</t>
  </si>
  <si>
    <t>Shared Tax Compliance Tool (APAC)</t>
  </si>
  <si>
    <t>Global Licence Manager v2</t>
  </si>
  <si>
    <t>Regional Sales Forecast Tool Lite</t>
  </si>
  <si>
    <t>rsfapp01</t>
  </si>
  <si>
    <t>4 feeds to re-point to Salesforce</t>
  </si>
  <si>
    <t>Regional Warehouse Mgmt System Lite</t>
  </si>
  <si>
    <t>rwmapp01</t>
  </si>
  <si>
    <t>Old Timesheet Portal (DE)</t>
  </si>
  <si>
    <t>otp-app01–04, otp-db01</t>
  </si>
  <si>
    <t>Departmental AP Invoice Processor (UK)</t>
  </si>
  <si>
    <t>Regional Ticket Desk v3</t>
  </si>
  <si>
    <t>rtdapp01, rtddb01, rtdweb01, rtdfs01</t>
  </si>
  <si>
    <t>Global AP Invoice Processor</t>
  </si>
  <si>
    <t>Shared AP Invoice Processor 2008</t>
  </si>
  <si>
    <t>saiapp01</t>
  </si>
  <si>
    <t>Legacy Intranet (SharePoint)</t>
  </si>
  <si>
    <t>Freight Booking Tool v2</t>
  </si>
  <si>
    <t>fbtapp01, fbtdb01</t>
  </si>
  <si>
    <t>Licence Manager (APAC)</t>
  </si>
  <si>
    <t>lmaapp01, lmadb01, lmaweb01</t>
  </si>
  <si>
    <t>Access Request Tool 2012</t>
  </si>
  <si>
    <t>artapp01, artdb01, artweb01, artfs01</t>
  </si>
  <si>
    <t>4 feeds to re-point to SharePoint Online</t>
  </si>
  <si>
    <t>Regional Cash Position Reporter</t>
  </si>
  <si>
    <t>rcpapp01</t>
  </si>
  <si>
    <t>Corporate Sales Forecast Tool (FR)</t>
  </si>
  <si>
    <t>Access Request Tool</t>
  </si>
  <si>
    <t>Departmental Monitoring Console</t>
  </si>
  <si>
    <t>4 feeds to re-point to SailPoint</t>
  </si>
  <si>
    <t>Shared Safety Incident Tracker Classic</t>
  </si>
  <si>
    <t>fs-ssi02 (file share)</t>
  </si>
  <si>
    <t>Departmental Access Request Tool Lite</t>
  </si>
  <si>
    <t>dar-app01–06, dar-db01</t>
  </si>
  <si>
    <t>Global CMDB Lite v4</t>
  </si>
  <si>
    <t>Owner to confirm usage before decision
Blocker: Vendor notice period of 12 months
Q: Can the contract end be brought forward?</t>
  </si>
  <si>
    <t>Departmental Access Request Tool Classic</t>
  </si>
  <si>
    <t>Legacy Event Registration Tool (FR)</t>
  </si>
  <si>
    <t>Warehouse Mgmt System (FR)</t>
  </si>
  <si>
    <t>Legacy Contract Repository (Nordics)</t>
  </si>
  <si>
    <t>Corporate Partner Portal v4</t>
  </si>
  <si>
    <t>cppapp01, cppdb01, cppweb01</t>
  </si>
  <si>
    <t>Departmental Production Scheduler Plus</t>
  </si>
  <si>
    <t>dpsapp01, dpsdb01, dpsweb01</t>
  </si>
  <si>
    <t>Custom Purchase Order System v4</t>
  </si>
  <si>
    <t>fs-cpo02 (file share)</t>
  </si>
  <si>
    <t>Quote Manager 2010</t>
  </si>
  <si>
    <t>qmxapp01, qmxdb01, qmxweb01, qmxfs01</t>
  </si>
  <si>
    <t>Corporate CMDB Lite (Nordics)</t>
  </si>
  <si>
    <t>ccl-app01–05, ccl-db01</t>
  </si>
  <si>
    <t>Departmental Timesheet Portal v4</t>
  </si>
  <si>
    <t>dtpapp01, dtpdb01, dtpweb01, dtpfs01</t>
  </si>
  <si>
    <t>Quote Manager</t>
  </si>
  <si>
    <t>Legacy AP Invoice Processor (FR)</t>
  </si>
  <si>
    <t>lai-app01–05, lai-db01</t>
  </si>
  <si>
    <t>Maintenance Scheduler v2</t>
  </si>
  <si>
    <t>msvapp01, msvdb01, msvweb01</t>
  </si>
  <si>
    <t>Cut-over planned for Dec-21; parallel run scheduled</t>
  </si>
  <si>
    <t>Corporate Inventory Control 2010</t>
  </si>
  <si>
    <t>cicapp01, cicdb01, cicweb01</t>
  </si>
  <si>
    <t>Shared Freight Booking Tool</t>
  </si>
  <si>
    <t>sfb-app01–06, sfb-db01</t>
  </si>
  <si>
    <t>Newsletter Mailer (APAC)</t>
  </si>
  <si>
    <t>nmaapp01, nmadb01</t>
  </si>
  <si>
    <t>Old Batch Scheduler (Nordics)</t>
  </si>
  <si>
    <t>obsapp01, obsdb01, obsweb01, obsfs01</t>
  </si>
  <si>
    <t>Regional Supplier Portal Classic</t>
  </si>
  <si>
    <t>Migration to Ariba 55% complete; cut-over by end of May</t>
  </si>
  <si>
    <t>Departmental Expense Portal (US)</t>
  </si>
  <si>
    <t>Custom Web Analytics Mart (FR)</t>
  </si>
  <si>
    <t>Fleet Manager 2008</t>
  </si>
  <si>
    <t>fmxapp01, fmxdb01</t>
  </si>
  <si>
    <t>Legacy Cash Position Reporter</t>
  </si>
  <si>
    <t>lcpapp01, lcpdb01</t>
  </si>
  <si>
    <t>Safety Incident Tracker</t>
  </si>
  <si>
    <t>Departmental Training Records</t>
  </si>
  <si>
    <t>dtrapp01, dtrdb01, dtrweb01</t>
  </si>
  <si>
    <t>Legacy Supplier Portal (US)</t>
  </si>
  <si>
    <t>lspapp01, lspdb01</t>
  </si>
  <si>
    <t>Credit Check Portal</t>
  </si>
  <si>
    <t>ccpapp01</t>
  </si>
  <si>
    <t>Global Budget Planner (UK)</t>
  </si>
  <si>
    <t>Legacy Batch Scheduler (Nordics)</t>
  </si>
  <si>
    <t>lbsapp01</t>
  </si>
  <si>
    <t>Custom Travel Booking Tool Plus</t>
  </si>
  <si>
    <t>ctbapp01, ctbdb01, ctbweb01</t>
  </si>
  <si>
    <t>Shared Campaign DB 2008</t>
  </si>
  <si>
    <t>Org Chart Publisher</t>
  </si>
  <si>
    <t>Facilities Request Portal 2012</t>
  </si>
  <si>
    <t>Old Monitoring Console (DE)</t>
  </si>
  <si>
    <t>omc-app01–04, omc-db01</t>
  </si>
  <si>
    <t>Quality Incident Log 2008</t>
  </si>
  <si>
    <t>Global Newsletter Mailer (Nordics)</t>
  </si>
  <si>
    <t>Migration to HubSpot 85% complete; cut-over by end of May</t>
  </si>
  <si>
    <t>Departmental Maintenance Scheduler Lite</t>
  </si>
  <si>
    <t>dmsapp01, dmsdb01</t>
  </si>
  <si>
    <t>Regional Web Analytics Mart 2008</t>
  </si>
  <si>
    <t>rwaapp01, rwadb01</t>
  </si>
  <si>
    <t>Custom Fleet Manager 2010</t>
  </si>
  <si>
    <t>Web Analytics Mart (APAC)</t>
  </si>
  <si>
    <t>wam-app01–06, wam-db01</t>
  </si>
  <si>
    <t>Corporate Document Repository v3</t>
  </si>
  <si>
    <t>Safety Incident Tracker 2012</t>
  </si>
  <si>
    <t>sit-app01–05, sit-db01</t>
  </si>
  <si>
    <t>Corporate CMDB Lite</t>
  </si>
  <si>
    <t>cclapp01, ccldb01, cclweb01, cclfs01</t>
  </si>
  <si>
    <t>Legacy Intranet (SharePoint) 2010</t>
  </si>
  <si>
    <t>lisapp01, lisdb01, lisweb01, lisfs01</t>
  </si>
  <si>
    <t>Corporate Website CMS 2008</t>
  </si>
  <si>
    <t>cwcapp01, cwcdb01</t>
  </si>
  <si>
    <t>Supplier Portal Classic</t>
  </si>
  <si>
    <t>fs-spc02 (file share)</t>
  </si>
  <si>
    <t>Old Freight Booking Tool (Nordics)</t>
  </si>
  <si>
    <t>Custom Newsletter Mailer (APAC)</t>
  </si>
  <si>
    <t>cnmapp01</t>
  </si>
  <si>
    <t>Shipment Tracker Classic</t>
  </si>
  <si>
    <t>stcapp01, stcdb01, stcweb01</t>
  </si>
  <si>
    <t>Corporate Maintenance Scheduler Lite</t>
  </si>
  <si>
    <t>Corporate Expense Portal (US)</t>
  </si>
  <si>
    <t>cepapp01, cepdb01</t>
  </si>
  <si>
    <t>Departmental Access Request Tool Plus</t>
  </si>
  <si>
    <t>dar-app01–07, dar-db01</t>
  </si>
  <si>
    <t>Custom Fleet Manager 2012</t>
  </si>
  <si>
    <t>Purchase Order System (US)</t>
  </si>
  <si>
    <t>Intranet (SharePoint) 2012</t>
  </si>
  <si>
    <t>Custom Tax Compliance Tool v4</t>
  </si>
  <si>
    <t>ctcapp01, ctcdb01</t>
  </si>
  <si>
    <t>Credit Check Portal 2010</t>
  </si>
  <si>
    <t>Custom Inventory Control v4</t>
  </si>
  <si>
    <t>cicapp01</t>
  </si>
  <si>
    <t>Regional Facilities Request Portal Classic</t>
  </si>
  <si>
    <t>rfrapp01, rfrdb01</t>
  </si>
  <si>
    <t>Old Price List Manager (DE)</t>
  </si>
  <si>
    <t>Timesheet Portal 2012</t>
  </si>
  <si>
    <t>tpxapp01, tpxdb01, tpxweb01, tpxfs01</t>
  </si>
  <si>
    <t>Custom Customer Contact Manager 2008</t>
  </si>
  <si>
    <t>Global Partner Portal v2</t>
  </si>
  <si>
    <t>gppapp01, gppdb01</t>
  </si>
  <si>
    <t>Departmental Purchase Order System</t>
  </si>
  <si>
    <t>dpo-app01–04, dpo-db01</t>
  </si>
  <si>
    <t>Low business value; validate with owner
Blocker: Replacement rollout dependency
Q: What is the go-live date of the target platform?</t>
  </si>
  <si>
    <t>Fleet Manager v4</t>
  </si>
  <si>
    <t>fmvapp01</t>
  </si>
  <si>
    <t>Retention requirement to be confirmed
Blocker: Legal sign-off on retention
Q: Who owns the retention decision for archived records?</t>
  </si>
  <si>
    <t>CMDB Lite v3</t>
  </si>
  <si>
    <t>clvapp01, clvdb01</t>
  </si>
  <si>
    <t>Supplier Portal 2008</t>
  </si>
  <si>
    <t>Global GL Consolidation Tool (DE)</t>
  </si>
  <si>
    <t>ggcapp01, ggcdb01, ggcweb01</t>
  </si>
  <si>
    <t>Corporate Facilities Request Portal v3</t>
  </si>
  <si>
    <t>Departmental Demand Planner Classic</t>
  </si>
  <si>
    <t>ddpapp01</t>
  </si>
  <si>
    <t>Retention requirement to be confirmed
Blocker: Regulatory retention requirement
Q: Can the archive move to the enterprise archive, or must it stay vendor-hosted?</t>
  </si>
  <si>
    <t>Custom Tax Compliance Tool (FR)</t>
  </si>
  <si>
    <t>Departmental Payroll Interface</t>
  </si>
  <si>
    <t>Regional Quality Incident Log (DE)</t>
  </si>
  <si>
    <t>rqiapp01, rqidb01</t>
  </si>
  <si>
    <t>Sales Forecast Tool (DE)</t>
  </si>
  <si>
    <t>sftapp01, sftdb01, sftweb01</t>
  </si>
  <si>
    <t>Custom Contract Repository Classic</t>
  </si>
  <si>
    <t>ccrapp01, ccrdb01</t>
  </si>
  <si>
    <t>Global Contract Repository</t>
  </si>
  <si>
    <t>gcrapp01, gcrdb01</t>
  </si>
  <si>
    <t>Departmental Document Repository v2</t>
  </si>
  <si>
    <t>ddrapp01</t>
  </si>
  <si>
    <t>Regional Brand Asset Library (APAC)</t>
  </si>
  <si>
    <t>Regional Recruitment Tracker</t>
  </si>
  <si>
    <t>Custom Leave Manager Plus</t>
  </si>
  <si>
    <t>Departmental Quote Manager Plus</t>
  </si>
  <si>
    <t>fs-dqm02 (file share)</t>
  </si>
  <si>
    <t>Global Price List Manager 2012</t>
  </si>
  <si>
    <t>gpl-app01–07, gpl-db01</t>
  </si>
  <si>
    <t>Legacy Order Entry Portal Lite</t>
  </si>
  <si>
    <t>loeapp01, loedb01</t>
  </si>
  <si>
    <t>Safety Incident Tracker (Nordics)</t>
  </si>
  <si>
    <t>sitapp01, sitdb01, sitweb01, sitfs01</t>
  </si>
  <si>
    <t>Departmental Safety Incident Tracker (APAC)</t>
  </si>
  <si>
    <t>fs-dsi02 (file share)</t>
  </si>
  <si>
    <t>Contract Repository</t>
  </si>
  <si>
    <t>crxapp01, crxdb01, crxweb01, crxfs01</t>
  </si>
  <si>
    <t>Migrated to SAP Concur; legacy switched off Apr-21</t>
  </si>
  <si>
    <t>Travel Booking Tool 2008</t>
  </si>
  <si>
    <t>Regional Intranet (SharePoint) (DE)</t>
  </si>
  <si>
    <t>risapp01</t>
  </si>
  <si>
    <t>Shared Event Registration Tool 2008</t>
  </si>
  <si>
    <t>Global Billing Engine 2008</t>
  </si>
  <si>
    <t>gbeapp01, gbedb01</t>
  </si>
  <si>
    <t>Shared Shipment Tracker v4</t>
  </si>
  <si>
    <t>sst-app01–07, sst-db01</t>
  </si>
  <si>
    <t>Global Newsletter Mailer v2</t>
  </si>
  <si>
    <t>gnmapp01</t>
  </si>
  <si>
    <t>Custom Leave Manager (FR)</t>
  </si>
  <si>
    <t>CMDB Lite (US)</t>
  </si>
  <si>
    <t>Global Purchase Order System (UK)</t>
  </si>
  <si>
    <t>gpoapp01, gpodb01, gpoweb01, gpofs01</t>
  </si>
  <si>
    <t>Departmental AP Invoice Processor 2012</t>
  </si>
  <si>
    <t>daiapp01, daidb01</t>
  </si>
  <si>
    <t>Departmental Demand Planner (UK)</t>
  </si>
  <si>
    <t>Sales Forecast Tool (Nordics)</t>
  </si>
  <si>
    <t>Cut-over planned for Feb-22; parallel run scheduled</t>
  </si>
  <si>
    <t>Regional Customer Contact Manager</t>
  </si>
  <si>
    <t>rccapp01, rccdb01, rccweb01, rccfs01</t>
  </si>
  <si>
    <t>Departmental Field Service Dispatcher v4</t>
  </si>
  <si>
    <t>Corporate Cash Position Reporter</t>
  </si>
  <si>
    <t>ccpapp01, ccpdb01</t>
  </si>
  <si>
    <t>Legacy Brand Asset Library Plus</t>
  </si>
  <si>
    <t>Recruitment Tracker Classic</t>
  </si>
  <si>
    <t>Old Facilities Request Portal (UK)</t>
  </si>
  <si>
    <t>ofrapp01, ofrdb01</t>
  </si>
  <si>
    <t>Corporate Newsletter Mailer Lite</t>
  </si>
  <si>
    <t>cnmapp01, cnmdb01</t>
  </si>
  <si>
    <t>Old Licence Manager Classic</t>
  </si>
  <si>
    <t>olmapp01, olmdb01, olmweb01</t>
  </si>
  <si>
    <t>5 feeds to re-point to Splunk</t>
  </si>
  <si>
    <t>Departmental Commission Calculator (DE)</t>
  </si>
  <si>
    <t>Departmental Demand Planner Lite</t>
  </si>
  <si>
    <t>Corporate Facilities Request Portal 2010</t>
  </si>
  <si>
    <t>5 feeds to re-point to Fiix</t>
  </si>
  <si>
    <t>Custom Corporate Website CMS v2</t>
  </si>
  <si>
    <t>ccwapp01, ccwdb01</t>
  </si>
  <si>
    <t>Production Scheduler v2</t>
  </si>
  <si>
    <t>psv-app01–04, psv-db01</t>
  </si>
  <si>
    <t>Org Chart Publisher v4</t>
  </si>
  <si>
    <t>2 feeds to re-point to Workday Recruiting</t>
  </si>
  <si>
    <t>Shared Event Registration Tool (DE)</t>
  </si>
  <si>
    <t>serapp01, serdb01</t>
  </si>
  <si>
    <t>Funding approved; migration to HubSpot scheduled</t>
  </si>
  <si>
    <t>Freight Booking Tool v3</t>
  </si>
  <si>
    <t>Travel Booking Tool 2010</t>
  </si>
  <si>
    <t>tbtapp01, tbtdb01, tbtweb01, tbtfs01</t>
  </si>
  <si>
    <t>Regional Brand Asset Library 2010</t>
  </si>
  <si>
    <t>rbaapp01, rbadb01</t>
  </si>
  <si>
    <t>Departmental Quote Manager (DE)</t>
  </si>
  <si>
    <t>Legacy Commission Calculator v3</t>
  </si>
  <si>
    <t>lccapp01</t>
  </si>
  <si>
    <t>Old Org Chart Publisher v2</t>
  </si>
  <si>
    <t>oocapp01, oocdb01, oocweb01</t>
  </si>
  <si>
    <t>Supplier Portal (US)</t>
  </si>
  <si>
    <t>spuapp01, spudb01, spuweb01</t>
  </si>
  <si>
    <t>Leave Manager</t>
  </si>
  <si>
    <t>lmxapp01, lmxdb01, lmxweb01, lmxfs01</t>
  </si>
  <si>
    <t>Global Event Registration Tool (Nordics)</t>
  </si>
  <si>
    <t>gerapp01, gerdb01, gerweb01</t>
  </si>
  <si>
    <t>Archive format agreed; load scheduled before switch-off
Blocker: Vendor notice period of 12 months
Q: Can the contract end be brought forward?</t>
  </si>
  <si>
    <t>Departmental Facilities Request Portal 2010</t>
  </si>
  <si>
    <t>ServiceMax (planned)</t>
  </si>
  <si>
    <t>Intranet (SharePoint) (UK)</t>
  </si>
  <si>
    <t>isuapp01, isudb01, isuweb01</t>
  </si>
  <si>
    <t>Access Request Tool Classic</t>
  </si>
  <si>
    <t>artapp01, artdb01</t>
  </si>
  <si>
    <t>Custom Batch Scheduler (US)</t>
  </si>
  <si>
    <t>cbsapp01, cbsdb01</t>
  </si>
  <si>
    <t>Lotus Notes</t>
  </si>
  <si>
    <t>Email &amp; Collaboration</t>
  </si>
  <si>
    <t>Microsoft 365 (Exchange Online)</t>
  </si>
  <si>
    <t>lotus-mail01–04, lotus-app01, lotus-hub01</t>
  </si>
  <si>
    <t>IBM Domino 9.0.1</t>
  </si>
  <si>
    <t>Mailboxes migrated in batches; Domino apps rebuilt on Power Platform; switch-off May-21</t>
  </si>
  <si>
    <t>Global Batch Scheduler Lite</t>
  </si>
  <si>
    <t>gbsapp01, gbsdb01</t>
  </si>
  <si>
    <t>Global Travel Booking Tool (Nordics)</t>
  </si>
  <si>
    <t>gtbapp01, gtbdb01</t>
  </si>
  <si>
    <t>Departmental Order Entry Portal 2008</t>
  </si>
  <si>
    <t>doeapp01, doedb01</t>
  </si>
  <si>
    <t>Shared Licence Manager (US)</t>
  </si>
  <si>
    <t>Funding approved; migration to Splunk scheduled</t>
  </si>
  <si>
    <t>Legacy Fleet Manager Classic</t>
  </si>
  <si>
    <t>Intelex</t>
  </si>
  <si>
    <t>lfm-app01–07, lfm-db01</t>
  </si>
  <si>
    <t>Credit Check Portal (UK)</t>
  </si>
  <si>
    <t>Funding approved; migration to BlackLine scheduled</t>
  </si>
  <si>
    <t>Brand Asset Library (Nordics)</t>
  </si>
  <si>
    <t>Switched off Jan-21; licence terminated</t>
  </si>
  <si>
    <t>Order Entry Portal</t>
  </si>
  <si>
    <t>oepapp01, oepdb01, oepweb01, oepfs01</t>
  </si>
  <si>
    <t>Old Supplier Portal Plus</t>
  </si>
  <si>
    <t>ospapp01, ospdb01</t>
  </si>
  <si>
    <t>Regional Inventory Control (US)</t>
  </si>
  <si>
    <t>ricapp01, ricdb01, ricweb01, ricfs01</t>
  </si>
  <si>
    <t>Departmental Brand Asset Library v4</t>
  </si>
  <si>
    <t>6 feeds to re-point to Eventbrite</t>
  </si>
  <si>
    <t>Timesheet Portal</t>
  </si>
  <si>
    <t>Legacy Customer Contact Manager v2</t>
  </si>
  <si>
    <t>lccapp01, lccdb01, lccweb01, lccfs01</t>
  </si>
  <si>
    <t>Production Scheduler</t>
  </si>
  <si>
    <t>Access Request Tool (DE)</t>
  </si>
  <si>
    <t>Legacy Timesheet Portal</t>
  </si>
  <si>
    <t>Departmental Ticket Desk (UK)</t>
  </si>
  <si>
    <t>dtd-app01–07, dtd-db01</t>
  </si>
  <si>
    <t>Corporate Production Scheduler v3</t>
  </si>
  <si>
    <t>Corporate Safety Incident Tracker v2</t>
  </si>
  <si>
    <t>csi-app01–06, csi-db01</t>
  </si>
  <si>
    <t>Shared Billing Engine (FR)</t>
  </si>
  <si>
    <t>Web Analytics Mart</t>
  </si>
  <si>
    <t>Brand Asset Library v4</t>
  </si>
  <si>
    <t>balapp01, baldb01</t>
  </si>
  <si>
    <t>Shared Maintenance Scheduler 2010</t>
  </si>
  <si>
    <t>sms-app01–05, sms-db01</t>
  </si>
  <si>
    <t>Dependencies to be mapped
Blocker: Replacement not yet funded
Q: Is budget confirmed in the next planning cycle?</t>
  </si>
  <si>
    <t>Old Quote Manager 2010</t>
  </si>
  <si>
    <t>Event Registration Tool (US)</t>
  </si>
  <si>
    <t>ertapp01, ertdb01, ertweb01, ertfs01</t>
  </si>
  <si>
    <t>Maintenance Scheduler (DE)</t>
  </si>
  <si>
    <t>IBM Maximo (planned)</t>
  </si>
  <si>
    <t>msdapp01, msddb01, msdweb01</t>
  </si>
  <si>
    <t>Old Payroll Interface (APAC)</t>
  </si>
  <si>
    <t>Supplier Portal v3</t>
  </si>
  <si>
    <t>spvapp01</t>
  </si>
  <si>
    <t>Corporate Customer Contact Manager 2010</t>
  </si>
  <si>
    <t>cccapp01, cccdb01, cccweb01</t>
  </si>
  <si>
    <t>Corporate Inventory Control</t>
  </si>
  <si>
    <t>cicapp01, cicdb01, cicweb01, cicfs01</t>
  </si>
  <si>
    <t>Cut-over planned for Jul-22; parallel run scheduled</t>
  </si>
  <si>
    <t>Shared Document Repository (DE)</t>
  </si>
  <si>
    <t>Legacy Billing Engine 2008</t>
  </si>
  <si>
    <t>lbe-app01–06, lbe-db01</t>
  </si>
  <si>
    <t>Funding approved; migration to SAP S/4HANA scheduled
Blocker: Regulatory retention requirement
Q: Can the archive move to the enterprise archive, or must it stay vendor-hosted?</t>
  </si>
  <si>
    <t>Departmental AP Invoice Processor Plus</t>
  </si>
  <si>
    <t>dai-app01–06, dai-db01</t>
  </si>
  <si>
    <t>Regional Partner Portal (FR)</t>
  </si>
  <si>
    <t>rppapp01, rppdb01, rppweb01, rppfs01</t>
  </si>
  <si>
    <t>Replacement option being confirmed
Blocker: Archive platform capacity not confirmed
Q: Can the enterprise archive take this volume this year?</t>
  </si>
  <si>
    <t>GL Consolidation Tool</t>
  </si>
  <si>
    <t>gctapp01, gctdb01</t>
  </si>
  <si>
    <t>Asset Register</t>
  </si>
  <si>
    <t>arxapp01</t>
  </si>
  <si>
    <t>Newsletter Mailer (DE)</t>
  </si>
  <si>
    <t>nmdapp01, nmddb01, nmdweb01</t>
  </si>
  <si>
    <t>Old Field Service Dispatcher v3</t>
  </si>
  <si>
    <t>ofsapp01, ofsdb01</t>
  </si>
  <si>
    <t>Corporate Asset Register</t>
  </si>
  <si>
    <t>Shared Cash Position Reporter 2010</t>
  </si>
  <si>
    <t>fs-scp02 (file share)</t>
  </si>
  <si>
    <t>Production Scheduler (UK)</t>
  </si>
  <si>
    <t>Custom Fleet Manager</t>
  </si>
  <si>
    <t>Intranet (SharePoint) v2</t>
  </si>
  <si>
    <t>isvapp01, isvdb01, isvweb01</t>
  </si>
  <si>
    <t>Corporate Ticket Desk v2</t>
  </si>
  <si>
    <t>Awaiting dependency mapping
Blocker: Replacement not yet funded
Q: Is budget confirmed in the next planning cycle?</t>
  </si>
  <si>
    <t>Order Entry Portal (APAC)</t>
  </si>
  <si>
    <t>Survey Tool v4</t>
  </si>
  <si>
    <t>stvapp01, stvdb01, stvweb01, stvfs01</t>
  </si>
  <si>
    <t>Custom Expense Portal 2010</t>
  </si>
  <si>
    <t>Regional Survey Tool v3</t>
  </si>
  <si>
    <t>Marketo (planned)</t>
  </si>
  <si>
    <t>rstapp01, rstdb01</t>
  </si>
  <si>
    <t>Funding approved; migration to Marketo scheduled</t>
  </si>
  <si>
    <t>Legacy Corporate Website CMS</t>
  </si>
  <si>
    <t>lcwapp01, lcwdb01, lcwweb01, lcwfs01</t>
  </si>
  <si>
    <t>3 feeds to re-point to Adobe Campaign</t>
  </si>
  <si>
    <t>Leave Manager 2008</t>
  </si>
  <si>
    <t>lmx-app01–05, lmx-db01</t>
  </si>
  <si>
    <t>Corporate Batch Scheduler Classic</t>
  </si>
  <si>
    <t>CMDB Lite (Nordics)</t>
  </si>
  <si>
    <t>clnapp01, clndb01</t>
  </si>
  <si>
    <t>Business case under review with owner
Blocker: Legal sign-off on retention
Q: Who owns the retention decision for archived records?</t>
  </si>
  <si>
    <t>Ticket Desk v3</t>
  </si>
  <si>
    <t>tdvapp01, tdvdb01</t>
  </si>
  <si>
    <t>Regional Safety Incident Tracker Lite</t>
  </si>
  <si>
    <t>rsiapp01</t>
  </si>
  <si>
    <t>Corporate Tax Compliance Tool Plus</t>
  </si>
  <si>
    <t>Timesheet Portal (UK)</t>
  </si>
  <si>
    <t>Custom Payroll Interface (DE)</t>
  </si>
  <si>
    <t>Global Fleet Manager Classic</t>
  </si>
  <si>
    <t>gfmapp01, gfmdb01, gfmweb01</t>
  </si>
  <si>
    <t>Cash Position Reporter (APAC)</t>
  </si>
  <si>
    <t>cpr-app01–07, cpr-db01</t>
  </si>
  <si>
    <t>Shared Timesheet Portal v3</t>
  </si>
  <si>
    <t>stpapp01, stpdb01</t>
  </si>
  <si>
    <t>Custom Web Analytics Mart</t>
  </si>
  <si>
    <t>cwaapp01, cwadb01, cwaweb01</t>
  </si>
  <si>
    <t>Billing Engine v3</t>
  </si>
  <si>
    <t>Shared Intranet (SharePoint) Plus</t>
  </si>
  <si>
    <t>sisapp01, sisdb01</t>
  </si>
  <si>
    <t>Cut-over planned for Sep-22; parallel run scheduled</t>
  </si>
  <si>
    <t>Global Field Service Dispatcher v2</t>
  </si>
  <si>
    <t>gfsapp01, gfsdb01, gfsweb01, gfsfs01</t>
  </si>
  <si>
    <t>Warehouse Mgmt System (DE)</t>
  </si>
  <si>
    <t>Fleet Manager</t>
  </si>
  <si>
    <t>fmxapp01, fmxdb01, fmxweb01, fmxfs01</t>
  </si>
  <si>
    <t>Legacy Access Request Tool 2012</t>
  </si>
  <si>
    <t>larapp01, lardb01, larweb01, larfs01</t>
  </si>
  <si>
    <t>Corporate Demand Planner</t>
  </si>
  <si>
    <t>Legacy Access Request Tool (FR)</t>
  </si>
  <si>
    <t>Read-only access needed for audit
Blocker: Archive platform capacity not confirmed
Q: Can the enterprise archive take this volume this year?</t>
  </si>
  <si>
    <t>Departmental Inventory Control</t>
  </si>
  <si>
    <t>Regional Benefits Enrolment Plus</t>
  </si>
  <si>
    <t>Regional Freight Booking Tool 2008</t>
  </si>
  <si>
    <t>rfbapp01</t>
  </si>
  <si>
    <t>Legacy Access Request Tool</t>
  </si>
  <si>
    <t>lar-app01–05, lar-db01</t>
  </si>
  <si>
    <t>Legacy Document Repository v4</t>
  </si>
  <si>
    <t>ldrapp01</t>
  </si>
  <si>
    <t>Old Supplier Portal</t>
  </si>
  <si>
    <t>ospapp01, ospdb01, ospweb01</t>
  </si>
  <si>
    <t>Departmental Sales Forecast Tool</t>
  </si>
  <si>
    <t>dsfapp01, dsfdb01, dsfweb01</t>
  </si>
  <si>
    <t>Shared Campaign DB (UK)</t>
  </si>
  <si>
    <t>Global Survey Tool Classic</t>
  </si>
  <si>
    <t>gstapp01, gstdb01, gstweb01</t>
  </si>
  <si>
    <t>Global Licence Manager (FR)</t>
  </si>
  <si>
    <t>glmapp01, glmdb01, glmweb01</t>
  </si>
  <si>
    <t>Shared Shipment Tracker 2012</t>
  </si>
  <si>
    <t>sst-app01–04, sst-db01</t>
  </si>
  <si>
    <t>Campaign DB</t>
  </si>
  <si>
    <t>cdx-app01–04, cdx-db01</t>
  </si>
  <si>
    <t>Price List Manager (DE)</t>
  </si>
  <si>
    <t>Read-only access needed for audit
Blocker: Legal sign-off on retention
Q: Who owns the retention decision for archived records?</t>
  </si>
  <si>
    <t>Quote Manager (DE)</t>
  </si>
  <si>
    <t>qmdapp01, qmddb01, qmdweb01</t>
  </si>
  <si>
    <t>Old Supplier Portal (Nordics)</t>
  </si>
  <si>
    <t>Manhattan WMS (planned)</t>
  </si>
  <si>
    <t>Departmental Freight Booking Tool Classic</t>
  </si>
  <si>
    <t>dfbapp01, dfbdb01</t>
  </si>
  <si>
    <t>Departmental Event Registration Tool (Nordics)</t>
  </si>
  <si>
    <t>Eventbrite (planned)</t>
  </si>
  <si>
    <t>derapp01, derdb01, derweb01, derfs01</t>
  </si>
  <si>
    <t>Corporate Sales Forecast Tool v4</t>
  </si>
  <si>
    <t>Legacy Contract Repository</t>
  </si>
  <si>
    <t>lcr-app01–04, lcr-db01</t>
  </si>
  <si>
    <t>Shared Travel Booking Tool</t>
  </si>
  <si>
    <t>Shared Purchase Order System (US)</t>
  </si>
  <si>
    <t>spo-app01–06, spo-db01</t>
  </si>
  <si>
    <t>3 feeds to re-point to Ariba</t>
  </si>
  <si>
    <t>Brand Asset Library Classic</t>
  </si>
  <si>
    <t>Shared Corporate Website CMS (APAC)</t>
  </si>
  <si>
    <t>scwapp01, scwdb01</t>
  </si>
  <si>
    <t>Regional GL Consolidation Tool (US)</t>
  </si>
  <si>
    <t>Global Field Service Dispatcher 2008</t>
  </si>
  <si>
    <t>gfsapp01, gfsdb01</t>
  </si>
  <si>
    <t>Regional Order Entry Portal 2012</t>
  </si>
  <si>
    <t>roeapp01, roedb01, roeweb01</t>
  </si>
  <si>
    <t>Production Scheduler 2010</t>
  </si>
  <si>
    <t>psxapp01</t>
  </si>
  <si>
    <t>Custom Campaign DB</t>
  </si>
  <si>
    <t>Timesheet Portal v3</t>
  </si>
  <si>
    <t>tpvapp01, tpvdb01, tpvweb01</t>
  </si>
  <si>
    <t>Shared Inventory Control v3</t>
  </si>
  <si>
    <t>Custom Commission Calculator (Nordics)</t>
  </si>
  <si>
    <t>cccapp01, cccdb01, cccweb01, cccfs01</t>
  </si>
  <si>
    <t>Facilities Request Portal (US)</t>
  </si>
  <si>
    <t>Shared Contract Repository</t>
  </si>
  <si>
    <t>Departmental Event Registration Tool (DE)</t>
  </si>
  <si>
    <t>Regional Credit Check Portal v3</t>
  </si>
  <si>
    <t>rccapp01</t>
  </si>
  <si>
    <t>Shared Supplier Portal Classic</t>
  </si>
  <si>
    <t>sspapp01, sspdb01, sspweb01</t>
  </si>
  <si>
    <t>Departmental Payroll Interface (APAC)</t>
  </si>
  <si>
    <t>dpiapp01</t>
  </si>
  <si>
    <t>Regional Licence Manager</t>
  </si>
  <si>
    <t>rlmapp01, rlmdb01, rlmweb01, rlmfs01</t>
  </si>
  <si>
    <t>Legacy Purchase Order System</t>
  </si>
  <si>
    <t>Custom Tax Compliance Tool (DE)</t>
  </si>
  <si>
    <t>Access Request Tool v4</t>
  </si>
  <si>
    <t>Custom Event Registration Tool</t>
  </si>
  <si>
    <t>cerapp01</t>
  </si>
  <si>
    <t>Regional Supplier Portal v4</t>
  </si>
  <si>
    <t>Business case under review with owner
Blocker: Replacement not yet funded
Q: Is budget confirmed in the next planning cycle?</t>
  </si>
  <si>
    <t>Appraisal Tool</t>
  </si>
  <si>
    <t>atxapp01, atxdb01, atxweb01</t>
  </si>
  <si>
    <t>Regional Warehouse Mgmt System v3</t>
  </si>
  <si>
    <t>rwm-app01–05, rwm-db01</t>
  </si>
  <si>
    <t>Custom Timesheet Portal Lite</t>
  </si>
  <si>
    <t>ctpapp01, ctpdb01, ctpweb01</t>
  </si>
  <si>
    <t>Custom Facilities Request Portal v3</t>
  </si>
  <si>
    <t>Ticket Desk (DE)</t>
  </si>
  <si>
    <t>tddapp01, tdddb01, tddweb01</t>
  </si>
  <si>
    <t>Shared Intranet (SharePoint) v3</t>
  </si>
  <si>
    <t>sisapp01, sisdb01, sisweb01, sisfs01</t>
  </si>
  <si>
    <t>Production Scheduler 2012</t>
  </si>
  <si>
    <t>psxapp01, psxdb01, psxweb01</t>
  </si>
  <si>
    <t>Custom Safety Incident Tracker (FR)</t>
  </si>
  <si>
    <t>Cut-over planned for Oct-22; parallel run scheduled</t>
  </si>
  <si>
    <t>Brand Asset Library v3</t>
  </si>
  <si>
    <t>Global Monitoring Console Lite</t>
  </si>
  <si>
    <t>gmcapp01, gmcdb01, gmcweb01, gmcfs01</t>
  </si>
  <si>
    <t>Old Licence Manager (DE)</t>
  </si>
  <si>
    <t>Asset Register v4</t>
  </si>
  <si>
    <t>Field Service Dispatcher v3</t>
  </si>
  <si>
    <t>fsdapp01, fsddb01, fsdweb01</t>
  </si>
  <si>
    <t>Regional Commission Calculator v2</t>
  </si>
  <si>
    <t>Shared Commission Calculator</t>
  </si>
  <si>
    <t>Owner to confirm usage before decision
Blocker: Interface owners not yet identified
Q: Which teams consume the outbound feeds?</t>
  </si>
  <si>
    <t>Global Production Scheduler (Nordics)</t>
  </si>
  <si>
    <t>Custom Maintenance Scheduler 2010</t>
  </si>
  <si>
    <t>Departmental Intranet (SharePoint) (US)</t>
  </si>
  <si>
    <t>disapp01, disdb01, disweb01, disfs01</t>
  </si>
  <si>
    <t>Regional Budget Planner</t>
  </si>
  <si>
    <t>rbpapp01, rbpdb01, rbpweb01, rbpfs01</t>
  </si>
  <si>
    <t>Corporate Freight Booking Tool Lite</t>
  </si>
  <si>
    <t>cfbapp01, cfbdb01</t>
  </si>
  <si>
    <t>Functionality covered by existing tools
Blocker: Legal sign-off on retention
Q: Who owns the retention decision for archived records?</t>
  </si>
  <si>
    <t>Regional Warehouse Mgmt System (Nordics)</t>
  </si>
  <si>
    <t>rwmapp01, rwmdb01, rwmweb01, rwmfs01</t>
  </si>
  <si>
    <t>Regional Commission Calculator 2010</t>
  </si>
  <si>
    <t>Legacy Web Analytics Mart (APAC)</t>
  </si>
  <si>
    <t>lwaapp01, lwadb01, lwaweb01, lwafs01</t>
  </si>
  <si>
    <t>Legacy Customer Contact Manager (UK)</t>
  </si>
  <si>
    <t>Corporate Credit Check Portal Lite</t>
  </si>
  <si>
    <t>Global Fleet Manager (US)</t>
  </si>
  <si>
    <t>Global Training Records v2</t>
  </si>
  <si>
    <t>Shared Newsletter Mailer Classic</t>
  </si>
  <si>
    <t>snm-app01–06, snm-db01</t>
  </si>
  <si>
    <t>Global Travel Booking Tool v2</t>
  </si>
  <si>
    <t>gtbapp01, gtbdb01, gtbweb01, gtbfs01</t>
  </si>
  <si>
    <t>Corporate Batch Scheduler Plus</t>
  </si>
  <si>
    <t>cbsapp01, cbsdb01, cbsweb01</t>
  </si>
  <si>
    <t>Corporate Event Registration Tool</t>
  </si>
  <si>
    <t>cerapp01, cerdb01, cerweb01, cerfs01</t>
  </si>
  <si>
    <t>Old Access Request Tool Classic</t>
  </si>
  <si>
    <t>Purchase Order System v2</t>
  </si>
  <si>
    <t>Monitoring Console v3</t>
  </si>
  <si>
    <t>mcvapp01, mcvdb01</t>
  </si>
  <si>
    <t>Shared Survey Tool (FR)</t>
  </si>
  <si>
    <t>sstapp01, sstdb01, sstweb01, sstfs01</t>
  </si>
  <si>
    <t>Custom Production Scheduler</t>
  </si>
  <si>
    <t>cpsapp01, cpsdb01, cpsweb01</t>
  </si>
  <si>
    <t>Legacy Monitoring Console 2008</t>
  </si>
  <si>
    <t>lmcapp01, lmcdb01</t>
  </si>
  <si>
    <t>Survey Tool v2</t>
  </si>
  <si>
    <t>Legacy Partner Portal v4</t>
  </si>
  <si>
    <t>lppapp01, lppdb01, lppweb01, lppfs01</t>
  </si>
  <si>
    <t>Regional Price List Manager (UK)</t>
  </si>
  <si>
    <t>rplapp01, rpldb01, rplweb01, rplfs01</t>
  </si>
  <si>
    <t>Web Analytics Mart Plus</t>
  </si>
  <si>
    <t>wamapp01, wamdb01</t>
  </si>
  <si>
    <t>Legacy Production Scheduler (FR)</t>
  </si>
  <si>
    <t>lpsapp01</t>
  </si>
  <si>
    <t>Custom Quality Incident Log (US)</t>
  </si>
  <si>
    <t>Regional Budget Planner (APAC)</t>
  </si>
  <si>
    <t>rbpapp01, rbpdb01</t>
  </si>
  <si>
    <t>Legacy Demand Planner (DE)</t>
  </si>
  <si>
    <t>Owner to confirm usage before decision
Blocker: Replacement not yet funded
Q: Is budget confirmed in the next planning cycle?</t>
  </si>
  <si>
    <t>Shared Travel Booking Tool v3</t>
  </si>
  <si>
    <t>Owner to confirm usage before decision
Blocker: Month-end close dependency
Q: Can the cut-over avoid the quarter-end freeze?</t>
  </si>
  <si>
    <t>Corporate Order Entry Portal 2008</t>
  </si>
  <si>
    <t>Regional Campaign DB (US)</t>
  </si>
  <si>
    <t>Funding approved; migration to Qualtrics scheduled</t>
  </si>
  <si>
    <t>Shared Fleet Manager</t>
  </si>
  <si>
    <t>sfmapp01, sfmdb01, sfmweb01</t>
  </si>
  <si>
    <t>6 feeds to re-point to Intelex</t>
  </si>
  <si>
    <t>Global Inventory Control 2008</t>
  </si>
  <si>
    <t>Cash Position Reporter (UK)</t>
  </si>
  <si>
    <t>Icertis CLM (planned)</t>
  </si>
  <si>
    <t>cprapp01, cprdb01, cprweb01, cprfs01</t>
  </si>
  <si>
    <t>Corporate Facilities Request Portal</t>
  </si>
  <si>
    <t>cfrapp01, cfrdb01</t>
  </si>
  <si>
    <t>Legacy Intranet (SharePoint) Lite</t>
  </si>
  <si>
    <t>Shared Monitoring Console Plus</t>
  </si>
  <si>
    <t>Facilities Request Portal (FR)</t>
  </si>
  <si>
    <t>frpapp01, frpdb01, frpweb01, frpfs01</t>
  </si>
  <si>
    <t>Safety Incident Tracker (UK)</t>
  </si>
  <si>
    <t>Corporate Fleet Manager 2012</t>
  </si>
  <si>
    <t>cfmapp01, cfmdb01, cfmweb01</t>
  </si>
  <si>
    <t>Licence Manager</t>
  </si>
  <si>
    <t>Global Price List Manager v3</t>
  </si>
  <si>
    <t>fs-gpl02 (file share)</t>
  </si>
  <si>
    <t>Custom Quote Manager</t>
  </si>
  <si>
    <t>cqmapp01, cqmdb01, cqmweb01, cqmfs01</t>
  </si>
  <si>
    <t>Legacy Production Scheduler Lite</t>
  </si>
  <si>
    <t>Custom Purchase Order System (UK)</t>
  </si>
  <si>
    <t>cpoapp01, cpodb01</t>
  </si>
  <si>
    <t>Global Field Service Dispatcher (APAC)</t>
  </si>
  <si>
    <t>gfsapp01, gfsdb01, gfsweb01</t>
  </si>
  <si>
    <t>Legacy Licence Manager (DE)</t>
  </si>
  <si>
    <t>Shared Production Scheduler (UK)</t>
  </si>
  <si>
    <t>sps-app01–06, sps-db01</t>
  </si>
  <si>
    <t>Legacy Billing Engine Classic</t>
  </si>
  <si>
    <t>lbeapp01, lbedb01</t>
  </si>
  <si>
    <t>Legacy Travel Booking Tool</t>
  </si>
  <si>
    <t>ltbapp01</t>
  </si>
  <si>
    <t>Shared Price List Manager Plus</t>
  </si>
  <si>
    <t>Event Registration Tool</t>
  </si>
  <si>
    <t>Inventory Control (APAC)</t>
  </si>
  <si>
    <t>icaapp01, icadb01, icaweb01</t>
  </si>
  <si>
    <t>Maintenance Scheduler</t>
  </si>
  <si>
    <t>msxapp01, msxdb01, msxweb01</t>
  </si>
  <si>
    <t>Old GL Consolidation Tool</t>
  </si>
  <si>
    <t>Global Demand Planner</t>
  </si>
  <si>
    <t>Old Expense Portal 2008</t>
  </si>
  <si>
    <t>Regional Maintenance Scheduler (UK)</t>
  </si>
  <si>
    <t>rms-app01–04, rms-db01</t>
  </si>
  <si>
    <t>Legacy Newsletter Mailer (APAC)</t>
  </si>
  <si>
    <t>Budget Planner Lite</t>
  </si>
  <si>
    <t>bplapp01, bpldb01, bplweb01</t>
  </si>
  <si>
    <t>Regional Contract Repository 2008</t>
  </si>
  <si>
    <t>Regional Timesheet Portal Lite</t>
  </si>
  <si>
    <t>SuccessFactors (planned)</t>
  </si>
  <si>
    <t>Monitoring Console (Nordics)</t>
  </si>
  <si>
    <t>Timesheet Portal (DE)</t>
  </si>
  <si>
    <t>tpd-app01–07, tpd-db01</t>
  </si>
  <si>
    <t>Legacy Appraisal Tool Lite</t>
  </si>
  <si>
    <t>lat-app01–06, lat-db01</t>
  </si>
  <si>
    <t>Legacy Training Records v4</t>
  </si>
  <si>
    <t>ltr-app01–05, ltr-db01</t>
  </si>
  <si>
    <t>Regional Corporate Website CMS Classic</t>
  </si>
  <si>
    <t>Custom Payroll Interface</t>
  </si>
  <si>
    <t>cpiapp01, cpidb01, cpiweb01, cpifs01</t>
  </si>
  <si>
    <t>Departmental Intranet (SharePoint)</t>
  </si>
  <si>
    <t>dis-app01–06, dis-db01</t>
  </si>
  <si>
    <t>Custom Newsletter Mailer</t>
  </si>
  <si>
    <t>cnm-app01–06, cnm-db01</t>
  </si>
  <si>
    <t>Custom Payroll Interface 2010</t>
  </si>
  <si>
    <t>cpiapp01, cpidb01, cpiweb01</t>
  </si>
  <si>
    <t>Partner Portal</t>
  </si>
  <si>
    <t>ppxapp01, ppxdb01</t>
  </si>
  <si>
    <t>Recruitment Tracker (APAC)</t>
  </si>
  <si>
    <t>rtaapp01</t>
  </si>
  <si>
    <t>Departmental Shipment Tracker 2012</t>
  </si>
  <si>
    <t>dstapp01</t>
  </si>
  <si>
    <t>Ticket Desk</t>
  </si>
  <si>
    <t>tdxapp01, tdxdb01, tdxweb01, tdxfs01</t>
  </si>
  <si>
    <t>Corporate Shipment Tracker</t>
  </si>
  <si>
    <t>cst-app01–05, cst-db01</t>
  </si>
  <si>
    <t>Shared Recruitment Tracker</t>
  </si>
  <si>
    <t>srt-app01–06, srt-db01</t>
  </si>
  <si>
    <t>Old Freight Booking Tool Plus</t>
  </si>
  <si>
    <t>ofbapp01, ofbdb01, ofbweb01, ofbfs01</t>
  </si>
  <si>
    <t>Asset Register (APAC)</t>
  </si>
  <si>
    <t>araapp01, aradb01</t>
  </si>
  <si>
    <t>Regional Shipment Tracker 2012</t>
  </si>
  <si>
    <t>Safety Incident Tracker Lite</t>
  </si>
  <si>
    <t>sitapp01</t>
  </si>
  <si>
    <t>Custom Shipment Tracker</t>
  </si>
  <si>
    <t>Custom Brand Asset Library Lite</t>
  </si>
  <si>
    <t>cbaapp01, cbadb01</t>
  </si>
  <si>
    <t>Shared CMDB Lite</t>
  </si>
  <si>
    <t>sclapp01, scldb01</t>
  </si>
  <si>
    <t>Corporate Facilities Request Portal (US)</t>
  </si>
  <si>
    <t>cfrapp01, cfrdb01, cfrweb01</t>
  </si>
  <si>
    <t>Production Scheduler (DE)</t>
  </si>
  <si>
    <t>Budget Planner (US)</t>
  </si>
  <si>
    <t>bpuapp01, bpudb01, bpuweb01</t>
  </si>
  <si>
    <t>Regional Safety Incident Tracker</t>
  </si>
  <si>
    <t>rsiapp01, rsidb01, rsiweb01, rsifs01</t>
  </si>
  <si>
    <t>Regional Price List Manager 2012</t>
  </si>
  <si>
    <t>Corporate Order Entry Portal v3</t>
  </si>
  <si>
    <t>coe-app01–05, coe-db01</t>
  </si>
  <si>
    <t>Regional Licence Manager (APAC)</t>
  </si>
  <si>
    <t>Migrated to ServiceNow; legacy switched off Apr-21</t>
  </si>
  <si>
    <t>Legacy Event Registration Tool</t>
  </si>
  <si>
    <t>ler-app01–07, ler-db01</t>
  </si>
  <si>
    <t>Facilities Request Portal (UK)</t>
  </si>
  <si>
    <t>Shared Intranet (SharePoint) Lite</t>
  </si>
  <si>
    <t>Departmental Event Registration Tool</t>
  </si>
  <si>
    <t>derapp01, derdb01, derweb01</t>
  </si>
  <si>
    <t>Legacy Monitoring Console</t>
  </si>
  <si>
    <t>Corporate Safety Incident Tracker v3</t>
  </si>
  <si>
    <t>csiapp01</t>
  </si>
  <si>
    <t>Fleet Manager Classic</t>
  </si>
  <si>
    <t>Legacy Billing Engine v2</t>
  </si>
  <si>
    <t>Departmental Maintenance Scheduler v3</t>
  </si>
  <si>
    <t>dmsapp01, dmsdb01, dmsweb01, dmsfs01</t>
  </si>
  <si>
    <t>Old Event Registration Tool</t>
  </si>
  <si>
    <t>oerapp01, oerdb01, oerweb01</t>
  </si>
  <si>
    <t>Ticket Desk 2010</t>
  </si>
  <si>
    <t>Old Purchase Order System</t>
  </si>
  <si>
    <t>fs-opo02 (file share)</t>
  </si>
  <si>
    <t>Global Maintenance Scheduler</t>
  </si>
  <si>
    <t>gmsapp01, gmsdb01, gmsweb01, gmsfs01</t>
  </si>
  <si>
    <t>Global Purchase Order System Plus</t>
  </si>
  <si>
    <t>Cut-over planned for Aug-23; parallel run scheduled</t>
  </si>
  <si>
    <t>Legacy Ticket Desk 2008</t>
  </si>
  <si>
    <t>ltdapp01</t>
  </si>
  <si>
    <t>Regional Field Service Dispatcher</t>
  </si>
  <si>
    <t>rfsapp01, rfsdb01, rfsweb01, rfsfs01</t>
  </si>
  <si>
    <t>Cash Position Reporter 2008</t>
  </si>
  <si>
    <t>Departmental Tax Compliance Tool</t>
  </si>
  <si>
    <t>Departmental Facilities Request Portal (UK)</t>
  </si>
  <si>
    <t>Regional Event Registration Tool</t>
  </si>
  <si>
    <t>rerapp01, rerdb01, rerweb01, rerfs01</t>
  </si>
  <si>
    <t>Migrated to Adobe Campaign; legacy switched off Jan-21</t>
  </si>
  <si>
    <t>Credit Check Portal Lite</t>
  </si>
  <si>
    <t>Corporate AP Invoice Processor</t>
  </si>
  <si>
    <t>Custom Credit Check Portal 2010</t>
  </si>
  <si>
    <t>Funding approved; migration to Icertis CLM scheduled</t>
  </si>
  <si>
    <t>Old Training Records (UK)</t>
  </si>
  <si>
    <t>otrapp01, otrdb01, otrweb01, otrfs01</t>
  </si>
  <si>
    <t>Safety Incident Tracker Plus</t>
  </si>
  <si>
    <t>Safety Incident Tracker v2</t>
  </si>
  <si>
    <t>sitapp01, sitdb01</t>
  </si>
  <si>
    <t>Departmental GL Consolidation Tool Classic</t>
  </si>
  <si>
    <t>Custom GL Consolidation Tool v2</t>
  </si>
  <si>
    <t>cgcapp01, cgcdb01, cgcweb01, cgcfs01</t>
  </si>
  <si>
    <t>Regional Recruitment Tracker Lite</t>
  </si>
  <si>
    <t>rrtapp01</t>
  </si>
  <si>
    <t>Custom Document Repository Lite</t>
  </si>
  <si>
    <t>cdrapp01, cdrdb01, cdrweb01</t>
  </si>
  <si>
    <t>Legacy Demand Planner 2008</t>
  </si>
  <si>
    <t>Old Production Scheduler v2</t>
  </si>
  <si>
    <t>Global Web Analytics Mart (FR)</t>
  </si>
  <si>
    <t>Global Safety Incident Tracker (APAC)</t>
  </si>
  <si>
    <t>Custom Maintenance Scheduler (UK)</t>
  </si>
  <si>
    <t>cmsapp01, cmsdb01</t>
  </si>
  <si>
    <t>Shared Training Records Plus</t>
  </si>
  <si>
    <t>strapp01, strdb01</t>
  </si>
  <si>
    <t>Regional Monitoring Console</t>
  </si>
  <si>
    <t>rmcapp01</t>
  </si>
  <si>
    <t>Regional Safety Incident Tracker Plus</t>
  </si>
  <si>
    <t>rsi-app01–04, rsi-db01</t>
  </si>
  <si>
    <t>Safety Incident Tracker (APAC)</t>
  </si>
  <si>
    <t>Corporate Freight Booking Tool Classic</t>
  </si>
  <si>
    <t>Customer Contact Manager</t>
  </si>
  <si>
    <t>Global Expense Portal Plus</t>
  </si>
  <si>
    <t>fs-gep02 (file share)</t>
  </si>
  <si>
    <t>Legacy Maintenance Scheduler 2010</t>
  </si>
  <si>
    <t>lmsapp01, lmsdb01</t>
  </si>
  <si>
    <t>Legacy GL Consolidation Tool Lite</t>
  </si>
  <si>
    <t>lgcapp01, lgcdb01</t>
  </si>
  <si>
    <t>Custom Payroll Interface 2008</t>
  </si>
  <si>
    <t>Old Payroll Interface (US)</t>
  </si>
  <si>
    <t>opiapp01</t>
  </si>
  <si>
    <t>Funding approved; migration to Workday Recruiting scheduled</t>
  </si>
  <si>
    <t>Order Entry Portal v4</t>
  </si>
  <si>
    <t>oepapp01, oepdb01, oepweb01</t>
  </si>
  <si>
    <t>Corporate AP Invoice Processor v4</t>
  </si>
  <si>
    <t>Business case under review with owner
Blocker: Archive platform capacity not confirmed
Q: Can the enterprise archive take this volume this year?</t>
  </si>
  <si>
    <t>Corporate Price List Manager</t>
  </si>
  <si>
    <t>cplapp01, cpldb01, cplweb01, cplfs01</t>
  </si>
  <si>
    <t>Legacy Batch Scheduler (APAC)</t>
  </si>
  <si>
    <t>Departmental AP Invoice Processor (FR)</t>
  </si>
  <si>
    <t>Old Recruitment Tracker Plus</t>
  </si>
  <si>
    <t>Monitoring Console v4</t>
  </si>
  <si>
    <t>mcvapp01</t>
  </si>
  <si>
    <t>Business case under review with owner
Blocker: Month-end close dependency
Q: Can the cut-over avoid the quarter-end freeze?</t>
  </si>
  <si>
    <t>Expense Portal 2008</t>
  </si>
  <si>
    <t>Custom Inventory Control 2008</t>
  </si>
  <si>
    <t>Legacy Survey Tool (DE)</t>
  </si>
  <si>
    <t>Order Entry Portal (US)</t>
  </si>
  <si>
    <t>Custom Shipment Tracker Classic</t>
  </si>
  <si>
    <t>cstapp01, cstdb01</t>
  </si>
  <si>
    <t>Payroll Interface (Nordics)</t>
  </si>
  <si>
    <t>pin-app01–05, pin-db01</t>
  </si>
  <si>
    <t>Brand Asset Library (UK)</t>
  </si>
  <si>
    <t>balapp01, baldb01, balweb01, balfs01</t>
  </si>
  <si>
    <t>Monitoring Console Lite</t>
  </si>
  <si>
    <t>mcl-app01–06, mcl-db01</t>
  </si>
  <si>
    <t>Travel Booking Tool Classic</t>
  </si>
  <si>
    <t>tbt-app01–07, tbt-db01</t>
  </si>
  <si>
    <t>Departmental Purchase Order System Plus</t>
  </si>
  <si>
    <t>Migrated to Manhattan WMS; legacy switched off Apr-21</t>
  </si>
  <si>
    <t>Global Licence Manager 2012</t>
  </si>
  <si>
    <t>Dependencies to be mapped
Blocker: Replacement rollout dependency
Q: What is the go-live date of the target platform?</t>
  </si>
  <si>
    <t>Appraisal Tool (US)</t>
  </si>
  <si>
    <t>atuapp01</t>
  </si>
  <si>
    <t>Shared Payroll Interface Lite</t>
  </si>
  <si>
    <t>spiapp01</t>
  </si>
  <si>
    <t>Legacy Event Registration Tool (US)</t>
  </si>
  <si>
    <t>Departmental Event Registration Tool (UK)</t>
  </si>
  <si>
    <t>derapp01</t>
  </si>
  <si>
    <t>Custom Warehouse Mgmt System</t>
  </si>
  <si>
    <t>cwm-app01–05, cwm-db01</t>
  </si>
  <si>
    <t>Commission Calculator Plus</t>
  </si>
  <si>
    <t>Asset Register (Nordics)</t>
  </si>
  <si>
    <t>arnapp01, arndb01</t>
  </si>
  <si>
    <t>Corporate Quality Incident Log (US)</t>
  </si>
  <si>
    <t>cqiapp01, cqidb01</t>
  </si>
  <si>
    <t>Custom Recruitment Tracker 2008</t>
  </si>
  <si>
    <t>crtapp01, crtdb01, crtweb01</t>
  </si>
  <si>
    <t>Customer Contact Manager (APAC)</t>
  </si>
  <si>
    <t>Departmental Field Service Dispatcher</t>
  </si>
  <si>
    <t>Regional Field Service Dispatcher v2</t>
  </si>
  <si>
    <t>rfsapp01, rfsdb01</t>
  </si>
  <si>
    <t>Regional Monitoring Console v2</t>
  </si>
  <si>
    <t>rmcapp01, rmcdb01, rmcweb01</t>
  </si>
  <si>
    <t>Global Safety Incident Tracker</t>
  </si>
  <si>
    <t>gsiapp01, gsidb01</t>
  </si>
  <si>
    <t>Custom Field Service Dispatcher Classic</t>
  </si>
  <si>
    <t>Newsletter Mailer (UK)</t>
  </si>
  <si>
    <t>nmuapp01, nmudb01, nmuweb01, nmufs01</t>
  </si>
  <si>
    <t>Training Records v4</t>
  </si>
  <si>
    <t>trvapp01, trvdb01, trvweb01</t>
  </si>
  <si>
    <t>Old Order Entry Portal (US)</t>
  </si>
  <si>
    <t>ooe-app01–07, ooe-db01</t>
  </si>
  <si>
    <t>Shared Facilities Request Portal 2008</t>
  </si>
  <si>
    <t>sfrapp01, sfrdb01, sfrweb01, sfrfs01</t>
  </si>
  <si>
    <t>Global Access Request Tool Plus</t>
  </si>
  <si>
    <t>Regional AP Invoice Processor (FR)</t>
  </si>
  <si>
    <t>raiapp01, raidb01, raiweb01</t>
  </si>
  <si>
    <t>Field Service Dispatcher</t>
  </si>
  <si>
    <t>fsdapp01, fsddb01, fsdweb01, fsdfs01</t>
  </si>
  <si>
    <t>Legacy GL Consolidation Tool</t>
  </si>
  <si>
    <t>lgc-app01–04, lgc-db01</t>
  </si>
  <si>
    <t>Contract Repository v4</t>
  </si>
  <si>
    <t>crvapp01, crvdb01, crvweb01</t>
  </si>
  <si>
    <t>Regional Sales Forecast Tool 2010</t>
  </si>
  <si>
    <t>Global Monitoring Console (Nordics)</t>
  </si>
  <si>
    <t>Custom Facilities Request Portal v2</t>
  </si>
  <si>
    <t>cfr-app01–07, cfr-db01</t>
  </si>
  <si>
    <t>Regional Training Records Plus</t>
  </si>
  <si>
    <t>Cornerstone (planned)</t>
  </si>
  <si>
    <t>rtrapp01, rtrdb01, rtrweb01, rtrfs01</t>
  </si>
  <si>
    <t>Quote Manager (UK)</t>
  </si>
  <si>
    <t>Corporate Production Scheduler (DE)</t>
  </si>
  <si>
    <t>cpsapp01, cpsdb01</t>
  </si>
  <si>
    <t>Old Inventory Control v2</t>
  </si>
  <si>
    <t>oicapp01, oicdb01, oicweb01</t>
  </si>
  <si>
    <t>Retention requirement to be confirmed
Blocker: Replacement not yet funded
Q: Is budget confirmed in the next planning cycle?</t>
  </si>
  <si>
    <t>Corporate Batch Scheduler (DE)</t>
  </si>
  <si>
    <t>Corporate Licence Manager (APAC)</t>
  </si>
  <si>
    <t>Departmental Benefits Enrolment (UK)</t>
  </si>
  <si>
    <t>Regional Benefits Enrolment</t>
  </si>
  <si>
    <t>rbe-app01–06, rbe-db01</t>
  </si>
  <si>
    <t>Regional Brand Asset Library</t>
  </si>
  <si>
    <t>Read-only access needed for audit
Blocker: Vendor notice period of 12 months
Q: Can the contract end be brought forward?</t>
  </si>
  <si>
    <t>Custom Timesheet Portal 2010</t>
  </si>
  <si>
    <t>ctpapp01</t>
  </si>
  <si>
    <t>Shared Demand Planner</t>
  </si>
  <si>
    <t>sdpapp01, sdpdb01, sdpweb01, sdpfs01</t>
  </si>
  <si>
    <t>Funding approved; migration to Oracle SCM Cloud scheduled</t>
  </si>
  <si>
    <t>Billing Engine (DE)</t>
  </si>
  <si>
    <t>Legacy Intranet (SharePoint) (APAC)</t>
  </si>
  <si>
    <t>Decommissioning Summary</t>
  </si>
  <si>
    <t>All figures formula-driven from the Application Inventory tab.</t>
  </si>
  <si>
    <t>Total applications</t>
  </si>
  <si>
    <t>Applications with a decision (in plan)</t>
  </si>
  <si>
    <t>Change candidates (Decommission / Retire / Retire + Archive)</t>
  </si>
  <si>
    <t>Pending decision</t>
  </si>
  <si>
    <t>Annual savings from change candidates ($)</t>
  </si>
  <si>
    <t>Completed to date (target retirement before May 2021)</t>
  </si>
  <si>
    <t>Easy</t>
  </si>
  <si>
    <t>Medium</t>
  </si>
  <si>
    <t>High</t>
  </si>
  <si>
    <t>Total</t>
  </si>
  <si>
    <t># Apps</t>
  </si>
  <si>
    <t>Backlog</t>
  </si>
  <si>
    <t>Planned retirements by month (formula-driven from Target Retirement Date and Decision)</t>
  </si>
  <si>
    <t>Target retirement period</t>
  </si>
  <si>
    <t>From</t>
  </si>
  <si>
    <t>To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</si>
  <si>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</si>
  <si>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</si>
  <si>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</si>
  <si>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</si>
  <si>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</si>
  <si>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</si>
  <si>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</si>
  <si>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</si>
  <si>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</si>
  <si>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</si>
  <si>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</si>
  <si>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</si>
  <si>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</si>
  <si>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</si>
  <si>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</si>
  <si>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</si>
  <si>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</si>
  <si>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</si>
  <si>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</si>
  <si>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</si>
  <si>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</si>
  <si>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</si>
  <si>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</si>
  <si>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</si>
  <si>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</si>
  <si>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</si>
  <si>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</si>
  <si>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</si>
  <si>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</si>
  <si>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</si>
  <si>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</si>
  <si>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</si>
  <si>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</si>
  <si>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</si>
  <si>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</si>
  <si>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</si>
  <si>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Decommissioning Dashboard</t>
  </si>
  <si>
    <t>Excel charts linked to Summary formulas – they update as the Application Inventory changes.</t>
  </si>
  <si>
    <t>Scoring Settings</t>
  </si>
  <si>
    <t>Values used by the Application Inventory formulas. Edit blue cells only.</t>
  </si>
  <si>
    <t>DECISION</t>
  </si>
  <si>
    <t>As-of date (assessment date)</t>
  </si>
  <si>
    <t>All date checks are measured from this date</t>
  </si>
  <si>
    <t>Not in use if last used more than (months) ago</t>
  </si>
  <si>
    <t>Or Active Users = 0 → 'Not in use' → Priority</t>
  </si>
  <si>
    <t>Low use if active users below</t>
  </si>
  <si>
    <t>Counts as a retirement driver</t>
  </si>
  <si>
    <t>Low business value if score ≤</t>
  </si>
  <si>
    <t>Out of support if EOS within (months)</t>
  </si>
  <si>
    <t>EOS already passed or due within window → driver</t>
  </si>
  <si>
    <t>Decommission if drivers ≥</t>
  </si>
  <si>
    <t>Indicative only - the Decision is set in the plan (see rules below)</t>
  </si>
  <si>
    <t>COMPLEXITY</t>
  </si>
  <si>
    <t>High if interfaces more than</t>
  </si>
  <si>
    <t>Only applies when Data Archival Required = Y</t>
  </si>
  <si>
    <t>High if data volume (GB) more than</t>
  </si>
  <si>
    <t>High if criticality tier ≤</t>
  </si>
  <si>
    <t>Tier 1–2 = business critical</t>
  </si>
  <si>
    <t>RULES</t>
  </si>
  <si>
    <t>Retirement drivers (0–4): Low / no use · Replacement named · Out of support · Low business value</t>
  </si>
  <si>
    <t>Decision (set in plan): Decommission = migrate to a named replacement then switch off · Retire = switch off, no archive · Retire + Archive = switch off and archive data · Retain = keep · Pending = not yet decided</t>
  </si>
  <si>
    <t>Complexity: Data Archival Required = N → Easy · else any High trigger → High · else Medium</t>
  </si>
  <si>
    <t>Migrate</t>
  </si>
  <si>
    <t>Count of App ID</t>
  </si>
  <si>
    <t>Row Labels</t>
  </si>
  <si>
    <t>Grand Total</t>
  </si>
  <si>
    <t>(blank)</t>
  </si>
  <si>
    <t>Column Labels</t>
  </si>
  <si>
    <t>(All)</t>
  </si>
  <si>
    <t>Select Wave</t>
  </si>
  <si>
    <t xml:space="preserve">Current Wave </t>
  </si>
  <si>
    <t xml:space="preserve">Status As On </t>
  </si>
  <si>
    <t>Sum of Annual Savings ($)</t>
  </si>
</sst>
</file>

<file path=xl/styles.xml><?xml version="1.0" encoding="utf-8"?>
<styleSheet xmlns="http://schemas.openxmlformats.org/spreadsheetml/2006/main">
  <numFmts count="8">
    <numFmt numFmtId="164" formatCode="dd\-mmm\-yy"/>
    <numFmt numFmtId="165" formatCode="\$#,##0;&quot;($&quot;#,##0\);\-"/>
    <numFmt numFmtId="166" formatCode="0.0"/>
    <numFmt numFmtId="167" formatCode="&quot;XXX&quot;"/>
    <numFmt numFmtId="168" formatCode="#,##0;\-#,##0;\-"/>
    <numFmt numFmtId="169" formatCode="dd\-mmm\-yyyy"/>
    <numFmt numFmtId="170" formatCode="mmm\,yy"/>
    <numFmt numFmtId="171" formatCode="mmm\,\ yy"/>
  </numFmts>
  <fonts count="16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  <font>
      <sz val="11"/>
      <color rgb="FF595959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F5597"/>
        <bgColor rgb="FF1E6B6B"/>
      </patternFill>
    </fill>
    <fill>
      <patternFill patternType="solid">
        <fgColor rgb="FF385723"/>
        <bgColor rgb="FF3A3A3A"/>
      </patternFill>
    </fill>
    <fill>
      <patternFill patternType="solid">
        <fgColor rgb="FF5B2C6F"/>
        <bgColor rgb="FF3A3A3A"/>
      </patternFill>
    </fill>
    <fill>
      <patternFill patternType="solid">
        <fgColor rgb="FF7F6000"/>
        <bgColor rgb="FF843C0C"/>
      </patternFill>
    </fill>
    <fill>
      <patternFill patternType="solid">
        <fgColor rgb="FF843C0C"/>
        <bgColor rgb="FF7F6000"/>
      </patternFill>
    </fill>
    <fill>
      <patternFill patternType="solid">
        <fgColor rgb="FF1E6B6B"/>
        <bgColor rgb="FF008080"/>
      </patternFill>
    </fill>
    <fill>
      <patternFill patternType="solid">
        <fgColor rgb="FF1F3864"/>
        <bgColor rgb="FF3A3A3A"/>
      </patternFill>
    </fill>
    <fill>
      <patternFill patternType="solid">
        <fgColor rgb="FF3A3A3A"/>
        <bgColor rgb="FF1F3864"/>
      </patternFill>
    </fill>
    <fill>
      <patternFill patternType="solid">
        <fgColor rgb="FFFFF9E5"/>
        <bgColor rgb="FFFFFFFF"/>
      </patternFill>
    </fill>
    <fill>
      <patternFill patternType="solid">
        <fgColor rgb="FFEEF1F5"/>
        <bgColor rgb="FFFFF9E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6" borderId="0" xfId="0" applyFont="1" applyFill="1" applyAlignment="1">
      <alignment horizontal="center"/>
    </xf>
    <xf numFmtId="0" fontId="5" fillId="10" borderId="1" xfId="0" applyFont="1" applyFill="1" applyBorder="1"/>
    <xf numFmtId="3" fontId="5" fillId="10" borderId="1" xfId="0" applyNumberFormat="1" applyFont="1" applyFill="1" applyBorder="1"/>
    <xf numFmtId="164" fontId="5" fillId="10" borderId="1" xfId="0" applyNumberFormat="1" applyFont="1" applyFill="1" applyBorder="1"/>
    <xf numFmtId="0" fontId="6" fillId="11" borderId="1" xfId="0" applyFont="1" applyFill="1" applyBorder="1" applyAlignment="1">
      <alignment horizontal="center"/>
    </xf>
    <xf numFmtId="1" fontId="5" fillId="10" borderId="1" xfId="0" applyNumberFormat="1" applyFont="1" applyFill="1" applyBorder="1"/>
    <xf numFmtId="165" fontId="5" fillId="10" borderId="1" xfId="0" applyNumberFormat="1" applyFont="1" applyFill="1" applyBorder="1"/>
    <xf numFmtId="166" fontId="6" fillId="11" borderId="1" xfId="0" applyNumberFormat="1" applyFont="1" applyFill="1" applyBorder="1" applyAlignment="1">
      <alignment horizontal="center"/>
    </xf>
    <xf numFmtId="1" fontId="6" fillId="11" borderId="1" xfId="0" applyNumberFormat="1" applyFont="1" applyFill="1" applyBorder="1" applyAlignment="1">
      <alignment horizontal="center"/>
    </xf>
    <xf numFmtId="167" fontId="5" fillId="10" borderId="1" xfId="0" applyNumberFormat="1" applyFont="1" applyFill="1" applyBorder="1"/>
    <xf numFmtId="0" fontId="7" fillId="0" borderId="0" xfId="0" applyFont="1"/>
    <xf numFmtId="1" fontId="2" fillId="0" borderId="1" xfId="0" applyNumberFormat="1" applyFont="1" applyBorder="1"/>
    <xf numFmtId="0" fontId="4" fillId="8" borderId="1" xfId="0" applyFont="1" applyFill="1" applyBorder="1" applyAlignment="1">
      <alignment horizontal="center" wrapText="1"/>
    </xf>
    <xf numFmtId="0" fontId="2" fillId="0" borderId="1" xfId="0" applyFont="1" applyBorder="1"/>
    <xf numFmtId="165" fontId="2" fillId="0" borderId="1" xfId="0" applyNumberFormat="1" applyFont="1" applyBorder="1"/>
    <xf numFmtId="168" fontId="2" fillId="0" borderId="1" xfId="0" applyNumberFormat="1" applyFont="1" applyBorder="1"/>
    <xf numFmtId="0" fontId="7" fillId="0" borderId="1" xfId="0" applyFont="1" applyBorder="1"/>
    <xf numFmtId="165" fontId="7" fillId="0" borderId="1" xfId="0" applyNumberFormat="1" applyFont="1" applyBorder="1"/>
    <xf numFmtId="168" fontId="7" fillId="0" borderId="1" xfId="0" applyNumberFormat="1" applyFont="1" applyBorder="1"/>
    <xf numFmtId="164" fontId="2" fillId="0" borderId="1" xfId="0" applyNumberFormat="1" applyFont="1" applyBorder="1"/>
    <xf numFmtId="0" fontId="8" fillId="0" borderId="0" xfId="0" applyFont="1"/>
    <xf numFmtId="169" fontId="5" fillId="10" borderId="1" xfId="0" applyNumberFormat="1" applyFont="1" applyFill="1" applyBorder="1"/>
    <xf numFmtId="0" fontId="9" fillId="0" borderId="0" xfId="0" applyFont="1"/>
    <xf numFmtId="0" fontId="6" fillId="0" borderId="0" xfId="0" applyFont="1"/>
    <xf numFmtId="0" fontId="5" fillId="10" borderId="2" xfId="0" applyFont="1" applyFill="1" applyBorder="1"/>
    <xf numFmtId="0" fontId="5" fillId="10" borderId="3" xfId="0" applyFont="1" applyFill="1" applyBorder="1" applyAlignment="1">
      <alignment vertical="top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5" fillId="10" borderId="7" xfId="0" applyFont="1" applyFill="1" applyBorder="1"/>
    <xf numFmtId="0" fontId="5" fillId="10" borderId="8" xfId="0" applyFont="1" applyFill="1" applyBorder="1"/>
    <xf numFmtId="3" fontId="5" fillId="10" borderId="8" xfId="0" applyNumberFormat="1" applyFont="1" applyFill="1" applyBorder="1"/>
    <xf numFmtId="164" fontId="5" fillId="10" borderId="8" xfId="0" applyNumberFormat="1" applyFont="1" applyFill="1" applyBorder="1"/>
    <xf numFmtId="0" fontId="6" fillId="11" borderId="8" xfId="0" applyFont="1" applyFill="1" applyBorder="1" applyAlignment="1">
      <alignment horizontal="center"/>
    </xf>
    <xf numFmtId="1" fontId="5" fillId="10" borderId="8" xfId="0" applyNumberFormat="1" applyFont="1" applyFill="1" applyBorder="1"/>
    <xf numFmtId="165" fontId="5" fillId="10" borderId="8" xfId="0" applyNumberFormat="1" applyFont="1" applyFill="1" applyBorder="1"/>
    <xf numFmtId="166" fontId="6" fillId="11" borderId="8" xfId="0" applyNumberFormat="1" applyFont="1" applyFill="1" applyBorder="1" applyAlignment="1">
      <alignment horizontal="center"/>
    </xf>
    <xf numFmtId="1" fontId="6" fillId="11" borderId="8" xfId="0" applyNumberFormat="1" applyFont="1" applyFill="1" applyBorder="1" applyAlignment="1">
      <alignment horizontal="center"/>
    </xf>
    <xf numFmtId="0" fontId="5" fillId="10" borderId="9" xfId="0" applyFont="1" applyFill="1" applyBorder="1" applyAlignment="1">
      <alignment vertical="top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2" fillId="12" borderId="0" xfId="0" applyFont="1" applyFill="1" applyAlignment="1">
      <alignment horizontal="left"/>
    </xf>
    <xf numFmtId="0" fontId="12" fillId="12" borderId="0" xfId="0" applyNumberFormat="1" applyFont="1" applyFill="1"/>
    <xf numFmtId="0" fontId="11" fillId="8" borderId="0" xfId="0" applyFont="1" applyFill="1" applyAlignment="1">
      <alignment horizontal="center" wrapText="1"/>
    </xf>
    <xf numFmtId="170" fontId="11" fillId="8" borderId="0" xfId="0" applyNumberFormat="1" applyFont="1" applyFill="1" applyAlignment="1">
      <alignment horizontal="center" wrapText="1"/>
    </xf>
    <xf numFmtId="171" fontId="11" fillId="8" borderId="0" xfId="0" applyNumberFormat="1" applyFont="1" applyFill="1" applyAlignment="1">
      <alignment horizontal="center" wrapText="1"/>
    </xf>
    <xf numFmtId="0" fontId="10" fillId="0" borderId="0" xfId="0" applyNumberFormat="1" applyFont="1"/>
    <xf numFmtId="0" fontId="13" fillId="12" borderId="0" xfId="0" applyNumberFormat="1" applyFont="1" applyFill="1"/>
    <xf numFmtId="0" fontId="10" fillId="0" borderId="0" xfId="0" pivotButton="1" applyFont="1"/>
    <xf numFmtId="0" fontId="14" fillId="0" borderId="0" xfId="0" applyFont="1"/>
    <xf numFmtId="0" fontId="15" fillId="0" borderId="0" xfId="0" applyFont="1"/>
    <xf numFmtId="17" fontId="14" fillId="0" borderId="0" xfId="0" applyNumberFormat="1" applyFont="1" applyAlignment="1">
      <alignment horizontal="left"/>
    </xf>
    <xf numFmtId="171" fontId="0" fillId="0" borderId="0" xfId="0" applyNumberFormat="1" applyAlignment="1">
      <alignment horizontal="left" indent="1"/>
    </xf>
    <xf numFmtId="171" fontId="0" fillId="0" borderId="0" xfId="0" applyNumberFormat="1" applyAlignment="1">
      <alignment horizontal="left"/>
    </xf>
    <xf numFmtId="171" fontId="12" fillId="12" borderId="0" xfId="0" applyNumberFormat="1" applyFont="1" applyFill="1" applyAlignment="1">
      <alignment horizontal="left"/>
    </xf>
    <xf numFmtId="0" fontId="13" fillId="12" borderId="0" xfId="0" applyFont="1" applyFill="1"/>
    <xf numFmtId="0" fontId="4" fillId="7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80"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numFmt numFmtId="171" formatCode="mmm\,\ yy"/>
    </dxf>
    <dxf>
      <numFmt numFmtId="171" formatCode="mmm\,\ yy"/>
    </dxf>
    <dxf>
      <numFmt numFmtId="171" formatCode="mmm\,\ yy"/>
    </dxf>
    <dxf>
      <numFmt numFmtId="171" formatCode="mmm\,\ yy"/>
    </dxf>
    <dxf>
      <numFmt numFmtId="171" formatCode="mmm\,\ yy"/>
    </dxf>
    <dxf>
      <numFmt numFmtId="171" formatCode="mmm\,\ yy"/>
    </dxf>
    <dxf>
      <font>
        <b/>
        <color rgb="FFFFFFFF"/>
        <name val="Arial"/>
      </font>
      <fill>
        <patternFill patternType="solid">
          <fgColor rgb="FF3A3A3A"/>
          <bgColor rgb="FF1F3864"/>
        </patternFill>
      </fill>
      <alignment horizontal="center" wrapText="1"/>
    </dxf>
    <dxf>
      <numFmt numFmtId="171" formatCode="mmm\,\ yy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numFmt numFmtId="171" formatCode="mmm\,\ yy"/>
    </dxf>
    <dxf>
      <font>
        <b/>
        <color rgb="FFFFFFFF"/>
        <name val="Arial"/>
      </font>
      <fill>
        <patternFill patternType="solid">
          <fgColor rgb="FF3A3A3A"/>
          <bgColor rgb="FF1F3864"/>
        </patternFill>
      </fill>
      <alignment horizontal="center" wrapText="1"/>
    </dxf>
    <dxf>
      <font>
        <b/>
        <color rgb="FFFFFFFF"/>
        <name val="Arial"/>
      </font>
      <fill>
        <patternFill patternType="solid">
          <fgColor rgb="FF3A3A3A"/>
          <bgColor rgb="FF1F3864"/>
        </patternFill>
      </fill>
      <alignment horizontal="center" wrapText="1"/>
    </dxf>
    <dxf>
      <font>
        <b/>
        <color rgb="FFFFFFFF"/>
        <name val="Arial"/>
      </font>
      <fill>
        <patternFill patternType="solid">
          <fgColor rgb="FF3A3A3A"/>
          <bgColor rgb="FF1F3864"/>
        </patternFill>
      </fill>
      <alignment horizontal="center" wrapText="1"/>
    </dxf>
    <dxf>
      <font>
        <b/>
        <color rgb="FFFFFFFF"/>
        <name val="Arial"/>
      </font>
      <fill>
        <patternFill patternType="solid">
          <fgColor rgb="FF3A3A3A"/>
          <bgColor rgb="FF1F3864"/>
        </patternFill>
      </fill>
      <alignment horizontal="center" wrapText="1"/>
    </dxf>
    <dxf>
      <font>
        <b/>
        <color rgb="FFFFFFFF"/>
        <name val="Arial"/>
      </font>
      <fill>
        <patternFill patternType="solid">
          <fgColor rgb="FF3A3A3A"/>
          <bgColor rgb="FF1F3864"/>
        </patternFill>
      </fill>
      <alignment horizontal="center" wrapText="1"/>
    </dxf>
    <dxf>
      <font>
        <b/>
        <color rgb="FFFFFFFF"/>
        <name val="Arial"/>
      </font>
      <fill>
        <patternFill patternType="solid">
          <fgColor rgb="FF3A3A3A"/>
          <bgColor rgb="FF1F3864"/>
        </patternFill>
      </fill>
      <alignment horizontal="center" wrapText="1"/>
    </dxf>
    <dxf>
      <numFmt numFmtId="170" formatCode="mmm\,yy"/>
    </dxf>
    <dxf>
      <numFmt numFmtId="170" formatCode="mmm\,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alignment horizontal="general" vertical="top" textRotation="0" wrapText="1" indent="0" relativeIndent="255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164" formatCode="dd\-mmm\-yy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FFF9E5"/>
          <bgColor rgb="FFEEF1F5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solid">
          <fgColor rgb="FFFFF9E5"/>
          <bgColor rgb="FFEEF1F5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66" formatCode="0.0"/>
      <fill>
        <patternFill patternType="solid">
          <fgColor rgb="FFFFF9E5"/>
          <bgColor rgb="FFEEF1F5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165" formatCode="\$#,##0;&quot;($&quot;#,##0\);\-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165" formatCode="\$#,##0;&quot;($&quot;#,##0\);\-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164" formatCode="dd\-mmm\-yy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165" formatCode="\$#,##0;&quot;($&quot;#,##0\);\-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1" formatCode="0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1" formatCode="0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3" formatCode="#,##0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164" formatCode="dd\-mmm\-yy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1" formatCode="0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rgb="FFFFF9E5"/>
          <bgColor rgb="FFEEF1F5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164" formatCode="dd\-mmm\-yy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numFmt numFmtId="3" formatCode="#,##0"/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scheme val="none"/>
      </font>
      <fill>
        <patternFill patternType="solid">
          <fgColor rgb="FFFFFFFF"/>
          <bgColor rgb="FFFFF9E5"/>
        </patternFill>
      </fill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A3A3A"/>
          <bgColor rgb="FF1F3864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E6B6B"/>
      <rgbColor rgb="FFBFBFBF"/>
      <rgbColor rgb="FF878787"/>
      <rgbColor rgb="FF5B9BD5"/>
      <rgbColor rgb="FF993366"/>
      <rgbColor rgb="FFFFF9E5"/>
      <rgbColor rgb="FFEEF1F5"/>
      <rgbColor rgb="FF5B2C6F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3B3B3"/>
      <rgbColor rgb="FF1F3864"/>
      <rgbColor rgb="FF339966"/>
      <rgbColor rgb="FF003300"/>
      <rgbColor rgb="FF385723"/>
      <rgbColor rgb="FF843C0C"/>
      <rgbColor rgb="FF993366"/>
      <rgbColor rgb="FF2F5597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Applications by Decision and Complexity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bar"/>
        <c:grouping val="stacked"/>
        <c:ser>
          <c:idx val="0"/>
          <c:order val="0"/>
          <c:tx>
            <c:strRef>
              <c:f>Summary!$B$12</c:f>
              <c:strCache>
                <c:ptCount val="1"/>
                <c:pt idx="0">
                  <c:v>Easy</c:v>
                </c:pt>
              </c:strCache>
            </c:strRef>
          </c:tx>
          <c:spPr>
            <a:solidFill>
              <a:srgbClr val="BDD7EE"/>
            </a:solidFill>
            <a:ln w="0">
              <a:solidFill>
                <a:srgbClr val="BDD7E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  <c:showBubbleSize val="1"/>
            <c:separator>;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Summary!$A$13:$A$16</c:f>
              <c:strCache>
                <c:ptCount val="4"/>
                <c:pt idx="0">
                  <c:v>Decommission</c:v>
                </c:pt>
                <c:pt idx="1">
                  <c:v>Retire</c:v>
                </c:pt>
                <c:pt idx="2">
                  <c:v>Retire + Archive</c:v>
                </c:pt>
                <c:pt idx="3">
                  <c:v>Retain</c:v>
                </c:pt>
              </c:strCache>
            </c:strRef>
          </c:cat>
          <c:val>
            <c:numRef>
              <c:f>Summary!$B$13:$B$16</c:f>
              <c:numCache>
                <c:formatCode>General</c:formatCode>
                <c:ptCount val="4"/>
                <c:pt idx="0">
                  <c:v>0</c:v>
                </c:pt>
                <c:pt idx="1">
                  <c:v>161</c:v>
                </c:pt>
                <c:pt idx="2">
                  <c:v>0</c:v>
                </c:pt>
                <c:pt idx="3">
                  <c:v>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88-4591-B75D-5569050E321A}"/>
            </c:ext>
          </c:extLst>
        </c:ser>
        <c:ser>
          <c:idx val="1"/>
          <c:order val="1"/>
          <c:tx>
            <c:strRef>
              <c:f>Summary!$C$12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5B9BD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  <c:showBubbleSize val="1"/>
            <c:separator>;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Summary!$A$13:$A$16</c:f>
              <c:strCache>
                <c:ptCount val="4"/>
                <c:pt idx="0">
                  <c:v>Decommission</c:v>
                </c:pt>
                <c:pt idx="1">
                  <c:v>Retire</c:v>
                </c:pt>
                <c:pt idx="2">
                  <c:v>Retire + Archive</c:v>
                </c:pt>
                <c:pt idx="3">
                  <c:v>Retain</c:v>
                </c:pt>
              </c:strCache>
            </c:strRef>
          </c:cat>
          <c:val>
            <c:numRef>
              <c:f>Summary!$C$13:$C$16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105</c:v>
                </c:pt>
                <c:pt idx="3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488-4591-B75D-5569050E321A}"/>
            </c:ext>
          </c:extLst>
        </c:ser>
        <c:ser>
          <c:idx val="2"/>
          <c:order val="2"/>
          <c:tx>
            <c:strRef>
              <c:f>Summary!$D$12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Val val="1"/>
            <c:showBubbleSize val="1"/>
            <c:separator>;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Summary!$A$13:$A$16</c:f>
              <c:strCache>
                <c:ptCount val="4"/>
                <c:pt idx="0">
                  <c:v>Decommission</c:v>
                </c:pt>
                <c:pt idx="1">
                  <c:v>Retire</c:v>
                </c:pt>
                <c:pt idx="2">
                  <c:v>Retire + Archive</c:v>
                </c:pt>
                <c:pt idx="3">
                  <c:v>Retain</c:v>
                </c:pt>
              </c:strCache>
            </c:strRef>
          </c:cat>
          <c:val>
            <c:numRef>
              <c:f>Summary!$D$13:$D$16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83</c:v>
                </c:pt>
                <c:pt idx="3">
                  <c:v>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488-4591-B75D-5569050E321A}"/>
            </c:ext>
          </c:extLst>
        </c:ser>
        <c:dLbls/>
        <c:overlap val="100"/>
        <c:axId val="195737856"/>
        <c:axId val="195747840"/>
      </c:barChart>
      <c:catAx>
        <c:axId val="195737856"/>
        <c:scaling>
          <c:orientation val="maxMin"/>
        </c:scaling>
        <c:axPos val="l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747840"/>
        <c:crosses val="autoZero"/>
        <c:auto val="1"/>
        <c:lblAlgn val="ctr"/>
        <c:lblOffset val="100"/>
      </c:catAx>
      <c:valAx>
        <c:axId val="195747840"/>
        <c:scaling>
          <c:orientation val="minMax"/>
        </c:scaling>
        <c:axPos val="t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7378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Annual Savings vs One-off Decom Cost by Wave ($)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Summary!$C$19</c:f>
              <c:strCache>
                <c:ptCount val="1"/>
                <c:pt idx="0">
                  <c:v>Annual Savings ($)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5B9BD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BubbleSize val="1"/>
            <c:separator>;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Summary!$A$20:$A$23</c:f>
              <c:strCache>
                <c:ptCount val="4"/>
                <c:pt idx="0">
                  <c:v>Wave 1</c:v>
                </c:pt>
                <c:pt idx="1">
                  <c:v>Wave 2</c:v>
                </c:pt>
                <c:pt idx="2">
                  <c:v>Wave 3</c:v>
                </c:pt>
                <c:pt idx="3">
                  <c:v>Backlog</c:v>
                </c:pt>
              </c:strCache>
            </c:strRef>
          </c:cat>
          <c:val>
            <c:numRef>
              <c:f>Summary!$C$20:$C$23</c:f>
              <c:numCache>
                <c:formatCode>\$#,##0;"($"#,##0\);\-</c:formatCode>
                <c:ptCount val="4"/>
                <c:pt idx="0">
                  <c:v>7647500</c:v>
                </c:pt>
                <c:pt idx="1">
                  <c:v>6919000</c:v>
                </c:pt>
                <c:pt idx="2">
                  <c:v>7503500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8A-4D1B-9F00-007227193EDF}"/>
            </c:ext>
          </c:extLst>
        </c:ser>
        <c:ser>
          <c:idx val="1"/>
          <c:order val="1"/>
          <c:tx>
            <c:strRef>
              <c:f>Summary!$D$19</c:f>
              <c:strCache>
                <c:ptCount val="1"/>
                <c:pt idx="0">
                  <c:v>Est. Decom Cost ($)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BubbleSize val="1"/>
            <c:separator>;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Summary!$A$20:$A$23</c:f>
              <c:strCache>
                <c:ptCount val="4"/>
                <c:pt idx="0">
                  <c:v>Wave 1</c:v>
                </c:pt>
                <c:pt idx="1">
                  <c:v>Wave 2</c:v>
                </c:pt>
                <c:pt idx="2">
                  <c:v>Wave 3</c:v>
                </c:pt>
                <c:pt idx="3">
                  <c:v>Backlog</c:v>
                </c:pt>
              </c:strCache>
            </c:strRef>
          </c:cat>
          <c:val>
            <c:numRef>
              <c:f>Summary!$D$20:$D$23</c:f>
              <c:numCache>
                <c:formatCode>\$#,##0;"($"#,##0\);\-</c:formatCode>
                <c:ptCount val="4"/>
                <c:pt idx="0">
                  <c:v>40835500</c:v>
                </c:pt>
                <c:pt idx="1">
                  <c:v>14090000</c:v>
                </c:pt>
                <c:pt idx="2">
                  <c:v>18336000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8A-4D1B-9F00-007227193EDF}"/>
            </c:ext>
          </c:extLst>
        </c:ser>
        <c:dLbls/>
        <c:axId val="195769472"/>
        <c:axId val="195771008"/>
      </c:barChart>
      <c:catAx>
        <c:axId val="195769472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771008"/>
        <c:crosses val="autoZero"/>
        <c:auto val="1"/>
        <c:lblAlgn val="ctr"/>
        <c:lblOffset val="100"/>
      </c:catAx>
      <c:valAx>
        <c:axId val="195771008"/>
        <c:scaling>
          <c:orientation val="minMax"/>
        </c:scaling>
        <c:axPos val="l"/>
        <c:numFmt formatCode="\$#,##0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7694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Decommissioning Pipeline by Status</a:t>
            </a:r>
          </a:p>
        </c:rich>
      </c:tx>
      <c:layout/>
      <c:spPr>
        <a:noFill/>
        <a:ln w="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tx>
            <c:strRef>
              <c:f>Summary!$B$25</c:f>
              <c:strCache>
                <c:ptCount val="1"/>
                <c:pt idx="0">
                  <c:v># Apps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Val val="1"/>
            <c:showBubbleSize val="1"/>
            <c:separator>;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Summary!$A$26:$A$31</c:f>
              <c:strCache>
                <c:ptCount val="6"/>
                <c:pt idx="0">
                  <c:v>Under Review</c:v>
                </c:pt>
                <c:pt idx="1">
                  <c:v>Approved</c:v>
                </c:pt>
                <c:pt idx="2">
                  <c:v>In progress</c:v>
                </c:pt>
                <c:pt idx="3">
                  <c:v>On hold</c:v>
                </c:pt>
                <c:pt idx="4">
                  <c:v>Completed</c:v>
                </c:pt>
                <c:pt idx="5">
                  <c:v>Rejected</c:v>
                </c:pt>
              </c:strCache>
            </c:strRef>
          </c:cat>
          <c:val>
            <c:numRef>
              <c:f>Summary!$B$26:$B$31</c:f>
              <c:numCache>
                <c:formatCode>General</c:formatCode>
                <c:ptCount val="6"/>
                <c:pt idx="0">
                  <c:v>547</c:v>
                </c:pt>
                <c:pt idx="1">
                  <c:v>152</c:v>
                </c:pt>
                <c:pt idx="2">
                  <c:v>65</c:v>
                </c:pt>
                <c:pt idx="3">
                  <c:v>4</c:v>
                </c:pt>
                <c:pt idx="4">
                  <c:v>58</c:v>
                </c:pt>
                <c:pt idx="5">
                  <c:v>174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1D1-4066-B384-7EE03FF3A3DC}"/>
            </c:ext>
          </c:extLst>
        </c:ser>
        <c:dLbls/>
        <c:axId val="195803776"/>
        <c:axId val="195805568"/>
      </c:barChart>
      <c:catAx>
        <c:axId val="195803776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805568"/>
        <c:crosses val="autoZero"/>
        <c:auto val="1"/>
        <c:lblAlgn val="ctr"/>
        <c:lblOffset val="100"/>
      </c:catAx>
      <c:valAx>
        <c:axId val="195805568"/>
        <c:scaling>
          <c:orientation val="minMax"/>
        </c:scaling>
        <c:axPos val="l"/>
        <c:numFmt formatCode="General" sourceLinked="0"/>
        <c:maj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8037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Planned Retirements by Month (Jan 2021 - Dec 2023)</a:t>
            </a:r>
          </a:p>
        </c:rich>
      </c:tx>
      <c:layout/>
      <c:spPr>
        <a:noFill/>
        <a:ln w="0">
          <a:noFill/>
        </a:ln>
      </c:spPr>
    </c:title>
    <c:plotArea>
      <c:layout>
        <c:manualLayout>
          <c:layoutTarget val="inner"/>
          <c:xMode val="edge"/>
          <c:yMode val="edge"/>
          <c:x val="2.2275980018626716E-2"/>
          <c:y val="0.12551098897872667"/>
          <c:w val="0.96826165438997569"/>
          <c:h val="0.52538249556086236"/>
        </c:manualLayout>
      </c:layout>
      <c:barChart>
        <c:barDir val="col"/>
        <c:grouping val="stacked"/>
        <c:ser>
          <c:idx val="0"/>
          <c:order val="0"/>
          <c:tx>
            <c:strRef>
              <c:f>Summary!$B$35</c:f>
              <c:strCache>
                <c:ptCount val="1"/>
                <c:pt idx="0">
                  <c:v>Migrate</c:v>
                </c:pt>
              </c:strCache>
            </c:strRef>
          </c:tx>
          <c:spPr>
            <a:solidFill>
              <a:srgbClr val="BDD7EE"/>
            </a:solidFill>
            <a:ln w="0">
              <a:solidFill>
                <a:srgbClr val="BDD7EE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BubbleSize val="1"/>
            <c:separator>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Summary!$A$36:$A$71</c:f>
              <c:strCache>
                <c:ptCount val="36"/>
                <c:pt idx="0">
                  <c:v>Jan 2021</c:v>
                </c:pt>
                <c:pt idx="1">
                  <c:v>Feb 2021</c:v>
                </c:pt>
                <c:pt idx="2">
                  <c:v>Mar 2021</c:v>
                </c:pt>
                <c:pt idx="3">
                  <c:v>Apr 2021</c:v>
                </c:pt>
                <c:pt idx="4">
                  <c:v>May 2021</c:v>
                </c:pt>
                <c:pt idx="5">
                  <c:v>Jun 2021</c:v>
                </c:pt>
                <c:pt idx="6">
                  <c:v>Jul 2021</c:v>
                </c:pt>
                <c:pt idx="7">
                  <c:v>Aug 2021</c:v>
                </c:pt>
                <c:pt idx="8">
                  <c:v>Sep 2021</c:v>
                </c:pt>
                <c:pt idx="9">
                  <c:v>Oct 2021</c:v>
                </c:pt>
                <c:pt idx="10">
                  <c:v>Nov 2021</c:v>
                </c:pt>
                <c:pt idx="11">
                  <c:v>Dec 2021</c:v>
                </c:pt>
                <c:pt idx="12">
                  <c:v>Jan 2022</c:v>
                </c:pt>
                <c:pt idx="13">
                  <c:v>Feb 2022</c:v>
                </c:pt>
                <c:pt idx="14">
                  <c:v>Mar 2022</c:v>
                </c:pt>
                <c:pt idx="15">
                  <c:v>Apr 2022</c:v>
                </c:pt>
                <c:pt idx="16">
                  <c:v>May 2022</c:v>
                </c:pt>
                <c:pt idx="17">
                  <c:v>Jun 2022</c:v>
                </c:pt>
                <c:pt idx="18">
                  <c:v>Jul 2022</c:v>
                </c:pt>
                <c:pt idx="19">
                  <c:v>Aug 2022</c:v>
                </c:pt>
                <c:pt idx="20">
                  <c:v>Sep 2022</c:v>
                </c:pt>
                <c:pt idx="21">
                  <c:v>Oct 2022</c:v>
                </c:pt>
                <c:pt idx="22">
                  <c:v>Nov 2022</c:v>
                </c:pt>
                <c:pt idx="23">
                  <c:v>Dec 2022</c:v>
                </c:pt>
                <c:pt idx="24">
                  <c:v>Jan 2023</c:v>
                </c:pt>
                <c:pt idx="25">
                  <c:v>Feb 2023</c:v>
                </c:pt>
                <c:pt idx="26">
                  <c:v>Mar 2023</c:v>
                </c:pt>
                <c:pt idx="27">
                  <c:v>Apr 2023</c:v>
                </c:pt>
                <c:pt idx="28">
                  <c:v>May 2023</c:v>
                </c:pt>
                <c:pt idx="29">
                  <c:v>Jun 2023</c:v>
                </c:pt>
                <c:pt idx="30">
                  <c:v>Jul 2023</c:v>
                </c:pt>
                <c:pt idx="31">
                  <c:v>Aug 2023</c:v>
                </c:pt>
                <c:pt idx="32">
                  <c:v>Sep 2023</c:v>
                </c:pt>
                <c:pt idx="33">
                  <c:v>Oct 2023</c:v>
                </c:pt>
                <c:pt idx="34">
                  <c:v>Nov 2023</c:v>
                </c:pt>
                <c:pt idx="35">
                  <c:v>Dec 2023</c:v>
                </c:pt>
              </c:strCache>
            </c:strRef>
          </c:cat>
          <c:val>
            <c:numRef>
              <c:f>Summary!$B$36:$B$71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  <c:pt idx="24">
                  <c:v>9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7</c:v>
                </c:pt>
                <c:pt idx="29">
                  <c:v>5</c:v>
                </c:pt>
                <c:pt idx="30">
                  <c:v>9</c:v>
                </c:pt>
                <c:pt idx="31">
                  <c:v>6</c:v>
                </c:pt>
                <c:pt idx="32">
                  <c:v>4</c:v>
                </c:pt>
                <c:pt idx="33">
                  <c:v>4</c:v>
                </c:pt>
                <c:pt idx="34">
                  <c:v>1</c:v>
                </c:pt>
                <c:pt idx="3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80-4CDA-B839-653BEE38BB0C}"/>
            </c:ext>
          </c:extLst>
        </c:ser>
        <c:ser>
          <c:idx val="1"/>
          <c:order val="1"/>
          <c:tx>
            <c:strRef>
              <c:f>Summary!$C$35</c:f>
              <c:strCache>
                <c:ptCount val="1"/>
                <c:pt idx="0">
                  <c:v>Retire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5B9BD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BubbleSize val="1"/>
            <c:separator>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Summary!$A$36:$A$71</c:f>
              <c:strCache>
                <c:ptCount val="36"/>
                <c:pt idx="0">
                  <c:v>Jan 2021</c:v>
                </c:pt>
                <c:pt idx="1">
                  <c:v>Feb 2021</c:v>
                </c:pt>
                <c:pt idx="2">
                  <c:v>Mar 2021</c:v>
                </c:pt>
                <c:pt idx="3">
                  <c:v>Apr 2021</c:v>
                </c:pt>
                <c:pt idx="4">
                  <c:v>May 2021</c:v>
                </c:pt>
                <c:pt idx="5">
                  <c:v>Jun 2021</c:v>
                </c:pt>
                <c:pt idx="6">
                  <c:v>Jul 2021</c:v>
                </c:pt>
                <c:pt idx="7">
                  <c:v>Aug 2021</c:v>
                </c:pt>
                <c:pt idx="8">
                  <c:v>Sep 2021</c:v>
                </c:pt>
                <c:pt idx="9">
                  <c:v>Oct 2021</c:v>
                </c:pt>
                <c:pt idx="10">
                  <c:v>Nov 2021</c:v>
                </c:pt>
                <c:pt idx="11">
                  <c:v>Dec 2021</c:v>
                </c:pt>
                <c:pt idx="12">
                  <c:v>Jan 2022</c:v>
                </c:pt>
                <c:pt idx="13">
                  <c:v>Feb 2022</c:v>
                </c:pt>
                <c:pt idx="14">
                  <c:v>Mar 2022</c:v>
                </c:pt>
                <c:pt idx="15">
                  <c:v>Apr 2022</c:v>
                </c:pt>
                <c:pt idx="16">
                  <c:v>May 2022</c:v>
                </c:pt>
                <c:pt idx="17">
                  <c:v>Jun 2022</c:v>
                </c:pt>
                <c:pt idx="18">
                  <c:v>Jul 2022</c:v>
                </c:pt>
                <c:pt idx="19">
                  <c:v>Aug 2022</c:v>
                </c:pt>
                <c:pt idx="20">
                  <c:v>Sep 2022</c:v>
                </c:pt>
                <c:pt idx="21">
                  <c:v>Oct 2022</c:v>
                </c:pt>
                <c:pt idx="22">
                  <c:v>Nov 2022</c:v>
                </c:pt>
                <c:pt idx="23">
                  <c:v>Dec 2022</c:v>
                </c:pt>
                <c:pt idx="24">
                  <c:v>Jan 2023</c:v>
                </c:pt>
                <c:pt idx="25">
                  <c:v>Feb 2023</c:v>
                </c:pt>
                <c:pt idx="26">
                  <c:v>Mar 2023</c:v>
                </c:pt>
                <c:pt idx="27">
                  <c:v>Apr 2023</c:v>
                </c:pt>
                <c:pt idx="28">
                  <c:v>May 2023</c:v>
                </c:pt>
                <c:pt idx="29">
                  <c:v>Jun 2023</c:v>
                </c:pt>
                <c:pt idx="30">
                  <c:v>Jul 2023</c:v>
                </c:pt>
                <c:pt idx="31">
                  <c:v>Aug 2023</c:v>
                </c:pt>
                <c:pt idx="32">
                  <c:v>Sep 2023</c:v>
                </c:pt>
                <c:pt idx="33">
                  <c:v>Oct 2023</c:v>
                </c:pt>
                <c:pt idx="34">
                  <c:v>Nov 2023</c:v>
                </c:pt>
                <c:pt idx="35">
                  <c:v>Dec 2023</c:v>
                </c:pt>
              </c:strCache>
            </c:strRef>
          </c:cat>
          <c:val>
            <c:numRef>
              <c:f>Summary!$C$36:$C$71</c:f>
              <c:numCache>
                <c:formatCode>General</c:formatCode>
                <c:ptCount val="36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  <c:pt idx="16">
                  <c:v>8</c:v>
                </c:pt>
                <c:pt idx="17">
                  <c:v>1</c:v>
                </c:pt>
                <c:pt idx="18">
                  <c:v>8</c:v>
                </c:pt>
                <c:pt idx="19">
                  <c:v>4</c:v>
                </c:pt>
                <c:pt idx="20">
                  <c:v>1</c:v>
                </c:pt>
                <c:pt idx="21">
                  <c:v>7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6</c:v>
                </c:pt>
                <c:pt idx="27">
                  <c:v>9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6</c:v>
                </c:pt>
                <c:pt idx="35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D80-4CDA-B839-653BEE38BB0C}"/>
            </c:ext>
          </c:extLst>
        </c:ser>
        <c:ser>
          <c:idx val="2"/>
          <c:order val="2"/>
          <c:tx>
            <c:strRef>
              <c:f>Summary!$D$35</c:f>
              <c:strCache>
                <c:ptCount val="1"/>
                <c:pt idx="0">
                  <c:v>Retire + Archive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BubbleSize val="1"/>
            <c:separator> </c:separator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Summary!$A$36:$A$71</c:f>
              <c:strCache>
                <c:ptCount val="36"/>
                <c:pt idx="0">
                  <c:v>Jan 2021</c:v>
                </c:pt>
                <c:pt idx="1">
                  <c:v>Feb 2021</c:v>
                </c:pt>
                <c:pt idx="2">
                  <c:v>Mar 2021</c:v>
                </c:pt>
                <c:pt idx="3">
                  <c:v>Apr 2021</c:v>
                </c:pt>
                <c:pt idx="4">
                  <c:v>May 2021</c:v>
                </c:pt>
                <c:pt idx="5">
                  <c:v>Jun 2021</c:v>
                </c:pt>
                <c:pt idx="6">
                  <c:v>Jul 2021</c:v>
                </c:pt>
                <c:pt idx="7">
                  <c:v>Aug 2021</c:v>
                </c:pt>
                <c:pt idx="8">
                  <c:v>Sep 2021</c:v>
                </c:pt>
                <c:pt idx="9">
                  <c:v>Oct 2021</c:v>
                </c:pt>
                <c:pt idx="10">
                  <c:v>Nov 2021</c:v>
                </c:pt>
                <c:pt idx="11">
                  <c:v>Dec 2021</c:v>
                </c:pt>
                <c:pt idx="12">
                  <c:v>Jan 2022</c:v>
                </c:pt>
                <c:pt idx="13">
                  <c:v>Feb 2022</c:v>
                </c:pt>
                <c:pt idx="14">
                  <c:v>Mar 2022</c:v>
                </c:pt>
                <c:pt idx="15">
                  <c:v>Apr 2022</c:v>
                </c:pt>
                <c:pt idx="16">
                  <c:v>May 2022</c:v>
                </c:pt>
                <c:pt idx="17">
                  <c:v>Jun 2022</c:v>
                </c:pt>
                <c:pt idx="18">
                  <c:v>Jul 2022</c:v>
                </c:pt>
                <c:pt idx="19">
                  <c:v>Aug 2022</c:v>
                </c:pt>
                <c:pt idx="20">
                  <c:v>Sep 2022</c:v>
                </c:pt>
                <c:pt idx="21">
                  <c:v>Oct 2022</c:v>
                </c:pt>
                <c:pt idx="22">
                  <c:v>Nov 2022</c:v>
                </c:pt>
                <c:pt idx="23">
                  <c:v>Dec 2022</c:v>
                </c:pt>
                <c:pt idx="24">
                  <c:v>Jan 2023</c:v>
                </c:pt>
                <c:pt idx="25">
                  <c:v>Feb 2023</c:v>
                </c:pt>
                <c:pt idx="26">
                  <c:v>Mar 2023</c:v>
                </c:pt>
                <c:pt idx="27">
                  <c:v>Apr 2023</c:v>
                </c:pt>
                <c:pt idx="28">
                  <c:v>May 2023</c:v>
                </c:pt>
                <c:pt idx="29">
                  <c:v>Jun 2023</c:v>
                </c:pt>
                <c:pt idx="30">
                  <c:v>Jul 2023</c:v>
                </c:pt>
                <c:pt idx="31">
                  <c:v>Aug 2023</c:v>
                </c:pt>
                <c:pt idx="32">
                  <c:v>Sep 2023</c:v>
                </c:pt>
                <c:pt idx="33">
                  <c:v>Oct 2023</c:v>
                </c:pt>
                <c:pt idx="34">
                  <c:v>Nov 2023</c:v>
                </c:pt>
                <c:pt idx="35">
                  <c:v>Dec 2023</c:v>
                </c:pt>
              </c:strCache>
            </c:strRef>
          </c:cat>
          <c:val>
            <c:numRef>
              <c:f>Summary!$D$36:$D$71</c:f>
              <c:numCache>
                <c:formatCode>General</c:formatCode>
                <c:ptCount val="36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6</c:v>
                </c:pt>
                <c:pt idx="17">
                  <c:v>8</c:v>
                </c:pt>
                <c:pt idx="18">
                  <c:v>6</c:v>
                </c:pt>
                <c:pt idx="19">
                  <c:v>5</c:v>
                </c:pt>
                <c:pt idx="20">
                  <c:v>11</c:v>
                </c:pt>
                <c:pt idx="21">
                  <c:v>3</c:v>
                </c:pt>
                <c:pt idx="22">
                  <c:v>6</c:v>
                </c:pt>
                <c:pt idx="23">
                  <c:v>5</c:v>
                </c:pt>
                <c:pt idx="24">
                  <c:v>2</c:v>
                </c:pt>
                <c:pt idx="25">
                  <c:v>7</c:v>
                </c:pt>
                <c:pt idx="26">
                  <c:v>6</c:v>
                </c:pt>
                <c:pt idx="27">
                  <c:v>4</c:v>
                </c:pt>
                <c:pt idx="28">
                  <c:v>4</c:v>
                </c:pt>
                <c:pt idx="29">
                  <c:v>5</c:v>
                </c:pt>
                <c:pt idx="30">
                  <c:v>3</c:v>
                </c:pt>
                <c:pt idx="31">
                  <c:v>5</c:v>
                </c:pt>
                <c:pt idx="32">
                  <c:v>7</c:v>
                </c:pt>
                <c:pt idx="33">
                  <c:v>6</c:v>
                </c:pt>
                <c:pt idx="34">
                  <c:v>4</c:v>
                </c:pt>
                <c:pt idx="35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D80-4CDA-B839-653BEE38BB0C}"/>
            </c:ext>
          </c:extLst>
        </c:ser>
        <c:dLbls/>
        <c:gapWidth val="60"/>
        <c:overlap val="100"/>
        <c:axId val="196081920"/>
        <c:axId val="196239360"/>
      </c:barChart>
      <c:catAx>
        <c:axId val="19608192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6239360"/>
        <c:crosses val="autoZero"/>
        <c:auto val="1"/>
        <c:lblAlgn val="ctr"/>
        <c:lblOffset val="100"/>
      </c:catAx>
      <c:valAx>
        <c:axId val="196239360"/>
        <c:scaling>
          <c:orientation val="minMax"/>
        </c:scaling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60819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160920</xdr:rowOff>
    </xdr:from>
    <xdr:to>
      <xdr:col>9</xdr:col>
      <xdr:colOff>255600</xdr:colOff>
      <xdr:row>17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160920</xdr:rowOff>
    </xdr:from>
    <xdr:to>
      <xdr:col>18</xdr:col>
      <xdr:colOff>255960</xdr:colOff>
      <xdr:row>17</xdr:row>
      <xdr:rowOff>182520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255600</xdr:colOff>
      <xdr:row>34</xdr:row>
      <xdr:rowOff>182160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352425</xdr:colOff>
      <xdr:row>38</xdr:row>
      <xdr:rowOff>85724</xdr:rowOff>
    </xdr:from>
    <xdr:to>
      <xdr:col>26</xdr:col>
      <xdr:colOff>9525</xdr:colOff>
      <xdr:row>67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</xdr:col>
      <xdr:colOff>485776</xdr:colOff>
      <xdr:row>62</xdr:row>
      <xdr:rowOff>57150</xdr:rowOff>
    </xdr:from>
    <xdr:ext cx="62331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742E19A-F0FA-5305-97F9-C7D6D341E685}"/>
            </a:ext>
          </a:extLst>
        </xdr:cNvPr>
        <xdr:cNvSpPr txBox="1"/>
      </xdr:nvSpPr>
      <xdr:spPr>
        <a:xfrm>
          <a:off x="2809876" y="11906250"/>
          <a:ext cx="6233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Wave 1</a:t>
          </a:r>
        </a:p>
      </xdr:txBody>
    </xdr:sp>
    <xdr:clientData/>
  </xdr:oneCellAnchor>
  <xdr:oneCellAnchor>
    <xdr:from>
      <xdr:col>12</xdr:col>
      <xdr:colOff>561975</xdr:colOff>
      <xdr:row>62</xdr:row>
      <xdr:rowOff>85725</xdr:rowOff>
    </xdr:from>
    <xdr:ext cx="62331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50E58A33-0B04-8AE1-289E-933468E2CBB8}"/>
            </a:ext>
          </a:extLst>
        </xdr:cNvPr>
        <xdr:cNvSpPr txBox="1"/>
      </xdr:nvSpPr>
      <xdr:spPr>
        <a:xfrm>
          <a:off x="7534275" y="11934825"/>
          <a:ext cx="6233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Wave 2</a:t>
          </a:r>
        </a:p>
      </xdr:txBody>
    </xdr:sp>
    <xdr:clientData/>
  </xdr:oneCellAnchor>
  <xdr:oneCellAnchor>
    <xdr:from>
      <xdr:col>21</xdr:col>
      <xdr:colOff>114300</xdr:colOff>
      <xdr:row>62</xdr:row>
      <xdr:rowOff>19050</xdr:rowOff>
    </xdr:from>
    <xdr:ext cx="62331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D2728FD6-92A0-74E3-DBEF-24B22ECAFB6A}"/>
            </a:ext>
          </a:extLst>
        </xdr:cNvPr>
        <xdr:cNvSpPr txBox="1"/>
      </xdr:nvSpPr>
      <xdr:spPr>
        <a:xfrm>
          <a:off x="12315825" y="11868150"/>
          <a:ext cx="6233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Wave 3</a:t>
          </a:r>
        </a:p>
      </xdr:txBody>
    </xdr:sp>
    <xdr:clientData/>
  </xdr:oneCellAnchor>
  <xdr:twoCellAnchor>
    <xdr:from>
      <xdr:col>1</xdr:col>
      <xdr:colOff>133353</xdr:colOff>
      <xdr:row>60</xdr:row>
      <xdr:rowOff>61912</xdr:rowOff>
    </xdr:from>
    <xdr:to>
      <xdr:col>9</xdr:col>
      <xdr:colOff>190504</xdr:colOff>
      <xdr:row>62</xdr:row>
      <xdr:rowOff>33338</xdr:rowOff>
    </xdr:to>
    <xdr:sp macro="" textlink="">
      <xdr:nvSpPr>
        <xdr:cNvPr id="9" name="Left Brace 8">
          <a:extLst>
            <a:ext uri="{FF2B5EF4-FFF2-40B4-BE49-F238E27FC236}">
              <a16:creationId xmlns:a16="http://schemas.microsoft.com/office/drawing/2014/main" xmlns="" id="{1A909384-4019-FB02-575D-5AA471472734}"/>
            </a:ext>
          </a:extLst>
        </xdr:cNvPr>
        <xdr:cNvSpPr/>
      </xdr:nvSpPr>
      <xdr:spPr>
        <a:xfrm rot="16200000">
          <a:off x="2890841" y="9353549"/>
          <a:ext cx="352426" cy="4705351"/>
        </a:xfrm>
        <a:prstGeom prst="leftBrace">
          <a:avLst/>
        </a:prstGeom>
        <a:noFill/>
        <a:ln w="3810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247654</xdr:colOff>
      <xdr:row>60</xdr:row>
      <xdr:rowOff>42864</xdr:rowOff>
    </xdr:from>
    <xdr:to>
      <xdr:col>17</xdr:col>
      <xdr:colOff>304805</xdr:colOff>
      <xdr:row>62</xdr:row>
      <xdr:rowOff>14290</xdr:rowOff>
    </xdr:to>
    <xdr:sp macro="" textlink="">
      <xdr:nvSpPr>
        <xdr:cNvPr id="10" name="Left Brace 9">
          <a:extLst>
            <a:ext uri="{FF2B5EF4-FFF2-40B4-BE49-F238E27FC236}">
              <a16:creationId xmlns:a16="http://schemas.microsoft.com/office/drawing/2014/main" xmlns="" id="{5CAFA96F-5E8F-34FF-6FCB-6D9C5F95B2F4}"/>
            </a:ext>
          </a:extLst>
        </xdr:cNvPr>
        <xdr:cNvSpPr/>
      </xdr:nvSpPr>
      <xdr:spPr>
        <a:xfrm rot="16200000">
          <a:off x="7653342" y="9334501"/>
          <a:ext cx="352426" cy="4705351"/>
        </a:xfrm>
        <a:prstGeom prst="leftBrace">
          <a:avLst/>
        </a:prstGeom>
        <a:noFill/>
        <a:ln w="38100">
          <a:solidFill>
            <a:schemeClr val="accent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352430</xdr:colOff>
      <xdr:row>59</xdr:row>
      <xdr:rowOff>176214</xdr:rowOff>
    </xdr:from>
    <xdr:to>
      <xdr:col>25</xdr:col>
      <xdr:colOff>409581</xdr:colOff>
      <xdr:row>61</xdr:row>
      <xdr:rowOff>147640</xdr:rowOff>
    </xdr:to>
    <xdr:sp macro="" textlink="">
      <xdr:nvSpPr>
        <xdr:cNvPr id="11" name="Left Brace 10">
          <a:extLst>
            <a:ext uri="{FF2B5EF4-FFF2-40B4-BE49-F238E27FC236}">
              <a16:creationId xmlns:a16="http://schemas.microsoft.com/office/drawing/2014/main" xmlns="" id="{457575F3-3312-7097-D25E-E51340917108}"/>
            </a:ext>
          </a:extLst>
        </xdr:cNvPr>
        <xdr:cNvSpPr/>
      </xdr:nvSpPr>
      <xdr:spPr>
        <a:xfrm rot="16200000">
          <a:off x="12406318" y="9277351"/>
          <a:ext cx="352426" cy="4705351"/>
        </a:xfrm>
        <a:prstGeom prst="leftBrace">
          <a:avLst/>
        </a:prstGeom>
        <a:noFill/>
        <a:ln w="38100">
          <a:solidFill>
            <a:schemeClr val="accent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irti Sharma" refreshedDate="46295.328139120371" createdVersion="8" refreshedVersion="8" minRefreshableVersion="3" recordCount="1000">
  <cacheSource type="worksheet">
    <worksheetSource name="Table1"/>
  </cacheSource>
  <cacheFields count="43">
    <cacheField name="App ID" numFmtId="0">
      <sharedItems containsSemiMixedTypes="0" containsString="0" containsNumber="1" containsInteger="1" minValue="10949" maxValue="199946"/>
    </cacheField>
    <cacheField name="App Name" numFmtId="0">
      <sharedItems/>
    </cacheField>
    <cacheField name="Business Capability" numFmtId="0">
      <sharedItems/>
    </cacheField>
    <cacheField name="Line of Business" numFmtId="0">
      <sharedItems/>
    </cacheField>
    <cacheField name="Exposure (Internal / External / Partner)" numFmtId="0">
      <sharedItems/>
    </cacheField>
    <cacheField name="Business Owner" numFmtId="0">
      <sharedItems/>
    </cacheField>
    <cacheField name="IT Owner" numFmtId="0">
      <sharedItems/>
    </cacheField>
    <cacheField name="Infra Owner" numFmtId="0">
      <sharedItems/>
    </cacheField>
    <cacheField name="Active Users (last 90d)" numFmtId="3">
      <sharedItems containsString="0" containsBlank="1" containsNumber="1" containsInteger="1" minValue="0" maxValue="8237"/>
    </cacheField>
    <cacheField name="Last Used Date" numFmtId="164">
      <sharedItems containsNonDate="0" containsDate="1" containsString="0" containsBlank="1" minDate="2019-06-01T00:00:00" maxDate="2021-05-01T00:00:00"/>
    </cacheField>
    <cacheField name="Usage Status" numFmtId="0">
      <sharedItems/>
    </cacheField>
    <cacheField name="Business Value (1-5)" numFmtId="0">
      <sharedItems containsSemiMixedTypes="0" containsString="0" containsNumber="1" containsInteger="1" minValue="1" maxValue="5"/>
    </cacheField>
    <cacheField name="Criticality Tier (1-4)" numFmtId="0">
      <sharedItems containsSemiMixedTypes="0" containsString="0" containsNumber="1" containsInteger="1" minValue="1" maxValue="4"/>
    </cacheField>
    <cacheField name="Replacement / Target App" numFmtId="0">
      <sharedItems containsBlank="1"/>
    </cacheField>
    <cacheField name="Hosting" numFmtId="0">
      <sharedItems/>
    </cacheField>
    <cacheField name="Server Hostname(s)" numFmtId="0">
      <sharedItems/>
    </cacheField>
    <cacheField name="# Servers" numFmtId="1">
      <sharedItems containsSemiMixedTypes="0" containsString="0" containsNumber="1" containsInteger="1" minValue="0" maxValue="8"/>
    </cacheField>
    <cacheField name="OS / Version" numFmtId="0">
      <sharedItems/>
    </cacheField>
    <cacheField name="Database / Version" numFmtId="0">
      <sharedItems/>
    </cacheField>
    <cacheField name="Data Centre / Cloud Region" numFmtId="0">
      <sharedItems/>
    </cacheField>
    <cacheField name="End-of-Support Date" numFmtId="164">
      <sharedItems containsDate="1" containsBlank="1" containsMixedTypes="1" minDate="2017-04-30T00:00:00" maxDate="2029-06-01T00:00:00"/>
    </cacheField>
    <cacheField name="Data Type" numFmtId="0">
      <sharedItems/>
    </cacheField>
    <cacheField name="Data Volume (GB)" numFmtId="3">
      <sharedItems containsSemiMixedTypes="0" containsString="0" containsNumber="1" containsInteger="1" minValue="1" maxValue="18490"/>
    </cacheField>
    <cacheField name="PII / Regulated (Y/N)" numFmtId="0">
      <sharedItems/>
    </cacheField>
    <cacheField name="Retention (yrs)" numFmtId="1">
      <sharedItems containsSemiMixedTypes="0" containsString="0" containsNumber="1" containsInteger="1" minValue="1" maxValue="10"/>
    </cacheField>
    <cacheField name="Data Archival Required (Y/N)" numFmtId="0">
      <sharedItems/>
    </cacheField>
    <cacheField name="Post-Retirement Requirement" numFmtId="0">
      <sharedItems/>
    </cacheField>
    <cacheField name="Interfaces (#)" numFmtId="1">
      <sharedItems containsSemiMixedTypes="0" containsString="0" containsNumber="1" containsInteger="1" minValue="0" maxValue="90"/>
    </cacheField>
    <cacheField name="User / Functional Docs" numFmtId="0">
      <sharedItems/>
    </cacheField>
    <cacheField name="Technical Design Docs" numFmtId="0">
      <sharedItems/>
    </cacheField>
    <cacheField name="Architecture Diagram" numFmtId="0">
      <sharedItems/>
    </cacheField>
    <cacheField name="Annual Run Cost ($)" numFmtId="0">
      <sharedItems containsSemiMixedTypes="0" containsString="0" containsNumber="1" containsInteger="1" minValue="4500" maxValue="650000"/>
    </cacheField>
    <cacheField name="Contract End Date" numFmtId="164">
      <sharedItems containsSemiMixedTypes="0" containsNonDate="0" containsDate="1" containsString="0" minDate="2025-01-31T00:00:00" maxDate="2036-01-01T00:00:00"/>
    </cacheField>
    <cacheField name="Est. Decom Cost ($)" numFmtId="0">
      <sharedItems containsString="0" containsBlank="1" containsNumber="1" containsInteger="1" minValue="3500" maxValue="32200000"/>
    </cacheField>
    <cacheField name="Annual Savings ($)" numFmtId="0">
      <sharedItems containsString="0" containsBlank="1" containsNumber="1" containsInteger="1" minValue="2500" maxValue="520000"/>
    </cacheField>
    <cacheField name="Payback (months)" numFmtId="166">
      <sharedItems containsMixedTypes="1" containsNumber="1" minValue="0.89440993788819878" maxValue="743.07692307692309"/>
    </cacheField>
    <cacheField name="Retirement Drivers (0-4)" numFmtId="1">
      <sharedItems containsSemiMixedTypes="0" containsString="0" containsNumber="1" containsInteger="1" minValue="0" maxValue="4"/>
    </cacheField>
    <cacheField name="Decision" numFmtId="0">
      <sharedItems count="5">
        <s v="Migrate"/>
        <s v="Retire + Archive"/>
        <s v="Retire"/>
        <s v="Retain"/>
        <s v="Pending"/>
      </sharedItems>
    </cacheField>
    <cacheField name="Complexity" numFmtId="0">
      <sharedItems count="3">
        <s v="High"/>
        <s v="Medium"/>
        <s v="Easy"/>
      </sharedItems>
    </cacheField>
    <cacheField name="Wave" numFmtId="0">
      <sharedItems containsBlank="1" count="4">
        <s v="Wave 1"/>
        <s v="Wave 2"/>
        <s v="Wave 3"/>
        <m/>
      </sharedItems>
    </cacheField>
    <cacheField name="Target Retirement Date" numFmtId="164">
      <sharedItems containsNonDate="0" containsDate="1" containsString="0" containsBlank="1" minDate="2021-01-31T00:00:00" maxDate="2024-01-01T00:00:00" count="37">
        <d v="2021-06-30T00:00:00"/>
        <d v="2021-12-31T00:00:00"/>
        <d v="2021-10-31T00:00:00"/>
        <d v="2021-05-31T00:00:00"/>
        <d v="2021-04-30T00:00:00"/>
        <d v="2021-03-31T00:00:00"/>
        <d v="2021-02-28T00:00:00"/>
        <d v="2021-07-31T00:00:00"/>
        <d v="2021-08-31T00:00:00"/>
        <d v="2021-11-30T00:00:00"/>
        <d v="2021-09-30T00:00:00"/>
        <d v="2021-01-31T00:00:00"/>
        <d v="2022-10-31T00:00:00"/>
        <d v="2022-06-30T00:00:00"/>
        <d v="2022-08-31T00:00:00"/>
        <d v="2022-07-31T00:00:00"/>
        <d v="2022-12-31T00:00:00"/>
        <d v="2022-09-30T00:00:00"/>
        <d v="2022-03-31T00:00:00"/>
        <d v="2022-04-30T00:00:00"/>
        <d v="2022-05-31T00:00:00"/>
        <d v="2022-02-28T00:00:00"/>
        <d v="2022-01-31T00:00:00"/>
        <d v="2022-11-30T00:00:00"/>
        <d v="2023-08-31T00:00:00"/>
        <d v="2023-02-28T00:00:00"/>
        <d v="2023-03-31T00:00:00"/>
        <d v="2023-09-30T00:00:00"/>
        <d v="2023-05-31T00:00:00"/>
        <d v="2023-07-31T00:00:00"/>
        <d v="2023-04-30T00:00:00"/>
        <d v="2023-06-30T00:00:00"/>
        <d v="2023-01-31T00:00:00"/>
        <d v="2023-11-30T00:00:00"/>
        <d v="2023-10-31T00:00:00"/>
        <d v="2023-12-31T00:00:00"/>
        <m/>
      </sharedItems>
    </cacheField>
    <cacheField name="Status" numFmtId="0">
      <sharedItems count="6">
        <s v="In progress"/>
        <s v="Approved"/>
        <s v="On hold"/>
        <s v="Completed"/>
        <s v="Under Review"/>
        <s v="Rejected"/>
      </sharedItems>
    </cacheField>
    <cacheField name="Comments / Ques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95761"/>
    <s v="Global Cash Position Reporter (Nordics)"/>
    <s v="Treasury"/>
    <s v="Finance"/>
    <s v="Internal"/>
    <s v="Laura Martin"/>
    <s v="Ananya Pillai"/>
    <s v="Infra Ops EMEA"/>
    <n v="145"/>
    <d v="2021-04-11T00:00:00"/>
    <s v="Active"/>
    <n v="4"/>
    <n v="2"/>
    <s v="SAP Concur"/>
    <s v="PaaS"/>
    <s v="Azure App Service (PaaS)"/>
    <n v="0"/>
    <s v="N/A (PaaS)"/>
    <s v="Cosmos DB"/>
    <s v="Azure West Europe"/>
    <d v="2022-06-30T00:00:00"/>
    <s v="Structured"/>
    <n v="230"/>
    <s v="Y"/>
    <n v="10"/>
    <s v="Y"/>
    <s v="Reporting extract"/>
    <n v="15"/>
    <s v="Y"/>
    <s v="Y"/>
    <s v="N"/>
    <n v="7000"/>
    <d v="2032-11-30T00:00:00"/>
    <n v="6500"/>
    <n v="5500"/>
    <n v="14.181818181818183"/>
    <n v="1"/>
    <x v="0"/>
    <x v="0"/>
    <x v="0"/>
    <x v="0"/>
    <x v="0"/>
    <s v="Funding approved; migration to SAP Concur scheduled"/>
  </r>
  <r>
    <n v="38051"/>
    <s v="Corporate Asset Register v2"/>
    <s v="Fixed Assets"/>
    <s v="Finance"/>
    <s v="Internal"/>
    <s v="Julien Petit"/>
    <s v="Aditi Menon"/>
    <s v="Unix Platform Team"/>
    <n v="0"/>
    <d v="2020-06-21T00:00:00"/>
    <s v="Not in use"/>
    <n v="2"/>
    <n v="4"/>
    <m/>
    <s v="IaaS"/>
    <s v="carapp01, cardb01, carweb01, carfs01"/>
    <n v="4"/>
    <s v="Solaris 10"/>
    <s v="Oracle 11g"/>
    <s v="Azure West Europe"/>
    <d v="2021-01-31T00:00:00"/>
    <s v="Structured"/>
    <n v="230"/>
    <s v="Y"/>
    <n v="7"/>
    <s v="Y"/>
    <s v="Archive + read-only"/>
    <n v="3"/>
    <s v="Partial"/>
    <s v="N"/>
    <s v="N"/>
    <n v="55000"/>
    <d v="2027-07-31T00:00:00"/>
    <n v="42000"/>
    <n v="39500"/>
    <n v="12.759493670886075"/>
    <n v="3"/>
    <x v="1"/>
    <x v="1"/>
    <x v="0"/>
    <x v="1"/>
    <x v="1"/>
    <s v="Read-only access needed for audit"/>
  </r>
  <r>
    <n v="126849"/>
    <s v="Benefits Enrolment Lite"/>
    <s v="Benefits"/>
    <s v="HR"/>
    <s v="Internal"/>
    <s v="Thomas Moreau"/>
    <s v="Kavya Reddy"/>
    <s v="Infra Ops EMEA"/>
    <n v="19"/>
    <d v="2020-12-17T00:00:00"/>
    <s v="Low use"/>
    <n v="4"/>
    <n v="1"/>
    <s v="Workday Recruiting"/>
    <s v="On-prem DC"/>
    <s v="fs-bel02 (file share)"/>
    <n v="1"/>
    <s v="TBD"/>
    <s v="MS Access 2010"/>
    <s v="TBD"/>
    <d v="2023-10-10T00:00:00"/>
    <s v="Both"/>
    <n v="540"/>
    <s v="Y"/>
    <n v="7"/>
    <s v="N"/>
    <s v="None"/>
    <n v="18"/>
    <s v="Partial"/>
    <s v="Partial"/>
    <s v="N"/>
    <n v="49500"/>
    <d v="2032-07-31T00:00:00"/>
    <n v="82500"/>
    <n v="39500"/>
    <n v="25.063291139240505"/>
    <n v="2"/>
    <x v="0"/>
    <x v="2"/>
    <x v="0"/>
    <x v="2"/>
    <x v="0"/>
    <s v="Cut-over planned for Oct-21; parallel run scheduled_x000a_Blocker: Archive platform capacity not confirmed_x000a_Q: Can the enterprise archive take this volume this year?"/>
  </r>
  <r>
    <n v="87175"/>
    <s v="Warehouse Mgmt System (Nordics)"/>
    <s v="Warehouse Mgmt"/>
    <s v="Supply Chain"/>
    <s v="Internal"/>
    <s v="Vikram Rao"/>
    <s v="Ananya Pillai"/>
    <s v="Unix Platform Team"/>
    <n v="122"/>
    <d v="2021-03-15T00:00:00"/>
    <s v="Active"/>
    <n v="2"/>
    <n v="4"/>
    <s v="Ariba"/>
    <s v="IaaS"/>
    <s v="wmsapp01, wmsdb01, wmsweb01, wmsfs01"/>
    <n v="4"/>
    <s v="Ubuntu 16.04"/>
    <s v="MySQL 5.7"/>
    <s v="AWS us-east-1"/>
    <d v="2021-04-30T00:00:00"/>
    <s v="Both"/>
    <n v="22"/>
    <s v="Y"/>
    <n v="10"/>
    <s v="N"/>
    <s v="None"/>
    <n v="3"/>
    <s v="Y"/>
    <s v="N"/>
    <s v="Y"/>
    <n v="38500"/>
    <d v="2030-02-28T00:00:00"/>
    <n v="40500"/>
    <n v="33500"/>
    <n v="14.507462686567163"/>
    <n v="3"/>
    <x v="2"/>
    <x v="2"/>
    <x v="0"/>
    <x v="3"/>
    <x v="2"/>
    <s v="On hold - audit request needs system access until Q3"/>
  </r>
  <r>
    <n v="57496"/>
    <s v="Shared Licence Manager v3"/>
    <s v="Licence Mgmt"/>
    <s v="IT"/>
    <s v="Internal"/>
    <s v="Vikram Rao"/>
    <s v="Adrien Colin"/>
    <s v="Database Services"/>
    <n v="449"/>
    <d v="2021-04-23T00:00:00"/>
    <s v="Active"/>
    <n v="3"/>
    <n v="4"/>
    <s v="Microsoft 365"/>
    <s v="On-prem DC"/>
    <s v="slmapp01, slmdb01"/>
    <n v="2"/>
    <s v="SUSE Linux 11"/>
    <s v="Oracle 11g"/>
    <s v="TBD"/>
    <d v="2019-03-31T00:00:00"/>
    <s v="Both"/>
    <n v="21"/>
    <s v="N"/>
    <n v="2"/>
    <s v="Y"/>
    <s v="Read-only access"/>
    <n v="2"/>
    <s v="N"/>
    <s v="Partial"/>
    <s v="Y"/>
    <n v="24500"/>
    <d v="2035-05-31T00:00:00"/>
    <n v="25000"/>
    <n v="18500"/>
    <n v="16.216216216216218"/>
    <n v="2"/>
    <x v="0"/>
    <x v="1"/>
    <x v="0"/>
    <x v="0"/>
    <x v="0"/>
    <s v="Migration to Microsoft 365 70% complete; cut-over by end of May"/>
  </r>
  <r>
    <n v="151951"/>
    <s v="Intranet (SharePoint) (US)"/>
    <s v="Collaboration"/>
    <s v="IT"/>
    <s v="Internal"/>
    <s v="Priya Sharma"/>
    <s v="Aditi Menon"/>
    <s v="SaaS Vendor Mgmt"/>
    <n v="0"/>
    <d v="2021-04-19T00:00:00"/>
    <s v="Not in use"/>
    <n v="3"/>
    <n v="4"/>
    <s v="Microsoft 365"/>
    <s v="SaaS"/>
    <s v="N/A (SaaS)"/>
    <n v="0"/>
    <s v="N/A"/>
    <s v="N/A"/>
    <s v="Vendor cloud (EU)"/>
    <d v="2025-04-30T00:00:00"/>
    <s v="Unstructured"/>
    <n v="220"/>
    <s v="N"/>
    <n v="3"/>
    <s v="Y"/>
    <s v="Legal hold"/>
    <n v="0"/>
    <s v="Y"/>
    <s v="Partial"/>
    <s v="Y"/>
    <n v="37000"/>
    <d v="2032-11-30T00:00:00"/>
    <n v="59000"/>
    <n v="14500"/>
    <n v="48.827586206896548"/>
    <n v="2"/>
    <x v="1"/>
    <x v="1"/>
    <x v="0"/>
    <x v="4"/>
    <x v="3"/>
    <s v="Data archived and validated; switched off Apr-21"/>
  </r>
  <r>
    <n v="105155"/>
    <s v="Shared Inventory Control (APAC)"/>
    <s v="Inventory"/>
    <s v="Supply Chain"/>
    <s v="Partner"/>
    <s v="Yuki Tanaka"/>
    <s v="Omar Haddad"/>
    <s v="Plant IT Services"/>
    <n v="0"/>
    <d v="2021-03-16T00:00:00"/>
    <s v="Not in use"/>
    <n v="1"/>
    <n v="4"/>
    <m/>
    <s v="PaaS"/>
    <s v="Azure App Service (PaaS)"/>
    <n v="0"/>
    <s v="N/A (PaaS)"/>
    <s v="Azure SQL"/>
    <s v="Azure West Europe"/>
    <m/>
    <s v="Structured"/>
    <n v="100"/>
    <s v="N"/>
    <n v="1"/>
    <s v="N"/>
    <s v="None"/>
    <n v="2"/>
    <s v="N"/>
    <s v="Y"/>
    <s v="N"/>
    <n v="170000"/>
    <d v="2026-07-31T00:00:00"/>
    <n v="20000"/>
    <n v="97000"/>
    <n v="2.4742268041237114"/>
    <n v="2"/>
    <x v="2"/>
    <x v="2"/>
    <x v="0"/>
    <x v="5"/>
    <x v="3"/>
    <s v="Switched off Mar-21; licence terminated"/>
  </r>
  <r>
    <n v="32005"/>
    <s v="Global Shipment Tracker"/>
    <s v="Logistics"/>
    <s v="Supply Chain"/>
    <s v="Internal"/>
    <s v="Yuki Tanaka"/>
    <s v="Chloe Vidal"/>
    <s v="SaaS Vendor Mgmt"/>
    <n v="0"/>
    <d v="2021-02-18T00:00:00"/>
    <s v="Not in use"/>
    <n v="3"/>
    <n v="3"/>
    <s v="Oracle SCM Cloud"/>
    <s v="SaaS"/>
    <s v="N/A (SaaS)"/>
    <n v="0"/>
    <s v="N/A"/>
    <s v="N/A"/>
    <s v="Vendor cloud (EU)"/>
    <m/>
    <s v="Structured"/>
    <n v="170"/>
    <s v="N"/>
    <n v="2"/>
    <s v="N"/>
    <s v="None"/>
    <n v="8"/>
    <s v="Partial"/>
    <s v="Partial"/>
    <s v="N"/>
    <n v="234500"/>
    <d v="2026-06-30T00:00:00"/>
    <n v="54000"/>
    <n v="246500"/>
    <n v="2.6288032454361057"/>
    <n v="2"/>
    <x v="0"/>
    <x v="2"/>
    <x v="0"/>
    <x v="6"/>
    <x v="3"/>
    <s v="Migrated to Oracle SCM Cloud; legacy switched off Feb-21"/>
  </r>
  <r>
    <n v="187888"/>
    <s v="Customer Contact Manager (DE)"/>
    <s v="CRM"/>
    <s v="Sales"/>
    <s v="Partner"/>
    <s v="Marc Laurent"/>
    <s v="Manon Chevalier"/>
    <s v="Plant IT Services"/>
    <n v="0"/>
    <d v="2021-04-24T00:00:00"/>
    <s v="Not in use"/>
    <n v="3"/>
    <n v="3"/>
    <s v="Salesforce"/>
    <s v="On-prem DC"/>
    <s v="ccmapp01"/>
    <n v="1"/>
    <s v="Solaris 10"/>
    <s v="Oracle 11g"/>
    <s v="EU DC-2"/>
    <d v="2021-01-31T00:00:00"/>
    <s v="Structured"/>
    <n v="230"/>
    <s v="Y"/>
    <n v="10"/>
    <s v="N"/>
    <s v="None"/>
    <n v="8"/>
    <s v="N"/>
    <s v="Partial"/>
    <s v="Partial"/>
    <n v="123000"/>
    <d v="2025-04-30T00:00:00"/>
    <n v="12000"/>
    <n v="161000"/>
    <n v="0.89440993788819878"/>
    <n v="3"/>
    <x v="2"/>
    <x v="2"/>
    <x v="0"/>
    <x v="4"/>
    <x v="3"/>
    <s v="Switched off Apr-21; licence terminated"/>
  </r>
  <r>
    <n v="80130"/>
    <s v="Price List Manager"/>
    <s v="Pricing"/>
    <s v="Sales"/>
    <s v="Internal"/>
    <s v="Elena Garcia"/>
    <s v="Chloe Vidal"/>
    <s v="Unix Platform Team"/>
    <n v="0"/>
    <d v="2020-10-11T00:00:00"/>
    <s v="Not in use"/>
    <n v="1"/>
    <n v="3"/>
    <s v="TBD"/>
    <s v="On-prem DC"/>
    <s v="plmapp01, plmdb01, plmweb01, plmfs01"/>
    <n v="4"/>
    <s v="Windows Server 2016"/>
    <s v="SQL Server 2017"/>
    <s v="TBD"/>
    <d v="2027-01-12T00:00:00"/>
    <s v="Structured"/>
    <n v="990"/>
    <s v="Y"/>
    <n v="7"/>
    <s v="Y"/>
    <s v="Reporting extract"/>
    <n v="4"/>
    <s v="Partial"/>
    <s v="Partial"/>
    <s v="N"/>
    <n v="65000"/>
    <d v="2028-07-31T00:00:00"/>
    <n v="94500"/>
    <n v="53500"/>
    <n v="21.196261682242991"/>
    <n v="2"/>
    <x v="1"/>
    <x v="1"/>
    <x v="0"/>
    <x v="7"/>
    <x v="0"/>
    <s v="Archive format agreed; load scheduled before switch-off"/>
  </r>
  <r>
    <n v="37239"/>
    <s v="Corporate Ticket Desk"/>
    <s v="Service Desk"/>
    <s v="IT"/>
    <s v="Partner"/>
    <s v="Neha Nair"/>
    <s v="Lena Fischer"/>
    <s v="Database Services"/>
    <n v="1202"/>
    <d v="2021-04-18T00:00:00"/>
    <s v="Active"/>
    <n v="1"/>
    <n v="4"/>
    <s v="Splunk"/>
    <s v="On-prem DC"/>
    <s v="ctdapp01, ctddb01, ctdweb01"/>
    <n v="3"/>
    <s v="SUSE Linux 11"/>
    <s v="TBD"/>
    <s v="EU DC-1"/>
    <s v="TBD"/>
    <s v="Structured"/>
    <n v="100"/>
    <s v="N"/>
    <n v="1"/>
    <s v="N"/>
    <s v="None"/>
    <n v="0"/>
    <s v="N"/>
    <s v="Partial"/>
    <s v="Partial"/>
    <n v="55000"/>
    <d v="2029-07-31T00:00:00"/>
    <n v="47500"/>
    <n v="51000"/>
    <n v="11.176470588235293"/>
    <n v="2"/>
    <x v="2"/>
    <x v="2"/>
    <x v="0"/>
    <x v="8"/>
    <x v="0"/>
    <s v="Functionality covered by existing tools"/>
  </r>
  <r>
    <n v="43206"/>
    <s v="Custom Batch Scheduler (APAC)"/>
    <s v="Batch Scheduling"/>
    <s v="IT"/>
    <s v="Internal"/>
    <s v="Isabelle Singh"/>
    <s v="Chloe Vidal"/>
    <s v="Unix Platform Team"/>
    <n v="22"/>
    <d v="2021-01-08T00:00:00"/>
    <s v="Low use"/>
    <n v="4"/>
    <n v="2"/>
    <s v="ServiceNow"/>
    <s v="On-prem DC"/>
    <s v="cbs-app01–05, cbs-db01"/>
    <n v="6"/>
    <s v="AIX 7.1"/>
    <s v="DB2 10.5"/>
    <s v="Plant DC"/>
    <d v="2023-04-30T00:00:00"/>
    <s v="Structured"/>
    <n v="67"/>
    <s v="Y"/>
    <n v="7"/>
    <s v="N"/>
    <s v="None"/>
    <n v="26"/>
    <s v="N"/>
    <s v="Partial"/>
    <s v="Partial"/>
    <n v="95000"/>
    <d v="2028-09-30T00:00:00"/>
    <n v="87500"/>
    <n v="71500"/>
    <n v="14.685314685314685"/>
    <n v="2"/>
    <x v="0"/>
    <x v="2"/>
    <x v="0"/>
    <x v="7"/>
    <x v="0"/>
    <s v="Cut-over planned for Jul-21; parallel run scheduled"/>
  </r>
  <r>
    <n v="93717"/>
    <s v="Regional Facilities Request Portal (Nordics)"/>
    <s v="Facilities"/>
    <s v="Operations"/>
    <s v="Internal"/>
    <s v="Isabelle Singh"/>
    <s v="Omar Haddad"/>
    <s v="Database Services"/>
    <n v="5"/>
    <d v="2020-05-01T00:00:00"/>
    <s v="Not in use"/>
    <n v="2"/>
    <n v="3"/>
    <s v="IBM Maximo"/>
    <s v="On-prem DC"/>
    <s v="rfrapp01, rfrdb01, rfrweb01, rfrfs01"/>
    <n v="4"/>
    <s v="RHEL 6"/>
    <s v="Oracle 11g"/>
    <s v="Plant DC"/>
    <d v="2020-11-30T00:00:00"/>
    <s v="Both"/>
    <n v="260"/>
    <s v="N"/>
    <n v="3"/>
    <s v="Y"/>
    <s v="Archive + read-only"/>
    <n v="4"/>
    <s v="Partial"/>
    <s v="Partial"/>
    <s v="N"/>
    <n v="50000"/>
    <d v="2025-03-31T00:00:00"/>
    <n v="25000"/>
    <n v="28500"/>
    <n v="10.526315789473683"/>
    <n v="4"/>
    <x v="1"/>
    <x v="1"/>
    <x v="0"/>
    <x v="9"/>
    <x v="0"/>
    <s v="Read-only access needed for audit"/>
  </r>
  <r>
    <n v="45114"/>
    <s v="Regional Timesheet Portal 2012"/>
    <s v="Time &amp; Attendance"/>
    <s v="HR"/>
    <s v="Internal"/>
    <s v="Neha Nair"/>
    <s v="Lena Fischer"/>
    <s v="Cloud Platform Team"/>
    <n v="11"/>
    <d v="2021-04-12T00:00:00"/>
    <s v="Low use"/>
    <n v="2"/>
    <n v="3"/>
    <m/>
    <s v="PaaS"/>
    <s v="Azure App Service (PaaS)"/>
    <n v="0"/>
    <s v="N/A (PaaS)"/>
    <s v="Azure SQL"/>
    <s v="Azure West Europe"/>
    <d v="2022-06-30T00:00:00"/>
    <s v="Both"/>
    <n v="140"/>
    <s v="Y"/>
    <n v="10"/>
    <s v="N"/>
    <s v="None"/>
    <n v="3"/>
    <s v="Partial"/>
    <s v="N"/>
    <s v="Y"/>
    <n v="8500"/>
    <d v="2028-01-31T00:00:00"/>
    <n v="9000"/>
    <n v="77500"/>
    <n v="1.3935483870967742"/>
    <n v="2"/>
    <x v="2"/>
    <x v="2"/>
    <x v="0"/>
    <x v="3"/>
    <x v="2"/>
    <s v="On hold - audit request needs system access until Q3"/>
  </r>
  <r>
    <n v="99137"/>
    <s v="Global Newsletter Mailer (DE)"/>
    <s v="Email"/>
    <s v="Marketing"/>
    <s v="Internal"/>
    <s v="Diego Alvarez"/>
    <s v="Chloe Vidal"/>
    <s v="Wintel Platform Team"/>
    <n v="0"/>
    <d v="2021-03-24T00:00:00"/>
    <s v="Not in use"/>
    <n v="1"/>
    <n v="3"/>
    <s v="TBD"/>
    <s v="On-prem DC"/>
    <s v="gnmapp01, gnmdb01, gnmweb01, gnmfs01"/>
    <n v="4"/>
    <s v="Windows Server 2012 R2"/>
    <s v="SQL Server 2014"/>
    <s v="US DC-1"/>
    <d v="2024-07-09T00:00:00"/>
    <s v="Both"/>
    <n v="55"/>
    <s v="Y"/>
    <n v="10"/>
    <s v="N"/>
    <s v="None"/>
    <n v="2"/>
    <s v="Partial"/>
    <s v="N"/>
    <s v="Partial"/>
    <n v="55000"/>
    <d v="2031-03-31T00:00:00"/>
    <n v="53000"/>
    <n v="95500"/>
    <n v="6.6596858638743459"/>
    <n v="2"/>
    <x v="2"/>
    <x v="2"/>
    <x v="0"/>
    <x v="5"/>
    <x v="3"/>
    <s v="Switched off Mar-21; licence terminated"/>
  </r>
  <r>
    <n v="85637"/>
    <s v="Core ERP (SAP ECC)"/>
    <s v="Enterprise Resource Planning"/>
    <s v="Finance"/>
    <s v="Partner"/>
    <s v="Karan Blanc"/>
    <s v="Ananya Pillai"/>
    <s v="Infra Ops EMEA"/>
    <n v="2400"/>
    <d v="2021-04-30T00:00:00"/>
    <s v="Active"/>
    <n v="5"/>
    <n v="1"/>
    <s v="SAP S/4HANA"/>
    <s v="On-prem DC"/>
    <s v="ecc-app01–05, ecc-db01"/>
    <n v="6"/>
    <s v="SUSE Linux 11"/>
    <s v="Oracle 11g"/>
    <s v="EU DC-1"/>
    <d v="2025-12-31T00:00:00"/>
    <s v="Structured"/>
    <n v="4500"/>
    <s v="Y"/>
    <n v="10"/>
    <s v="N"/>
    <s v="None"/>
    <n v="85"/>
    <s v="Y"/>
    <s v="Y"/>
    <s v="Partial"/>
    <n v="650000"/>
    <d v="2026-12-31T00:00:00"/>
    <n v="32200000"/>
    <n v="520000"/>
    <n v="743.07692307692309"/>
    <n v="1"/>
    <x v="2"/>
    <x v="2"/>
    <x v="0"/>
    <x v="2"/>
    <x v="0"/>
    <s v="Retire after S/4HANA cut-over; finance history retained in S/4HANA - no separate archive"/>
  </r>
  <r>
    <n v="138296"/>
    <s v="Old CMDB Lite"/>
    <s v="Config Mgmt"/>
    <s v="IT"/>
    <s v="External"/>
    <s v="Oscar Lindqvist"/>
    <s v="Ishaan Desai"/>
    <s v="Wintel Platform Team"/>
    <n v="8"/>
    <d v="2020-12-03T00:00:00"/>
    <s v="Low use"/>
    <n v="5"/>
    <n v="1"/>
    <s v="ServiceNow (planned)"/>
    <s v="On-prem DC"/>
    <s v="ocl-app01–04, ocl-db01"/>
    <n v="5"/>
    <s v="Windows Server 2008 R2"/>
    <s v="SQL Server 2008 R2"/>
    <s v="TBD"/>
    <d v="2020-01-14T00:00:00"/>
    <s v="Structured"/>
    <n v="19"/>
    <s v="N"/>
    <n v="7"/>
    <s v="Y"/>
    <s v="Archive + read-only"/>
    <n v="35"/>
    <s v="Partial"/>
    <s v="N"/>
    <s v="Partial"/>
    <n v="195000"/>
    <d v="2031-05-31T00:00:00"/>
    <n v="245000"/>
    <n v="267500"/>
    <n v="10.990654205607477"/>
    <n v="3"/>
    <x v="0"/>
    <x v="0"/>
    <x v="0"/>
    <x v="10"/>
    <x v="0"/>
    <s v="3 feeds to re-point to ServiceNow"/>
  </r>
  <r>
    <n v="166902"/>
    <s v="Supplier Portal"/>
    <s v="Supplier Mgmt"/>
    <s v="Supply Chain"/>
    <s v="Internal"/>
    <s v="Julien Petit"/>
    <s v="Kavya Reddy"/>
    <s v="Wintel Platform Team"/>
    <n v="0"/>
    <d v="2019-09-24T00:00:00"/>
    <s v="Not in use"/>
    <n v="2"/>
    <n v="3"/>
    <m/>
    <s v="On-prem DC"/>
    <s v="spxapp01, spxdb01, spxweb01, spxfs01"/>
    <n v="4"/>
    <s v="Windows Server 2008 R2"/>
    <s v="SQL Server 2008 R2"/>
    <s v="EU DC-1"/>
    <d v="2020-01-14T00:00:00"/>
    <s v="Both"/>
    <n v="110"/>
    <s v="N"/>
    <n v="7"/>
    <s v="N"/>
    <s v="None"/>
    <n v="2"/>
    <s v="N"/>
    <s v="Partial"/>
    <s v="N"/>
    <n v="80000"/>
    <d v="2025-04-30T00:00:00"/>
    <n v="39000"/>
    <n v="77000"/>
    <n v="6.0779220779220768"/>
    <n v="3"/>
    <x v="2"/>
    <x v="2"/>
    <x v="0"/>
    <x v="10"/>
    <x v="0"/>
    <s v="Functionality covered by existing tools"/>
  </r>
  <r>
    <n v="18048"/>
    <s v="Corporate Inventory Control (UK)"/>
    <s v="Inventory"/>
    <s v="Supply Chain"/>
    <s v="Internal"/>
    <s v="Amelie Martin"/>
    <s v="Rohan Bhatt"/>
    <s v="SaaS Vendor Mgmt"/>
    <n v="22"/>
    <d v="2021-02-03T00:00:00"/>
    <s v="Low use"/>
    <n v="3"/>
    <n v="3"/>
    <s v="TBD"/>
    <s v="SaaS"/>
    <s v="N/A (SaaS)"/>
    <n v="0"/>
    <s v="N/A"/>
    <s v="N/A"/>
    <s v="Vendor cloud (EU)"/>
    <m/>
    <s v="Unstructured"/>
    <n v="120"/>
    <s v="N"/>
    <n v="3"/>
    <s v="Y"/>
    <s v="Data archive"/>
    <n v="8"/>
    <s v="Partial"/>
    <s v="Partial"/>
    <s v="Partial"/>
    <n v="90000"/>
    <d v="2032-09-30T00:00:00"/>
    <n v="52500"/>
    <n v="32500"/>
    <n v="19.384615384615387"/>
    <n v="1"/>
    <x v="1"/>
    <x v="0"/>
    <x v="0"/>
    <x v="7"/>
    <x v="0"/>
    <s v="Retention 3 yrs - archive slot booked"/>
  </r>
  <r>
    <n v="161444"/>
    <s v="Corporate Access Request Tool (UK)"/>
    <s v="Identity"/>
    <s v="IT"/>
    <s v="Internal"/>
    <s v="Julien Petit"/>
    <s v="Ananya Pillai"/>
    <s v="Unix Platform Team"/>
    <n v="44"/>
    <d v="2021-03-19T00:00:00"/>
    <s v="Active"/>
    <n v="3"/>
    <n v="2"/>
    <s v="Azure Monitor"/>
    <s v="On-prem DC"/>
    <s v="car-app01–05, car-db01"/>
    <n v="6"/>
    <s v="SUSE Linux 11"/>
    <s v="Oracle 11g"/>
    <s v="Plant DC"/>
    <d v="2019-03-31T00:00:00"/>
    <s v="Structured"/>
    <n v="30"/>
    <s v="N"/>
    <n v="7"/>
    <s v="Y"/>
    <s v="Read-only access"/>
    <n v="12"/>
    <s v="Partial"/>
    <s v="Partial"/>
    <s v="N"/>
    <n v="125000"/>
    <d v="2026-08-31T00:00:00"/>
    <n v="256000"/>
    <n v="84000"/>
    <n v="36.571428571428569"/>
    <n v="2"/>
    <x v="1"/>
    <x v="0"/>
    <x v="0"/>
    <x v="7"/>
    <x v="0"/>
    <s v="Read-only access needed for audit"/>
  </r>
  <r>
    <n v="186996"/>
    <s v="Departmental Quality Incident Log v2"/>
    <s v="Quality"/>
    <s v="Operations"/>
    <s v="Internal"/>
    <s v="Priya Sharma"/>
    <s v="Remi Masson"/>
    <s v="Unix Platform Team"/>
    <n v="11"/>
    <d v="2020-12-05T00:00:00"/>
    <s v="Low use"/>
    <n v="2"/>
    <n v="4"/>
    <s v="Fiix"/>
    <s v="On-prem DC"/>
    <s v="dqiapp01, dqidb01"/>
    <n v="2"/>
    <s v="Windows Server 2008"/>
    <s v="SQL Server 2008"/>
    <s v="TBD"/>
    <d v="2019-07-09T00:00:00"/>
    <s v="Structured"/>
    <n v="160"/>
    <s v="N"/>
    <n v="2"/>
    <s v="Y"/>
    <s v="Archive + read-only"/>
    <n v="3"/>
    <s v="Partial"/>
    <s v="Partial"/>
    <s v="Y"/>
    <n v="28500"/>
    <d v="2030-02-28T00:00:00"/>
    <n v="16000"/>
    <n v="22000"/>
    <n v="8.7272727272727266"/>
    <n v="4"/>
    <x v="0"/>
    <x v="1"/>
    <x v="0"/>
    <x v="2"/>
    <x v="0"/>
    <s v="Funding approved; migration to Fiix scheduled"/>
  </r>
  <r>
    <n v="18964"/>
    <s v="Custom Billing Engine"/>
    <s v="Billing"/>
    <s v="Finance"/>
    <s v="External"/>
    <s v="Sara Kapoor"/>
    <s v="Theo Lopez"/>
    <s v="Infra Ops EMEA"/>
    <n v="0"/>
    <d v="2021-02-24T00:00:00"/>
    <s v="Not in use"/>
    <n v="2"/>
    <n v="4"/>
    <m/>
    <s v="IaaS"/>
    <s v="cbeapp01, cbedb01, cbeweb01"/>
    <n v="3"/>
    <s v="Ubuntu 16.04"/>
    <s v="MySQL 5.7"/>
    <s v="Azure West Europe"/>
    <d v="2021-04-30T00:00:00"/>
    <s v="Structured"/>
    <n v="710"/>
    <s v="Y"/>
    <n v="7"/>
    <s v="N"/>
    <s v="None"/>
    <n v="2"/>
    <s v="Y"/>
    <s v="N"/>
    <s v="Partial"/>
    <n v="32000"/>
    <d v="2035-09-30T00:00:00"/>
    <n v="30000"/>
    <n v="91000"/>
    <n v="3.9560439560439562"/>
    <n v="3"/>
    <x v="2"/>
    <x v="2"/>
    <x v="0"/>
    <x v="0"/>
    <x v="0"/>
    <s v="User comms sent; switch-off scheduled for end of May"/>
  </r>
  <r>
    <n v="23920"/>
    <s v="Departmental Budget Planner (FR)"/>
    <s v="Budgeting"/>
    <s v="Finance"/>
    <s v="Internal"/>
    <s v="Vikram Rao"/>
    <s v="Kavya Reddy"/>
    <s v="Plant IT Services"/>
    <n v="0"/>
    <d v="2021-02-07T00:00:00"/>
    <s v="Not in use"/>
    <n v="3"/>
    <n v="4"/>
    <m/>
    <s v="On-prem DC"/>
    <s v="dbpapp01, dbpdb01"/>
    <n v="2"/>
    <s v="Windows Server 2008"/>
    <s v="SQL Server 2008"/>
    <s v="EU DC-2"/>
    <d v="2019-07-09T00:00:00"/>
    <s v="Both"/>
    <n v="1100"/>
    <s v="Y"/>
    <n v="7"/>
    <s v="N"/>
    <s v="None"/>
    <n v="2"/>
    <s v="N"/>
    <s v="Y"/>
    <s v="Y"/>
    <n v="45000"/>
    <d v="2031-10-31T00:00:00"/>
    <n v="35000"/>
    <n v="38000"/>
    <n v="11.052631578947368"/>
    <n v="2"/>
    <x v="2"/>
    <x v="2"/>
    <x v="0"/>
    <x v="6"/>
    <x v="3"/>
    <s v="Switched off Feb-21; licence terminated"/>
  </r>
  <r>
    <n v="136942"/>
    <s v="Legacy Timesheet Portal (FR)"/>
    <s v="Time &amp; Attendance"/>
    <s v="HR"/>
    <s v="Internal"/>
    <s v="Lucas Bernard"/>
    <s v="Adrien Colin"/>
    <s v="Plant IT Services"/>
    <n v="83"/>
    <d v="2021-04-10T00:00:00"/>
    <s v="Active"/>
    <n v="1"/>
    <n v="4"/>
    <s v="SuccessFactors"/>
    <s v="On-prem DC"/>
    <s v="ltpapp01, ltpdb01, ltpweb01"/>
    <n v="3"/>
    <s v="RHEL 6"/>
    <s v="Oracle 11g"/>
    <s v="EU DC-1"/>
    <d v="2020-11-30T00:00:00"/>
    <s v="Structured"/>
    <n v="3"/>
    <s v="Y"/>
    <n v="7"/>
    <s v="Y"/>
    <s v="Data archive"/>
    <n v="2"/>
    <s v="Y"/>
    <s v="Y"/>
    <s v="Partial"/>
    <n v="33000"/>
    <d v="2025-11-30T00:00:00"/>
    <n v="35000"/>
    <n v="25500"/>
    <n v="16.470588235294116"/>
    <n v="3"/>
    <x v="0"/>
    <x v="1"/>
    <x v="0"/>
    <x v="7"/>
    <x v="0"/>
    <s v="6 feeds to re-point to SuccessFactors"/>
  </r>
  <r>
    <n v="98378"/>
    <s v="Travel Booking Tool 2012"/>
    <s v="Travel"/>
    <s v="HR"/>
    <s v="Internal"/>
    <s v="Nicolas Sharma"/>
    <s v="Sameer Joshi"/>
    <s v="Plant IT Services"/>
    <n v="317"/>
    <d v="2021-04-22T00:00:00"/>
    <s v="Active"/>
    <n v="3"/>
    <n v="4"/>
    <s v="Workday HCM"/>
    <s v="On-prem DC"/>
    <s v="tbtapp01, tbtdb01"/>
    <n v="2"/>
    <s v="Windows Server 2008 R2"/>
    <s v="SQL Server 2008 R2"/>
    <s v="US DC-1"/>
    <d v="2020-01-14T00:00:00"/>
    <s v="Structured"/>
    <n v="62"/>
    <s v="Y"/>
    <n v="7"/>
    <s v="Y"/>
    <s v="Read-only access"/>
    <n v="0"/>
    <s v="N"/>
    <s v="N"/>
    <s v="N"/>
    <n v="47500"/>
    <d v="2028-01-31T00:00:00"/>
    <n v="40000"/>
    <n v="33500"/>
    <n v="14.328358208955223"/>
    <n v="2"/>
    <x v="0"/>
    <x v="1"/>
    <x v="0"/>
    <x v="10"/>
    <x v="0"/>
    <s v="Cut-over planned for Sep-21; parallel run scheduled"/>
  </r>
  <r>
    <n v="84815"/>
    <s v="Shared Contract Repository (FR)"/>
    <s v="Contract Mgmt"/>
    <s v="Finance"/>
    <s v="Partner"/>
    <s v="Amelie Martin"/>
    <s v="Remi Masson"/>
    <s v="SaaS Vendor Mgmt"/>
    <n v="100"/>
    <d v="2021-03-23T00:00:00"/>
    <s v="Active"/>
    <n v="3"/>
    <n v="3"/>
    <m/>
    <s v="SaaS"/>
    <s v="N/A (SaaS)"/>
    <n v="0"/>
    <s v="N/A"/>
    <s v="N/A"/>
    <s v="Vendor cloud (EU)"/>
    <d v="2026-06-30T00:00:00"/>
    <s v="Both"/>
    <n v="93"/>
    <s v="Y"/>
    <n v="7"/>
    <s v="Y"/>
    <s v="Read-only access"/>
    <n v="8"/>
    <s v="Y"/>
    <s v="Partial"/>
    <s v="Partial"/>
    <n v="31500"/>
    <d v="2028-12-31T00:00:00"/>
    <n v="32500"/>
    <n v="73000"/>
    <n v="5.3424657534246576"/>
    <n v="0"/>
    <x v="1"/>
    <x v="0"/>
    <x v="0"/>
    <x v="3"/>
    <x v="3"/>
    <s v="Retention 7 yrs - archive slot booked"/>
  </r>
  <r>
    <n v="164470"/>
    <s v="Old Safety Incident Tracker Lite"/>
    <s v="Health &amp; Safety"/>
    <s v="Operations"/>
    <s v="Internal"/>
    <s v="Sara Kapoor"/>
    <s v="Rohan Bhatt"/>
    <s v="Database Services"/>
    <n v="0"/>
    <d v="2021-02-23T00:00:00"/>
    <s v="Not in use"/>
    <n v="3"/>
    <n v="3"/>
    <m/>
    <s v="On-prem DC"/>
    <s v="osiapp01, osidb01, osiweb01"/>
    <n v="3"/>
    <s v="Ubuntu 16.04"/>
    <s v="MySQL 5.7"/>
    <s v="Plant DC"/>
    <d v="2021-04-30T00:00:00"/>
    <s v="Structured"/>
    <n v="200"/>
    <s v="N"/>
    <n v="3"/>
    <s v="N"/>
    <s v="None"/>
    <n v="2"/>
    <s v="Y"/>
    <s v="Y"/>
    <s v="Partial"/>
    <n v="55000"/>
    <d v="2030-08-31T00:00:00"/>
    <n v="53500"/>
    <n v="54000"/>
    <n v="11.888888888888889"/>
    <n v="2"/>
    <x v="2"/>
    <x v="2"/>
    <x v="0"/>
    <x v="6"/>
    <x v="3"/>
    <s v="Switched off Feb-21; licence terminated"/>
  </r>
  <r>
    <n v="65070"/>
    <s v="Payroll Interface (UK)"/>
    <s v="Payroll"/>
    <s v="HR"/>
    <s v="Internal"/>
    <s v="Oscar Lindqvist"/>
    <s v="Tara Khanna"/>
    <s v="SaaS Vendor Mgmt"/>
    <n v="0"/>
    <d v="2021-02-14T00:00:00"/>
    <s v="Not in use"/>
    <n v="1"/>
    <n v="4"/>
    <m/>
    <s v="SaaS"/>
    <s v="N/A (SaaS)"/>
    <n v="0"/>
    <s v="N/A"/>
    <s v="N/A"/>
    <s v="Vendor cloud (EU)"/>
    <m/>
    <s v="Structured"/>
    <n v="180"/>
    <s v="Y"/>
    <n v="5"/>
    <s v="Y"/>
    <s v="Archive + read-only"/>
    <n v="1"/>
    <s v="Partial"/>
    <s v="Y"/>
    <s v="Partial"/>
    <n v="42500"/>
    <d v="2035-08-31T00:00:00"/>
    <n v="53500"/>
    <n v="18500"/>
    <n v="34.702702702702709"/>
    <n v="2"/>
    <x v="1"/>
    <x v="1"/>
    <x v="0"/>
    <x v="9"/>
    <x v="0"/>
    <s v="Read-only access needed for audit"/>
  </r>
  <r>
    <n v="97953"/>
    <s v="Shared Safety Incident Tracker"/>
    <s v="Health &amp; Safety"/>
    <s v="Operations"/>
    <s v="Internal"/>
    <s v="Oscar Lindqvist"/>
    <s v="Lena Fischer"/>
    <s v="Infra Ops US"/>
    <n v="581"/>
    <d v="2021-03-22T00:00:00"/>
    <s v="Active"/>
    <n v="4"/>
    <n v="1"/>
    <s v="SAP EAM"/>
    <s v="PaaS"/>
    <s v="Azure App Service (PaaS)"/>
    <n v="0"/>
    <s v="N/A (PaaS)"/>
    <s v="Azure SQL"/>
    <s v="Azure West Europe"/>
    <d v="2022-06-30T00:00:00"/>
    <s v="Structured"/>
    <n v="870"/>
    <s v="N"/>
    <n v="7"/>
    <s v="N"/>
    <s v="None"/>
    <n v="60"/>
    <s v="N"/>
    <s v="Partial"/>
    <s v="Y"/>
    <n v="80000"/>
    <d v="2033-03-31T00:00:00"/>
    <n v="122000"/>
    <n v="49500"/>
    <n v="29.575757575757574"/>
    <n v="1"/>
    <x v="0"/>
    <x v="2"/>
    <x v="0"/>
    <x v="2"/>
    <x v="0"/>
    <s v="Funding approved; migration to SAP EAM scheduled"/>
  </r>
  <r>
    <n v="143504"/>
    <s v="Corporate Travel Booking Tool"/>
    <s v="Travel"/>
    <s v="HR"/>
    <s v="Internal"/>
    <s v="Marc Laurent"/>
    <s v="Aditi Menon"/>
    <s v="Infra Ops US"/>
    <n v="96"/>
    <d v="2021-03-22T00:00:00"/>
    <s v="Active"/>
    <n v="3"/>
    <n v="3"/>
    <s v="Workday HCM (planned)"/>
    <s v="On-prem DC"/>
    <s v="fs-ctb02 (file share)"/>
    <n v="1"/>
    <s v="Windows Server 2012 R2"/>
    <s v="MS Access 2010"/>
    <s v="Plant DC"/>
    <d v="2023-10-10T00:00:00"/>
    <s v="Both"/>
    <n v="89"/>
    <s v="Y"/>
    <n v="10"/>
    <s v="N"/>
    <s v="None"/>
    <n v="1"/>
    <s v="N"/>
    <s v="Partial"/>
    <s v="Y"/>
    <n v="26000"/>
    <d v="2031-04-30T00:00:00"/>
    <n v="14500"/>
    <n v="78500"/>
    <n v="2.2165605095541401"/>
    <n v="1"/>
    <x v="0"/>
    <x v="2"/>
    <x v="0"/>
    <x v="2"/>
    <x v="0"/>
    <s v="Cut-over planned for Oct-21; parallel run scheduled"/>
  </r>
  <r>
    <n v="88761"/>
    <s v="Monitoring Console 2008"/>
    <s v="Monitoring"/>
    <s v="IT"/>
    <s v="Internal"/>
    <s v="Yuki Tanaka"/>
    <s v="Baptiste Henry"/>
    <s v="Database Services"/>
    <n v="10"/>
    <d v="2021-04-24T00:00:00"/>
    <s v="Low use"/>
    <n v="1"/>
    <n v="3"/>
    <s v="Microsoft 365 (planned)"/>
    <s v="IaaS"/>
    <s v="mcxapp01, mcxdb01"/>
    <n v="2"/>
    <s v="HP-UX 11i v3"/>
    <s v="TBD"/>
    <s v="AWS us-east-1"/>
    <d v="2021-12-31T00:00:00"/>
    <s v="Both"/>
    <n v="48"/>
    <s v="N"/>
    <n v="7"/>
    <s v="N"/>
    <s v="None"/>
    <n v="5"/>
    <s v="Partial"/>
    <s v="N"/>
    <s v="N"/>
    <n v="16000"/>
    <d v="2027-04-30T00:00:00"/>
    <n v="6500"/>
    <n v="75000"/>
    <n v="1.04"/>
    <n v="4"/>
    <x v="2"/>
    <x v="2"/>
    <x v="0"/>
    <x v="3"/>
    <x v="3"/>
    <s v="No active users; switch-off confirmed with owner"/>
  </r>
  <r>
    <n v="145984"/>
    <s v="Departmental Safety Incident Tracker"/>
    <s v="Health &amp; Safety"/>
    <s v="Operations"/>
    <s v="Internal"/>
    <s v="Julien Petit"/>
    <s v="Varun Malhotra"/>
    <s v="Database Services"/>
    <n v="4"/>
    <d v="2021-03-08T00:00:00"/>
    <s v="Low use"/>
    <n v="2"/>
    <n v="4"/>
    <s v="TBD"/>
    <s v="On-prem DC"/>
    <s v="dsiapp01"/>
    <n v="1"/>
    <s v="RHEL 6"/>
    <s v="Oracle 11g"/>
    <s v="TBD"/>
    <d v="2020-11-30T00:00:00"/>
    <s v="Structured"/>
    <n v="8"/>
    <s v="N"/>
    <n v="5"/>
    <s v="N"/>
    <s v="None"/>
    <n v="1"/>
    <s v="Y"/>
    <s v="N"/>
    <s v="Y"/>
    <n v="29500"/>
    <d v="2030-08-31T00:00:00"/>
    <n v="32000"/>
    <n v="88500"/>
    <n v="4.3389830508474576"/>
    <n v="3"/>
    <x v="2"/>
    <x v="2"/>
    <x v="0"/>
    <x v="2"/>
    <x v="0"/>
    <s v="No active users; switch-off confirmed with owner"/>
  </r>
  <r>
    <n v="140092"/>
    <s v="Inventory Control Plus"/>
    <s v="Inventory"/>
    <s v="Supply Chain"/>
    <s v="Internal"/>
    <s v="Lucas Bernard"/>
    <s v="Ishaan Desai"/>
    <s v="Infra Ops EMEA"/>
    <n v="19"/>
    <d v="2021-04-25T00:00:00"/>
    <s v="Low use"/>
    <n v="2"/>
    <n v="4"/>
    <s v="TBD"/>
    <s v="On-prem DC"/>
    <s v="icpapp01, icpdb01"/>
    <n v="2"/>
    <s v="SUSE Linux 11"/>
    <s v="Oracle 11g"/>
    <s v="EU DC-1"/>
    <d v="2019-03-31T00:00:00"/>
    <s v="Structured"/>
    <n v="450"/>
    <s v="Y"/>
    <n v="10"/>
    <s v="Y"/>
    <s v="Archive + read-only"/>
    <n v="3"/>
    <s v="Partial"/>
    <s v="N"/>
    <s v="Partial"/>
    <n v="31500"/>
    <d v="2032-02-29T00:00:00"/>
    <n v="30500"/>
    <n v="89000"/>
    <n v="4.1123595505617976"/>
    <n v="3"/>
    <x v="1"/>
    <x v="1"/>
    <x v="0"/>
    <x v="9"/>
    <x v="0"/>
    <s v="Read-only access needed for audit"/>
  </r>
  <r>
    <n v="180343"/>
    <s v="Tax Compliance Tool (APAC)"/>
    <s v="Tax"/>
    <s v="Finance"/>
    <s v="Internal"/>
    <s v="Hannah Weber"/>
    <s v="Ishaan Desai"/>
    <s v="Wintel Platform Team"/>
    <n v="0"/>
    <d v="2021-02-16T00:00:00"/>
    <s v="Not in use"/>
    <n v="1"/>
    <n v="4"/>
    <m/>
    <s v="On-prem DC"/>
    <s v="tctapp01, tctdb01, tctweb01"/>
    <n v="3"/>
    <s v="Windows Server 2008 R2"/>
    <s v="SQL Server 2008 R2"/>
    <s v="Plant DC"/>
    <d v="2020-01-14T00:00:00"/>
    <s v="Structured"/>
    <n v="13050"/>
    <s v="Y"/>
    <n v="10"/>
    <s v="Y"/>
    <s v="Data archive"/>
    <n v="3"/>
    <s v="N"/>
    <s v="N"/>
    <s v="Partial"/>
    <n v="40500"/>
    <d v="2033-05-31T00:00:00"/>
    <n v="306500"/>
    <n v="63500"/>
    <n v="57.921259842519689"/>
    <n v="3"/>
    <x v="1"/>
    <x v="0"/>
    <x v="0"/>
    <x v="6"/>
    <x v="3"/>
    <s v="Data archived and validated; switched off Feb-21"/>
  </r>
  <r>
    <n v="34980"/>
    <s v="Custom Org Chart Publisher (APAC)"/>
    <s v="Org Mgmt"/>
    <s v="HR"/>
    <s v="Internal"/>
    <s v="Yuki Tanaka"/>
    <s v="Lena Fischer"/>
    <s v="Wintel Platform Team"/>
    <n v="11"/>
    <d v="2021-02-02T00:00:00"/>
    <s v="Low use"/>
    <n v="2"/>
    <n v="4"/>
    <s v="Workday Recruiting"/>
    <s v="On-prem DC"/>
    <s v="cocapp01, cocdb01, cocweb01"/>
    <n v="3"/>
    <s v="Ubuntu 16.04"/>
    <s v="MySQL 5.7"/>
    <s v="Plant DC"/>
    <d v="2021-04-30T00:00:00"/>
    <s v="Structured"/>
    <n v="1"/>
    <s v="Y"/>
    <n v="7"/>
    <s v="N"/>
    <s v="None"/>
    <n v="3"/>
    <s v="N"/>
    <s v="N"/>
    <s v="Y"/>
    <n v="45500"/>
    <d v="2027-11-30T00:00:00"/>
    <n v="36000"/>
    <n v="55000"/>
    <n v="7.8545454545454545"/>
    <n v="4"/>
    <x v="2"/>
    <x v="2"/>
    <x v="0"/>
    <x v="10"/>
    <x v="0"/>
    <s v="Functionality covered by existing tools"/>
  </r>
  <r>
    <n v="23345"/>
    <s v="Shared Inventory Control Classic"/>
    <s v="Inventory"/>
    <s v="Supply Chain"/>
    <s v="Internal"/>
    <s v="Pierre Roux"/>
    <s v="Varun Malhotra"/>
    <s v="Infra Ops US"/>
    <n v="7"/>
    <d v="2021-01-13T00:00:00"/>
    <s v="Low use"/>
    <n v="1"/>
    <n v="4"/>
    <m/>
    <s v="On-prem DC"/>
    <s v="sicapp01"/>
    <n v="1"/>
    <s v="Windows Server 2016"/>
    <s v="SQL Server 2017"/>
    <s v="US DC-1"/>
    <d v="2027-01-12T00:00:00"/>
    <s v="Both"/>
    <n v="180"/>
    <s v="Y"/>
    <n v="10"/>
    <s v="Y"/>
    <s v="Archive + read-only"/>
    <n v="2"/>
    <s v="Partial"/>
    <s v="Partial"/>
    <s v="Partial"/>
    <n v="11500"/>
    <d v="2030-04-30T00:00:00"/>
    <n v="14000"/>
    <n v="68500"/>
    <n v="2.4525547445255476"/>
    <n v="2"/>
    <x v="1"/>
    <x v="1"/>
    <x v="0"/>
    <x v="9"/>
    <x v="0"/>
    <s v="Retention 10 yrs - archive slot booked"/>
  </r>
  <r>
    <n v="123490"/>
    <s v="Global Supplier Portal"/>
    <s v="Supplier Mgmt"/>
    <s v="Supply Chain"/>
    <s v="Internal"/>
    <s v="Yuki Tanaka"/>
    <s v="Manon Chevalier"/>
    <s v="Unix Platform Team"/>
    <n v="0"/>
    <d v="2021-04-23T00:00:00"/>
    <s v="Not in use"/>
    <n v="2"/>
    <n v="3"/>
    <s v="SAP IBP"/>
    <s v="IaaS"/>
    <s v="gspapp01, gspdb01, gspweb01"/>
    <n v="3"/>
    <s v="Windows Server 2016"/>
    <s v="SQL Server 2017"/>
    <s v="AWS eu-west-1"/>
    <d v="2027-01-12T00:00:00"/>
    <s v="Structured"/>
    <n v="390"/>
    <s v="Y"/>
    <n v="7"/>
    <s v="N"/>
    <s v="None"/>
    <n v="4"/>
    <s v="N"/>
    <s v="Partial"/>
    <s v="N"/>
    <n v="30500"/>
    <d v="2034-10-31T00:00:00"/>
    <n v="34500"/>
    <n v="29000"/>
    <n v="14.275862068965518"/>
    <n v="3"/>
    <x v="2"/>
    <x v="2"/>
    <x v="0"/>
    <x v="4"/>
    <x v="3"/>
    <s v="Switched off Apr-21; licence terminated"/>
  </r>
  <r>
    <n v="187110"/>
    <s v="Departmental Supplier Portal Plus"/>
    <s v="Supplier Mgmt"/>
    <s v="Supply Chain"/>
    <s v="Internal"/>
    <s v="Marc Laurent"/>
    <s v="Rohan Bhatt"/>
    <s v="Wintel Platform Team"/>
    <n v="0"/>
    <d v="2021-02-07T00:00:00"/>
    <s v="Not in use"/>
    <n v="4"/>
    <n v="3"/>
    <s v="SAP TM"/>
    <s v="On-prem DC"/>
    <s v="dspapp01, dspdb01, dspweb01, dspfs01"/>
    <n v="4"/>
    <s v="Ubuntu 16.04"/>
    <s v="MySQL 5.7"/>
    <s v="TBD"/>
    <d v="2021-04-30T00:00:00"/>
    <s v="Both"/>
    <n v="310"/>
    <s v="N"/>
    <n v="3"/>
    <s v="N"/>
    <s v="None"/>
    <n v="5"/>
    <s v="Y"/>
    <s v="N"/>
    <s v="N"/>
    <n v="43000"/>
    <d v="2025-07-31T00:00:00"/>
    <n v="49000"/>
    <n v="35000"/>
    <n v="16.799999999999997"/>
    <n v="3"/>
    <x v="0"/>
    <x v="2"/>
    <x v="0"/>
    <x v="6"/>
    <x v="3"/>
    <s v="Migrated to SAP TM; legacy switched off Feb-21"/>
  </r>
  <r>
    <n v="122617"/>
    <s v="Shared Brand Asset Library Classic"/>
    <s v="Digital Assets"/>
    <s v="Marketing"/>
    <s v="Internal"/>
    <s v="Mateo Girard"/>
    <s v="Adrien Colin"/>
    <s v="Plant IT Services"/>
    <n v="0"/>
    <d v="2021-01-28T00:00:00"/>
    <s v="Not in use"/>
    <n v="2"/>
    <n v="4"/>
    <s v="Marketo"/>
    <s v="IaaS"/>
    <s v="sbaapp01"/>
    <n v="1"/>
    <s v="RHEL 7"/>
    <s v="Oracle 12c"/>
    <s v="AWS eu-west-1"/>
    <d v="2024-06-30T00:00:00"/>
    <s v="Structured"/>
    <n v="430"/>
    <s v="Y"/>
    <n v="5"/>
    <s v="Y"/>
    <s v="Read-only access"/>
    <n v="0"/>
    <s v="Partial"/>
    <s v="Y"/>
    <s v="Y"/>
    <n v="13000"/>
    <d v="2032-09-30T00:00:00"/>
    <n v="13000"/>
    <n v="8500"/>
    <n v="18.352941176470587"/>
    <n v="3"/>
    <x v="1"/>
    <x v="1"/>
    <x v="0"/>
    <x v="11"/>
    <x v="3"/>
    <s v="Data archived and validated; switched off Jan-21"/>
  </r>
  <r>
    <n v="111142"/>
    <s v="Inventory Control Classic"/>
    <s v="Inventory"/>
    <s v="Supply Chain"/>
    <s v="Partner"/>
    <s v="Yuki Tanaka"/>
    <s v="Ananya Pillai"/>
    <s v="Database Services"/>
    <n v="0"/>
    <d v="2020-04-11T00:00:00"/>
    <s v="Not in use"/>
    <n v="3"/>
    <n v="3"/>
    <m/>
    <s v="On-prem DC"/>
    <s v="iccapp01, iccdb01"/>
    <n v="2"/>
    <s v="SUSE Linux 11"/>
    <s v="Oracle 11g"/>
    <s v="EU DC-2"/>
    <d v="2019-03-31T00:00:00"/>
    <s v="Unstructured"/>
    <n v="9"/>
    <s v="N"/>
    <n v="3"/>
    <s v="N"/>
    <s v="None"/>
    <n v="4"/>
    <s v="N"/>
    <s v="Y"/>
    <s v="N"/>
    <n v="26000"/>
    <d v="2033-07-31T00:00:00"/>
    <n v="17500"/>
    <n v="22000"/>
    <n v="9.545454545454545"/>
    <n v="2"/>
    <x v="2"/>
    <x v="2"/>
    <x v="0"/>
    <x v="7"/>
    <x v="0"/>
    <s v="No active users; switch-off confirmed with owner"/>
  </r>
  <r>
    <n v="104856"/>
    <s v="Shared Survey Tool Classic"/>
    <s v="Market Research"/>
    <s v="Marketing"/>
    <s v="Internal"/>
    <s v="Camille Fontaine"/>
    <s v="Manon Chevalier"/>
    <s v="Infra Ops EMEA"/>
    <n v="8"/>
    <d v="2021-03-17T00:00:00"/>
    <s v="Low use"/>
    <n v="4"/>
    <n v="3"/>
    <s v="Qualtrics (planned)"/>
    <s v="On-prem DC"/>
    <s v="sstapp01, sstdb01"/>
    <n v="2"/>
    <s v="Ubuntu 20.04"/>
    <s v="MySQL 8.0"/>
    <s v="US DC-1"/>
    <d v="2025-04-30T00:00:00"/>
    <s v="Structured"/>
    <n v="300"/>
    <s v="N"/>
    <n v="5"/>
    <s v="Y"/>
    <s v="Read-only access"/>
    <n v="3"/>
    <s v="Y"/>
    <s v="N"/>
    <s v="Y"/>
    <n v="99500"/>
    <d v="2027-08-31T00:00:00"/>
    <n v="36000"/>
    <n v="74500"/>
    <n v="5.7986577181208059"/>
    <n v="2"/>
    <x v="0"/>
    <x v="1"/>
    <x v="0"/>
    <x v="7"/>
    <x v="0"/>
    <s v="Cut-over planned for Jul-21; parallel run scheduled_x000a_Blocker: Legal sign-off on retention_x000a_Q: Who owns the retention decision for archived records?"/>
  </r>
  <r>
    <n v="51568"/>
    <s v="Shared Recruitment Tracker Plus"/>
    <s v="Recruitment"/>
    <s v="HR"/>
    <s v="Internal"/>
    <s v="Karan Blanc"/>
    <s v="Varun Malhotra"/>
    <s v="Plant IT Services"/>
    <n v="0"/>
    <d v="2021-03-12T00:00:00"/>
    <s v="Not in use"/>
    <n v="2"/>
    <n v="3"/>
    <m/>
    <s v="On-prem DC"/>
    <s v="srtapp01"/>
    <n v="1"/>
    <s v="AIX 6.1"/>
    <s v="TBD"/>
    <s v="US DC-1"/>
    <d v="2017-04-30T00:00:00"/>
    <s v="Structured"/>
    <n v="190"/>
    <s v="N"/>
    <n v="3"/>
    <s v="Y"/>
    <s v="Read-only access"/>
    <n v="5"/>
    <s v="Partial"/>
    <s v="Partial"/>
    <s v="Partial"/>
    <n v="39000"/>
    <d v="2033-06-30T00:00:00"/>
    <n v="37500"/>
    <n v="28500"/>
    <n v="15.789473684210527"/>
    <n v="3"/>
    <x v="1"/>
    <x v="1"/>
    <x v="0"/>
    <x v="5"/>
    <x v="3"/>
    <s v="Data archived and validated; switched off Mar-21"/>
  </r>
  <r>
    <n v="195565"/>
    <s v="Corporate Asset Register Classic"/>
    <s v="Fixed Assets"/>
    <s v="Finance"/>
    <s v="Internal"/>
    <s v="Sophie Dubois"/>
    <s v="Rohan Bhatt"/>
    <s v="Unix Platform Team"/>
    <n v="149"/>
    <d v="2021-04-29T00:00:00"/>
    <s v="Active"/>
    <n v="3"/>
    <n v="4"/>
    <s v="Anaplan (planned)"/>
    <s v="On-prem DC"/>
    <s v="carapp01, cardb01, carweb01"/>
    <n v="3"/>
    <s v="Windows Server 2012 R2"/>
    <s v="SQL Server 2014"/>
    <s v="EU DC-1"/>
    <s v="TBD"/>
    <s v="Both"/>
    <n v="170"/>
    <s v="Y"/>
    <n v="10"/>
    <s v="N"/>
    <s v="None"/>
    <n v="0"/>
    <s v="N"/>
    <s v="N"/>
    <s v="N"/>
    <n v="48500"/>
    <d v="2026-11-30T00:00:00"/>
    <n v="38500"/>
    <n v="43000"/>
    <n v="10.744186046511629"/>
    <n v="1"/>
    <x v="0"/>
    <x v="2"/>
    <x v="0"/>
    <x v="8"/>
    <x v="0"/>
    <s v="3 feeds to re-point to Anaplan"/>
  </r>
  <r>
    <n v="48049"/>
    <s v="Partner Portal Plus"/>
    <s v="Partner Mgmt"/>
    <s v="Sales"/>
    <s v="External"/>
    <s v="Marc Laurent"/>
    <s v="Lena Fischer"/>
    <s v="Database Services"/>
    <n v="0"/>
    <d v="2021-04-06T00:00:00"/>
    <s v="Not in use"/>
    <n v="2"/>
    <n v="4"/>
    <m/>
    <s v="On-prem DC"/>
    <s v="pppapp01"/>
    <n v="1"/>
    <s v="Solaris 10"/>
    <s v="Oracle 11g"/>
    <s v="EU DC-1"/>
    <d v="2021-01-31T00:00:00"/>
    <s v="Structured"/>
    <n v="67"/>
    <s v="Y"/>
    <n v="7"/>
    <s v="Y"/>
    <s v="Reporting extract"/>
    <n v="0"/>
    <s v="Y"/>
    <s v="Partial"/>
    <s v="N"/>
    <n v="84500"/>
    <d v="2026-07-31T00:00:00"/>
    <n v="10000"/>
    <n v="89500"/>
    <n v="1.3407821229050279"/>
    <n v="3"/>
    <x v="1"/>
    <x v="1"/>
    <x v="0"/>
    <x v="4"/>
    <x v="3"/>
    <s v="Data archived and validated; switched off Apr-21"/>
  </r>
  <r>
    <n v="59643"/>
    <s v="Regional GL Consolidation Tool"/>
    <s v="General Ledger"/>
    <s v="Finance"/>
    <s v="Partner"/>
    <s v="Vikram Rao"/>
    <s v="Chloe Vidal"/>
    <s v="Infra Ops US"/>
    <n v="0"/>
    <d v="2021-02-06T00:00:00"/>
    <s v="Not in use"/>
    <n v="1"/>
    <n v="4"/>
    <m/>
    <s v="On-prem DC"/>
    <s v="rgcapp01, rgcdb01"/>
    <n v="2"/>
    <s v="Windows Server 2008"/>
    <s v="SQL Server 2008"/>
    <s v="US DC-1"/>
    <d v="2019-07-09T00:00:00"/>
    <s v="Both"/>
    <n v="65"/>
    <s v="Y"/>
    <n v="7"/>
    <s v="Y"/>
    <s v="Archive + read-only"/>
    <n v="0"/>
    <s v="N"/>
    <s v="Y"/>
    <s v="Y"/>
    <n v="39500"/>
    <d v="2028-09-30T00:00:00"/>
    <n v="25000"/>
    <n v="32500"/>
    <n v="9.2307692307692317"/>
    <n v="3"/>
    <x v="1"/>
    <x v="1"/>
    <x v="0"/>
    <x v="6"/>
    <x v="3"/>
    <s v="Data archived and validated; switched off Feb-21"/>
  </r>
  <r>
    <n v="135505"/>
    <s v="Legacy CMDB Lite"/>
    <s v="Config Mgmt"/>
    <s v="IT"/>
    <s v="Internal"/>
    <s v="Amelie Martin"/>
    <s v="Baptiste Henry"/>
    <s v="Infra Ops EMEA"/>
    <n v="3"/>
    <d v="2021-01-11T00:00:00"/>
    <s v="Low use"/>
    <n v="1"/>
    <n v="3"/>
    <m/>
    <s v="On-prem DC"/>
    <s v="lclapp01, lcldb01"/>
    <n v="2"/>
    <s v="Windows Server 2012 R2"/>
    <s v="SQL Server 2012"/>
    <s v="TBD"/>
    <d v="2022-07-12T00:00:00"/>
    <s v="Structured"/>
    <n v="17"/>
    <s v="N"/>
    <n v="3"/>
    <s v="N"/>
    <s v="None"/>
    <n v="6"/>
    <s v="Partial"/>
    <s v="N"/>
    <s v="Y"/>
    <n v="47000"/>
    <d v="2027-09-30T00:00:00"/>
    <n v="64000"/>
    <n v="50000"/>
    <n v="15.36"/>
    <n v="2"/>
    <x v="2"/>
    <x v="2"/>
    <x v="0"/>
    <x v="9"/>
    <x v="0"/>
    <s v="No active users; switch-off confirmed with owner"/>
  </r>
  <r>
    <n v="54551"/>
    <s v="Departmental Inventory Control 2012"/>
    <s v="Inventory"/>
    <s v="Supply Chain"/>
    <s v="Partner"/>
    <s v="Sara Kapoor"/>
    <s v="Aditi Menon"/>
    <s v="Infra Ops US"/>
    <n v="10"/>
    <d v="2021-04-27T00:00:00"/>
    <s v="Low use"/>
    <n v="2"/>
    <n v="4"/>
    <m/>
    <s v="On-prem DC"/>
    <s v="dicapp01, dicdb01, dicweb01, dicfs01"/>
    <n v="4"/>
    <s v="Ubuntu 16.04"/>
    <s v="MySQL 5.7"/>
    <s v="US DC-1"/>
    <d v="2021-04-30T00:00:00"/>
    <s v="Both"/>
    <n v="37"/>
    <s v="N"/>
    <n v="5"/>
    <s v="N"/>
    <s v="None"/>
    <n v="3"/>
    <s v="Partial"/>
    <s v="Y"/>
    <s v="Partial"/>
    <n v="65000"/>
    <d v="2030-08-31T00:00:00"/>
    <n v="51500"/>
    <n v="54000"/>
    <n v="11.444444444444445"/>
    <n v="3"/>
    <x v="2"/>
    <x v="2"/>
    <x v="0"/>
    <x v="2"/>
    <x v="0"/>
    <s v="Owner sign-off received; switch-off scheduled"/>
  </r>
  <r>
    <n v="104516"/>
    <s v="Regional Order Entry Portal"/>
    <s v="Order Entry"/>
    <s v="Sales"/>
    <s v="Internal"/>
    <s v="Nicolas Sharma"/>
    <s v="Remi Masson"/>
    <s v="Plant IT Services"/>
    <n v="1"/>
    <d v="2019-10-06T00:00:00"/>
    <s v="Not in use"/>
    <n v="2"/>
    <n v="3"/>
    <m/>
    <s v="On-prem DC"/>
    <s v="roeapp01"/>
    <n v="1"/>
    <s v="RHEL 6"/>
    <s v="Oracle 11g"/>
    <s v="EU DC-1"/>
    <d v="2020-11-30T00:00:00"/>
    <s v="Structured"/>
    <n v="190"/>
    <s v="Y"/>
    <n v="10"/>
    <s v="Y"/>
    <s v="Data archive"/>
    <n v="4"/>
    <s v="Y"/>
    <s v="N"/>
    <s v="Y"/>
    <n v="81500"/>
    <d v="2035-05-31T00:00:00"/>
    <n v="14500"/>
    <n v="87500"/>
    <n v="1.9885714285714284"/>
    <n v="3"/>
    <x v="1"/>
    <x v="1"/>
    <x v="0"/>
    <x v="3"/>
    <x v="3"/>
    <s v="Archive format agreed; load scheduled before switch-off"/>
  </r>
  <r>
    <n v="32726"/>
    <s v="Regional Recruitment Tracker v4"/>
    <s v="Recruitment"/>
    <s v="HR"/>
    <s v="External"/>
    <s v="Hannah Weber"/>
    <s v="Ananya Pillai"/>
    <s v="Plant IT Services"/>
    <n v="0"/>
    <d v="2021-03-06T00:00:00"/>
    <s v="Not in use"/>
    <n v="2"/>
    <n v="4"/>
    <s v="Cornerstone"/>
    <s v="IaaS"/>
    <s v="rrtapp01, rrtdb01, rrtweb01"/>
    <n v="3"/>
    <s v="Ubuntu 16.04"/>
    <s v="MySQL 5.7"/>
    <s v="Azure West Europe"/>
    <d v="2021-04-30T00:00:00"/>
    <s v="Both"/>
    <n v="120"/>
    <s v="Y"/>
    <n v="5"/>
    <s v="N"/>
    <s v="None"/>
    <n v="3"/>
    <s v="Partial"/>
    <s v="Partial"/>
    <s v="N"/>
    <n v="130500"/>
    <d v="2029-02-28T00:00:00"/>
    <n v="17000"/>
    <n v="109000"/>
    <n v="1.871559633027523"/>
    <n v="4"/>
    <x v="2"/>
    <x v="2"/>
    <x v="0"/>
    <x v="5"/>
    <x v="3"/>
    <s v="Switched off Mar-21; licence terminated"/>
  </r>
  <r>
    <n v="71025"/>
    <s v="SAP BW"/>
    <s v="Enterprise Data Warehouse"/>
    <s v="Finance"/>
    <s v="Internal"/>
    <s v="Thomas Moreau"/>
    <s v="Tara Khanna"/>
    <s v="Database Services"/>
    <n v="140"/>
    <d v="2021-04-23T00:00:00"/>
    <s v="Active"/>
    <n v="3"/>
    <n v="2"/>
    <s v="SAP Analytics Cloud"/>
    <s v="On-prem DC"/>
    <s v="bw-app01–02, bw-db01–02"/>
    <n v="4"/>
    <s v="SUSE Linux 11"/>
    <s v="SAP HANA 1.0"/>
    <s v="EU DC-1"/>
    <d v="2020-12-31T00:00:00"/>
    <s v="Structured"/>
    <n v="3200"/>
    <s v="N"/>
    <n v="7"/>
    <s v="Y"/>
    <s v="Archive + read-only"/>
    <n v="24"/>
    <s v="Y"/>
    <s v="Partial"/>
    <s v="Y"/>
    <n v="210000"/>
    <d v="2028-12-31T00:00:00"/>
    <n v="260000"/>
    <n v="170000"/>
    <n v="18.352941176470587"/>
    <n v="2"/>
    <x v="1"/>
    <x v="0"/>
    <x v="0"/>
    <x v="0"/>
    <x v="0"/>
    <s v="Reports rebuilt in SAP Analytics Cloud; archive load in progress; switch-off May-21"/>
  </r>
  <r>
    <n v="104583"/>
    <s v="Old Commission Calculator"/>
    <s v="Commissions"/>
    <s v="Sales"/>
    <s v="Internal"/>
    <s v="Laura Martin"/>
    <s v="Ishaan Desai"/>
    <s v="Database Services"/>
    <n v="0"/>
    <d v="2021-03-18T00:00:00"/>
    <s v="Not in use"/>
    <n v="4"/>
    <n v="1"/>
    <s v="Salesforce CPQ"/>
    <s v="IaaS"/>
    <s v="occapp01"/>
    <n v="1"/>
    <s v="Solaris 10"/>
    <s v="Oracle 11g"/>
    <s v="AWS us-east-1"/>
    <d v="2021-01-31T00:00:00"/>
    <s v="Structured"/>
    <n v="140"/>
    <s v="Y"/>
    <n v="7"/>
    <s v="N"/>
    <s v="None"/>
    <n v="41"/>
    <s v="N"/>
    <s v="Partial"/>
    <s v="N"/>
    <n v="25000"/>
    <d v="2034-10-31T00:00:00"/>
    <n v="60500"/>
    <n v="17500"/>
    <n v="41.485714285714288"/>
    <n v="3"/>
    <x v="0"/>
    <x v="2"/>
    <x v="0"/>
    <x v="5"/>
    <x v="3"/>
    <s v="Migrated to Salesforce CPQ; legacy switched off Mar-21"/>
  </r>
  <r>
    <n v="134806"/>
    <s v="Regional GL Consolidation Tool Plus"/>
    <s v="General Ledger"/>
    <s v="Finance"/>
    <s v="Internal"/>
    <s v="Priya Sharma"/>
    <s v="Theo Lopez"/>
    <s v="Wintel Platform Team"/>
    <n v="15"/>
    <d v="2021-03-28T00:00:00"/>
    <s v="Low use"/>
    <n v="3"/>
    <n v="4"/>
    <m/>
    <s v="On-prem DC"/>
    <s v="rgcapp01, rgcdb01"/>
    <n v="2"/>
    <s v="RHEL 6"/>
    <s v="Oracle 11g"/>
    <s v="TBD"/>
    <d v="2020-11-30T00:00:00"/>
    <s v="Structured"/>
    <n v="640"/>
    <s v="Y"/>
    <n v="5"/>
    <s v="Y"/>
    <s v="Archive + read-only"/>
    <n v="1"/>
    <s v="Partial"/>
    <s v="Y"/>
    <s v="N"/>
    <n v="37000"/>
    <d v="2031-01-31T00:00:00"/>
    <n v="34500"/>
    <n v="28000"/>
    <n v="14.785714285714286"/>
    <n v="2"/>
    <x v="1"/>
    <x v="1"/>
    <x v="0"/>
    <x v="8"/>
    <x v="0"/>
    <s v="Read-only access needed for audit"/>
  </r>
  <r>
    <n v="154544"/>
    <s v="AP Invoice Processor v4"/>
    <s v="Accounts Payable"/>
    <s v="Finance"/>
    <s v="Internal"/>
    <s v="Sophie Dubois"/>
    <s v="Baptiste Henry"/>
    <s v="Infra Ops EMEA"/>
    <n v="0"/>
    <d v="2021-04-15T00:00:00"/>
    <s v="Not in use"/>
    <n v="1"/>
    <n v="4"/>
    <s v="TBD"/>
    <s v="IaaS"/>
    <s v="aipapp01"/>
    <n v="1"/>
    <s v="AIX 6.1"/>
    <s v="DB2 9.7"/>
    <s v="Azure West Europe"/>
    <d v="2017-04-30T00:00:00"/>
    <s v="Both"/>
    <n v="9"/>
    <s v="Y"/>
    <n v="5"/>
    <s v="N"/>
    <s v="None"/>
    <n v="0"/>
    <s v="Partial"/>
    <s v="N"/>
    <s v="Y"/>
    <n v="15000"/>
    <d v="2026-04-30T00:00:00"/>
    <n v="14500"/>
    <n v="13500"/>
    <n v="12.888888888888889"/>
    <n v="3"/>
    <x v="2"/>
    <x v="2"/>
    <x v="0"/>
    <x v="4"/>
    <x v="3"/>
    <s v="Switched off Apr-21; licence terminated"/>
  </r>
  <r>
    <n v="31628"/>
    <s v="Purchase Order System v4"/>
    <s v="Procurement"/>
    <s v="Supply Chain"/>
    <s v="Internal"/>
    <s v="Diego Alvarez"/>
    <s v="Theo Lopez"/>
    <s v="Plant IT Services"/>
    <n v="0"/>
    <d v="2021-01-11T00:00:00"/>
    <s v="Not in use"/>
    <n v="3"/>
    <n v="3"/>
    <m/>
    <s v="On-prem DC"/>
    <s v="posapp01, posdb01, posweb01, posfs01"/>
    <n v="4"/>
    <s v="AIX 6.1"/>
    <s v="DB2 9.7"/>
    <s v="EU DC-2"/>
    <d v="2017-04-30T00:00:00"/>
    <s v="Structured"/>
    <n v="37"/>
    <s v="N"/>
    <n v="1"/>
    <s v="N"/>
    <s v="None"/>
    <n v="5"/>
    <s v="Y"/>
    <s v="Partial"/>
    <s v="Partial"/>
    <n v="35500"/>
    <d v="2025-02-28T00:00:00"/>
    <n v="29000"/>
    <n v="32500"/>
    <n v="10.707692307692309"/>
    <n v="2"/>
    <x v="2"/>
    <x v="2"/>
    <x v="0"/>
    <x v="0"/>
    <x v="0"/>
    <s v="Functionality covered by existing tools"/>
  </r>
  <r>
    <n v="83626"/>
    <s v="Quote Manager (Nordics)"/>
    <s v="Quoting"/>
    <s v="Sales"/>
    <s v="Internal"/>
    <s v="Elena Garcia"/>
    <s v="Louis Faure"/>
    <s v="Unix Platform Team"/>
    <n v="0"/>
    <d v="2021-01-15T00:00:00"/>
    <s v="Not in use"/>
    <n v="2"/>
    <n v="3"/>
    <m/>
    <s v="On-prem DC"/>
    <s v="qmnapp01, qmndb01, qmnweb01, qmnfs01"/>
    <n v="4"/>
    <s v="RHEL 6"/>
    <s v="Oracle 11g"/>
    <s v="US DC-1"/>
    <d v="2020-11-30T00:00:00"/>
    <s v="Unstructured"/>
    <n v="160"/>
    <s v="Y"/>
    <n v="10"/>
    <s v="Y"/>
    <s v="Read-only access"/>
    <n v="8"/>
    <s v="Partial"/>
    <s v="Partial"/>
    <s v="N"/>
    <n v="55000"/>
    <d v="2025-11-30T00:00:00"/>
    <n v="59500"/>
    <n v="37000"/>
    <n v="19.297297297297298"/>
    <n v="3"/>
    <x v="1"/>
    <x v="0"/>
    <x v="0"/>
    <x v="11"/>
    <x v="3"/>
    <s v="Data archived and validated; switched off Jan-21"/>
  </r>
  <r>
    <n v="56965"/>
    <s v="Customer Contact Manager v3"/>
    <s v="CRM"/>
    <s v="Sales"/>
    <s v="Internal"/>
    <s v="Lucas Bernard"/>
    <s v="Lena Fischer"/>
    <s v="Plant IT Services"/>
    <n v="10"/>
    <d v="2021-03-28T00:00:00"/>
    <s v="Low use"/>
    <n v="3"/>
    <n v="4"/>
    <s v="Salesforce Partner Community"/>
    <s v="IaaS"/>
    <s v="ccmapp01, ccmdb01, ccmweb01"/>
    <n v="3"/>
    <s v="AIX 6.1"/>
    <s v="DB2 9.7"/>
    <s v="AWS us-east-1"/>
    <d v="2017-04-30T00:00:00"/>
    <s v="Structured"/>
    <n v="54"/>
    <s v="Y"/>
    <n v="10"/>
    <s v="N"/>
    <s v="None"/>
    <n v="3"/>
    <s v="Partial"/>
    <s v="Y"/>
    <s v="N"/>
    <n v="19500"/>
    <d v="2035-10-31T00:00:00"/>
    <n v="19500"/>
    <n v="16000"/>
    <n v="14.625"/>
    <n v="3"/>
    <x v="0"/>
    <x v="2"/>
    <x v="0"/>
    <x v="9"/>
    <x v="0"/>
    <s v="Cut-over planned for Nov-21; parallel run scheduled"/>
  </r>
  <r>
    <n v="59395"/>
    <s v="Regional Tax Compliance Tool v4"/>
    <s v="Tax"/>
    <s v="Finance"/>
    <s v="Internal"/>
    <s v="Nicolas Sharma"/>
    <s v="Sameer Joshi"/>
    <s v="Cloud Platform Team"/>
    <n v="17"/>
    <d v="2020-12-16T00:00:00"/>
    <s v="Low use"/>
    <n v="3"/>
    <n v="2"/>
    <s v="BlackLine (planned)"/>
    <s v="On-prem DC"/>
    <s v="rtc-app01–04, rtc-db01"/>
    <n v="5"/>
    <s v="Ubuntu 20.04"/>
    <s v="MySQL 8.0"/>
    <s v="EU DC-2"/>
    <d v="2025-04-30T00:00:00"/>
    <s v="Structured"/>
    <n v="13"/>
    <s v="N"/>
    <n v="3"/>
    <s v="N"/>
    <s v="None"/>
    <n v="27"/>
    <s v="Partial"/>
    <s v="Y"/>
    <s v="Partial"/>
    <n v="70000"/>
    <d v="2032-02-29T00:00:00"/>
    <n v="121000"/>
    <n v="57000"/>
    <n v="25.473684210526315"/>
    <n v="2"/>
    <x v="0"/>
    <x v="2"/>
    <x v="0"/>
    <x v="0"/>
    <x v="0"/>
    <s v="Cut-over planned for Jun-21; parallel run scheduled"/>
  </r>
  <r>
    <n v="29248"/>
    <s v="Corporate Cash Position Reporter (FR)"/>
    <s v="Treasury"/>
    <s v="Finance"/>
    <s v="Internal"/>
    <s v="Rahul Iyer"/>
    <s v="Ishaan Desai"/>
    <s v="Wintel Platform Team"/>
    <n v="3"/>
    <d v="2021-01-02T00:00:00"/>
    <s v="Low use"/>
    <n v="2"/>
    <n v="3"/>
    <m/>
    <s v="On-prem DC"/>
    <s v="ccpapp01, ccpdb01, ccpweb01, ccpfs01"/>
    <n v="4"/>
    <s v="Solaris 10"/>
    <s v="Oracle 11g"/>
    <s v="Plant DC"/>
    <d v="2021-01-31T00:00:00"/>
    <s v="Structured"/>
    <n v="1"/>
    <s v="N"/>
    <n v="2"/>
    <s v="N"/>
    <s v="None"/>
    <n v="8"/>
    <s v="N"/>
    <s v="N"/>
    <s v="N"/>
    <n v="55000"/>
    <d v="2027-03-31T00:00:00"/>
    <n v="78500"/>
    <n v="48000"/>
    <n v="19.625"/>
    <n v="3"/>
    <x v="2"/>
    <x v="2"/>
    <x v="0"/>
    <x v="1"/>
    <x v="1"/>
    <s v="No active users; switch-off confirmed with owner"/>
  </r>
  <r>
    <n v="15356"/>
    <s v="Kronos"/>
    <s v="Time &amp; Attendance"/>
    <s v="HR"/>
    <s v="Internal"/>
    <s v="Pierre Roux"/>
    <s v="Lena Fischer"/>
    <s v="Infra Ops US"/>
    <n v="5200"/>
    <d v="2021-04-29T00:00:00"/>
    <s v="Active"/>
    <n v="3"/>
    <n v="2"/>
    <s v="Workday Time Tracking"/>
    <s v="IaaS"/>
    <s v="kronos-app01–02, kronos-db01"/>
    <n v="3"/>
    <s v="Windows Server 2016"/>
    <s v="SQL Server 2016"/>
    <s v="AWS eu-west-1"/>
    <d v="2026-07-14T00:00:00"/>
    <s v="Structured"/>
    <n v="900"/>
    <s v="Y"/>
    <n v="7"/>
    <s v="Y"/>
    <s v="Archive + read-only"/>
    <n v="18"/>
    <s v="Y"/>
    <s v="Y"/>
    <s v="Partial"/>
    <n v="320000"/>
    <d v="2027-03-31T00:00:00"/>
    <n v="210000"/>
    <n v="260000"/>
    <n v="9.6923076923076934"/>
    <n v="1"/>
    <x v="0"/>
    <x v="0"/>
    <x v="0"/>
    <x v="4"/>
    <x v="3"/>
    <s v="Payroll interface re-pointed to Workday; timecard history archived before switch-off (May-21)"/>
  </r>
  <r>
    <n v="16966"/>
    <s v="Custom Licence Manager 2010"/>
    <s v="Licence Mgmt"/>
    <s v="IT"/>
    <s v="Internal"/>
    <s v="Claire Mehta"/>
    <s v="Remi Masson"/>
    <s v="Plant IT Services"/>
    <n v="10"/>
    <d v="2021-01-28T00:00:00"/>
    <s v="Low use"/>
    <n v="2"/>
    <n v="4"/>
    <s v="Azure Monitor (planned)"/>
    <s v="On-prem DC"/>
    <s v="clmapp01, clmdb01, clmweb01, clmfs01"/>
    <n v="4"/>
    <s v="Windows Server 2016"/>
    <s v="SQL Server 2017"/>
    <s v="Plant DC"/>
    <d v="2027-01-12T00:00:00"/>
    <s v="Unstructured"/>
    <n v="350"/>
    <s v="N"/>
    <n v="2"/>
    <s v="N"/>
    <s v="None"/>
    <n v="3"/>
    <s v="N"/>
    <s v="Y"/>
    <s v="Partial"/>
    <n v="31500"/>
    <d v="2027-06-30T00:00:00"/>
    <n v="40000"/>
    <n v="26500"/>
    <n v="18.113207547169814"/>
    <n v="3"/>
    <x v="2"/>
    <x v="2"/>
    <x v="0"/>
    <x v="8"/>
    <x v="0"/>
    <s v="Owner sign-off received; switch-off scheduled"/>
  </r>
  <r>
    <n v="64942"/>
    <s v="Sales Forecast Tool (UK)"/>
    <s v="Sales Planning"/>
    <s v="Sales"/>
    <s v="Internal"/>
    <s v="Oscar Lindqvist"/>
    <s v="Lena Fischer"/>
    <s v="Infra Ops EMEA"/>
    <n v="187"/>
    <d v="2021-04-11T00:00:00"/>
    <s v="Active"/>
    <n v="2"/>
    <n v="4"/>
    <s v="Salesforce CPQ"/>
    <s v="On-prem DC"/>
    <s v="sftapp01, sftdb01, sftweb01, sftfs01"/>
    <n v="4"/>
    <s v="Windows Server 2008 R2"/>
    <s v="SQL Server 2008 R2"/>
    <s v="US DC-1"/>
    <d v="2020-01-14T00:00:00"/>
    <s v="Unstructured"/>
    <n v="16"/>
    <s v="N"/>
    <n v="7"/>
    <s v="N"/>
    <s v="None"/>
    <n v="3"/>
    <s v="Y"/>
    <s v="N"/>
    <s v="N"/>
    <n v="40500"/>
    <d v="2030-06-30T00:00:00"/>
    <n v="19500"/>
    <n v="35500"/>
    <n v="6.591549295774648"/>
    <n v="3"/>
    <x v="0"/>
    <x v="2"/>
    <x v="0"/>
    <x v="2"/>
    <x v="0"/>
    <s v="Funding approved; migration to Salesforce CPQ scheduled"/>
  </r>
  <r>
    <n v="123642"/>
    <s v="Custom Batch Scheduler Lite"/>
    <s v="Batch Scheduling"/>
    <s v="IT"/>
    <s v="External"/>
    <s v="Pierre Roux"/>
    <s v="Baptiste Henry"/>
    <s v="Unix Platform Team"/>
    <n v="25"/>
    <d v="2021-04-26T00:00:00"/>
    <s v="Active"/>
    <n v="2"/>
    <n v="4"/>
    <m/>
    <s v="PaaS"/>
    <s v="Azure App Service (PaaS)"/>
    <n v="0"/>
    <s v="N/A (PaaS)"/>
    <s v="Cosmos DB"/>
    <s v="Azure West Europe"/>
    <m/>
    <s v="Structured"/>
    <n v="91"/>
    <s v="Y"/>
    <n v="7"/>
    <s v="Y"/>
    <s v="Data archive"/>
    <n v="3"/>
    <s v="Y"/>
    <s v="N"/>
    <s v="Partial"/>
    <n v="22000"/>
    <d v="2029-11-30T00:00:00"/>
    <n v="31000"/>
    <n v="13500"/>
    <n v="27.555555555555557"/>
    <n v="1"/>
    <x v="1"/>
    <x v="1"/>
    <x v="0"/>
    <x v="4"/>
    <x v="3"/>
    <s v="Archive load in progress; validation with data owner"/>
  </r>
  <r>
    <n v="81239"/>
    <s v="Departmental Supplier Portal v4"/>
    <s v="Supplier Mgmt"/>
    <s v="Supply Chain"/>
    <s v="Internal"/>
    <s v="Priya Sharma"/>
    <s v="Chloe Vidal"/>
    <s v="Unix Platform Team"/>
    <n v="6"/>
    <d v="2019-11-13T00:00:00"/>
    <s v="Not in use"/>
    <n v="3"/>
    <n v="3"/>
    <s v="TBD"/>
    <s v="On-prem DC"/>
    <s v="dspapp01"/>
    <n v="1"/>
    <s v="Solaris 10"/>
    <s v="Oracle 11g"/>
    <s v="US DC-1"/>
    <d v="2021-01-31T00:00:00"/>
    <s v="Structured"/>
    <n v="27"/>
    <s v="Y"/>
    <n v="7"/>
    <s v="Y"/>
    <s v="Read-only access"/>
    <n v="6"/>
    <s v="Partial"/>
    <s v="Partial"/>
    <s v="Y"/>
    <n v="22000"/>
    <d v="2027-04-30T00:00:00"/>
    <n v="11500"/>
    <n v="16000"/>
    <n v="8.625"/>
    <n v="2"/>
    <x v="1"/>
    <x v="0"/>
    <x v="0"/>
    <x v="0"/>
    <x v="0"/>
    <s v="Archive format agreed; load scheduled before switch-off"/>
  </r>
  <r>
    <n v="178002"/>
    <s v="Budget Planner v3"/>
    <s v="Budgeting"/>
    <s v="Finance"/>
    <s v="Internal"/>
    <s v="Julia Rao"/>
    <s v="Aditi Menon"/>
    <s v="Cloud Platform Team"/>
    <n v="10"/>
    <d v="2021-03-05T00:00:00"/>
    <s v="Low use"/>
    <n v="1"/>
    <n v="4"/>
    <m/>
    <s v="On-prem DC"/>
    <s v="bpvapp01, bpvdb01, bpvweb01"/>
    <n v="3"/>
    <s v="Windows Server 2012 R2"/>
    <s v="SQL Server 2014"/>
    <s v="EU DC-2"/>
    <d v="2024-07-09T00:00:00"/>
    <s v="Structured"/>
    <n v="5"/>
    <s v="Y"/>
    <n v="10"/>
    <s v="N"/>
    <s v="None"/>
    <n v="1"/>
    <s v="N"/>
    <s v="Y"/>
    <s v="Partial"/>
    <n v="65000"/>
    <d v="2032-12-31T00:00:00"/>
    <n v="41000"/>
    <n v="59000"/>
    <n v="8.3389830508474585"/>
    <n v="2"/>
    <x v="2"/>
    <x v="2"/>
    <x v="0"/>
    <x v="8"/>
    <x v="0"/>
    <s v="Owner sign-off received; switch-off scheduled"/>
  </r>
  <r>
    <n v="94745"/>
    <s v="Old Ticket Desk"/>
    <s v="Service Desk"/>
    <s v="IT"/>
    <s v="Internal"/>
    <s v="Neha Nair"/>
    <s v="Louis Faure"/>
    <s v="Cloud Platform Team"/>
    <n v="25"/>
    <d v="2021-03-16T00:00:00"/>
    <s v="Active"/>
    <n v="5"/>
    <n v="2"/>
    <s v="Azure Monitor"/>
    <s v="On-prem DC"/>
    <s v="otdapp01, otddb01, otdweb01"/>
    <n v="3"/>
    <s v="Ubuntu 16.04"/>
    <s v="MySQL 5.7"/>
    <s v="Plant DC"/>
    <d v="2021-04-30T00:00:00"/>
    <s v="Both"/>
    <n v="10570"/>
    <s v="N"/>
    <n v="5"/>
    <s v="N"/>
    <s v="None"/>
    <n v="13"/>
    <s v="N"/>
    <s v="Partial"/>
    <s v="N"/>
    <n v="60000"/>
    <d v="2030-04-30T00:00:00"/>
    <n v="103500"/>
    <n v="47500"/>
    <n v="26.147368421052633"/>
    <n v="2"/>
    <x v="0"/>
    <x v="2"/>
    <x v="0"/>
    <x v="10"/>
    <x v="0"/>
    <s v="Cut-over planned for Sep-21; parallel run scheduled"/>
  </r>
  <r>
    <n v="70067"/>
    <s v="Shared Travel Booking Tool v2"/>
    <s v="Travel"/>
    <s v="HR"/>
    <s v="Internal"/>
    <s v="Pierre Roux"/>
    <s v="Theo Lopez"/>
    <s v="Plant IT Services"/>
    <n v="20"/>
    <d v="2021-01-02T00:00:00"/>
    <s v="Low use"/>
    <n v="3"/>
    <n v="4"/>
    <m/>
    <s v="On-prem DC"/>
    <s v="stbapp01, stbdb01"/>
    <n v="2"/>
    <s v="Windows Server 2012 R2"/>
    <s v="SQL Server 2012"/>
    <s v="Plant DC"/>
    <d v="2022-07-12T00:00:00"/>
    <s v="Structured"/>
    <n v="570"/>
    <s v="Y"/>
    <n v="7"/>
    <s v="N"/>
    <s v="None"/>
    <n v="3"/>
    <s v="Partial"/>
    <s v="Partial"/>
    <s v="Y"/>
    <n v="33000"/>
    <d v="2034-06-30T00:00:00"/>
    <n v="44000"/>
    <n v="30500"/>
    <n v="17.311475409836067"/>
    <n v="1"/>
    <x v="2"/>
    <x v="2"/>
    <x v="0"/>
    <x v="7"/>
    <x v="0"/>
    <s v="No active users; switch-off confirmed with owner"/>
  </r>
  <r>
    <n v="195793"/>
    <s v="Old Intranet (SharePoint) Lite"/>
    <s v="Collaboration"/>
    <s v="IT"/>
    <s v="Internal"/>
    <s v="Mateo Girard"/>
    <s v="Manon Chevalier"/>
    <s v="Database Services"/>
    <n v="0"/>
    <d v="2021-02-06T00:00:00"/>
    <s v="Not in use"/>
    <n v="2"/>
    <n v="4"/>
    <s v="Azure Monitor"/>
    <s v="On-prem DC"/>
    <s v="oisapp01"/>
    <n v="1"/>
    <s v="HP-UX 11i v3"/>
    <s v="Sybase ASE 15.7"/>
    <s v="EU DC-1"/>
    <d v="2021-12-31T00:00:00"/>
    <s v="Structured"/>
    <n v="1470"/>
    <s v="N"/>
    <n v="3"/>
    <s v="Y"/>
    <s v="Archive + read-only"/>
    <n v="1"/>
    <s v="N"/>
    <s v="Partial"/>
    <s v="Partial"/>
    <n v="34500"/>
    <d v="2034-05-31T00:00:00"/>
    <n v="51000"/>
    <n v="19000"/>
    <n v="32.210526315789473"/>
    <n v="4"/>
    <x v="1"/>
    <x v="0"/>
    <x v="0"/>
    <x v="6"/>
    <x v="3"/>
    <s v="Data archived and validated; switched off Feb-21"/>
  </r>
  <r>
    <n v="140270"/>
    <s v="Old Brand Asset Library Plus"/>
    <s v="Digital Assets"/>
    <s v="Marketing"/>
    <s v="Internal"/>
    <s v="Vikram Rao"/>
    <s v="Baptiste Henry"/>
    <s v="Wintel Platform Team"/>
    <n v="377"/>
    <d v="2021-04-21T00:00:00"/>
    <s v="Active"/>
    <n v="3"/>
    <n v="4"/>
    <s v="Marketo"/>
    <s v="On-prem DC"/>
    <s v="obaapp01, obadb01"/>
    <n v="2"/>
    <s v="TBD"/>
    <s v="Oracle 19c"/>
    <s v="US DC-1"/>
    <d v="2029-05-31T00:00:00"/>
    <s v="Unstructured"/>
    <n v="65"/>
    <s v="Y"/>
    <n v="10"/>
    <s v="Y"/>
    <s v="Data archive"/>
    <n v="1"/>
    <s v="N"/>
    <s v="Partial"/>
    <s v="Y"/>
    <n v="25000"/>
    <d v="2029-07-31T00:00:00"/>
    <n v="22500"/>
    <n v="15500"/>
    <n v="17.41935483870968"/>
    <n v="1"/>
    <x v="0"/>
    <x v="1"/>
    <x v="0"/>
    <x v="3"/>
    <x v="2"/>
    <s v="On hold - waiting for interface owner sign-off"/>
  </r>
  <r>
    <n v="16909"/>
    <s v="Custom Corporate Website CMS"/>
    <s v="Web"/>
    <s v="Marketing"/>
    <s v="Partner"/>
    <s v="Diego Alvarez"/>
    <s v="Omar Haddad"/>
    <s v="Database Services"/>
    <n v="0"/>
    <d v="2021-01-09T00:00:00"/>
    <s v="Not in use"/>
    <n v="2"/>
    <n v="4"/>
    <m/>
    <s v="On-prem DC"/>
    <s v="ccwapp01, ccwdb01, ccwweb01, ccwfs01"/>
    <n v="4"/>
    <s v="RHEL 7"/>
    <s v="Oracle 12c"/>
    <s v="EU DC-1"/>
    <d v="2024-06-30T00:00:00"/>
    <s v="Structured"/>
    <n v="320"/>
    <s v="Y"/>
    <n v="5"/>
    <s v="Y"/>
    <s v="Legal hold"/>
    <n v="2"/>
    <s v="Y"/>
    <s v="N"/>
    <s v="N"/>
    <n v="55000"/>
    <d v="2025-10-31T00:00:00"/>
    <n v="27500"/>
    <n v="38500"/>
    <n v="8.5714285714285712"/>
    <n v="2"/>
    <x v="1"/>
    <x v="1"/>
    <x v="0"/>
    <x v="11"/>
    <x v="3"/>
    <s v="Data archived and validated; switched off Jan-21"/>
  </r>
  <r>
    <n v="98914"/>
    <s v="Event Registration Tool v4"/>
    <s v="Events"/>
    <s v="Marketing"/>
    <s v="Internal"/>
    <s v="Isabelle Singh"/>
    <s v="Ananya Pillai"/>
    <s v="Database Services"/>
    <n v="8"/>
    <d v="2021-02-16T00:00:00"/>
    <s v="Low use"/>
    <n v="3"/>
    <n v="3"/>
    <s v="HubSpot"/>
    <s v="On-prem DC"/>
    <s v="ertapp01, ertdb01, ertweb01"/>
    <n v="3"/>
    <s v="Windows Server 2008 R2"/>
    <s v="SQL Server 2008 R2"/>
    <s v="EU DC-1"/>
    <d v="2020-01-14T00:00:00"/>
    <s v="Structured"/>
    <n v="38"/>
    <s v="N"/>
    <n v="7"/>
    <s v="N"/>
    <s v="None"/>
    <n v="3"/>
    <s v="N"/>
    <s v="Partial"/>
    <s v="Partial"/>
    <n v="60000"/>
    <d v="2032-03-31T00:00:00"/>
    <n v="67500"/>
    <n v="55500"/>
    <n v="14.594594594594595"/>
    <n v="3"/>
    <x v="2"/>
    <x v="2"/>
    <x v="0"/>
    <x v="2"/>
    <x v="0"/>
    <s v="No active users; switch-off confirmed with owner"/>
  </r>
  <r>
    <n v="31080"/>
    <s v="Custom Appraisal Tool (APAC)"/>
    <s v="Performance"/>
    <s v="HR"/>
    <s v="Partner"/>
    <s v="Fatima Khan"/>
    <s v="Tara Khanna"/>
    <s v="Infra Ops EMEA"/>
    <n v="0"/>
    <d v="2021-02-12T00:00:00"/>
    <s v="Not in use"/>
    <n v="2"/>
    <n v="3"/>
    <m/>
    <s v="On-prem DC"/>
    <s v="catapp01, catdb01"/>
    <n v="2"/>
    <s v="Solaris 10"/>
    <s v="Oracle 11g"/>
    <s v="EU DC-1"/>
    <d v="2021-01-31T00:00:00"/>
    <s v="Structured"/>
    <n v="22"/>
    <s v="Y"/>
    <n v="10"/>
    <s v="Y"/>
    <s v="Archive + read-only"/>
    <n v="8"/>
    <s v="Partial"/>
    <s v="Partial"/>
    <s v="Partial"/>
    <n v="21500"/>
    <d v="2032-11-30T00:00:00"/>
    <n v="13000"/>
    <n v="13500"/>
    <n v="11.555555555555555"/>
    <n v="3"/>
    <x v="1"/>
    <x v="0"/>
    <x v="0"/>
    <x v="6"/>
    <x v="3"/>
    <s v="Data archived and validated; switched off Feb-21"/>
  </r>
  <r>
    <n v="182350"/>
    <s v="Legacy Price List Manager 2008"/>
    <s v="Pricing"/>
    <s v="Sales"/>
    <s v="Internal"/>
    <s v="Lucas Bernard"/>
    <s v="Theo Lopez"/>
    <s v="Cloud Platform Team"/>
    <n v="20"/>
    <d v="2021-04-09T00:00:00"/>
    <s v="Low use"/>
    <n v="4"/>
    <n v="3"/>
    <m/>
    <s v="PaaS"/>
    <s v="Azure App Service (PaaS)"/>
    <n v="0"/>
    <s v="N/A (PaaS)"/>
    <s v="Azure SQL"/>
    <s v="Azure West Europe"/>
    <m/>
    <s v="Structured"/>
    <n v="13"/>
    <s v="N"/>
    <n v="3"/>
    <s v="N"/>
    <s v="None"/>
    <n v="6"/>
    <s v="Partial"/>
    <s v="Partial"/>
    <s v="N"/>
    <n v="12000"/>
    <d v="2029-10-31T00:00:00"/>
    <n v="8500"/>
    <n v="11000"/>
    <n v="9.2727272727272734"/>
    <n v="1"/>
    <x v="2"/>
    <x v="2"/>
    <x v="0"/>
    <x v="7"/>
    <x v="0"/>
    <s v="Owner sign-off received; switch-off scheduled"/>
  </r>
  <r>
    <n v="196046"/>
    <s v="Travel Booking Tool (Nordics)"/>
    <s v="Travel"/>
    <s v="HR"/>
    <s v="Internal"/>
    <s v="Sophie Dubois"/>
    <s v="Sameer Joshi"/>
    <s v="SaaS Vendor Mgmt"/>
    <n v="2"/>
    <d v="2019-11-12T00:00:00"/>
    <s v="Not in use"/>
    <n v="1"/>
    <n v="3"/>
    <m/>
    <s v="SaaS"/>
    <s v="N/A (SaaS)"/>
    <n v="0"/>
    <s v="N/A"/>
    <s v="N/A"/>
    <s v="Vendor cloud (EU)"/>
    <m/>
    <s v="Unstructured"/>
    <n v="200"/>
    <s v="N"/>
    <n v="3"/>
    <s v="Y"/>
    <s v="Archive + read-only"/>
    <n v="3"/>
    <s v="Y"/>
    <s v="Partial"/>
    <s v="Partial"/>
    <n v="115000"/>
    <d v="2032-09-30T00:00:00"/>
    <n v="79500"/>
    <n v="49500"/>
    <n v="19.272727272727273"/>
    <n v="2"/>
    <x v="1"/>
    <x v="1"/>
    <x v="0"/>
    <x v="7"/>
    <x v="0"/>
    <s v="Retention 3 yrs - archive slot booked"/>
  </r>
  <r>
    <n v="192364"/>
    <s v="Corporate Newsletter Mailer"/>
    <s v="Email"/>
    <s v="Marketing"/>
    <s v="Internal"/>
    <s v="Priya Sharma"/>
    <s v="Lena Fischer"/>
    <s v="Plant IT Services"/>
    <n v="0"/>
    <d v="2019-06-26T00:00:00"/>
    <s v="Not in use"/>
    <n v="1"/>
    <n v="4"/>
    <m/>
    <s v="IaaS"/>
    <s v="cnmapp01, cnmdb01, cnmweb01"/>
    <n v="3"/>
    <s v="RHEL 8"/>
    <s v="TBD"/>
    <s v="Azure West Europe"/>
    <d v="2029-05-31T00:00:00"/>
    <s v="Structured"/>
    <n v="12"/>
    <s v="Y"/>
    <n v="10"/>
    <s v="N"/>
    <s v="None"/>
    <n v="2"/>
    <s v="Y"/>
    <s v="Y"/>
    <s v="Y"/>
    <n v="14500"/>
    <d v="2035-11-30T00:00:00"/>
    <n v="10500"/>
    <n v="13500"/>
    <n v="9.3333333333333339"/>
    <n v="2"/>
    <x v="2"/>
    <x v="2"/>
    <x v="0"/>
    <x v="10"/>
    <x v="0"/>
    <s v="No active users; switch-off confirmed with owner"/>
  </r>
  <r>
    <n v="149711"/>
    <s v="Shared Sales Forecast Tool"/>
    <s v="Sales Planning"/>
    <s v="Sales"/>
    <s v="Partner"/>
    <s v="Laura Martin"/>
    <s v="Remi Masson"/>
    <s v="SaaS Vendor Mgmt"/>
    <n v="0"/>
    <d v="2021-01-31T00:00:00"/>
    <s v="Not in use"/>
    <n v="3"/>
    <n v="3"/>
    <s v="Salesforce (planned)"/>
    <s v="SaaS"/>
    <s v="N/A (SaaS)"/>
    <n v="0"/>
    <s v="N/A"/>
    <s v="N/A"/>
    <s v="Vendor cloud (EU)"/>
    <m/>
    <s v="Structured"/>
    <n v="100"/>
    <s v="Y"/>
    <n v="10"/>
    <s v="Y"/>
    <s v="Archive + read-only"/>
    <n v="4"/>
    <s v="Y"/>
    <s v="Y"/>
    <s v="Partial"/>
    <n v="48000"/>
    <d v="2026-11-30T00:00:00"/>
    <n v="48000"/>
    <n v="25000"/>
    <n v="23.04"/>
    <n v="2"/>
    <x v="1"/>
    <x v="1"/>
    <x v="0"/>
    <x v="8"/>
    <x v="0"/>
    <s v="Read-only access needed for audit"/>
  </r>
  <r>
    <n v="154871"/>
    <s v="Corporate Corporate Website CMS (DE)"/>
    <s v="Web"/>
    <s v="Marketing"/>
    <s v="Internal"/>
    <s v="Meera Dubois"/>
    <s v="Baptiste Henry"/>
    <s v="Cloud Platform Team"/>
    <n v="1103"/>
    <d v="2021-03-28T00:00:00"/>
    <s v="Active"/>
    <n v="3"/>
    <n v="2"/>
    <s v="Adobe Campaign"/>
    <s v="On-prem DC"/>
    <s v="ccw-app01–05, ccw-db01"/>
    <n v="6"/>
    <s v="Windows Server 2019"/>
    <s v="SQL Server 2019"/>
    <s v="EU DC-1"/>
    <d v="2029-01-09T00:00:00"/>
    <s v="Structured"/>
    <n v="1490"/>
    <s v="Y"/>
    <n v="7"/>
    <s v="N"/>
    <s v="None"/>
    <n v="18"/>
    <s v="N"/>
    <s v="N"/>
    <s v="Y"/>
    <n v="135000"/>
    <d v="2030-05-31T00:00:00"/>
    <n v="188000"/>
    <n v="112000"/>
    <n v="20.142857142857142"/>
    <n v="1"/>
    <x v="2"/>
    <x v="2"/>
    <x v="0"/>
    <x v="4"/>
    <x v="3"/>
    <s v="Functionality covered by existing tools"/>
  </r>
  <r>
    <n v="141151"/>
    <s v="Global Leave Manager v2"/>
    <s v="Leave Mgmt"/>
    <s v="HR"/>
    <s v="Internal"/>
    <s v="Marc Laurent"/>
    <s v="Ishaan Desai"/>
    <s v="Wintel Platform Team"/>
    <n v="0"/>
    <d v="2019-09-01T00:00:00"/>
    <s v="Not in use"/>
    <n v="3"/>
    <n v="3"/>
    <m/>
    <s v="On-prem DC"/>
    <s v="glmapp01, glmdb01"/>
    <n v="2"/>
    <s v="SUSE Linux 11"/>
    <s v="Oracle 11g"/>
    <s v="EU DC-2"/>
    <d v="2019-03-31T00:00:00"/>
    <s v="Structured"/>
    <n v="220"/>
    <s v="Y"/>
    <n v="10"/>
    <s v="N"/>
    <s v="None"/>
    <n v="7"/>
    <s v="N"/>
    <s v="N"/>
    <s v="N"/>
    <n v="48000"/>
    <d v="2026-06-30T00:00:00"/>
    <n v="28500"/>
    <n v="45000"/>
    <n v="7.6"/>
    <n v="2"/>
    <x v="2"/>
    <x v="2"/>
    <x v="0"/>
    <x v="2"/>
    <x v="0"/>
    <s v="Owner sign-off received; switch-off scheduled"/>
  </r>
  <r>
    <n v="63796"/>
    <s v="Global Licence Manager v2"/>
    <s v="Licence Mgmt"/>
    <s v="IT"/>
    <s v="Internal"/>
    <s v="Vikram Rao"/>
    <s v="Baptiste Henry"/>
    <s v="SaaS Vendor Mgmt"/>
    <n v="13"/>
    <d v="2021-01-08T00:00:00"/>
    <s v="Low use"/>
    <n v="1"/>
    <n v="4"/>
    <m/>
    <s v="SaaS"/>
    <s v="N/A (SaaS)"/>
    <n v="0"/>
    <s v="N/A"/>
    <s v="N/A"/>
    <s v="Vendor cloud (EU)"/>
    <d v="2026-01-31T00:00:00"/>
    <s v="Unstructured"/>
    <n v="14"/>
    <s v="N"/>
    <n v="5"/>
    <s v="N"/>
    <s v="None"/>
    <n v="2"/>
    <s v="Partial"/>
    <s v="N"/>
    <s v="Y"/>
    <n v="100000"/>
    <d v="2031-05-31T00:00:00"/>
    <n v="118500"/>
    <n v="58500"/>
    <n v="24.307692307692307"/>
    <n v="2"/>
    <x v="2"/>
    <x v="2"/>
    <x v="0"/>
    <x v="10"/>
    <x v="0"/>
    <s v="Functionality covered by existing tools"/>
  </r>
  <r>
    <n v="185493"/>
    <s v="Access Request Tool 2012"/>
    <s v="Identity"/>
    <s v="IT"/>
    <s v="Internal"/>
    <s v="Julien Petit"/>
    <s v="Hugo Perrin"/>
    <s v="Database Services"/>
    <n v="62"/>
    <d v="2021-04-11T00:00:00"/>
    <s v="Active"/>
    <n v="5"/>
    <n v="1"/>
    <s v="SharePoint Online"/>
    <s v="On-prem DC"/>
    <s v="artapp01, artdb01, artweb01, artfs01"/>
    <n v="4"/>
    <s v="Windows Server 2016"/>
    <s v="SQL Server 2017"/>
    <s v="Plant DC"/>
    <d v="2027-01-12T00:00:00"/>
    <s v="Both"/>
    <n v="62"/>
    <s v="N"/>
    <n v="3"/>
    <s v="N"/>
    <s v="None"/>
    <n v="76"/>
    <s v="Y"/>
    <s v="N"/>
    <s v="Partial"/>
    <n v="125000"/>
    <d v="2028-12-31T00:00:00"/>
    <n v="208500"/>
    <n v="108000"/>
    <n v="23.166666666666668"/>
    <n v="1"/>
    <x v="0"/>
    <x v="2"/>
    <x v="0"/>
    <x v="8"/>
    <x v="0"/>
    <s v="4 feeds to re-point to SharePoint Online"/>
  </r>
  <r>
    <n v="16283"/>
    <s v="Departmental Access Request Tool Classic"/>
    <s v="Identity"/>
    <s v="IT"/>
    <s v="Partner"/>
    <s v="Meera Dubois"/>
    <s v="Manon Chevalier"/>
    <s v="Wintel Platform Team"/>
    <n v="7"/>
    <d v="2020-12-16T00:00:00"/>
    <s v="Low use"/>
    <n v="1"/>
    <n v="3"/>
    <m/>
    <s v="On-prem DC"/>
    <s v="darapp01, dardb01, darweb01, darfs01"/>
    <n v="4"/>
    <s v="RHEL 8"/>
    <s v="PostgreSQL 12"/>
    <s v="Plant DC"/>
    <d v="2029-05-31T00:00:00"/>
    <s v="Structured"/>
    <n v="340"/>
    <s v="Y"/>
    <n v="10"/>
    <s v="Y"/>
    <s v="Archive + read-only"/>
    <n v="2"/>
    <s v="Partial"/>
    <s v="Partial"/>
    <s v="Partial"/>
    <n v="47000"/>
    <d v="2027-01-31T00:00:00"/>
    <n v="28500"/>
    <n v="34000"/>
    <n v="10.058823529411764"/>
    <n v="2"/>
    <x v="1"/>
    <x v="1"/>
    <x v="0"/>
    <x v="2"/>
    <x v="0"/>
    <s v="Read-only access needed for audit"/>
  </r>
  <r>
    <n v="32809"/>
    <s v="Departmental Production Scheduler Plus"/>
    <s v="Production Planning"/>
    <s v="Operations"/>
    <s v="Internal"/>
    <s v="Camille Fontaine"/>
    <s v="Ishaan Desai"/>
    <s v="Plant IT Services"/>
    <n v="0"/>
    <d v="2019-10-11T00:00:00"/>
    <s v="Not in use"/>
    <n v="1"/>
    <n v="3"/>
    <s v="ServiceMax"/>
    <s v="On-prem DC"/>
    <s v="dpsapp01, dpsdb01, dpsweb01"/>
    <n v="3"/>
    <s v="RHEL 6"/>
    <s v="Oracle 11g"/>
    <s v="EU DC-2"/>
    <d v="2020-11-30T00:00:00"/>
    <s v="Structured"/>
    <n v="74"/>
    <s v="N"/>
    <n v="7"/>
    <s v="N"/>
    <s v="None"/>
    <n v="4"/>
    <s v="Y"/>
    <s v="Partial"/>
    <s v="Partial"/>
    <n v="44000"/>
    <d v="2034-06-30T00:00:00"/>
    <n v="21000"/>
    <n v="38500"/>
    <n v="6.545454545454545"/>
    <n v="4"/>
    <x v="2"/>
    <x v="2"/>
    <x v="0"/>
    <x v="4"/>
    <x v="3"/>
    <s v="User comms sent; switch-off scheduled for end of May"/>
  </r>
  <r>
    <n v="111703"/>
    <s v="Maintenance Scheduler v2"/>
    <s v="Asset Maintenance"/>
    <s v="Operations"/>
    <s v="Internal"/>
    <s v="Diego Alvarez"/>
    <s v="Hugo Perrin"/>
    <s v="Wintel Platform Team"/>
    <n v="496"/>
    <d v="2021-03-21T00:00:00"/>
    <s v="Active"/>
    <n v="1"/>
    <n v="3"/>
    <s v="ServiceMax"/>
    <s v="On-prem DC"/>
    <s v="msvapp01, msvdb01, msvweb01"/>
    <n v="3"/>
    <s v="Windows Server 2012 R2"/>
    <s v="SQL Server 2014"/>
    <s v="TBD"/>
    <d v="2024-07-09T00:00:00"/>
    <s v="Structured"/>
    <n v="31"/>
    <s v="Y"/>
    <n v="7"/>
    <s v="N"/>
    <s v="None"/>
    <n v="4"/>
    <s v="N"/>
    <s v="Partial"/>
    <s v="Partial"/>
    <n v="60000"/>
    <d v="2029-07-31T00:00:00"/>
    <n v="67000"/>
    <n v="53000"/>
    <n v="15.169811320754716"/>
    <n v="2"/>
    <x v="0"/>
    <x v="2"/>
    <x v="0"/>
    <x v="1"/>
    <x v="1"/>
    <s v="Cut-over planned for Dec-21; parallel run scheduled"/>
  </r>
  <r>
    <n v="55298"/>
    <s v="Regional Supplier Portal Classic"/>
    <s v="Supplier Mgmt"/>
    <s v="Supply Chain"/>
    <s v="Internal"/>
    <s v="Julien Petit"/>
    <s v="Varun Malhotra"/>
    <s v="SaaS Vendor Mgmt"/>
    <n v="213"/>
    <d v="2021-04-16T00:00:00"/>
    <s v="Active"/>
    <n v="3"/>
    <n v="4"/>
    <s v="Ariba"/>
    <s v="SaaS"/>
    <s v="N/A (SaaS)"/>
    <n v="0"/>
    <s v="N/A"/>
    <s v="N/A"/>
    <s v="Vendor cloud (EU)"/>
    <m/>
    <s v="Structured"/>
    <n v="460"/>
    <s v="Y"/>
    <n v="10"/>
    <s v="Y"/>
    <s v="Read-only access"/>
    <n v="1"/>
    <s v="Partial"/>
    <s v="N"/>
    <s v="Y"/>
    <n v="80000"/>
    <d v="2032-09-30T00:00:00"/>
    <n v="126500"/>
    <n v="33000"/>
    <n v="46"/>
    <n v="1"/>
    <x v="0"/>
    <x v="1"/>
    <x v="0"/>
    <x v="3"/>
    <x v="3"/>
    <s v="Migration to Ariba 55% complete; cut-over by end of May"/>
  </r>
  <r>
    <n v="195665"/>
    <s v="Fleet Manager 2008"/>
    <s v="Fleet"/>
    <s v="Operations"/>
    <s v="Internal"/>
    <s v="Julien Petit"/>
    <s v="Rohan Bhatt"/>
    <s v="Infra Ops EMEA"/>
    <n v="0"/>
    <d v="2021-04-12T00:00:00"/>
    <s v="Not in use"/>
    <n v="2"/>
    <n v="4"/>
    <s v="IBM Maximo"/>
    <s v="On-prem DC"/>
    <s v="fmxapp01, fmxdb01"/>
    <n v="2"/>
    <s v="Windows Server 2012 R2"/>
    <s v="SQL Server 2014"/>
    <s v="EU DC-1"/>
    <d v="2024-07-09T00:00:00"/>
    <s v="Structured"/>
    <n v="13"/>
    <s v="N"/>
    <n v="1"/>
    <s v="N"/>
    <s v="None"/>
    <n v="2"/>
    <s v="Partial"/>
    <s v="N"/>
    <s v="N"/>
    <n v="41500"/>
    <d v="2035-10-31T00:00:00"/>
    <n v="31500"/>
    <n v="34000"/>
    <n v="11.117647058823529"/>
    <n v="3"/>
    <x v="2"/>
    <x v="2"/>
    <x v="0"/>
    <x v="4"/>
    <x v="3"/>
    <s v="Switched off Apr-21; licence terminated"/>
  </r>
  <r>
    <n v="54573"/>
    <s v="Legacy Cash Position Reporter"/>
    <s v="Treasury"/>
    <s v="Finance"/>
    <s v="External"/>
    <s v="Oscar Lindqvist"/>
    <s v="Tara Khanna"/>
    <s v="Wintel Platform Team"/>
    <n v="1"/>
    <d v="2019-12-20T00:00:00"/>
    <s v="Not in use"/>
    <n v="1"/>
    <n v="4"/>
    <m/>
    <s v="On-prem DC"/>
    <s v="lcpapp01, lcpdb01"/>
    <n v="2"/>
    <s v="RHEL 6"/>
    <s v="Oracle 11g"/>
    <s v="TBD"/>
    <d v="2020-11-30T00:00:00"/>
    <s v="Structured"/>
    <n v="170"/>
    <s v="Y"/>
    <n v="7"/>
    <s v="Y"/>
    <s v="Read-only access"/>
    <n v="3"/>
    <s v="N"/>
    <s v="Y"/>
    <s v="N"/>
    <n v="25500"/>
    <d v="2034-08-31T00:00:00"/>
    <n v="36000"/>
    <n v="17000"/>
    <n v="25.411764705882355"/>
    <n v="3"/>
    <x v="1"/>
    <x v="1"/>
    <x v="0"/>
    <x v="3"/>
    <x v="3"/>
    <s v="Archive load in progress; validation with data owner"/>
  </r>
  <r>
    <n v="92127"/>
    <s v="Old Monitoring Console (DE)"/>
    <s v="Monitoring"/>
    <s v="IT"/>
    <s v="External"/>
    <s v="Isabelle Singh"/>
    <s v="Baptiste Henry"/>
    <s v="Infra Ops EMEA"/>
    <n v="0"/>
    <d v="2021-03-20T00:00:00"/>
    <s v="Not in use"/>
    <n v="3"/>
    <n v="2"/>
    <m/>
    <s v="On-prem DC"/>
    <s v="omc-app01–04, omc-db01"/>
    <n v="5"/>
    <s v="Windows Server 2016"/>
    <s v="SQL Server 2016"/>
    <s v="TBD"/>
    <d v="2026-07-14T00:00:00"/>
    <s v="Structured"/>
    <n v="310"/>
    <s v="N"/>
    <n v="5"/>
    <s v="N"/>
    <s v="None"/>
    <n v="5"/>
    <s v="N"/>
    <s v="Partial"/>
    <s v="N"/>
    <n v="85000"/>
    <d v="2030-12-31T00:00:00"/>
    <n v="113500"/>
    <n v="70000"/>
    <n v="19.457142857142856"/>
    <n v="1"/>
    <x v="2"/>
    <x v="2"/>
    <x v="0"/>
    <x v="5"/>
    <x v="3"/>
    <s v="Switched off Mar-21; licence terminated"/>
  </r>
  <r>
    <n v="91481"/>
    <s v="Global Newsletter Mailer (Nordics)"/>
    <s v="Email"/>
    <s v="Marketing"/>
    <s v="Internal"/>
    <s v="Marc Laurent"/>
    <s v="Manon Chevalier"/>
    <s v="Infra Ops US"/>
    <n v="139"/>
    <d v="2021-04-29T00:00:00"/>
    <s v="Active"/>
    <n v="2"/>
    <n v="3"/>
    <s v="HubSpot"/>
    <s v="On-prem DC"/>
    <s v="gnmapp01, gnmdb01, gnmweb01, gnmfs01"/>
    <n v="4"/>
    <s v="Ubuntu 16.04"/>
    <s v="MySQL 5.7"/>
    <s v="EU DC-1"/>
    <d v="2021-04-30T00:00:00"/>
    <s v="Structured"/>
    <n v="2370"/>
    <s v="Y"/>
    <n v="7"/>
    <s v="N"/>
    <s v="None"/>
    <n v="2"/>
    <s v="Partial"/>
    <s v="N"/>
    <s v="N"/>
    <n v="55000"/>
    <d v="2025-08-31T00:00:00"/>
    <n v="51500"/>
    <n v="44500"/>
    <n v="13.887640449438202"/>
    <n v="3"/>
    <x v="0"/>
    <x v="2"/>
    <x v="0"/>
    <x v="3"/>
    <x v="3"/>
    <s v="Migration to HubSpot 85% complete; cut-over by end of May"/>
  </r>
  <r>
    <n v="117522"/>
    <s v="Regional Web Analytics Mart 2008"/>
    <s v="Analytics"/>
    <s v="Marketing"/>
    <s v="Internal"/>
    <s v="Sara Kapoor"/>
    <s v="Remi Masson"/>
    <s v="Infra Ops US"/>
    <n v="0"/>
    <d v="2021-04-18T00:00:00"/>
    <s v="Not in use"/>
    <n v="1"/>
    <n v="3"/>
    <m/>
    <s v="On-prem DC"/>
    <s v="rwaapp01, rwadb01"/>
    <n v="2"/>
    <s v="RHEL 6"/>
    <s v="Oracle 11g"/>
    <s v="TBD"/>
    <d v="2020-11-30T00:00:00"/>
    <s v="Structured"/>
    <n v="54"/>
    <s v="N"/>
    <n v="3"/>
    <s v="N"/>
    <s v="None"/>
    <n v="5"/>
    <s v="Partial"/>
    <s v="Y"/>
    <s v="Partial"/>
    <n v="37500"/>
    <d v="2028-02-29T00:00:00"/>
    <n v="42000"/>
    <n v="36000"/>
    <n v="14"/>
    <n v="3"/>
    <x v="2"/>
    <x v="2"/>
    <x v="0"/>
    <x v="4"/>
    <x v="3"/>
    <s v="Switched off Apr-21; licence terminated"/>
  </r>
  <r>
    <n v="64349"/>
    <s v="Custom Fleet Manager 2012"/>
    <s v="Fleet"/>
    <s v="Operations"/>
    <s v="Internal"/>
    <s v="Julien Petit"/>
    <s v="Lena Fischer"/>
    <s v="Plant IT Services"/>
    <n v="234"/>
    <d v="2021-04-21T00:00:00"/>
    <s v="Active"/>
    <n v="1"/>
    <n v="3"/>
    <s v="Fiix"/>
    <s v="On-prem DC"/>
    <s v="cfmapp01"/>
    <n v="1"/>
    <s v="Windows Server 2016"/>
    <s v="SQL Server 2017"/>
    <s v="US DC-1"/>
    <d v="2027-01-12T00:00:00"/>
    <s v="Structured"/>
    <n v="66"/>
    <s v="N"/>
    <n v="2"/>
    <s v="N"/>
    <s v="None"/>
    <n v="2"/>
    <s v="Partial"/>
    <s v="N"/>
    <s v="Y"/>
    <n v="20000"/>
    <d v="2029-12-31T00:00:00"/>
    <n v="16500"/>
    <n v="16500"/>
    <n v="12"/>
    <n v="2"/>
    <x v="2"/>
    <x v="2"/>
    <x v="0"/>
    <x v="1"/>
    <x v="1"/>
    <s v="Owner sign-off received; switch-off scheduled"/>
  </r>
  <r>
    <n v="143983"/>
    <s v="Contract Repository"/>
    <s v="Contract Mgmt"/>
    <s v="Finance"/>
    <s v="Internal"/>
    <s v="Marc Laurent"/>
    <s v="Kavya Reddy"/>
    <s v="Infra Ops US"/>
    <n v="0"/>
    <d v="2021-04-16T00:00:00"/>
    <s v="Not in use"/>
    <n v="2"/>
    <n v="4"/>
    <s v="SAP Concur"/>
    <s v="On-prem DC"/>
    <s v="crxapp01, crxdb01, crxweb01, crxfs01"/>
    <n v="4"/>
    <s v="RHEL 6"/>
    <s v="Oracle 11g"/>
    <s v="TBD"/>
    <d v="2020-11-30T00:00:00"/>
    <s v="Structured"/>
    <n v="160"/>
    <s v="Y"/>
    <n v="10"/>
    <s v="Y"/>
    <s v="Reporting extract"/>
    <n v="2"/>
    <s v="N"/>
    <s v="Partial"/>
    <s v="Partial"/>
    <n v="46000"/>
    <d v="2034-11-30T00:00:00"/>
    <n v="30000"/>
    <n v="36500"/>
    <n v="9.8630136986301373"/>
    <n v="4"/>
    <x v="0"/>
    <x v="1"/>
    <x v="0"/>
    <x v="4"/>
    <x v="3"/>
    <s v="Migrated to SAP Concur; legacy switched off Apr-21"/>
  </r>
  <r>
    <n v="148488"/>
    <s v="Custom Leave Manager (FR)"/>
    <s v="Leave Mgmt"/>
    <s v="HR"/>
    <s v="Internal"/>
    <s v="Nicolas Sharma"/>
    <s v="Ananya Pillai"/>
    <s v="Plant IT Services"/>
    <n v="0"/>
    <d v="2019-11-26T00:00:00"/>
    <s v="Not in use"/>
    <n v="2"/>
    <n v="3"/>
    <m/>
    <s v="On-prem DC"/>
    <s v="clmapp01, clmdb01, clmweb01"/>
    <n v="3"/>
    <s v="Windows Server 2016"/>
    <s v="SQL Server 2016"/>
    <s v="Plant DC"/>
    <d v="2026-07-14T00:00:00"/>
    <s v="Structured"/>
    <n v="1440"/>
    <s v="Y"/>
    <n v="10"/>
    <s v="Y"/>
    <s v="Legal hold"/>
    <n v="1"/>
    <s v="Y"/>
    <s v="N"/>
    <s v="Partial"/>
    <n v="40500"/>
    <d v="2030-01-31T00:00:00"/>
    <n v="46500"/>
    <n v="21000"/>
    <n v="26.571428571428573"/>
    <n v="2"/>
    <x v="1"/>
    <x v="0"/>
    <x v="0"/>
    <x v="4"/>
    <x v="3"/>
    <s v="Archive format agreed; load scheduled before switch-off"/>
  </r>
  <r>
    <n v="108871"/>
    <s v="Regional Customer Contact Manager"/>
    <s v="CRM"/>
    <s v="Sales"/>
    <s v="Internal"/>
    <s v="Laura Martin"/>
    <s v="Rohan Bhatt"/>
    <s v="Database Services"/>
    <n v="0"/>
    <d v="2020-09-26T00:00:00"/>
    <s v="Not in use"/>
    <n v="1"/>
    <n v="3"/>
    <m/>
    <s v="IaaS"/>
    <s v="rccapp01, rccdb01, rccweb01, rccfs01"/>
    <n v="4"/>
    <s v="AIX 6.1"/>
    <s v="DB2 9.7"/>
    <s v="AWS us-east-1"/>
    <d v="2017-04-30T00:00:00"/>
    <s v="Unstructured"/>
    <n v="40"/>
    <s v="N"/>
    <n v="2"/>
    <s v="N"/>
    <s v="None"/>
    <n v="1"/>
    <s v="Partial"/>
    <s v="Partial"/>
    <s v="Partial"/>
    <n v="30000"/>
    <d v="2025-09-30T00:00:00"/>
    <n v="15500"/>
    <n v="26500"/>
    <n v="7.0188679245283012"/>
    <n v="3"/>
    <x v="2"/>
    <x v="2"/>
    <x v="0"/>
    <x v="10"/>
    <x v="0"/>
    <s v="No active users; switch-off confirmed with owner_x000a_Blocker: Replacement not yet funded_x000a_Q: Is budget confirmed in the next planning cycle?"/>
  </r>
  <r>
    <n v="176641"/>
    <s v="Old Licence Manager Classic"/>
    <s v="Licence Mgmt"/>
    <s v="IT"/>
    <s v="Internal"/>
    <s v="Meera Dubois"/>
    <s v="Tara Khanna"/>
    <s v="Infra Ops EMEA"/>
    <n v="25"/>
    <d v="2021-04-26T00:00:00"/>
    <s v="Active"/>
    <n v="3"/>
    <n v="2"/>
    <s v="Splunk"/>
    <s v="IaaS"/>
    <s v="olmapp01, olmdb01, olmweb01"/>
    <n v="3"/>
    <s v="Windows Server 2008"/>
    <s v="SQL Server 2008"/>
    <s v="AWS eu-west-1"/>
    <d v="2019-07-09T00:00:00"/>
    <s v="Structured"/>
    <n v="400"/>
    <s v="N"/>
    <n v="7"/>
    <s v="N"/>
    <s v="None"/>
    <n v="23"/>
    <s v="Y"/>
    <s v="Partial"/>
    <s v="Partial"/>
    <n v="55000"/>
    <d v="2028-12-31T00:00:00"/>
    <n v="87500"/>
    <n v="35000"/>
    <n v="30"/>
    <n v="2"/>
    <x v="0"/>
    <x v="2"/>
    <x v="0"/>
    <x v="9"/>
    <x v="0"/>
    <s v="5 feeds to re-point to Splunk"/>
  </r>
  <r>
    <n v="187839"/>
    <s v="Departmental Commission Calculator (DE)"/>
    <s v="Commissions"/>
    <s v="Sales"/>
    <s v="Internal"/>
    <s v="Meera Dubois"/>
    <s v="Adrien Colin"/>
    <s v="SaaS Vendor Mgmt"/>
    <n v="15"/>
    <d v="2021-04-21T00:00:00"/>
    <s v="Low use"/>
    <n v="1"/>
    <n v="4"/>
    <s v="Salesforce CPQ"/>
    <s v="SaaS"/>
    <s v="N/A (SaaS)"/>
    <n v="0"/>
    <s v="N/A"/>
    <s v="N/A"/>
    <s v="Vendor cloud (EU)"/>
    <d v="2024-11-30T00:00:00"/>
    <s v="Structured"/>
    <n v="130"/>
    <s v="Y"/>
    <n v="7"/>
    <s v="N"/>
    <s v="None"/>
    <n v="1"/>
    <s v="Y"/>
    <s v="N"/>
    <s v="Partial"/>
    <n v="60000"/>
    <d v="2027-07-31T00:00:00"/>
    <n v="58000"/>
    <n v="36500"/>
    <n v="19.06849315068493"/>
    <n v="3"/>
    <x v="2"/>
    <x v="2"/>
    <x v="0"/>
    <x v="10"/>
    <x v="0"/>
    <s v="No active users; switch-off confirmed with owner"/>
  </r>
  <r>
    <n v="40283"/>
    <s v="Custom Corporate Website CMS v2"/>
    <s v="Web"/>
    <s v="Marketing"/>
    <s v="Internal"/>
    <s v="Yuki Tanaka"/>
    <s v="Varun Malhotra"/>
    <s v="Wintel Platform Team"/>
    <n v="6"/>
    <d v="2021-01-02T00:00:00"/>
    <s v="Low use"/>
    <n v="1"/>
    <n v="4"/>
    <s v="TBD"/>
    <s v="On-prem DC"/>
    <s v="ccwapp01, ccwdb01"/>
    <n v="2"/>
    <s v="SUSE Linux 11"/>
    <s v="Oracle 11g"/>
    <s v="EU DC-2"/>
    <d v="2019-03-31T00:00:00"/>
    <s v="Structured"/>
    <n v="5"/>
    <s v="Y"/>
    <n v="5"/>
    <s v="N"/>
    <s v="None"/>
    <n v="3"/>
    <s v="N"/>
    <s v="Partial"/>
    <s v="N"/>
    <n v="29500"/>
    <d v="2029-10-31T00:00:00"/>
    <n v="22000"/>
    <n v="25500"/>
    <n v="10.352941176470589"/>
    <n v="3"/>
    <x v="2"/>
    <x v="2"/>
    <x v="0"/>
    <x v="3"/>
    <x v="2"/>
    <s v="On hold - audit request needs system access until Q3"/>
  </r>
  <r>
    <n v="82887"/>
    <s v="Shared Event Registration Tool (DE)"/>
    <s v="Events"/>
    <s v="Marketing"/>
    <s v="Internal"/>
    <s v="Julia Rao"/>
    <s v="Tara Khanna"/>
    <s v="Unix Platform Team"/>
    <n v="1484"/>
    <d v="2021-03-17T00:00:00"/>
    <s v="Active"/>
    <n v="3"/>
    <n v="4"/>
    <s v="HubSpot (planned)"/>
    <s v="On-prem DC"/>
    <s v="serapp01, serdb01"/>
    <n v="2"/>
    <s v="RHEL 6"/>
    <s v="Oracle 11g"/>
    <s v="Plant DC"/>
    <d v="2020-11-30T00:00:00"/>
    <s v="Structured"/>
    <n v="160"/>
    <s v="N"/>
    <n v="3"/>
    <s v="N"/>
    <s v="None"/>
    <n v="3"/>
    <s v="N"/>
    <s v="Partial"/>
    <s v="Partial"/>
    <n v="20000"/>
    <d v="2035-11-30T00:00:00"/>
    <n v="12000"/>
    <n v="15000"/>
    <n v="9.6000000000000014"/>
    <n v="2"/>
    <x v="0"/>
    <x v="2"/>
    <x v="0"/>
    <x v="7"/>
    <x v="0"/>
    <s v="Funding approved; migration to HubSpot scheduled"/>
  </r>
  <r>
    <n v="71188"/>
    <s v="Global Event Registration Tool (Nordics)"/>
    <s v="Events"/>
    <s v="Marketing"/>
    <s v="Internal"/>
    <s v="Rahul Iyer"/>
    <s v="Kavya Reddy"/>
    <s v="Unix Platform Team"/>
    <n v="18"/>
    <d v="2021-03-19T00:00:00"/>
    <s v="Low use"/>
    <n v="3"/>
    <n v="3"/>
    <m/>
    <s v="On-prem DC"/>
    <s v="gerapp01, gerdb01, gerweb01"/>
    <n v="3"/>
    <s v="RHEL 7"/>
    <s v="Oracle 12c"/>
    <s v="EU DC-2"/>
    <d v="2024-06-30T00:00:00"/>
    <s v="Structured"/>
    <n v="530"/>
    <s v="Y"/>
    <n v="7"/>
    <s v="Y"/>
    <s v="Data archive"/>
    <n v="7"/>
    <s v="N"/>
    <s v="N"/>
    <s v="N"/>
    <n v="38000"/>
    <d v="2028-10-31T00:00:00"/>
    <n v="72000"/>
    <n v="19500"/>
    <n v="44.307692307692307"/>
    <n v="1"/>
    <x v="1"/>
    <x v="0"/>
    <x v="0"/>
    <x v="1"/>
    <x v="1"/>
    <s v="Archive format agreed; load scheduled before switch-off_x000a_Blocker: Vendor notice period of 12 months_x000a_Q: Can the contract end be brought forward?"/>
  </r>
  <r>
    <n v="33347"/>
    <s v="Lotus Notes"/>
    <s v="Email &amp; Collaboration"/>
    <s v="IT"/>
    <s v="Internal"/>
    <s v="Antoine Patel"/>
    <s v="Rohan Bhatt"/>
    <s v="Plant IT Services"/>
    <n v="3400"/>
    <d v="2021-04-28T00:00:00"/>
    <s v="Active"/>
    <n v="4"/>
    <n v="2"/>
    <s v="Microsoft 365 (Exchange Online)"/>
    <s v="On-prem DC"/>
    <s v="lotus-mail01–04, lotus-app01, lotus-hub01"/>
    <n v="6"/>
    <s v="Windows Server 2012 R2"/>
    <s v="IBM Domino 9.0.1"/>
    <s v="EU DC-1"/>
    <d v="2023-10-10T00:00:00"/>
    <s v="Unstructured"/>
    <n v="6500"/>
    <s v="Y"/>
    <n v="5"/>
    <s v="Y"/>
    <s v="Read-only access"/>
    <n v="32"/>
    <s v="Y"/>
    <s v="Partial"/>
    <s v="Y"/>
    <n v="480000"/>
    <d v="2026-12-31T00:00:00"/>
    <n v="350000"/>
    <n v="400000"/>
    <n v="10.5"/>
    <n v="1"/>
    <x v="0"/>
    <x v="0"/>
    <x v="0"/>
    <x v="3"/>
    <x v="3"/>
    <s v="Mailboxes migrated in batches; Domino apps rebuilt on Power Platform; switch-off May-21"/>
  </r>
  <r>
    <n v="89029"/>
    <s v="Brand Asset Library (Nordics)"/>
    <s v="Digital Assets"/>
    <s v="Marketing"/>
    <s v="Internal"/>
    <s v="Pierre Roux"/>
    <s v="Adrien Colin"/>
    <s v="SaaS Vendor Mgmt"/>
    <n v="0"/>
    <d v="2021-01-22T00:00:00"/>
    <s v="Not in use"/>
    <n v="3"/>
    <n v="4"/>
    <s v="TBD"/>
    <s v="SaaS"/>
    <s v="N/A (SaaS)"/>
    <n v="0"/>
    <s v="N/A"/>
    <s v="N/A"/>
    <s v="Vendor cloud (EU)"/>
    <d v="2026-07-31T00:00:00"/>
    <s v="Structured"/>
    <n v="200"/>
    <s v="N"/>
    <n v="1"/>
    <s v="N"/>
    <s v="None"/>
    <n v="1"/>
    <s v="N"/>
    <s v="Y"/>
    <s v="Y"/>
    <n v="34000"/>
    <d v="2026-08-31T00:00:00"/>
    <n v="13000"/>
    <n v="22000"/>
    <n v="7.0909090909090917"/>
    <n v="1"/>
    <x v="2"/>
    <x v="2"/>
    <x v="0"/>
    <x v="11"/>
    <x v="3"/>
    <s v="Switched off Jan-21; licence terminated"/>
  </r>
  <r>
    <n v="58178"/>
    <s v="Departmental Brand Asset Library v4"/>
    <s v="Digital Assets"/>
    <s v="Marketing"/>
    <s v="Partner"/>
    <s v="Pierre Roux"/>
    <s v="Tara Khanna"/>
    <s v="Cloud Platform Team"/>
    <n v="453"/>
    <d v="2021-04-02T00:00:00"/>
    <s v="Active"/>
    <n v="3"/>
    <n v="3"/>
    <s v="Eventbrite"/>
    <s v="IaaS"/>
    <s v="dbaapp01"/>
    <n v="1"/>
    <s v="AIX 7.1"/>
    <s v="DB2 10.5"/>
    <s v="AWS eu-west-1"/>
    <d v="2023-04-30T00:00:00"/>
    <s v="Unstructured"/>
    <n v="17"/>
    <s v="Y"/>
    <n v="7"/>
    <s v="N"/>
    <s v="None"/>
    <n v="8"/>
    <s v="Partial"/>
    <s v="Partial"/>
    <s v="Partial"/>
    <n v="15000"/>
    <d v="2029-06-30T00:00:00"/>
    <n v="7000"/>
    <n v="12500"/>
    <n v="6.7200000000000006"/>
    <n v="1"/>
    <x v="0"/>
    <x v="2"/>
    <x v="0"/>
    <x v="9"/>
    <x v="0"/>
    <s v="6 feeds to re-point to Eventbrite"/>
  </r>
  <r>
    <n v="141703"/>
    <s v="Legacy Customer Contact Manager v2"/>
    <s v="CRM"/>
    <s v="Sales"/>
    <s v="Partner"/>
    <s v="Claire Mehta"/>
    <s v="Chloe Vidal"/>
    <s v="Unix Platform Team"/>
    <n v="1273"/>
    <d v="2021-04-17T00:00:00"/>
    <s v="Active"/>
    <n v="1"/>
    <n v="4"/>
    <m/>
    <s v="On-prem DC"/>
    <s v="lccapp01, lccdb01, lccweb01, lccfs01"/>
    <n v="4"/>
    <s v="AIX 6.1"/>
    <s v="DB2 9.7"/>
    <s v="US DC-1"/>
    <d v="2017-04-30T00:00:00"/>
    <s v="Both"/>
    <n v="910"/>
    <s v="Y"/>
    <n v="5"/>
    <s v="Y"/>
    <s v="Archive + read-only"/>
    <n v="1"/>
    <s v="Y"/>
    <s v="Partial"/>
    <s v="N"/>
    <n v="55000"/>
    <d v="2029-02-28T00:00:00"/>
    <n v="42500"/>
    <n v="41500"/>
    <n v="12.289156626506024"/>
    <n v="2"/>
    <x v="1"/>
    <x v="1"/>
    <x v="0"/>
    <x v="2"/>
    <x v="0"/>
    <s v="Retention 5 yrs - archive slot booked"/>
  </r>
  <r>
    <n v="79306"/>
    <s v="Shared Billing Engine (FR)"/>
    <s v="Billing"/>
    <s v="Finance"/>
    <s v="Internal"/>
    <s v="Anika Patel"/>
    <s v="Remi Masson"/>
    <s v="Unix Platform Team"/>
    <n v="0"/>
    <d v="2021-03-28T00:00:00"/>
    <s v="Not in use"/>
    <n v="1"/>
    <n v="4"/>
    <s v="SAP Concur"/>
    <s v="On-prem DC"/>
    <s v="sbeapp01"/>
    <n v="1"/>
    <s v="RHEL 6"/>
    <s v="Oracle 11g"/>
    <s v="Plant DC"/>
    <d v="2020-11-30T00:00:00"/>
    <s v="Structured"/>
    <n v="470"/>
    <s v="Y"/>
    <n v="10"/>
    <s v="N"/>
    <s v="None"/>
    <n v="2"/>
    <s v="Partial"/>
    <s v="N"/>
    <s v="N"/>
    <n v="13000"/>
    <d v="2029-10-31T00:00:00"/>
    <n v="10000"/>
    <n v="12000"/>
    <n v="10"/>
    <n v="4"/>
    <x v="2"/>
    <x v="2"/>
    <x v="0"/>
    <x v="5"/>
    <x v="3"/>
    <s v="Switched off Mar-21; licence terminated"/>
  </r>
  <r>
    <n v="52436"/>
    <s v="Event Registration Tool (US)"/>
    <s v="Events"/>
    <s v="Marketing"/>
    <s v="Partner"/>
    <s v="Elena Garcia"/>
    <s v="Varun Malhotra"/>
    <s v="Infra Ops US"/>
    <n v="0"/>
    <d v="2021-02-27T00:00:00"/>
    <s v="Not in use"/>
    <n v="3"/>
    <n v="4"/>
    <s v="TBD"/>
    <s v="IaaS"/>
    <s v="ertapp01, ertdb01, ertweb01, ertfs01"/>
    <n v="4"/>
    <s v="Windows Server 2016"/>
    <s v="SQL Server 2017"/>
    <s v="AWS eu-west-1"/>
    <d v="2027-01-12T00:00:00"/>
    <s v="Structured"/>
    <n v="140"/>
    <s v="N"/>
    <n v="3"/>
    <s v="Y"/>
    <s v="Data archive"/>
    <n v="1"/>
    <s v="Y"/>
    <s v="Partial"/>
    <s v="Partial"/>
    <n v="36500"/>
    <d v="2035-09-30T00:00:00"/>
    <n v="53500"/>
    <n v="27000"/>
    <n v="23.777777777777779"/>
    <n v="1"/>
    <x v="1"/>
    <x v="1"/>
    <x v="0"/>
    <x v="6"/>
    <x v="3"/>
    <s v="Data archived and validated; switched off Feb-21"/>
  </r>
  <r>
    <n v="123790"/>
    <s v="Corporate Customer Contact Manager 2010"/>
    <s v="CRM"/>
    <s v="Sales"/>
    <s v="Partner"/>
    <s v="Marc Laurent"/>
    <s v="Louis Faure"/>
    <s v="Unix Platform Team"/>
    <n v="0"/>
    <d v="2021-03-17T00:00:00"/>
    <s v="Not in use"/>
    <n v="2"/>
    <n v="3"/>
    <s v="TBD"/>
    <s v="On-prem DC"/>
    <s v="cccapp01, cccdb01, cccweb01"/>
    <n v="3"/>
    <s v="AIX 6.1"/>
    <s v="DB2 9.7"/>
    <s v="Plant DC"/>
    <d v="2017-04-30T00:00:00"/>
    <s v="Both"/>
    <n v="650"/>
    <s v="Y"/>
    <n v="10"/>
    <s v="Y"/>
    <s v="Legal hold"/>
    <n v="2"/>
    <s v="Y"/>
    <s v="Partial"/>
    <s v="Partial"/>
    <n v="33000"/>
    <d v="2031-02-28T00:00:00"/>
    <n v="52000"/>
    <n v="20500"/>
    <n v="30.439024390243901"/>
    <n v="3"/>
    <x v="1"/>
    <x v="1"/>
    <x v="0"/>
    <x v="5"/>
    <x v="3"/>
    <s v="Data archived and validated; switched off Mar-21"/>
  </r>
  <r>
    <n v="65090"/>
    <s v="Shared Document Repository (DE)"/>
    <s v="Document Mgmt"/>
    <s v="IT"/>
    <s v="Internal"/>
    <s v="Karan Blanc"/>
    <s v="Ananya Pillai"/>
    <s v="SaaS Vendor Mgmt"/>
    <n v="16"/>
    <d v="2021-04-06T00:00:00"/>
    <s v="Low use"/>
    <n v="2"/>
    <n v="4"/>
    <m/>
    <s v="SaaS"/>
    <s v="N/A (SaaS)"/>
    <n v="0"/>
    <s v="N/A"/>
    <s v="N/A"/>
    <s v="Vendor cloud (EU)"/>
    <d v="2022-05-31T00:00:00"/>
    <s v="Both"/>
    <n v="1060"/>
    <s v="N"/>
    <n v="3"/>
    <s v="N"/>
    <s v="None"/>
    <n v="2"/>
    <s v="N"/>
    <s v="N"/>
    <s v="N"/>
    <n v="75000"/>
    <d v="2035-08-31T00:00:00"/>
    <n v="67000"/>
    <n v="45500"/>
    <n v="17.670329670329672"/>
    <n v="2"/>
    <x v="2"/>
    <x v="2"/>
    <x v="0"/>
    <x v="1"/>
    <x v="1"/>
    <s v="Owner sign-off received; switch-off scheduled"/>
  </r>
  <r>
    <n v="142559"/>
    <s v="Intranet (SharePoint) v2"/>
    <s v="Collaboration"/>
    <s v="IT"/>
    <s v="External"/>
    <s v="Anika Patel"/>
    <s v="Rohan Bhatt"/>
    <s v="Cloud Platform Team"/>
    <n v="177"/>
    <d v="2021-03-18T00:00:00"/>
    <s v="Active"/>
    <n v="4"/>
    <n v="3"/>
    <s v="SailPoint"/>
    <s v="On-prem DC"/>
    <s v="isvapp01, isvdb01, isvweb01"/>
    <n v="3"/>
    <s v="AIX 6.1"/>
    <s v="DB2 9.7"/>
    <s v="US DC-1"/>
    <d v="2017-04-30T00:00:00"/>
    <s v="Unstructured"/>
    <n v="250"/>
    <s v="Y"/>
    <n v="7"/>
    <s v="Y"/>
    <s v="Legal hold"/>
    <n v="6"/>
    <s v="Partial"/>
    <s v="Y"/>
    <s v="N"/>
    <n v="48500"/>
    <d v="2027-05-31T00:00:00"/>
    <n v="34500"/>
    <n v="39000"/>
    <n v="10.615384615384615"/>
    <n v="2"/>
    <x v="0"/>
    <x v="0"/>
    <x v="0"/>
    <x v="9"/>
    <x v="0"/>
    <s v="Cut-over planned for Nov-21; parallel run scheduled"/>
  </r>
  <r>
    <n v="29362"/>
    <s v="Legacy Corporate Website CMS"/>
    <s v="Web"/>
    <s v="Marketing"/>
    <s v="Internal"/>
    <s v="Sara Kapoor"/>
    <s v="Louis Faure"/>
    <s v="Infra Ops EMEA"/>
    <n v="18"/>
    <d v="2020-12-05T00:00:00"/>
    <s v="Low use"/>
    <n v="4"/>
    <n v="1"/>
    <s v="Adobe Campaign"/>
    <s v="IaaS"/>
    <s v="lcwapp01, lcwdb01, lcwweb01, lcwfs01"/>
    <n v="4"/>
    <s v="Windows Server 2012 R2"/>
    <s v="SQL Server 2012"/>
    <s v="AWS us-east-1"/>
    <d v="2022-07-12T00:00:00"/>
    <s v="Structured"/>
    <n v="8"/>
    <s v="Y"/>
    <n v="7"/>
    <s v="N"/>
    <s v="None"/>
    <n v="50"/>
    <s v="Y"/>
    <s v="Partial"/>
    <s v="Partial"/>
    <n v="80000"/>
    <d v="2033-02-28T00:00:00"/>
    <n v="237000"/>
    <n v="66000"/>
    <n v="43.090909090909093"/>
    <n v="2"/>
    <x v="0"/>
    <x v="2"/>
    <x v="0"/>
    <x v="7"/>
    <x v="0"/>
    <s v="3 feeds to re-point to Adobe Campaign"/>
  </r>
  <r>
    <n v="172595"/>
    <s v="Ticket Desk v3"/>
    <s v="Service Desk"/>
    <s v="IT"/>
    <s v="Internal"/>
    <s v="Amelie Martin"/>
    <s v="Rohan Bhatt"/>
    <s v="Cloud Platform Team"/>
    <n v="4"/>
    <d v="2021-03-04T00:00:00"/>
    <s v="Low use"/>
    <n v="2"/>
    <n v="4"/>
    <m/>
    <s v="On-prem DC"/>
    <s v="tdvapp01, tdvdb01"/>
    <n v="2"/>
    <s v="RHEL 6"/>
    <s v="Oracle 11g"/>
    <s v="EU DC-2"/>
    <d v="2020-11-30T00:00:00"/>
    <s v="Structured"/>
    <n v="59"/>
    <s v="Y"/>
    <n v="10"/>
    <s v="Y"/>
    <s v="Read-only access"/>
    <n v="0"/>
    <s v="Partial"/>
    <s v="Partial"/>
    <s v="Partial"/>
    <n v="40500"/>
    <d v="2027-09-30T00:00:00"/>
    <n v="21500"/>
    <n v="32500"/>
    <n v="7.9384615384615387"/>
    <n v="3"/>
    <x v="1"/>
    <x v="1"/>
    <x v="0"/>
    <x v="8"/>
    <x v="0"/>
    <s v="Read-only access needed for audit"/>
  </r>
  <r>
    <n v="63484"/>
    <s v="Corporate Demand Planner"/>
    <s v="Demand Planning"/>
    <s v="Supply Chain"/>
    <s v="Partner"/>
    <s v="Hannah Weber"/>
    <s v="Rohan Bhatt"/>
    <s v="SaaS Vendor Mgmt"/>
    <n v="1973"/>
    <d v="2021-03-23T00:00:00"/>
    <s v="Active"/>
    <n v="2"/>
    <n v="4"/>
    <m/>
    <s v="SaaS"/>
    <s v="N/A (SaaS)"/>
    <n v="0"/>
    <s v="N/A"/>
    <s v="N/A"/>
    <s v="Vendor cloud (EU)"/>
    <m/>
    <s v="Unstructured"/>
    <n v="20"/>
    <s v="N"/>
    <n v="3"/>
    <s v="Y"/>
    <s v="Reporting extract"/>
    <n v="2"/>
    <s v="Y"/>
    <s v="N"/>
    <s v="N"/>
    <n v="85000"/>
    <d v="2030-11-30T00:00:00"/>
    <n v="53000"/>
    <n v="48000"/>
    <n v="13.25"/>
    <n v="1"/>
    <x v="1"/>
    <x v="1"/>
    <x v="0"/>
    <x v="3"/>
    <x v="3"/>
    <s v="Archive load in progress; validation with data owner"/>
  </r>
  <r>
    <n v="173224"/>
    <s v="Departmental Event Registration Tool (Nordics)"/>
    <s v="Events"/>
    <s v="Marketing"/>
    <s v="Internal"/>
    <s v="Yuki Tanaka"/>
    <s v="Lena Fischer"/>
    <s v="Infra Ops US"/>
    <n v="406"/>
    <d v="2021-04-12T00:00:00"/>
    <s v="Active"/>
    <n v="4"/>
    <n v="1"/>
    <s v="Eventbrite (planned)"/>
    <s v="On-prem DC"/>
    <s v="derapp01, derdb01, derweb01, derfs01"/>
    <n v="4"/>
    <s v="Ubuntu 16.04"/>
    <s v="MySQL 5.7"/>
    <s v="TBD"/>
    <d v="2021-04-30T00:00:00"/>
    <s v="Both"/>
    <n v="37"/>
    <s v="Y"/>
    <n v="5"/>
    <s v="N"/>
    <s v="None"/>
    <n v="45"/>
    <s v="Y"/>
    <s v="Y"/>
    <s v="N"/>
    <n v="175000"/>
    <d v="2031-10-31T00:00:00"/>
    <n v="220500"/>
    <n v="116000"/>
    <n v="22.810344827586206"/>
    <n v="2"/>
    <x v="0"/>
    <x v="2"/>
    <x v="0"/>
    <x v="1"/>
    <x v="1"/>
    <s v="6 feeds to re-point to Eventbrite"/>
  </r>
  <r>
    <n v="162854"/>
    <s v="Shared Corporate Website CMS (APAC)"/>
    <s v="Web"/>
    <s v="Marketing"/>
    <s v="Internal"/>
    <s v="Anika Patel"/>
    <s v="Manon Chevalier"/>
    <s v="Plant IT Services"/>
    <n v="30"/>
    <d v="2021-04-06T00:00:00"/>
    <s v="Active"/>
    <n v="1"/>
    <n v="4"/>
    <s v="Eventbrite"/>
    <s v="On-prem DC"/>
    <s v="scwapp01, scwdb01"/>
    <n v="2"/>
    <s v="Windows Server 2008"/>
    <s v="SQL Server 2008"/>
    <s v="Plant DC"/>
    <d v="2019-07-09T00:00:00"/>
    <s v="Structured"/>
    <n v="160"/>
    <s v="Y"/>
    <n v="10"/>
    <s v="Y"/>
    <s v="Read-only access"/>
    <n v="2"/>
    <s v="Partial"/>
    <s v="Partial"/>
    <s v="Partial"/>
    <n v="41000"/>
    <d v="2027-06-30T00:00:00"/>
    <n v="23500"/>
    <n v="24000"/>
    <n v="11.75"/>
    <n v="3"/>
    <x v="1"/>
    <x v="1"/>
    <x v="0"/>
    <x v="10"/>
    <x v="0"/>
    <s v="Retention 10 yrs - archive slot booked"/>
  </r>
  <r>
    <n v="69270"/>
    <s v="Regional Order Entry Portal 2012"/>
    <s v="Order Entry"/>
    <s v="Sales"/>
    <s v="External"/>
    <s v="Isabelle Singh"/>
    <s v="Lena Fischer"/>
    <s v="Cloud Platform Team"/>
    <n v="7"/>
    <d v="2021-04-05T00:00:00"/>
    <s v="Low use"/>
    <n v="1"/>
    <n v="4"/>
    <m/>
    <s v="On-prem DC"/>
    <s v="roeapp01, roedb01, roeweb01"/>
    <n v="3"/>
    <s v="Windows Server 2019"/>
    <s v="SQL Server 2019"/>
    <s v="EU DC-1"/>
    <d v="2029-01-09T00:00:00"/>
    <s v="Structured"/>
    <n v="240"/>
    <s v="Y"/>
    <n v="10"/>
    <s v="Y"/>
    <s v="Archive + read-only"/>
    <n v="1"/>
    <s v="Partial"/>
    <s v="Y"/>
    <s v="N"/>
    <n v="55000"/>
    <d v="2032-12-31T00:00:00"/>
    <n v="67500"/>
    <n v="43500"/>
    <n v="18.620689655172413"/>
    <n v="2"/>
    <x v="1"/>
    <x v="1"/>
    <x v="0"/>
    <x v="8"/>
    <x v="0"/>
    <s v="Archive format agreed; load scheduled before switch-off"/>
  </r>
  <r>
    <n v="103997"/>
    <s v="Custom Campaign DB"/>
    <s v="Campaign Mgmt"/>
    <s v="Marketing"/>
    <s v="Internal"/>
    <s v="Pierre Roux"/>
    <s v="Manon Chevalier"/>
    <s v="Infra Ops US"/>
    <n v="3"/>
    <d v="2019-10-11T00:00:00"/>
    <s v="Not in use"/>
    <n v="1"/>
    <n v="4"/>
    <s v="HubSpot"/>
    <s v="On-prem DC"/>
    <s v="ccdapp01, ccddb01, ccdweb01"/>
    <n v="3"/>
    <s v="Ubuntu 18.04"/>
    <s v="PostgreSQL 10"/>
    <s v="Plant DC"/>
    <s v="TBD"/>
    <s v="Both"/>
    <n v="10"/>
    <s v="Y"/>
    <n v="7"/>
    <s v="N"/>
    <s v="None"/>
    <n v="2"/>
    <s v="Partial"/>
    <s v="Y"/>
    <s v="N"/>
    <n v="60000"/>
    <d v="2030-05-31T00:00:00"/>
    <n v="61500"/>
    <n v="55500"/>
    <n v="13.297297297297298"/>
    <n v="3"/>
    <x v="2"/>
    <x v="2"/>
    <x v="0"/>
    <x v="10"/>
    <x v="0"/>
    <s v="Owner sign-off received; switch-off scheduled"/>
  </r>
  <r>
    <n v="100080"/>
    <s v="Shared Contract Repository"/>
    <s v="Contract Mgmt"/>
    <s v="Finance"/>
    <s v="Internal"/>
    <s v="Laura Martin"/>
    <s v="Lena Fischer"/>
    <s v="Database Services"/>
    <n v="0"/>
    <d v="2019-10-19T00:00:00"/>
    <s v="Not in use"/>
    <n v="2"/>
    <n v="3"/>
    <s v="TBD"/>
    <s v="PaaS"/>
    <s v="Azure App Service (PaaS)"/>
    <n v="0"/>
    <s v="N/A (PaaS)"/>
    <s v="Azure SQL"/>
    <s v="Azure West Europe"/>
    <m/>
    <s v="Structured"/>
    <n v="440"/>
    <s v="Y"/>
    <n v="10"/>
    <s v="Y"/>
    <s v="Archive + read-only"/>
    <n v="1"/>
    <s v="Partial"/>
    <s v="Partial"/>
    <s v="Partial"/>
    <n v="28000"/>
    <d v="2027-03-31T00:00:00"/>
    <n v="19500"/>
    <n v="20500"/>
    <n v="11.414634146341463"/>
    <n v="2"/>
    <x v="1"/>
    <x v="1"/>
    <x v="0"/>
    <x v="3"/>
    <x v="3"/>
    <s v="Archive load in progress; validation with data owner"/>
  </r>
  <r>
    <n v="136223"/>
    <s v="Regional Credit Check Portal v3"/>
    <s v="Credit Mgmt"/>
    <s v="Finance"/>
    <s v="Internal"/>
    <s v="Hannah Weber"/>
    <s v="Baptiste Henry"/>
    <s v="Unix Platform Team"/>
    <n v="2878"/>
    <d v="2021-04-28T00:00:00"/>
    <s v="Active"/>
    <n v="3"/>
    <n v="4"/>
    <s v="Anaplan"/>
    <s v="On-prem DC"/>
    <s v="rccapp01"/>
    <n v="1"/>
    <s v="AIX 7.1"/>
    <s v="DB2 10.5"/>
    <s v="Plant DC"/>
    <d v="2023-04-30T00:00:00"/>
    <s v="Unstructured"/>
    <n v="230"/>
    <s v="Y"/>
    <n v="10"/>
    <s v="N"/>
    <s v="None"/>
    <n v="1"/>
    <s v="N"/>
    <s v="Partial"/>
    <s v="Partial"/>
    <n v="20500"/>
    <d v="2032-05-31T00:00:00"/>
    <n v="13500"/>
    <n v="11500"/>
    <n v="14.086956521739133"/>
    <n v="1"/>
    <x v="0"/>
    <x v="2"/>
    <x v="0"/>
    <x v="8"/>
    <x v="0"/>
    <s v="3 feeds to re-point to Anaplan"/>
  </r>
  <r>
    <n v="169417"/>
    <s v="Appraisal Tool"/>
    <s v="Performance"/>
    <s v="HR"/>
    <s v="Internal"/>
    <s v="Marc Laurent"/>
    <s v="Omar Haddad"/>
    <s v="Database Services"/>
    <n v="0"/>
    <d v="2021-03-11T00:00:00"/>
    <s v="Not in use"/>
    <n v="2"/>
    <n v="3"/>
    <m/>
    <s v="On-prem DC"/>
    <s v="atxapp01, atxdb01, atxweb01"/>
    <n v="3"/>
    <s v="Ubuntu 16.04"/>
    <s v="MySQL 5.7"/>
    <s v="EU DC-1"/>
    <d v="2021-04-30T00:00:00"/>
    <s v="Both"/>
    <n v="62"/>
    <s v="Y"/>
    <n v="10"/>
    <s v="Y"/>
    <s v="Legal hold"/>
    <n v="7"/>
    <s v="Partial"/>
    <s v="Partial"/>
    <s v="Y"/>
    <n v="35500"/>
    <d v="2025-06-30T00:00:00"/>
    <n v="43000"/>
    <n v="20000"/>
    <n v="25.799999999999997"/>
    <n v="3"/>
    <x v="1"/>
    <x v="0"/>
    <x v="0"/>
    <x v="5"/>
    <x v="3"/>
    <s v="Data archived and validated; switched off Mar-21"/>
  </r>
  <r>
    <n v="63447"/>
    <s v="Production Scheduler 2012"/>
    <s v="Production Planning"/>
    <s v="Operations"/>
    <s v="External"/>
    <s v="Marc Laurent"/>
    <s v="Adrien Colin"/>
    <s v="Plant IT Services"/>
    <n v="3443"/>
    <d v="2021-04-12T00:00:00"/>
    <s v="Active"/>
    <n v="3"/>
    <n v="4"/>
    <s v="IBM Maximo"/>
    <s v="On-prem DC"/>
    <s v="psxapp01, psxdb01, psxweb01"/>
    <n v="3"/>
    <s v="HP-UX 11i v3"/>
    <s v="Sybase ASE 15.7"/>
    <s v="EU DC-1"/>
    <d v="2021-12-31T00:00:00"/>
    <s v="Both"/>
    <n v="8000"/>
    <s v="N"/>
    <n v="3"/>
    <s v="Y"/>
    <s v="Archive + read-only"/>
    <n v="3"/>
    <s v="N"/>
    <s v="Partial"/>
    <s v="N"/>
    <n v="55000"/>
    <d v="2032-05-31T00:00:00"/>
    <n v="316000"/>
    <n v="32000"/>
    <n v="118.5"/>
    <n v="2"/>
    <x v="1"/>
    <x v="0"/>
    <x v="0"/>
    <x v="1"/>
    <x v="1"/>
    <s v="Archive format agreed; load scheduled before switch-off_x000a_Blocker: Vendor notice period of 12 months_x000a_Q: Can the contract end be brought forward?"/>
  </r>
  <r>
    <n v="17295"/>
    <s v="Departmental Intranet (SharePoint) (US)"/>
    <s v="Collaboration"/>
    <s v="IT"/>
    <s v="Internal"/>
    <s v="Yuki Tanaka"/>
    <s v="Theo Lopez"/>
    <s v="Unix Platform Team"/>
    <n v="111"/>
    <d v="2021-03-30T00:00:00"/>
    <s v="Active"/>
    <n v="2"/>
    <n v="3"/>
    <s v="Microsoft 365"/>
    <s v="On-prem DC"/>
    <s v="disapp01, disdb01, disweb01, disfs01"/>
    <n v="4"/>
    <s v="Windows Server 2008 R2"/>
    <s v="SQL Server 2008 R2"/>
    <s v="TBD"/>
    <d v="2020-01-14T00:00:00"/>
    <s v="Unstructured"/>
    <n v="77"/>
    <s v="N"/>
    <n v="1"/>
    <s v="Y"/>
    <s v="Data archive"/>
    <n v="2"/>
    <s v="Y"/>
    <s v="Partial"/>
    <s v="N"/>
    <n v="32500"/>
    <d v="2025-06-30T00:00:00"/>
    <n v="27000"/>
    <n v="28500"/>
    <n v="11.368421052631579"/>
    <n v="3"/>
    <x v="0"/>
    <x v="1"/>
    <x v="0"/>
    <x v="4"/>
    <x v="3"/>
    <s v="Cut-over planned for Jun-21; parallel run scheduled"/>
  </r>
  <r>
    <n v="27245"/>
    <s v="Legacy Web Analytics Mart (APAC)"/>
    <s v="Analytics"/>
    <s v="Marketing"/>
    <s v="Internal"/>
    <s v="Camille Fontaine"/>
    <s v="Lena Fischer"/>
    <s v="Infra Ops EMEA"/>
    <n v="0"/>
    <d v="2021-01-09T00:00:00"/>
    <s v="Not in use"/>
    <n v="1"/>
    <n v="4"/>
    <s v="TBD"/>
    <s v="On-prem DC"/>
    <s v="lwaapp01, lwadb01, lwaweb01, lwafs01"/>
    <n v="4"/>
    <s v="SUSE Linux 11"/>
    <s v="Oracle 11g"/>
    <s v="Plant DC"/>
    <d v="2019-03-31T00:00:00"/>
    <s v="Structured"/>
    <n v="580"/>
    <s v="N"/>
    <n v="1"/>
    <s v="N"/>
    <s v="None"/>
    <n v="3"/>
    <s v="N"/>
    <s v="N"/>
    <s v="Partial"/>
    <n v="50000"/>
    <d v="2035-11-30T00:00:00"/>
    <n v="58000"/>
    <n v="43500"/>
    <n v="16"/>
    <n v="3"/>
    <x v="2"/>
    <x v="2"/>
    <x v="0"/>
    <x v="11"/>
    <x v="3"/>
    <s v="Switched off Jan-21; licence terminated"/>
  </r>
  <r>
    <n v="194483"/>
    <s v="Corporate Event Registration Tool"/>
    <s v="Events"/>
    <s v="Marketing"/>
    <s v="Internal"/>
    <s v="Priya Sharma"/>
    <s v="Baptiste Henry"/>
    <s v="Unix Platform Team"/>
    <n v="24"/>
    <d v="2021-02-16T00:00:00"/>
    <s v="Low use"/>
    <n v="1"/>
    <n v="3"/>
    <m/>
    <s v="On-prem DC"/>
    <s v="cerapp01, cerdb01, cerweb01, cerfs01"/>
    <n v="4"/>
    <s v="RHEL 7"/>
    <s v="Oracle 12c"/>
    <s v="EU DC-1"/>
    <d v="2024-06-30T00:00:00"/>
    <s v="Unstructured"/>
    <n v="3480"/>
    <s v="Y"/>
    <n v="10"/>
    <s v="Y"/>
    <s v="Archive + read-only"/>
    <n v="6"/>
    <s v="N"/>
    <s v="N"/>
    <s v="Partial"/>
    <n v="22000"/>
    <d v="2030-06-30T00:00:00"/>
    <n v="78500"/>
    <n v="16500"/>
    <n v="57.090909090909093"/>
    <n v="2"/>
    <x v="1"/>
    <x v="0"/>
    <x v="0"/>
    <x v="3"/>
    <x v="3"/>
    <s v="Archive load in progress; validation with data owner"/>
  </r>
  <r>
    <n v="174085"/>
    <s v="Purchase Order System v2"/>
    <s v="Procurement"/>
    <s v="Supply Chain"/>
    <s v="Partner"/>
    <s v="Laura Martin"/>
    <s v="Ananya Pillai"/>
    <s v="Cloud Platform Team"/>
    <n v="8"/>
    <d v="2020-12-03T00:00:00"/>
    <s v="Low use"/>
    <n v="2"/>
    <n v="4"/>
    <m/>
    <s v="PaaS"/>
    <s v="Azure App Service (PaaS)"/>
    <n v="0"/>
    <s v="N/A (PaaS)"/>
    <s v="Azure SQL"/>
    <s v="Azure West Europe"/>
    <m/>
    <s v="Structured"/>
    <n v="34"/>
    <s v="N"/>
    <n v="5"/>
    <s v="N"/>
    <s v="None"/>
    <n v="0"/>
    <s v="Partial"/>
    <s v="N"/>
    <s v="Y"/>
    <n v="14000"/>
    <d v="2032-01-31T00:00:00"/>
    <n v="8500"/>
    <n v="12500"/>
    <n v="8.16"/>
    <n v="2"/>
    <x v="2"/>
    <x v="2"/>
    <x v="0"/>
    <x v="9"/>
    <x v="0"/>
    <s v="Owner sign-off received; switch-off scheduled"/>
  </r>
  <r>
    <n v="79581"/>
    <s v="Custom Production Scheduler"/>
    <s v="Production Planning"/>
    <s v="Operations"/>
    <s v="External"/>
    <s v="Marc Laurent"/>
    <s v="Ishaan Desai"/>
    <s v="Infra Ops US"/>
    <n v="5"/>
    <d v="2020-03-23T00:00:00"/>
    <s v="Not in use"/>
    <n v="1"/>
    <n v="4"/>
    <m/>
    <s v="On-prem DC"/>
    <s v="cpsapp01, cpsdb01, cpsweb01"/>
    <n v="3"/>
    <s v="TBD"/>
    <s v="SQL Server 2008 R2"/>
    <s v="US DC-1"/>
    <d v="2020-01-14T00:00:00"/>
    <s v="Structured"/>
    <n v="76"/>
    <s v="N"/>
    <n v="5"/>
    <s v="Y"/>
    <s v="Data archive"/>
    <n v="3"/>
    <s v="Partial"/>
    <s v="N"/>
    <s v="Partial"/>
    <n v="55000"/>
    <d v="2030-07-31T00:00:00"/>
    <n v="27500"/>
    <n v="44000"/>
    <n v="7.5"/>
    <n v="3"/>
    <x v="1"/>
    <x v="1"/>
    <x v="0"/>
    <x v="0"/>
    <x v="0"/>
    <s v="Read-only access needed for audit"/>
  </r>
  <r>
    <n v="12800"/>
    <s v="Regional Campaign DB (US)"/>
    <s v="Campaign Mgmt"/>
    <s v="Marketing"/>
    <s v="Internal"/>
    <s v="Laura Martin"/>
    <s v="Tara Khanna"/>
    <s v="Plant IT Services"/>
    <n v="700"/>
    <d v="2021-04-23T00:00:00"/>
    <s v="Active"/>
    <n v="2"/>
    <n v="4"/>
    <s v="Qualtrics (planned)"/>
    <s v="IaaS"/>
    <s v="rcdapp01, rcddb01, rcdweb01"/>
    <n v="3"/>
    <s v="Windows Server 2008"/>
    <s v="SQL Server 2008"/>
    <s v="AWS eu-west-1"/>
    <d v="2019-07-09T00:00:00"/>
    <s v="Structured"/>
    <n v="150"/>
    <s v="Y"/>
    <n v="7"/>
    <s v="Y"/>
    <s v="Data archive"/>
    <n v="2"/>
    <s v="Partial"/>
    <s v="N"/>
    <s v="Partial"/>
    <n v="25500"/>
    <d v="2032-01-31T00:00:00"/>
    <n v="23500"/>
    <n v="14500"/>
    <n v="19.448275862068964"/>
    <n v="3"/>
    <x v="0"/>
    <x v="1"/>
    <x v="0"/>
    <x v="10"/>
    <x v="0"/>
    <s v="Funding approved; migration to Qualtrics scheduled"/>
  </r>
  <r>
    <n v="28122"/>
    <s v="Shared Fleet Manager"/>
    <s v="Fleet"/>
    <s v="Operations"/>
    <s v="Internal"/>
    <s v="Fatima Khan"/>
    <s v="Sameer Joshi"/>
    <s v="Wintel Platform Team"/>
    <n v="525"/>
    <d v="2021-03-15T00:00:00"/>
    <s v="Active"/>
    <n v="5"/>
    <n v="1"/>
    <s v="Intelex (planned)"/>
    <s v="IaaS"/>
    <s v="sfmapp01, sfmdb01, sfmweb01"/>
    <n v="3"/>
    <s v="Solaris 10"/>
    <s v="TBD"/>
    <s v="AWS eu-west-1"/>
    <d v="2021-01-31T00:00:00"/>
    <s v="Structured"/>
    <n v="170"/>
    <s v="N"/>
    <n v="7"/>
    <s v="N"/>
    <s v="None"/>
    <n v="34"/>
    <s v="N"/>
    <s v="Partial"/>
    <s v="N"/>
    <n v="110000"/>
    <d v="2029-01-31T00:00:00"/>
    <n v="117500"/>
    <n v="65500"/>
    <n v="21.526717557251906"/>
    <n v="2"/>
    <x v="0"/>
    <x v="2"/>
    <x v="0"/>
    <x v="8"/>
    <x v="1"/>
    <s v="6 feeds to re-point to Intelex"/>
  </r>
  <r>
    <n v="137085"/>
    <s v="Legacy Production Scheduler Lite"/>
    <s v="Production Planning"/>
    <s v="Operations"/>
    <s v="Internal"/>
    <s v="Arjun Lambert"/>
    <s v="Hugo Perrin"/>
    <s v="Infra Ops US"/>
    <n v="0"/>
    <d v="2021-03-16T00:00:00"/>
    <s v="Not in use"/>
    <n v="3"/>
    <n v="4"/>
    <s v="Fiix"/>
    <s v="PaaS"/>
    <s v="Azure App Service (PaaS)"/>
    <n v="0"/>
    <s v="N/A (PaaS)"/>
    <s v="Azure SQL"/>
    <s v="Azure West Europe"/>
    <m/>
    <s v="Both"/>
    <n v="6"/>
    <s v="Y"/>
    <n v="10"/>
    <s v="N"/>
    <s v="None"/>
    <n v="0"/>
    <s v="Partial"/>
    <s v="Y"/>
    <s v="Y"/>
    <n v="22500"/>
    <d v="2028-07-31T00:00:00"/>
    <n v="20000"/>
    <n v="20000"/>
    <n v="12"/>
    <n v="2"/>
    <x v="2"/>
    <x v="2"/>
    <x v="0"/>
    <x v="5"/>
    <x v="3"/>
    <s v="Switched off Mar-21; licence terminated"/>
  </r>
  <r>
    <n v="46702"/>
    <s v="Regional Timesheet Portal Lite"/>
    <s v="Time &amp; Attendance"/>
    <s v="HR"/>
    <s v="Internal"/>
    <s v="Marc Laurent"/>
    <s v="Remi Masson"/>
    <s v="SaaS Vendor Mgmt"/>
    <n v="3"/>
    <d v="2020-06-03T00:00:00"/>
    <s v="Not in use"/>
    <n v="2"/>
    <n v="3"/>
    <s v="SuccessFactors (planned)"/>
    <s v="SaaS"/>
    <s v="N/A (SaaS)"/>
    <n v="0"/>
    <s v="N/A"/>
    <s v="N/A"/>
    <s v="Vendor cloud (EU)"/>
    <d v="2024-09-30T00:00:00"/>
    <s v="Structured"/>
    <n v="69"/>
    <s v="Y"/>
    <n v="10"/>
    <s v="Y"/>
    <s v="Read-only access"/>
    <n v="3"/>
    <s v="N"/>
    <s v="Partial"/>
    <s v="N"/>
    <n v="42500"/>
    <d v="2030-12-31T00:00:00"/>
    <n v="70000"/>
    <n v="24000"/>
    <n v="35"/>
    <n v="3"/>
    <x v="1"/>
    <x v="1"/>
    <x v="0"/>
    <x v="1"/>
    <x v="1"/>
    <s v="Archive format agreed; load scheduled before switch-off"/>
  </r>
  <r>
    <n v="27155"/>
    <s v="Regional Corporate Website CMS Classic"/>
    <s v="Web"/>
    <s v="Marketing"/>
    <s v="External"/>
    <s v="Pierre Roux"/>
    <s v="Adrien Colin"/>
    <s v="SaaS Vendor Mgmt"/>
    <n v="0"/>
    <d v="2020-10-03T00:00:00"/>
    <s v="Not in use"/>
    <n v="2"/>
    <n v="4"/>
    <m/>
    <s v="SaaS"/>
    <s v="N/A (SaaS)"/>
    <n v="0"/>
    <s v="N/A"/>
    <s v="N/A"/>
    <s v="Vendor cloud (EU)"/>
    <d v="2022-03-31T00:00:00"/>
    <s v="Both"/>
    <n v="80"/>
    <s v="Y"/>
    <n v="7"/>
    <s v="Y"/>
    <s v="Archive + read-only"/>
    <n v="2"/>
    <s v="N"/>
    <s v="Partial"/>
    <s v="Partial"/>
    <n v="50000"/>
    <d v="2025-01-31T00:00:00"/>
    <n v="54000"/>
    <n v="22000"/>
    <n v="29.454545454545453"/>
    <n v="3"/>
    <x v="1"/>
    <x v="1"/>
    <x v="0"/>
    <x v="1"/>
    <x v="1"/>
    <s v="Read-only access needed for audit"/>
  </r>
  <r>
    <n v="112077"/>
    <s v="Regional Licence Manager (APAC)"/>
    <s v="Licence Mgmt"/>
    <s v="IT"/>
    <s v="Internal"/>
    <s v="Julien Petit"/>
    <s v="Tara Khanna"/>
    <s v="SaaS Vendor Mgmt"/>
    <n v="0"/>
    <d v="2021-04-07T00:00:00"/>
    <s v="Not in use"/>
    <n v="4"/>
    <n v="2"/>
    <s v="ServiceNow"/>
    <s v="SaaS"/>
    <s v="N/A (SaaS)"/>
    <n v="0"/>
    <s v="N/A"/>
    <s v="N/A"/>
    <s v="Vendor cloud (EU)"/>
    <d v="2024-02-29T00:00:00"/>
    <s v="Structured"/>
    <n v="180"/>
    <s v="N"/>
    <n v="7"/>
    <s v="Y"/>
    <s v="Archive + read-only"/>
    <n v="7"/>
    <s v="Partial"/>
    <s v="Partial"/>
    <s v="Y"/>
    <n v="29500"/>
    <d v="2033-04-30T00:00:00"/>
    <n v="54000"/>
    <n v="18000"/>
    <n v="36"/>
    <n v="2"/>
    <x v="0"/>
    <x v="0"/>
    <x v="0"/>
    <x v="4"/>
    <x v="3"/>
    <s v="Migrated to ServiceNow; legacy switched off Apr-21"/>
  </r>
  <r>
    <n v="188809"/>
    <s v="Regional Event Registration Tool"/>
    <s v="Events"/>
    <s v="Marketing"/>
    <s v="Internal"/>
    <s v="Rahul Iyer"/>
    <s v="Lena Fischer"/>
    <s v="Infra Ops EMEA"/>
    <n v="0"/>
    <d v="2021-01-25T00:00:00"/>
    <s v="Not in use"/>
    <n v="4"/>
    <n v="1"/>
    <s v="Adobe Campaign"/>
    <s v="IaaS"/>
    <s v="rerapp01, rerdb01, rerweb01, rerfs01"/>
    <n v="4"/>
    <s v="Windows Server 2012 R2"/>
    <s v="SQL Server 2014"/>
    <s v="Azure West Europe"/>
    <d v="2024-07-09T00:00:00"/>
    <s v="Unstructured"/>
    <n v="210"/>
    <s v="Y"/>
    <n v="10"/>
    <s v="N"/>
    <s v="None"/>
    <n v="45"/>
    <s v="Partial"/>
    <s v="Y"/>
    <s v="N"/>
    <n v="95000"/>
    <d v="2025-02-28T00:00:00"/>
    <n v="187500"/>
    <n v="57000"/>
    <n v="39.473684210526315"/>
    <n v="2"/>
    <x v="0"/>
    <x v="2"/>
    <x v="0"/>
    <x v="11"/>
    <x v="3"/>
    <s v="Migrated to Adobe Campaign; legacy switched off Jan-21"/>
  </r>
  <r>
    <n v="182066"/>
    <s v="Credit Check Portal Lite"/>
    <s v="Credit Mgmt"/>
    <s v="Finance"/>
    <s v="Internal"/>
    <s v="Sara Kapoor"/>
    <s v="Manon Chevalier"/>
    <s v="Plant IT Services"/>
    <n v="11"/>
    <d v="2021-03-31T00:00:00"/>
    <s v="Low use"/>
    <n v="3"/>
    <n v="3"/>
    <s v="Anaplan"/>
    <s v="On-prem DC"/>
    <s v="ccpapp01"/>
    <n v="1"/>
    <s v="Windows Server 2019"/>
    <s v="SQL Server 2019"/>
    <s v="EU DC-1"/>
    <d v="2029-01-09T00:00:00"/>
    <s v="Both"/>
    <n v="980"/>
    <s v="Y"/>
    <n v="10"/>
    <s v="N"/>
    <s v="None"/>
    <n v="3"/>
    <s v="N"/>
    <s v="Partial"/>
    <s v="Partial"/>
    <n v="27500"/>
    <d v="2029-03-31T00:00:00"/>
    <n v="26500"/>
    <n v="23500"/>
    <n v="13.531914893617021"/>
    <n v="2"/>
    <x v="2"/>
    <x v="2"/>
    <x v="0"/>
    <x v="2"/>
    <x v="1"/>
    <s v="Owner sign-off received; switch-off scheduled"/>
  </r>
  <r>
    <n v="127313"/>
    <s v="Safety Incident Tracker Plus"/>
    <s v="Health &amp; Safety"/>
    <s v="Operations"/>
    <s v="Internal"/>
    <s v="Pierre Roux"/>
    <s v="Omar Haddad"/>
    <s v="Wintel Platform Team"/>
    <n v="0"/>
    <d v="2019-07-09T00:00:00"/>
    <s v="Not in use"/>
    <n v="1"/>
    <n v="3"/>
    <s v="Intelex"/>
    <s v="On-prem DC"/>
    <s v="sitapp01, sitdb01, sitweb01, sitfs01"/>
    <n v="4"/>
    <s v="SUSE Linux 11"/>
    <s v="Oracle 11g"/>
    <s v="US DC-1"/>
    <d v="2019-03-31T00:00:00"/>
    <s v="Structured"/>
    <n v="10"/>
    <s v="N"/>
    <n v="5"/>
    <s v="N"/>
    <s v="None"/>
    <n v="5"/>
    <s v="Partial"/>
    <s v="Partial"/>
    <s v="Partial"/>
    <n v="65000"/>
    <d v="2026-03-31T00:00:00"/>
    <n v="91000"/>
    <n v="62000"/>
    <n v="17.612903225806452"/>
    <n v="4"/>
    <x v="2"/>
    <x v="2"/>
    <x v="0"/>
    <x v="3"/>
    <x v="3"/>
    <s v="User comms sent; switch-off scheduled for end of May"/>
  </r>
  <r>
    <n v="88864"/>
    <s v="Custom GL Consolidation Tool v2"/>
    <s v="General Ledger"/>
    <s v="Finance"/>
    <s v="Internal"/>
    <s v="Fatima Khan"/>
    <s v="Remi Masson"/>
    <s v="Plant IT Services"/>
    <n v="0"/>
    <d v="2021-03-15T00:00:00"/>
    <s v="Not in use"/>
    <n v="2"/>
    <n v="3"/>
    <s v="SAP Concur"/>
    <s v="On-prem DC"/>
    <s v="cgcapp01, cgcdb01, cgcweb01, cgcfs01"/>
    <n v="4"/>
    <s v="Ubuntu 16.04"/>
    <s v="TBD"/>
    <s v="EU DC-2"/>
    <d v="2021-04-30T00:00:00"/>
    <s v="Structured"/>
    <n v="45"/>
    <s v="N"/>
    <n v="3"/>
    <s v="N"/>
    <s v="None"/>
    <n v="4"/>
    <s v="Partial"/>
    <s v="Partial"/>
    <s v="Partial"/>
    <n v="39000"/>
    <d v="2028-01-31T00:00:00"/>
    <n v="32500"/>
    <n v="37500"/>
    <n v="10.4"/>
    <n v="4"/>
    <x v="2"/>
    <x v="2"/>
    <x v="0"/>
    <x v="5"/>
    <x v="3"/>
    <s v="Switched off Mar-21; licence terminated"/>
  </r>
  <r>
    <n v="83299"/>
    <s v="Regional Monitoring Console"/>
    <s v="Monitoring"/>
    <s v="IT"/>
    <s v="Internal"/>
    <s v="Nicolas Sharma"/>
    <s v="Lena Fischer"/>
    <s v="Unix Platform Team"/>
    <n v="0"/>
    <d v="2021-04-18T00:00:00"/>
    <s v="Not in use"/>
    <n v="3"/>
    <n v="3"/>
    <s v="ServiceNow"/>
    <s v="On-prem DC"/>
    <s v="rmcapp01"/>
    <n v="1"/>
    <s v="RHEL 6"/>
    <s v="Oracle 11g"/>
    <s v="TBD"/>
    <d v="2020-11-30T00:00:00"/>
    <s v="Structured"/>
    <n v="140"/>
    <s v="Y"/>
    <n v="10"/>
    <s v="N"/>
    <s v="None"/>
    <n v="8"/>
    <s v="N"/>
    <s v="Partial"/>
    <s v="N"/>
    <n v="42500"/>
    <d v="2032-07-31T00:00:00"/>
    <n v="42000"/>
    <n v="33500"/>
    <n v="15.044776119402986"/>
    <n v="3"/>
    <x v="0"/>
    <x v="2"/>
    <x v="0"/>
    <x v="4"/>
    <x v="3"/>
    <s v="Migrated to ServiceNow; legacy switched off Apr-21"/>
  </r>
  <r>
    <n v="101970"/>
    <s v="Custom Payroll Interface 2008"/>
    <s v="Payroll"/>
    <s v="HR"/>
    <s v="Internal"/>
    <s v="Laura Martin"/>
    <s v="Baptiste Henry"/>
    <s v="Infra Ops EMEA"/>
    <n v="10"/>
    <d v="2021-03-17T00:00:00"/>
    <s v="Low use"/>
    <n v="2"/>
    <n v="4"/>
    <s v="Workday Payroll"/>
    <s v="On-prem DC"/>
    <s v="cpiapp01, cpidb01, cpiweb01"/>
    <n v="3"/>
    <s v="Solaris 10"/>
    <s v="Oracle 11g"/>
    <s v="US DC-1"/>
    <d v="2021-01-31T00:00:00"/>
    <s v="Structured"/>
    <n v="2820"/>
    <s v="Y"/>
    <n v="10"/>
    <s v="N"/>
    <s v="None"/>
    <n v="2"/>
    <s v="Y"/>
    <s v="N"/>
    <s v="Partial"/>
    <n v="55000"/>
    <d v="2032-11-30T00:00:00"/>
    <n v="112000"/>
    <n v="53500"/>
    <n v="25.121495327102799"/>
    <n v="4"/>
    <x v="2"/>
    <x v="2"/>
    <x v="0"/>
    <x v="3"/>
    <x v="3"/>
    <s v="User comms sent; switch-off scheduled for end of May"/>
  </r>
  <r>
    <n v="64381"/>
    <s v="Order Entry Portal v4"/>
    <s v="Order Entry"/>
    <s v="Sales"/>
    <s v="Internal"/>
    <s v="Arjun Lambert"/>
    <s v="Lena Fischer"/>
    <s v="Unix Platform Team"/>
    <n v="674"/>
    <d v="2021-04-01T00:00:00"/>
    <s v="Active"/>
    <n v="4"/>
    <n v="2"/>
    <s v="Salesforce CPQ (planned)"/>
    <s v="IaaS"/>
    <s v="oepapp01, oepdb01, oepweb01"/>
    <n v="3"/>
    <s v="RHEL 6"/>
    <s v="Oracle 11g"/>
    <s v="Azure West Europe"/>
    <s v="TBD"/>
    <s v="Unstructured"/>
    <n v="82"/>
    <s v="Y"/>
    <n v="5"/>
    <s v="N"/>
    <s v="None"/>
    <n v="18"/>
    <s v="Y"/>
    <s v="N"/>
    <s v="Partial"/>
    <n v="55000"/>
    <d v="2035-05-31T00:00:00"/>
    <n v="103500"/>
    <n v="42500"/>
    <n v="29.223529411764702"/>
    <n v="1"/>
    <x v="0"/>
    <x v="2"/>
    <x v="0"/>
    <x v="9"/>
    <x v="1"/>
    <s v="Cut-over planned for Nov-21; parallel run scheduled"/>
  </r>
  <r>
    <n v="130013"/>
    <s v="Departmental Purchase Order System Plus"/>
    <s v="Procurement"/>
    <s v="Supply Chain"/>
    <s v="Internal"/>
    <s v="Amelie Martin"/>
    <s v="Adrien Colin"/>
    <s v="SaaS Vendor Mgmt"/>
    <n v="0"/>
    <d v="2021-04-23T00:00:00"/>
    <s v="Not in use"/>
    <n v="4"/>
    <n v="2"/>
    <s v="Manhattan WMS"/>
    <s v="SaaS"/>
    <s v="N/A (SaaS)"/>
    <n v="0"/>
    <s v="N/A"/>
    <s v="N/A"/>
    <s v="Vendor cloud (EU)"/>
    <m/>
    <s v="Unstructured"/>
    <n v="150"/>
    <s v="Y"/>
    <n v="10"/>
    <s v="N"/>
    <s v="None"/>
    <n v="17"/>
    <s v="Partial"/>
    <s v="N"/>
    <s v="Partial"/>
    <n v="60000"/>
    <d v="2033-09-30T00:00:00"/>
    <n v="85500"/>
    <n v="28000"/>
    <n v="36.642857142857139"/>
    <n v="2"/>
    <x v="0"/>
    <x v="2"/>
    <x v="0"/>
    <x v="4"/>
    <x v="3"/>
    <s v="Migrated to Manhattan WMS; legacy switched off Apr-21"/>
  </r>
  <r>
    <n v="113609"/>
    <s v="Shared Payroll Interface Lite"/>
    <s v="Payroll"/>
    <s v="HR"/>
    <s v="Internal"/>
    <s v="Meera Dubois"/>
    <s v="Sameer Joshi"/>
    <s v="Unix Platform Team"/>
    <n v="0"/>
    <d v="2021-02-05T00:00:00"/>
    <s v="Not in use"/>
    <n v="3"/>
    <n v="3"/>
    <m/>
    <s v="On-prem DC"/>
    <s v="spiapp01"/>
    <n v="1"/>
    <s v="RHEL 8"/>
    <s v="Oracle 19c"/>
    <s v="TBD"/>
    <d v="2029-05-31T00:00:00"/>
    <s v="Both"/>
    <n v="2020"/>
    <s v="Y"/>
    <n v="10"/>
    <s v="N"/>
    <s v="None"/>
    <n v="2"/>
    <s v="Partial"/>
    <s v="Partial"/>
    <s v="N"/>
    <n v="16000"/>
    <d v="2029-10-31T00:00:00"/>
    <n v="14500"/>
    <n v="16000"/>
    <n v="10.875"/>
    <n v="1"/>
    <x v="2"/>
    <x v="2"/>
    <x v="0"/>
    <x v="6"/>
    <x v="3"/>
    <s v="Switched off Feb-21; licence terminated"/>
  </r>
  <r>
    <n v="132720"/>
    <s v="Commission Calculator Plus"/>
    <s v="Commissions"/>
    <s v="Sales"/>
    <s v="Internal"/>
    <s v="Marc Laurent"/>
    <s v="Omar Haddad"/>
    <s v="Database Services"/>
    <n v="0"/>
    <d v="2021-01-14T00:00:00"/>
    <s v="Not in use"/>
    <n v="2"/>
    <n v="4"/>
    <m/>
    <s v="PaaS"/>
    <s v="Azure App Service (PaaS)"/>
    <n v="0"/>
    <s v="N/A (PaaS)"/>
    <s v="Cosmos DB"/>
    <s v="Azure West Europe"/>
    <m/>
    <s v="Both"/>
    <n v="75"/>
    <s v="Y"/>
    <n v="5"/>
    <s v="N"/>
    <s v="None"/>
    <n v="1"/>
    <s v="Partial"/>
    <s v="Partial"/>
    <s v="N"/>
    <n v="14000"/>
    <d v="2026-07-31T00:00:00"/>
    <n v="11000"/>
    <n v="13500"/>
    <n v="9.7777777777777768"/>
    <n v="2"/>
    <x v="2"/>
    <x v="2"/>
    <x v="0"/>
    <x v="11"/>
    <x v="3"/>
    <s v="Switched off Jan-21; licence terminated"/>
  </r>
  <r>
    <n v="134908"/>
    <s v="Training Records v4"/>
    <s v="Learning"/>
    <s v="HR"/>
    <s v="Internal"/>
    <s v="Neha Nair"/>
    <s v="Varun Malhotra"/>
    <s v="Wintel Platform Team"/>
    <n v="0"/>
    <d v="2019-07-17T00:00:00"/>
    <s v="Not in use"/>
    <n v="3"/>
    <n v="3"/>
    <s v="Workday Recruiting"/>
    <s v="On-prem DC"/>
    <s v="trvapp01, trvdb01, trvweb01"/>
    <n v="3"/>
    <s v="TBD"/>
    <s v="MySQL 5.7"/>
    <s v="TBD"/>
    <d v="2021-04-30T00:00:00"/>
    <s v="Structured"/>
    <n v="9"/>
    <s v="Y"/>
    <n v="7"/>
    <s v="N"/>
    <s v="None"/>
    <n v="5"/>
    <s v="Y"/>
    <s v="Y"/>
    <s v="N"/>
    <n v="42000"/>
    <d v="2029-03-31T00:00:00"/>
    <n v="18000"/>
    <n v="36000"/>
    <n v="6"/>
    <n v="3"/>
    <x v="0"/>
    <x v="2"/>
    <x v="0"/>
    <x v="10"/>
    <x v="1"/>
    <s v="Cut-over planned for Sep-21; parallel run scheduled"/>
  </r>
  <r>
    <n v="14599"/>
    <s v="Field Service Dispatcher"/>
    <s v="Field Service"/>
    <s v="Operations"/>
    <s v="Internal"/>
    <s v="Antoine Patel"/>
    <s v="Chloe Vidal"/>
    <s v="Infra Ops US"/>
    <n v="6"/>
    <d v="2020-01-09T00:00:00"/>
    <s v="Not in use"/>
    <n v="2"/>
    <n v="3"/>
    <m/>
    <s v="IaaS"/>
    <s v="fsdapp01, fsddb01, fsdweb01, fsdfs01"/>
    <n v="4"/>
    <s v="AIX 6.1"/>
    <s v="DB2 9.7"/>
    <s v="AWS eu-west-1"/>
    <d v="2017-04-30T00:00:00"/>
    <s v="Unstructured"/>
    <n v="20"/>
    <s v="N"/>
    <n v="7"/>
    <s v="Y"/>
    <s v="Archive + read-only"/>
    <n v="7"/>
    <s v="Partial"/>
    <s v="Partial"/>
    <s v="N"/>
    <n v="24500"/>
    <d v="2035-08-31T00:00:00"/>
    <n v="23500"/>
    <n v="20500"/>
    <n v="13.756097560975608"/>
    <n v="3"/>
    <x v="1"/>
    <x v="0"/>
    <x v="0"/>
    <x v="1"/>
    <x v="1"/>
    <s v="Read-only access needed for audit"/>
  </r>
  <r>
    <n v="98727"/>
    <s v="Regional Sales Forecast Tool 2010"/>
    <s v="Sales Planning"/>
    <s v="Sales"/>
    <s v="External"/>
    <s v="Hannah Weber"/>
    <s v="Remi Masson"/>
    <s v="Database Services"/>
    <n v="95"/>
    <d v="2021-03-23T00:00:00"/>
    <s v="Active"/>
    <n v="2"/>
    <n v="4"/>
    <s v="TBD"/>
    <s v="On-prem DC"/>
    <s v="rsfapp01"/>
    <n v="1"/>
    <s v="Solaris 10"/>
    <s v="Oracle 11g"/>
    <s v="TBD"/>
    <d v="2021-01-31T00:00:00"/>
    <s v="Both"/>
    <n v="120"/>
    <s v="Y"/>
    <n v="10"/>
    <s v="Y"/>
    <s v="Data archive"/>
    <n v="3"/>
    <s v="Partial"/>
    <s v="Partial"/>
    <s v="Partial"/>
    <n v="17000"/>
    <d v="2029-02-28T00:00:00"/>
    <n v="14000"/>
    <n v="12000"/>
    <n v="14"/>
    <n v="2"/>
    <x v="1"/>
    <x v="1"/>
    <x v="0"/>
    <x v="2"/>
    <x v="1"/>
    <s v="Retention 10 yrs - archive slot booked"/>
  </r>
  <r>
    <n v="34462"/>
    <s v="Departmental Benefits Enrolment (UK)"/>
    <s v="Benefits"/>
    <s v="HR"/>
    <s v="Internal"/>
    <s v="Sara Kapoor"/>
    <s v="Lena Fischer"/>
    <s v="Infra Ops EMEA"/>
    <n v="0"/>
    <d v="2021-01-26T00:00:00"/>
    <s v="Not in use"/>
    <n v="2"/>
    <n v="4"/>
    <m/>
    <s v="PaaS"/>
    <s v="Azure App Service (PaaS)"/>
    <n v="0"/>
    <s v="N/A (PaaS)"/>
    <s v="Azure SQL"/>
    <s v="Azure West Europe"/>
    <m/>
    <s v="Structured"/>
    <n v="16"/>
    <s v="Y"/>
    <n v="5"/>
    <s v="N"/>
    <s v="None"/>
    <n v="0"/>
    <s v="Partial"/>
    <s v="N"/>
    <s v="Y"/>
    <n v="28500"/>
    <d v="2029-06-30T00:00:00"/>
    <n v="18000"/>
    <n v="26500"/>
    <n v="8.1509433962264151"/>
    <n v="2"/>
    <x v="2"/>
    <x v="2"/>
    <x v="0"/>
    <x v="11"/>
    <x v="3"/>
    <s v="Switched off Jan-21; licence terminated"/>
  </r>
  <r>
    <n v="82740"/>
    <s v="Regional Brand Asset Library"/>
    <s v="Digital Assets"/>
    <s v="Marketing"/>
    <s v="External"/>
    <s v="Karan Blanc"/>
    <s v="Sameer Joshi"/>
    <s v="Plant IT Services"/>
    <n v="12"/>
    <d v="2020-12-11T00:00:00"/>
    <s v="Low use"/>
    <n v="2"/>
    <n v="4"/>
    <s v="Qualtrics"/>
    <s v="PaaS"/>
    <s v="Azure App Service (PaaS)"/>
    <n v="0"/>
    <s v="N/A (PaaS)"/>
    <s v="Cosmos DB"/>
    <s v="Azure West Europe"/>
    <d v="2022-06-30T00:00:00"/>
    <s v="Structured"/>
    <n v="20"/>
    <s v="N"/>
    <n v="3"/>
    <s v="Y"/>
    <s v="Archive + read-only"/>
    <n v="1"/>
    <s v="N"/>
    <s v="Y"/>
    <s v="Y"/>
    <n v="20000"/>
    <d v="2029-04-30T00:00:00"/>
    <n v="30000"/>
    <n v="11000"/>
    <n v="32.727272727272727"/>
    <n v="3"/>
    <x v="1"/>
    <x v="1"/>
    <x v="0"/>
    <x v="9"/>
    <x v="1"/>
    <s v="Read-only access needed for audit_x000a_Blocker: Vendor notice period of 12 months_x000a_Q: Can the contract end be brought forward?"/>
  </r>
  <r>
    <n v="194702"/>
    <s v="Billing Engine (DE)"/>
    <s v="Billing"/>
    <s v="Finance"/>
    <s v="Internal"/>
    <s v="Lucas Bernard"/>
    <s v="Louis Faure"/>
    <s v="SaaS Vendor Mgmt"/>
    <n v="20"/>
    <d v="2020-12-25T00:00:00"/>
    <s v="Low use"/>
    <n v="1"/>
    <n v="4"/>
    <s v="Anaplan"/>
    <s v="SaaS"/>
    <s v="N/A (SaaS)"/>
    <n v="0"/>
    <s v="N/A"/>
    <s v="N/A"/>
    <s v="Vendor cloud (EU)"/>
    <d v="2023-11-30T00:00:00"/>
    <s v="Both"/>
    <n v="96"/>
    <s v="Y"/>
    <n v="7"/>
    <s v="N"/>
    <s v="None"/>
    <n v="0"/>
    <s v="N"/>
    <s v="Y"/>
    <s v="N"/>
    <n v="110000"/>
    <d v="2033-08-31T00:00:00"/>
    <n v="109500"/>
    <n v="66000"/>
    <n v="19.90909090909091"/>
    <n v="3"/>
    <x v="2"/>
    <x v="2"/>
    <x v="0"/>
    <x v="0"/>
    <x v="0"/>
    <s v="User comms sent; switch-off scheduled for end of May"/>
  </r>
  <r>
    <n v="29678"/>
    <s v="Legacy Intranet (SharePoint) (APAC)"/>
    <s v="Collaboration"/>
    <s v="IT"/>
    <s v="Internal"/>
    <s v="Nicolas Sharma"/>
    <s v="Ananya Pillai"/>
    <s v="Unix Platform Team"/>
    <n v="8"/>
    <d v="2021-04-26T00:00:00"/>
    <s v="Low use"/>
    <n v="1"/>
    <n v="4"/>
    <s v="SailPoint"/>
    <s v="On-prem DC"/>
    <s v="lisapp01, lisdb01, lisweb01, lisfs01"/>
    <n v="4"/>
    <s v="TBD"/>
    <s v="Sybase ASE 15.7"/>
    <s v="US DC-1"/>
    <d v="2021-12-31T00:00:00"/>
    <s v="Structured"/>
    <n v="84"/>
    <s v="N"/>
    <n v="1"/>
    <s v="N"/>
    <s v="None"/>
    <n v="0"/>
    <s v="Partial"/>
    <s v="N"/>
    <s v="Y"/>
    <n v="55000"/>
    <d v="2032-02-29T00:00:00"/>
    <n v="29500"/>
    <n v="45500"/>
    <n v="7.780219780219781"/>
    <n v="4"/>
    <x v="2"/>
    <x v="2"/>
    <x v="0"/>
    <x v="8"/>
    <x v="1"/>
    <s v="Functionality covered by existing tools"/>
  </r>
  <r>
    <n v="169039"/>
    <s v="Legacy Maintenance Scheduler (US)"/>
    <s v="Asset Maintenance"/>
    <s v="Operations"/>
    <s v="Internal"/>
    <s v="Marc Laurent"/>
    <s v="Baptiste Henry"/>
    <s v="Infra Ops US"/>
    <n v="0"/>
    <d v="2020-05-04T00:00:00"/>
    <s v="Not in use"/>
    <n v="3"/>
    <n v="3"/>
    <m/>
    <s v="On-prem DC"/>
    <s v="lmsapp01, lmsdb01, lmsweb01"/>
    <n v="3"/>
    <s v="HP-UX 11i v3"/>
    <s v="Sybase ASE 15.7"/>
    <s v="TBD"/>
    <d v="2021-12-31T00:00:00"/>
    <s v="Both"/>
    <n v="110"/>
    <s v="Y"/>
    <n v="10"/>
    <s v="Y"/>
    <s v="Data archive"/>
    <n v="6"/>
    <s v="Y"/>
    <s v="N"/>
    <s v="Y"/>
    <n v="50000"/>
    <d v="2026-02-28T00:00:00"/>
    <n v="36000"/>
    <n v="26000"/>
    <n v="16.615384615384613"/>
    <n v="2"/>
    <x v="1"/>
    <x v="0"/>
    <x v="1"/>
    <x v="12"/>
    <x v="4"/>
    <s v="Awaiting dependency mapping_x000a_Blocker: Month-end close dependency_x000a_Q: Can the cut-over avoid the quarter-end freeze?"/>
  </r>
  <r>
    <n v="44505"/>
    <s v="Old Safety Incident Tracker 2010"/>
    <s v="Health &amp; Safety"/>
    <s v="Operations"/>
    <s v="Internal"/>
    <s v="Julien Petit"/>
    <s v="Sameer Joshi"/>
    <s v="Unix Platform Team"/>
    <n v="17"/>
    <d v="2020-12-30T00:00:00"/>
    <s v="Low use"/>
    <n v="3"/>
    <n v="4"/>
    <s v="TBD"/>
    <s v="IaaS"/>
    <s v="osiapp01"/>
    <n v="1"/>
    <s v="Solaris 10"/>
    <s v="Oracle 11g"/>
    <s v="AWS us-east-1"/>
    <d v="2021-01-31T00:00:00"/>
    <s v="Structured"/>
    <n v="760"/>
    <s v="N"/>
    <n v="3"/>
    <s v="Y"/>
    <s v="Data archive"/>
    <n v="0"/>
    <s v="Partial"/>
    <s v="Y"/>
    <s v="Partial"/>
    <n v="13000"/>
    <d v="2031-06-30T00:00:00"/>
    <n v="20000"/>
    <n v="9500"/>
    <n v="25.263157894736842"/>
    <n v="2"/>
    <x v="1"/>
    <x v="1"/>
    <x v="1"/>
    <x v="13"/>
    <x v="4"/>
    <s v="Business case under review with owner"/>
  </r>
  <r>
    <n v="78649"/>
    <s v="Old Freight Booking Tool"/>
    <s v="Transport"/>
    <s v="Supply Chain"/>
    <s v="Internal"/>
    <s v="Camille Fontaine"/>
    <s v="Chloe Vidal"/>
    <s v="Cloud Platform Team"/>
    <n v="3"/>
    <d v="2021-02-24T00:00:00"/>
    <s v="Low use"/>
    <n v="1"/>
    <n v="4"/>
    <m/>
    <s v="On-prem DC"/>
    <s v="ofbapp01"/>
    <n v="1"/>
    <s v="AIX 6.1"/>
    <s v="DB2 9.7"/>
    <s v="US DC-1"/>
    <d v="2017-04-30T00:00:00"/>
    <s v="Structured"/>
    <n v="160"/>
    <s v="N"/>
    <n v="3"/>
    <s v="N"/>
    <s v="None"/>
    <n v="2"/>
    <s v="Y"/>
    <s v="N"/>
    <s v="Partial"/>
    <n v="16000"/>
    <d v="2030-07-31T00:00:00"/>
    <n v="13500"/>
    <n v="13000"/>
    <n v="12.461538461538463"/>
    <n v="3"/>
    <x v="2"/>
    <x v="2"/>
    <x v="1"/>
    <x v="14"/>
    <x v="4"/>
    <s v="Business case under review with owner"/>
  </r>
  <r>
    <n v="83802"/>
    <s v="Custom Brand Asset Library (Nordics)"/>
    <s v="Digital Assets"/>
    <s v="Marketing"/>
    <s v="Internal"/>
    <s v="Fatima Khan"/>
    <s v="Chloe Vidal"/>
    <s v="Cloud Platform Team"/>
    <n v="83"/>
    <d v="2021-04-23T00:00:00"/>
    <s v="Active"/>
    <n v="4"/>
    <n v="1"/>
    <s v="HubSpot (planned)"/>
    <s v="IaaS"/>
    <s v="cbaapp01, cbadb01, cbaweb01"/>
    <n v="3"/>
    <s v="Solaris 10"/>
    <s v="Oracle 11g"/>
    <s v="AWS us-east-1"/>
    <d v="2021-01-31T00:00:00"/>
    <s v="Structured"/>
    <n v="120"/>
    <s v="N"/>
    <n v="5"/>
    <s v="N"/>
    <s v="None"/>
    <n v="19"/>
    <s v="Y"/>
    <s v="Y"/>
    <s v="N"/>
    <n v="80000"/>
    <d v="2033-10-31T00:00:00"/>
    <n v="118000"/>
    <n v="66000"/>
    <n v="21.454545454545453"/>
    <n v="2"/>
    <x v="0"/>
    <x v="2"/>
    <x v="1"/>
    <x v="12"/>
    <x v="4"/>
    <s v="Business case under review with owner"/>
  </r>
  <r>
    <n v="59075"/>
    <s v="Regional Maintenance Scheduler"/>
    <s v="Asset Maintenance"/>
    <s v="Operations"/>
    <s v="Internal"/>
    <s v="Yuki Tanaka"/>
    <s v="Sameer Joshi"/>
    <s v="Plant IT Services"/>
    <n v="23"/>
    <d v="2020-12-17T00:00:00"/>
    <s v="Low use"/>
    <n v="3"/>
    <n v="4"/>
    <s v="IBM Maximo"/>
    <s v="On-prem DC"/>
    <s v="rmsapp01, rmsdb01, rmsweb01, rmsfs01"/>
    <n v="4"/>
    <s v="RHEL 6"/>
    <s v="Oracle 11g"/>
    <s v="TBD"/>
    <d v="2020-11-30T00:00:00"/>
    <s v="Structured"/>
    <n v="40"/>
    <s v="N"/>
    <n v="7"/>
    <s v="N"/>
    <s v="None"/>
    <n v="2"/>
    <s v="N"/>
    <s v="Y"/>
    <s v="Y"/>
    <n v="47000"/>
    <d v="2031-12-31T00:00:00"/>
    <n v="25500"/>
    <n v="45000"/>
    <n v="6.8"/>
    <n v="3"/>
    <x v="2"/>
    <x v="2"/>
    <x v="1"/>
    <x v="15"/>
    <x v="1"/>
    <s v="Functionality covered by existing tools"/>
  </r>
  <r>
    <n v="11182"/>
    <s v="Commission Calculator (Nordics)"/>
    <s v="Commissions"/>
    <s v="Sales"/>
    <s v="Internal"/>
    <s v="Diego Alvarez"/>
    <s v="Tara Khanna"/>
    <s v="Wintel Platform Team"/>
    <n v="5"/>
    <d v="2020-08-27T00:00:00"/>
    <s v="Not in use"/>
    <n v="2"/>
    <n v="4"/>
    <m/>
    <s v="IaaS"/>
    <s v="ccnapp01, ccndb01"/>
    <n v="2"/>
    <s v="Ubuntu 20.04"/>
    <s v="MySQL 8.0"/>
    <s v="AWS eu-west-1"/>
    <d v="2025-04-30T00:00:00"/>
    <s v="Structured"/>
    <n v="22"/>
    <s v="N"/>
    <n v="1"/>
    <s v="N"/>
    <s v="None"/>
    <n v="0"/>
    <s v="N"/>
    <s v="Partial"/>
    <s v="Partial"/>
    <n v="22500"/>
    <d v="2031-01-31T00:00:00"/>
    <n v="20000"/>
    <n v="21000"/>
    <n v="11.428571428571427"/>
    <n v="2"/>
    <x v="2"/>
    <x v="2"/>
    <x v="1"/>
    <x v="16"/>
    <x v="4"/>
    <s v="Retention requirement to be confirmed"/>
  </r>
  <r>
    <n v="192167"/>
    <s v="Old Commission Calculator Lite"/>
    <s v="Commissions"/>
    <s v="Sales"/>
    <s v="Internal"/>
    <s v="Yuki Tanaka"/>
    <s v="Manon Chevalier"/>
    <s v="Database Services"/>
    <n v="16"/>
    <d v="2021-01-27T00:00:00"/>
    <s v="Low use"/>
    <n v="1"/>
    <n v="4"/>
    <m/>
    <s v="IaaS"/>
    <s v="occapp01, occdb01, occweb01"/>
    <n v="3"/>
    <s v="Windows Server 2008"/>
    <s v="SQL Server 2008"/>
    <s v="Azure West Europe"/>
    <d v="2019-07-09T00:00:00"/>
    <s v="Unstructured"/>
    <n v="43"/>
    <s v="Y"/>
    <n v="7"/>
    <s v="Y"/>
    <s v="Reporting extract"/>
    <n v="0"/>
    <s v="N"/>
    <s v="Y"/>
    <s v="Partial"/>
    <n v="27500"/>
    <d v="2035-06-30T00:00:00"/>
    <n v="42500"/>
    <n v="14500"/>
    <n v="35.172413793103445"/>
    <n v="3"/>
    <x v="1"/>
    <x v="1"/>
    <x v="1"/>
    <x v="14"/>
    <x v="1"/>
    <s v="Read-only access needed for audit"/>
  </r>
  <r>
    <n v="103549"/>
    <s v="Campaign DB v3"/>
    <s v="Campaign Mgmt"/>
    <s v="Marketing"/>
    <s v="External"/>
    <s v="Claire Mehta"/>
    <s v="Theo Lopez"/>
    <s v="Infra Ops US"/>
    <n v="1431"/>
    <d v="2021-03-24T00:00:00"/>
    <s v="Active"/>
    <n v="1"/>
    <n v="4"/>
    <m/>
    <s v="On-prem DC"/>
    <s v="cdvapp01, cdvdb01, cdvweb01"/>
    <n v="3"/>
    <s v="RHEL 7"/>
    <s v="Oracle 12c"/>
    <s v="EU DC-2"/>
    <d v="2024-06-30T00:00:00"/>
    <s v="Structured"/>
    <n v="150"/>
    <s v="Y"/>
    <n v="7"/>
    <s v="Y"/>
    <s v="Read-only access"/>
    <n v="1"/>
    <s v="Partial"/>
    <s v="N"/>
    <s v="Partial"/>
    <n v="50000"/>
    <d v="2026-07-31T00:00:00"/>
    <n v="28000"/>
    <n v="33000"/>
    <n v="10.181818181818182"/>
    <n v="1"/>
    <x v="1"/>
    <x v="1"/>
    <x v="1"/>
    <x v="14"/>
    <x v="4"/>
    <s v="Replacement option being confirmed"/>
  </r>
  <r>
    <n v="36154"/>
    <s v="Corporate Purchase Order System (APAC)"/>
    <s v="Procurement"/>
    <s v="Supply Chain"/>
    <s v="Internal"/>
    <s v="Marc Laurent"/>
    <s v="Chloe Vidal"/>
    <s v="Unix Platform Team"/>
    <n v="74"/>
    <d v="2021-03-16T00:00:00"/>
    <s v="Active"/>
    <n v="1"/>
    <n v="4"/>
    <s v="SAP TM"/>
    <s v="IaaS"/>
    <s v="cpoapp01, cpodb01, cpoweb01"/>
    <n v="3"/>
    <s v="Windows Server 2019"/>
    <s v="SQL Server 2019"/>
    <s v="AWS eu-west-1"/>
    <d v="2029-01-09T00:00:00"/>
    <s v="Structured"/>
    <n v="540"/>
    <s v="N"/>
    <n v="3"/>
    <s v="N"/>
    <s v="None"/>
    <n v="0"/>
    <s v="Partial"/>
    <s v="Partial"/>
    <s v="Partial"/>
    <n v="37000"/>
    <d v="2025-06-30T00:00:00"/>
    <n v="32000"/>
    <n v="27000"/>
    <n v="14.222222222222221"/>
    <n v="2"/>
    <x v="0"/>
    <x v="2"/>
    <x v="1"/>
    <x v="17"/>
    <x v="1"/>
    <s v="6 feeds to re-point to SAP TM"/>
  </r>
  <r>
    <n v="78230"/>
    <s v="Purchase Order System 2012"/>
    <s v="Procurement"/>
    <s v="Supply Chain"/>
    <s v="External"/>
    <s v="Sara Kapoor"/>
    <s v="Omar Haddad"/>
    <s v="SaaS Vendor Mgmt"/>
    <n v="14"/>
    <d v="2021-03-10T00:00:00"/>
    <s v="Low use"/>
    <n v="2"/>
    <n v="4"/>
    <s v="SAP IBP"/>
    <s v="SaaS"/>
    <s v="N/A (SaaS)"/>
    <n v="0"/>
    <s v="N/A"/>
    <s v="N/A"/>
    <s v="Vendor cloud (EU)"/>
    <m/>
    <s v="Structured"/>
    <n v="7050"/>
    <s v="N"/>
    <n v="3"/>
    <s v="Y"/>
    <s v="Data archive"/>
    <n v="3"/>
    <s v="N"/>
    <s v="N"/>
    <s v="Partial"/>
    <n v="70000"/>
    <d v="2026-07-31T00:00:00"/>
    <n v="262000"/>
    <n v="31500"/>
    <n v="99.809523809523824"/>
    <n v="3"/>
    <x v="1"/>
    <x v="0"/>
    <x v="1"/>
    <x v="18"/>
    <x v="1"/>
    <s v="Read-only access needed for audit_x000a_Blocker: Interface owners not yet identified_x000a_Q: Which teams consume the outbound feeds?"/>
  </r>
  <r>
    <n v="33667"/>
    <s v="Demand Planner"/>
    <s v="Demand Planning"/>
    <s v="Supply Chain"/>
    <s v="Internal"/>
    <s v="Diego Alvarez"/>
    <s v="Rohan Bhatt"/>
    <s v="Infra Ops EMEA"/>
    <n v="25"/>
    <d v="2021-04-19T00:00:00"/>
    <s v="Active"/>
    <n v="4"/>
    <n v="2"/>
    <s v="SAP IBP (planned)"/>
    <s v="On-prem DC"/>
    <s v="dpxapp01, dpxdb01, dpxweb01"/>
    <n v="3"/>
    <s v="RHEL 6"/>
    <s v="Oracle 11g"/>
    <s v="EU DC-2"/>
    <d v="2020-11-30T00:00:00"/>
    <s v="Structured"/>
    <n v="4430"/>
    <s v="Y"/>
    <n v="10"/>
    <s v="N"/>
    <s v="None"/>
    <n v="28"/>
    <s v="N"/>
    <s v="Partial"/>
    <s v="N"/>
    <n v="120000"/>
    <d v="2027-08-31T00:00:00"/>
    <n v="165500"/>
    <n v="101000"/>
    <n v="19.663366336633661"/>
    <n v="2"/>
    <x v="0"/>
    <x v="2"/>
    <x v="1"/>
    <x v="13"/>
    <x v="1"/>
    <s v="5 feeds to re-point to SAP IBP"/>
  </r>
  <r>
    <n v="109222"/>
    <s v="Shared Sales Forecast Tool (UK)"/>
    <s v="Sales Planning"/>
    <s v="Sales"/>
    <s v="Internal"/>
    <s v="Vikram Rao"/>
    <s v="Ishaan Desai"/>
    <s v="Infra Ops US"/>
    <n v="14"/>
    <d v="2021-01-31T00:00:00"/>
    <s v="Low use"/>
    <n v="2"/>
    <n v="3"/>
    <m/>
    <s v="On-prem DC"/>
    <s v="fs-ssf02 (file share)"/>
    <n v="1"/>
    <s v="Windows Server 2012 R2"/>
    <s v="TBD"/>
    <s v="EU DC-2"/>
    <d v="2023-10-10T00:00:00"/>
    <s v="Structured"/>
    <n v="9"/>
    <s v="Y"/>
    <n v="5"/>
    <s v="N"/>
    <s v="None"/>
    <n v="6"/>
    <s v="Partial"/>
    <s v="Partial"/>
    <s v="Partial"/>
    <n v="28000"/>
    <d v="2026-01-31T00:00:00"/>
    <n v="40000"/>
    <n v="24000"/>
    <n v="20"/>
    <n v="2"/>
    <x v="2"/>
    <x v="2"/>
    <x v="1"/>
    <x v="16"/>
    <x v="4"/>
    <s v="Awaiting dependency mapping"/>
  </r>
  <r>
    <n v="105930"/>
    <s v="Custom Batch Scheduler"/>
    <s v="Batch Scheduling"/>
    <s v="IT"/>
    <s v="External"/>
    <s v="Oscar Lindqvist"/>
    <s v="Kavya Reddy"/>
    <s v="Unix Platform Team"/>
    <n v="127"/>
    <d v="2021-04-04T00:00:00"/>
    <s v="Active"/>
    <n v="2"/>
    <n v="4"/>
    <s v="Splunk"/>
    <s v="PaaS"/>
    <s v="Azure App Service (PaaS)"/>
    <n v="0"/>
    <s v="N/A (PaaS)"/>
    <s v="Azure SQL"/>
    <s v="Azure West Europe"/>
    <m/>
    <s v="Structured"/>
    <n v="14"/>
    <s v="N"/>
    <n v="5"/>
    <s v="N"/>
    <s v="None"/>
    <n v="3"/>
    <s v="N"/>
    <s v="N"/>
    <s v="Partial"/>
    <n v="29000"/>
    <d v="2033-07-31T00:00:00"/>
    <n v="19000"/>
    <n v="18500"/>
    <n v="12.324324324324323"/>
    <n v="2"/>
    <x v="0"/>
    <x v="2"/>
    <x v="1"/>
    <x v="19"/>
    <x v="1"/>
    <s v="3 feeds to re-point to Splunk_x000a_Blocker: Month-end close dependency_x000a_Q: Can the cut-over avoid the quarter-end freeze?"/>
  </r>
  <r>
    <n v="28755"/>
    <s v="Corporate Expense Portal 2008"/>
    <s v="Expense Mgmt"/>
    <s v="Finance"/>
    <s v="Internal"/>
    <s v="Anika Patel"/>
    <s v="Louis Faure"/>
    <s v="Database Services"/>
    <n v="12"/>
    <d v="2021-01-28T00:00:00"/>
    <s v="Low use"/>
    <n v="1"/>
    <n v="4"/>
    <m/>
    <s v="On-prem DC"/>
    <s v="cepapp01, cepdb01, cepweb01"/>
    <n v="3"/>
    <s v="AIX 7.1"/>
    <s v="DB2 10.5"/>
    <s v="TBD"/>
    <d v="2023-04-30T00:00:00"/>
    <s v="Structured"/>
    <n v="220"/>
    <s v="Y"/>
    <n v="5"/>
    <s v="Y"/>
    <s v="Archive + read-only"/>
    <n v="1"/>
    <s v="Partial"/>
    <s v="Partial"/>
    <s v="N"/>
    <n v="50000"/>
    <d v="2031-09-30T00:00:00"/>
    <n v="37000"/>
    <n v="28000"/>
    <n v="15.857142857142858"/>
    <n v="2"/>
    <x v="1"/>
    <x v="1"/>
    <x v="1"/>
    <x v="16"/>
    <x v="4"/>
    <s v="Retention requirement to be confirmed_x000a_Blocker: Replacement rollout dependency_x000a_Q: What is the go-live date of the target platform?"/>
  </r>
  <r>
    <n v="135553"/>
    <s v="Field Service Dispatcher Classic"/>
    <s v="Field Service"/>
    <s v="Operations"/>
    <s v="External"/>
    <s v="Sara Kapoor"/>
    <s v="Lena Fischer"/>
    <s v="SaaS Vendor Mgmt"/>
    <n v="124"/>
    <d v="2021-04-20T00:00:00"/>
    <s v="Active"/>
    <n v="2"/>
    <n v="3"/>
    <s v="SAP EAM"/>
    <s v="SaaS"/>
    <s v="N/A (SaaS)"/>
    <n v="0"/>
    <s v="N/A"/>
    <s v="N/A"/>
    <s v="Vendor cloud (EU)"/>
    <d v="2025-08-31T00:00:00"/>
    <s v="Unstructured"/>
    <n v="360"/>
    <s v="Y"/>
    <n v="5"/>
    <s v="N"/>
    <s v="None"/>
    <n v="1"/>
    <s v="Y"/>
    <s v="N"/>
    <s v="N"/>
    <n v="75000"/>
    <d v="2030-06-30T00:00:00"/>
    <n v="48000"/>
    <n v="51500"/>
    <n v="11.184466019417476"/>
    <n v="2"/>
    <x v="2"/>
    <x v="2"/>
    <x v="1"/>
    <x v="15"/>
    <x v="4"/>
    <s v="Awaiting dependency mapping"/>
  </r>
  <r>
    <n v="121829"/>
    <s v="Legacy Demand Planner Classic"/>
    <s v="Demand Planning"/>
    <s v="Supply Chain"/>
    <s v="Internal"/>
    <s v="Arjun Lambert"/>
    <s v="Sameer Joshi"/>
    <s v="Plant IT Services"/>
    <n v="0"/>
    <d v="2020-11-02T00:00:00"/>
    <s v="Not in use"/>
    <n v="2"/>
    <n v="4"/>
    <m/>
    <s v="On-prem DC"/>
    <s v="ldpapp01, ldpdb01"/>
    <n v="2"/>
    <s v="Windows Server 2008 R2"/>
    <s v="SQL Server 2008 R2"/>
    <s v="US DC-1"/>
    <d v="2020-01-14T00:00:00"/>
    <s v="Both"/>
    <n v="420"/>
    <s v="Y"/>
    <n v="7"/>
    <s v="Y"/>
    <s v="Data archive"/>
    <n v="2"/>
    <s v="Partial"/>
    <s v="N"/>
    <s v="N"/>
    <n v="31000"/>
    <d v="2028-12-31T00:00:00"/>
    <n v="32000"/>
    <n v="16500"/>
    <n v="23.272727272727273"/>
    <n v="3"/>
    <x v="1"/>
    <x v="1"/>
    <x v="1"/>
    <x v="18"/>
    <x v="4"/>
    <s v="Awaiting dependency mapping"/>
  </r>
  <r>
    <n v="136912"/>
    <s v="Shipment Tracker (APAC)"/>
    <s v="Logistics"/>
    <s v="Supply Chain"/>
    <s v="Internal"/>
    <s v="Priya Sharma"/>
    <s v="Tara Khanna"/>
    <s v="Cloud Platform Team"/>
    <n v="15"/>
    <d v="2021-02-13T00:00:00"/>
    <s v="Low use"/>
    <n v="3"/>
    <n v="2"/>
    <m/>
    <s v="On-prem DC"/>
    <s v="sta-app01–04, sta-db01"/>
    <n v="5"/>
    <s v="Windows Server 2008"/>
    <s v="SQL Server 2008"/>
    <s v="EU DC-1"/>
    <d v="2019-07-09T00:00:00"/>
    <s v="Structured"/>
    <n v="65"/>
    <s v="N"/>
    <n v="3"/>
    <s v="Y"/>
    <s v="Archive + read-only"/>
    <n v="6"/>
    <s v="Y"/>
    <s v="Partial"/>
    <s v="N"/>
    <n v="210000"/>
    <d v="2031-10-31T00:00:00"/>
    <n v="126500"/>
    <n v="133000"/>
    <n v="11.413533834586467"/>
    <n v="2"/>
    <x v="1"/>
    <x v="0"/>
    <x v="1"/>
    <x v="0"/>
    <x v="1"/>
    <s v="Retention 3 yrs - archive slot booked"/>
  </r>
  <r>
    <n v="196675"/>
    <s v="Monitoring Console (APAC)"/>
    <s v="Monitoring"/>
    <s v="IT"/>
    <s v="Internal"/>
    <s v="Diego Alvarez"/>
    <s v="Manon Chevalier"/>
    <s v="SaaS Vendor Mgmt"/>
    <n v="16"/>
    <d v="2021-03-19T00:00:00"/>
    <s v="Low use"/>
    <n v="1"/>
    <n v="4"/>
    <s v="ServiceNow"/>
    <s v="SaaS"/>
    <s v="N/A (SaaS)"/>
    <n v="0"/>
    <s v="N/A"/>
    <s v="N/A"/>
    <s v="Vendor cloud (EU)"/>
    <m/>
    <s v="Structured"/>
    <n v="650"/>
    <s v="N"/>
    <n v="5"/>
    <s v="N"/>
    <s v="None"/>
    <n v="3"/>
    <s v="Y"/>
    <s v="N"/>
    <s v="Y"/>
    <n v="40500"/>
    <d v="2030-03-31T00:00:00"/>
    <n v="48000"/>
    <n v="27000"/>
    <n v="21.333333333333332"/>
    <n v="3"/>
    <x v="2"/>
    <x v="2"/>
    <x v="1"/>
    <x v="20"/>
    <x v="1"/>
    <s v="No active users; switch-off confirmed with owner"/>
  </r>
  <r>
    <n v="39279"/>
    <s v="Tax Compliance Tool Plus"/>
    <s v="Tax"/>
    <s v="Finance"/>
    <s v="Internal"/>
    <s v="Pierre Roux"/>
    <s v="Tara Khanna"/>
    <s v="SaaS Vendor Mgmt"/>
    <n v="720"/>
    <d v="2021-03-30T00:00:00"/>
    <s v="Active"/>
    <n v="4"/>
    <n v="2"/>
    <s v="BlackLine"/>
    <s v="SaaS"/>
    <s v="N/A (SaaS)"/>
    <n v="0"/>
    <s v="N/A"/>
    <s v="N/A"/>
    <s v="Vendor cloud (EU)"/>
    <m/>
    <s v="Structured"/>
    <n v="400"/>
    <s v="N"/>
    <n v="2"/>
    <s v="Y"/>
    <s v="Read-only access"/>
    <n v="28"/>
    <s v="Partial"/>
    <s v="Y"/>
    <s v="Y"/>
    <n v="165000"/>
    <d v="2028-07-31T00:00:00"/>
    <n v="278000"/>
    <n v="66000"/>
    <n v="50.545454545454547"/>
    <n v="1"/>
    <x v="0"/>
    <x v="0"/>
    <x v="1"/>
    <x v="20"/>
    <x v="1"/>
    <s v="Cut-over planned for May-22; parallel run scheduled"/>
  </r>
  <r>
    <n v="83598"/>
    <s v="Global CMDB Lite (UK)"/>
    <s v="Config Mgmt"/>
    <s v="IT"/>
    <s v="Internal"/>
    <s v="Julia Rao"/>
    <s v="Sameer Joshi"/>
    <s v="Plant IT Services"/>
    <n v="2"/>
    <d v="2020-01-15T00:00:00"/>
    <s v="Not in use"/>
    <n v="3"/>
    <n v="2"/>
    <m/>
    <s v="On-prem DC"/>
    <s v="gcl-app01–04, gcl-db01"/>
    <n v="5"/>
    <s v="AIX 6.1"/>
    <s v="DB2 9.7"/>
    <s v="US DC-1"/>
    <d v="2017-04-30T00:00:00"/>
    <s v="Both"/>
    <n v="240"/>
    <s v="N"/>
    <n v="5"/>
    <s v="N"/>
    <s v="None"/>
    <n v="15"/>
    <s v="Y"/>
    <s v="Partial"/>
    <s v="Partial"/>
    <n v="105000"/>
    <d v="2035-02-28T00:00:00"/>
    <n v="53000"/>
    <n v="92000"/>
    <n v="6.9130434782608692"/>
    <n v="2"/>
    <x v="2"/>
    <x v="2"/>
    <x v="1"/>
    <x v="21"/>
    <x v="1"/>
    <s v="Functionality covered by existing tools"/>
  </r>
  <r>
    <n v="63735"/>
    <s v="Shared Warehouse Mgmt System Lite"/>
    <s v="Warehouse Mgmt"/>
    <s v="Supply Chain"/>
    <s v="Internal"/>
    <s v="Diego Alvarez"/>
    <s v="Theo Lopez"/>
    <s v="Database Services"/>
    <n v="17"/>
    <d v="2021-04-14T00:00:00"/>
    <s v="Low use"/>
    <n v="1"/>
    <n v="3"/>
    <m/>
    <s v="IaaS"/>
    <s v="swmapp01"/>
    <n v="1"/>
    <s v="SUSE Linux 11"/>
    <s v="Oracle 11g"/>
    <s v="AWS us-east-1"/>
    <d v="2019-03-31T00:00:00"/>
    <s v="Both"/>
    <n v="68"/>
    <s v="N"/>
    <n v="2"/>
    <s v="N"/>
    <s v="None"/>
    <n v="6"/>
    <s v="Partial"/>
    <s v="Y"/>
    <s v="Partial"/>
    <n v="9500"/>
    <d v="2028-11-30T00:00:00"/>
    <n v="12500"/>
    <n v="9000"/>
    <n v="16.666666666666664"/>
    <n v="3"/>
    <x v="2"/>
    <x v="2"/>
    <x v="1"/>
    <x v="20"/>
    <x v="4"/>
    <s v="Retention requirement to be confirmed"/>
  </r>
  <r>
    <n v="22340"/>
    <s v="Legacy Licence Manager 2012"/>
    <s v="Licence Mgmt"/>
    <s v="IT"/>
    <s v="Internal"/>
    <s v="Diego Alvarez"/>
    <s v="Ishaan Desai"/>
    <s v="Cloud Platform Team"/>
    <n v="3"/>
    <d v="2020-08-08T00:00:00"/>
    <s v="Not in use"/>
    <n v="1"/>
    <n v="3"/>
    <m/>
    <s v="PaaS"/>
    <s v="Azure App Service (PaaS)"/>
    <n v="0"/>
    <s v="N/A (PaaS)"/>
    <s v="Azure SQL"/>
    <s v="Azure West Europe"/>
    <m/>
    <s v="Structured"/>
    <n v="23"/>
    <s v="N"/>
    <n v="5"/>
    <s v="Y"/>
    <s v="Data archive"/>
    <n v="4"/>
    <s v="Y"/>
    <s v="Partial"/>
    <s v="Y"/>
    <n v="28500"/>
    <d v="2027-11-30T00:00:00"/>
    <n v="35000"/>
    <n v="18000"/>
    <n v="23.333333333333332"/>
    <n v="2"/>
    <x v="1"/>
    <x v="1"/>
    <x v="1"/>
    <x v="20"/>
    <x v="1"/>
    <s v="Read-only access needed for audit"/>
  </r>
  <r>
    <n v="51675"/>
    <s v="Document Repository v4"/>
    <s v="Document Mgmt"/>
    <s v="IT"/>
    <s v="Internal"/>
    <s v="Antoine Patel"/>
    <s v="Remi Masson"/>
    <s v="Database Services"/>
    <n v="4"/>
    <d v="2021-04-23T00:00:00"/>
    <s v="Low use"/>
    <n v="1"/>
    <n v="4"/>
    <m/>
    <s v="On-prem DC"/>
    <s v="drvapp01, drvdb01"/>
    <n v="2"/>
    <s v="Windows Server 2008"/>
    <s v="SQL Server 2008"/>
    <s v="EU DC-2"/>
    <d v="2019-07-09T00:00:00"/>
    <s v="Structured"/>
    <n v="1010"/>
    <s v="N"/>
    <n v="7"/>
    <s v="N"/>
    <s v="None"/>
    <n v="2"/>
    <s v="Partial"/>
    <s v="N"/>
    <s v="Y"/>
    <n v="43000"/>
    <d v="2027-06-30T00:00:00"/>
    <n v="47000"/>
    <n v="36000"/>
    <n v="15.666666666666668"/>
    <n v="3"/>
    <x v="2"/>
    <x v="2"/>
    <x v="1"/>
    <x v="21"/>
    <x v="1"/>
    <s v="No active users; switch-off confirmed with owner_x000a_Blocker: Vendor notice period of 12 months_x000a_Q: Can the contract end be brought forward?"/>
  </r>
  <r>
    <n v="137415"/>
    <s v="Legacy Quote Manager Lite"/>
    <s v="Quoting"/>
    <s v="Sales"/>
    <s v="Internal"/>
    <s v="Sophie Dubois"/>
    <s v="Adrien Colin"/>
    <s v="Cloud Platform Team"/>
    <n v="67"/>
    <d v="2021-04-27T00:00:00"/>
    <s v="Active"/>
    <n v="2"/>
    <n v="4"/>
    <s v="TBD"/>
    <s v="On-prem DC"/>
    <s v="lqmapp01"/>
    <n v="1"/>
    <s v="Windows Server 2008 R2"/>
    <s v="SQL Server 2008 R2"/>
    <s v="EU DC-2"/>
    <d v="2020-01-14T00:00:00"/>
    <s v="Structured"/>
    <n v="5530"/>
    <s v="Y"/>
    <n v="5"/>
    <s v="Y"/>
    <s v="Read-only access"/>
    <n v="0"/>
    <s v="N"/>
    <s v="Y"/>
    <s v="N"/>
    <n v="35000"/>
    <d v="2025-01-31T00:00:00"/>
    <n v="135500"/>
    <n v="28000"/>
    <n v="58.071428571428569"/>
    <n v="2"/>
    <x v="1"/>
    <x v="0"/>
    <x v="1"/>
    <x v="19"/>
    <x v="1"/>
    <s v="Archive format agreed; load scheduled before switch-off"/>
  </r>
  <r>
    <n v="169482"/>
    <s v="Legacy Document Repository v2"/>
    <s v="Document Mgmt"/>
    <s v="IT"/>
    <s v="Internal"/>
    <s v="Sara Kapoor"/>
    <s v="Rohan Bhatt"/>
    <s v="SaaS Vendor Mgmt"/>
    <n v="231"/>
    <d v="2021-04-24T00:00:00"/>
    <s v="Active"/>
    <n v="3"/>
    <n v="4"/>
    <s v="Microsoft 365"/>
    <s v="SaaS"/>
    <s v="N/A (SaaS)"/>
    <n v="0"/>
    <s v="N/A"/>
    <s v="N/A"/>
    <s v="Vendor cloud (EU)"/>
    <m/>
    <s v="Both"/>
    <n v="640"/>
    <s v="N"/>
    <n v="7"/>
    <s v="Y"/>
    <s v="Legal hold"/>
    <n v="2"/>
    <s v="Partial"/>
    <s v="Partial"/>
    <s v="Partial"/>
    <n v="26500"/>
    <d v="2029-12-31T00:00:00"/>
    <n v="24500"/>
    <n v="11500"/>
    <n v="25.565217391304351"/>
    <n v="1"/>
    <x v="1"/>
    <x v="1"/>
    <x v="1"/>
    <x v="16"/>
    <x v="4"/>
    <s v="Replacement option being confirmed_x000a_Blocker: Month-end close dependency_x000a_Q: Can the cut-over avoid the quarter-end freeze?"/>
  </r>
  <r>
    <n v="75871"/>
    <s v="Global Org Chart Publisher"/>
    <s v="Org Mgmt"/>
    <s v="HR"/>
    <s v="External"/>
    <s v="Rahul Iyer"/>
    <s v="Ishaan Desai"/>
    <s v="Database Services"/>
    <n v="0"/>
    <d v="2019-11-08T00:00:00"/>
    <s v="Not in use"/>
    <n v="3"/>
    <n v="4"/>
    <m/>
    <s v="IaaS"/>
    <s v="gocapp01, gocdb01, gocweb01"/>
    <n v="3"/>
    <s v="Windows Server 2016"/>
    <s v="SQL Server 2017"/>
    <s v="AWS eu-west-1"/>
    <d v="2027-01-12T00:00:00"/>
    <s v="Unstructured"/>
    <n v="920"/>
    <s v="Y"/>
    <n v="10"/>
    <s v="Y"/>
    <s v="Archive + read-only"/>
    <n v="3"/>
    <s v="Y"/>
    <s v="Partial"/>
    <s v="Partial"/>
    <n v="40000"/>
    <d v="2027-06-30T00:00:00"/>
    <n v="87500"/>
    <n v="29000"/>
    <n v="36.206896551724135"/>
    <n v="1"/>
    <x v="1"/>
    <x v="1"/>
    <x v="1"/>
    <x v="19"/>
    <x v="4"/>
    <s v="Awaiting dependency mapping"/>
  </r>
  <r>
    <n v="169972"/>
    <s v="Departmental Newsletter Mailer (UK)"/>
    <s v="Email"/>
    <s v="Marketing"/>
    <s v="Partner"/>
    <s v="Lucas Bernard"/>
    <s v="Varun Malhotra"/>
    <s v="Wintel Platform Team"/>
    <n v="6"/>
    <d v="2020-06-03T00:00:00"/>
    <s v="Not in use"/>
    <n v="4"/>
    <n v="1"/>
    <s v="Marketo"/>
    <s v="IaaS"/>
    <s v="dnmapp01, dnmdb01, dnmweb01, dnmfs01"/>
    <n v="4"/>
    <s v="Windows Server 2016"/>
    <s v="SQL Server 2016"/>
    <s v="Azure West Europe"/>
    <d v="2026-07-14T00:00:00"/>
    <s v="Unstructured"/>
    <n v="300"/>
    <s v="Y"/>
    <n v="10"/>
    <s v="N"/>
    <s v="None"/>
    <n v="64"/>
    <s v="Partial"/>
    <s v="Partial"/>
    <s v="Y"/>
    <n v="125000"/>
    <d v="2035-06-30T00:00:00"/>
    <n v="447000"/>
    <n v="94500"/>
    <n v="56.761904761904759"/>
    <n v="2"/>
    <x v="0"/>
    <x v="2"/>
    <x v="1"/>
    <x v="18"/>
    <x v="1"/>
    <s v="Cut-over planned for Mar-22; parallel run scheduled"/>
  </r>
  <r>
    <n v="51864"/>
    <s v="Production Scheduler Classic"/>
    <s v="Production Planning"/>
    <s v="Operations"/>
    <s v="External"/>
    <s v="Laura Martin"/>
    <s v="Varun Malhotra"/>
    <s v="Database Services"/>
    <n v="79"/>
    <d v="2021-04-07T00:00:00"/>
    <s v="Active"/>
    <n v="5"/>
    <n v="2"/>
    <s v="Fiix"/>
    <s v="On-prem DC"/>
    <s v="psc-app01–04, psc-db01"/>
    <n v="5"/>
    <s v="RHEL 8"/>
    <s v="Oracle 19c"/>
    <s v="EU DC-2"/>
    <d v="2029-05-31T00:00:00"/>
    <s v="Structured"/>
    <n v="26"/>
    <s v="N"/>
    <n v="5"/>
    <s v="N"/>
    <s v="None"/>
    <n v="7"/>
    <s v="N"/>
    <s v="Y"/>
    <s v="Partial"/>
    <n v="80000"/>
    <d v="2032-03-31T00:00:00"/>
    <n v="30500"/>
    <n v="47000"/>
    <n v="7.787234042553191"/>
    <n v="1"/>
    <x v="0"/>
    <x v="2"/>
    <x v="1"/>
    <x v="12"/>
    <x v="4"/>
    <s v="Awaiting dependency mapping"/>
  </r>
  <r>
    <n v="185074"/>
    <s v="Corporate GL Consolidation Tool (DE)"/>
    <s v="General Ledger"/>
    <s v="Finance"/>
    <s v="Internal"/>
    <s v="Diego Alvarez"/>
    <s v="Manon Chevalier"/>
    <s v="Unix Platform Team"/>
    <n v="39"/>
    <d v="2021-04-05T00:00:00"/>
    <s v="Active"/>
    <n v="3"/>
    <n v="4"/>
    <s v="Coupa"/>
    <s v="IaaS"/>
    <s v="cgcapp01, cgcdb01"/>
    <n v="2"/>
    <s v="Solaris 10"/>
    <s v="Oracle 11g"/>
    <s v="AWS eu-west-1"/>
    <d v="2021-01-31T00:00:00"/>
    <s v="Structured"/>
    <n v="380"/>
    <s v="Y"/>
    <n v="7"/>
    <s v="N"/>
    <s v="None"/>
    <n v="2"/>
    <s v="Partial"/>
    <s v="Partial"/>
    <s v="N"/>
    <n v="22500"/>
    <d v="2026-05-31T00:00:00"/>
    <n v="30500"/>
    <n v="19000"/>
    <n v="19.263157894736842"/>
    <n v="2"/>
    <x v="2"/>
    <x v="2"/>
    <x v="1"/>
    <x v="22"/>
    <x v="4"/>
    <s v="Awaiting dependency mapping"/>
  </r>
  <r>
    <n v="29508"/>
    <s v="Regional Tax Compliance Tool Plus"/>
    <s v="Tax"/>
    <s v="Finance"/>
    <s v="Partner"/>
    <s v="Meera Dubois"/>
    <s v="Manon Chevalier"/>
    <s v="Wintel Platform Team"/>
    <n v="0"/>
    <d v="2020-02-26T00:00:00"/>
    <s v="Not in use"/>
    <n v="2"/>
    <n v="3"/>
    <m/>
    <s v="On-prem DC"/>
    <s v="rtcapp01"/>
    <n v="1"/>
    <s v="RHEL 6"/>
    <s v="Oracle 11g"/>
    <s v="US DC-1"/>
    <d v="2020-11-30T00:00:00"/>
    <s v="Structured"/>
    <n v="41"/>
    <s v="Y"/>
    <n v="7"/>
    <s v="N"/>
    <s v="None"/>
    <n v="4"/>
    <s v="Partial"/>
    <s v="Partial"/>
    <s v="Partial"/>
    <n v="8500"/>
    <d v="2026-11-30T00:00:00"/>
    <n v="8500"/>
    <n v="7000"/>
    <n v="14.571428571428569"/>
    <n v="3"/>
    <x v="2"/>
    <x v="2"/>
    <x v="1"/>
    <x v="18"/>
    <x v="4"/>
    <s v="Retention requirement to be confirmed"/>
  </r>
  <r>
    <n v="47137"/>
    <s v="Regional Licence Manager (Nordics)"/>
    <s v="Licence Mgmt"/>
    <s v="IT"/>
    <s v="Internal"/>
    <s v="Sophie Dubois"/>
    <s v="Remi Masson"/>
    <s v="SaaS Vendor Mgmt"/>
    <n v="63"/>
    <d v="2021-03-29T00:00:00"/>
    <s v="Active"/>
    <n v="3"/>
    <n v="2"/>
    <s v="ServiceNow"/>
    <s v="SaaS"/>
    <s v="N/A (SaaS)"/>
    <n v="0"/>
    <s v="N/A"/>
    <s v="N/A"/>
    <s v="Vendor cloud (EU)"/>
    <d v="2023-11-30T00:00:00"/>
    <s v="Unstructured"/>
    <n v="120"/>
    <s v="N"/>
    <n v="3"/>
    <s v="N"/>
    <s v="None"/>
    <n v="8"/>
    <s v="Partial"/>
    <s v="Y"/>
    <s v="N"/>
    <n v="215000"/>
    <d v="2026-01-31T00:00:00"/>
    <n v="290500"/>
    <n v="83000"/>
    <n v="42"/>
    <n v="1"/>
    <x v="0"/>
    <x v="2"/>
    <x v="1"/>
    <x v="0"/>
    <x v="1"/>
    <s v="Funding approved; migration to ServiceNow scheduled"/>
  </r>
  <r>
    <n v="134800"/>
    <s v="Expense Portal Plus"/>
    <s v="Expense Mgmt"/>
    <s v="Finance"/>
    <s v="Internal"/>
    <s v="Hannah Weber"/>
    <s v="Hugo Perrin"/>
    <s v="SaaS Vendor Mgmt"/>
    <n v="0"/>
    <d v="2021-04-03T00:00:00"/>
    <s v="Not in use"/>
    <n v="1"/>
    <n v="3"/>
    <m/>
    <s v="SaaS"/>
    <s v="N/A (SaaS)"/>
    <n v="0"/>
    <s v="N/A"/>
    <s v="N/A"/>
    <s v="Vendor cloud (EU)"/>
    <d v="2022-12-31T00:00:00"/>
    <s v="Structured"/>
    <n v="6490"/>
    <s v="Y"/>
    <n v="5"/>
    <s v="N"/>
    <s v="None"/>
    <n v="5"/>
    <s v="Partial"/>
    <s v="Y"/>
    <s v="Partial"/>
    <n v="11500"/>
    <d v="2034-09-30T00:00:00"/>
    <n v="32000"/>
    <n v="7000"/>
    <n v="54.857142857142854"/>
    <n v="2"/>
    <x v="2"/>
    <x v="2"/>
    <x v="1"/>
    <x v="12"/>
    <x v="1"/>
    <s v="Owner sign-off received; switch-off scheduled"/>
  </r>
  <r>
    <n v="119660"/>
    <s v="Intranet (SharePoint) v3"/>
    <s v="Collaboration"/>
    <s v="IT"/>
    <s v="Internal"/>
    <s v="Hannah Weber"/>
    <s v="Tara Khanna"/>
    <s v="Wintel Platform Team"/>
    <n v="4"/>
    <d v="2019-11-29T00:00:00"/>
    <s v="Not in use"/>
    <n v="3"/>
    <n v="4"/>
    <m/>
    <s v="On-prem DC"/>
    <s v="isvapp01"/>
    <n v="1"/>
    <s v="TBD"/>
    <s v="TBD"/>
    <s v="US DC-1"/>
    <d v="2026-07-14T00:00:00"/>
    <s v="Both"/>
    <n v="220"/>
    <s v="Y"/>
    <n v="10"/>
    <s v="Y"/>
    <s v="Archive + read-only"/>
    <n v="0"/>
    <s v="N"/>
    <s v="Partial"/>
    <s v="Partial"/>
    <n v="26000"/>
    <d v="2029-03-31T00:00:00"/>
    <n v="13500"/>
    <n v="15500"/>
    <n v="10.451612903225806"/>
    <n v="1"/>
    <x v="1"/>
    <x v="1"/>
    <x v="1"/>
    <x v="16"/>
    <x v="4"/>
    <s v="Replacement option being confirmed_x000a_Blocker: Interface owners not yet identified_x000a_Q: Which teams consume the outbound feeds?"/>
  </r>
  <r>
    <n v="175504"/>
    <s v="Shared Tax Compliance Tool"/>
    <s v="Tax"/>
    <s v="Finance"/>
    <s v="Internal"/>
    <s v="Priya Sharma"/>
    <s v="Ishaan Desai"/>
    <s v="Infra Ops US"/>
    <n v="18"/>
    <d v="2020-12-19T00:00:00"/>
    <s v="Low use"/>
    <n v="2"/>
    <n v="3"/>
    <m/>
    <s v="On-prem DC"/>
    <s v="stcapp01"/>
    <n v="1"/>
    <s v="RHEL 6"/>
    <s v="Oracle 11g"/>
    <s v="TBD"/>
    <d v="2020-11-30T00:00:00"/>
    <s v="Unstructured"/>
    <n v="240"/>
    <s v="Y"/>
    <n v="7"/>
    <s v="Y"/>
    <s v="Reporting extract"/>
    <n v="8"/>
    <s v="Partial"/>
    <s v="Partial"/>
    <s v="N"/>
    <n v="12500"/>
    <d v="2033-07-31T00:00:00"/>
    <n v="8500"/>
    <n v="10000"/>
    <n v="10.199999999999999"/>
    <n v="3"/>
    <x v="1"/>
    <x v="0"/>
    <x v="1"/>
    <x v="15"/>
    <x v="1"/>
    <s v="Read-only access needed for audit"/>
  </r>
  <r>
    <n v="190321"/>
    <s v="Benefits Enrolment"/>
    <s v="Benefits"/>
    <s v="HR"/>
    <s v="Internal"/>
    <s v="Neha Nair"/>
    <s v="Chloe Vidal"/>
    <s v="SaaS Vendor Mgmt"/>
    <n v="163"/>
    <d v="2021-04-22T00:00:00"/>
    <s v="Active"/>
    <n v="2"/>
    <n v="3"/>
    <s v="Workday HCM"/>
    <s v="SaaS"/>
    <s v="N/A (SaaS)"/>
    <n v="0"/>
    <s v="N/A"/>
    <s v="N/A"/>
    <s v="Vendor cloud (EU)"/>
    <m/>
    <s v="Both"/>
    <n v="2210"/>
    <s v="N"/>
    <n v="2"/>
    <s v="N"/>
    <s v="None"/>
    <n v="2"/>
    <s v="Y"/>
    <s v="Partial"/>
    <s v="Y"/>
    <n v="110000"/>
    <d v="2025-06-30T00:00:00"/>
    <n v="109500"/>
    <n v="68500"/>
    <n v="19.182481751824817"/>
    <n v="2"/>
    <x v="2"/>
    <x v="2"/>
    <x v="1"/>
    <x v="18"/>
    <x v="1"/>
    <s v="Functionality covered by existing tools_x000a_Blocker: Month-end close dependency_x000a_Q: Can the cut-over avoid the quarter-end freeze?"/>
  </r>
  <r>
    <n v="97406"/>
    <s v="Credit Check Portal v2"/>
    <s v="Credit Mgmt"/>
    <s v="Finance"/>
    <s v="Internal"/>
    <s v="Hannah Weber"/>
    <s v="Ananya Pillai"/>
    <s v="Infra Ops US"/>
    <n v="3"/>
    <d v="2021-04-21T00:00:00"/>
    <s v="Low use"/>
    <n v="4"/>
    <n v="2"/>
    <m/>
    <s v="On-prem DC"/>
    <s v="ccpapp01, ccpdb01, ccpweb01"/>
    <n v="3"/>
    <s v="Windows Server 2008 R2"/>
    <s v="SQL Server 2008 R2"/>
    <s v="Plant DC"/>
    <d v="2020-01-14T00:00:00"/>
    <s v="Structured"/>
    <n v="1"/>
    <s v="Y"/>
    <n v="10"/>
    <s v="N"/>
    <s v="None"/>
    <n v="20"/>
    <s v="Partial"/>
    <s v="Partial"/>
    <s v="Partial"/>
    <n v="80000"/>
    <d v="2032-05-31T00:00:00"/>
    <n v="129500"/>
    <n v="64500"/>
    <n v="24.093023255813954"/>
    <n v="2"/>
    <x v="2"/>
    <x v="2"/>
    <x v="1"/>
    <x v="18"/>
    <x v="1"/>
    <s v="No active users; switch-off confirmed with owner"/>
  </r>
  <r>
    <n v="128872"/>
    <s v="Regional Quote Manager"/>
    <s v="Quoting"/>
    <s v="Sales"/>
    <s v="Internal"/>
    <s v="Oscar Lindqvist"/>
    <s v="Louis Faure"/>
    <s v="Infra Ops EMEA"/>
    <n v="0"/>
    <d v="2020-04-23T00:00:00"/>
    <s v="Not in use"/>
    <n v="1"/>
    <n v="3"/>
    <m/>
    <s v="On-prem DC"/>
    <s v="rqmapp01, rqmdb01, rqmweb01, rqmfs01"/>
    <n v="4"/>
    <s v="Ubuntu 20.04"/>
    <s v="MySQL 8.0"/>
    <s v="EU DC-2"/>
    <d v="2025-04-30T00:00:00"/>
    <s v="Structured"/>
    <n v="500"/>
    <s v="Y"/>
    <n v="10"/>
    <s v="Y"/>
    <s v="Archive + read-only"/>
    <n v="4"/>
    <s v="Y"/>
    <s v="N"/>
    <s v="Partial"/>
    <n v="50000"/>
    <d v="2032-11-30T00:00:00"/>
    <n v="95000"/>
    <n v="42500"/>
    <n v="26.823529411764707"/>
    <n v="2"/>
    <x v="1"/>
    <x v="1"/>
    <x v="1"/>
    <x v="0"/>
    <x v="1"/>
    <s v="Retention 10 yrs - archive slot booked"/>
  </r>
  <r>
    <n v="13123"/>
    <s v="Departmental Benefits Enrolment 2010"/>
    <s v="Benefits"/>
    <s v="HR"/>
    <s v="External"/>
    <s v="Antoine Patel"/>
    <s v="Omar Haddad"/>
    <s v="Plant IT Services"/>
    <n v="232"/>
    <d v="2021-04-23T00:00:00"/>
    <s v="Active"/>
    <n v="5"/>
    <n v="2"/>
    <s v="Workday Recruiting"/>
    <s v="IaaS"/>
    <s v="dbeapp01, dbedb01, dbeweb01"/>
    <n v="3"/>
    <s v="RHEL 6"/>
    <s v="Oracle 11g"/>
    <s v="AWS us-east-1"/>
    <d v="2020-11-30T00:00:00"/>
    <s v="Structured"/>
    <n v="220"/>
    <s v="Y"/>
    <n v="5"/>
    <s v="Y"/>
    <s v="Read-only access"/>
    <n v="20"/>
    <s v="Partial"/>
    <s v="N"/>
    <s v="N"/>
    <n v="50000"/>
    <d v="2028-08-31T00:00:00"/>
    <n v="52500"/>
    <n v="33500"/>
    <n v="18.805970149253731"/>
    <n v="2"/>
    <x v="0"/>
    <x v="0"/>
    <x v="1"/>
    <x v="14"/>
    <x v="4"/>
    <s v="Replacement option being confirmed_x000a_Blocker: Replacement rollout dependency_x000a_Q: What is the go-live date of the target platform?"/>
  </r>
  <r>
    <n v="142019"/>
    <s v="Expense Portal Classic"/>
    <s v="Expense Mgmt"/>
    <s v="Finance"/>
    <s v="External"/>
    <s v="Sara Kapoor"/>
    <s v="Varun Malhotra"/>
    <s v="SaaS Vendor Mgmt"/>
    <n v="5615"/>
    <d v="2021-04-03T00:00:00"/>
    <s v="Active"/>
    <n v="4"/>
    <n v="2"/>
    <s v="SAP S/4HANA"/>
    <s v="SaaS"/>
    <s v="N/A (SaaS)"/>
    <n v="0"/>
    <s v="N/A"/>
    <s v="N/A"/>
    <s v="Vendor cloud (EU)"/>
    <d v="2023-02-28T00:00:00"/>
    <s v="Unstructured"/>
    <n v="200"/>
    <s v="Y"/>
    <n v="5"/>
    <s v="N"/>
    <s v="None"/>
    <n v="15"/>
    <s v="Partial"/>
    <s v="Partial"/>
    <s v="Partial"/>
    <n v="60000"/>
    <d v="2035-09-30T00:00:00"/>
    <n v="69000"/>
    <n v="25500"/>
    <n v="32.470588235294116"/>
    <n v="1"/>
    <x v="0"/>
    <x v="2"/>
    <x v="1"/>
    <x v="19"/>
    <x v="1"/>
    <s v="3 feeds to re-point to SAP S/4HANA"/>
  </r>
  <r>
    <n v="164339"/>
    <s v="Regional Credit Check Portal (DE)"/>
    <s v="Credit Mgmt"/>
    <s v="Finance"/>
    <s v="Internal"/>
    <s v="Elena Garcia"/>
    <s v="Ananya Pillai"/>
    <s v="Cloud Platform Team"/>
    <n v="0"/>
    <d v="2020-07-07T00:00:00"/>
    <s v="Not in use"/>
    <n v="1"/>
    <n v="4"/>
    <s v="SAP Concur"/>
    <s v="On-prem DC"/>
    <s v="rccapp01, rccdb01, rccweb01"/>
    <n v="3"/>
    <s v="Windows Server 2019"/>
    <s v="SQL Server 2019"/>
    <s v="US DC-1"/>
    <d v="2029-01-09T00:00:00"/>
    <s v="Structured"/>
    <n v="440"/>
    <s v="Y"/>
    <n v="7"/>
    <s v="N"/>
    <s v="None"/>
    <n v="3"/>
    <s v="Y"/>
    <s v="N"/>
    <s v="N"/>
    <n v="38500"/>
    <d v="2028-04-30T00:00:00"/>
    <n v="20500"/>
    <n v="33000"/>
    <n v="7.454545454545455"/>
    <n v="3"/>
    <x v="2"/>
    <x v="2"/>
    <x v="1"/>
    <x v="15"/>
    <x v="1"/>
    <s v="Owner sign-off received; switch-off scheduled"/>
  </r>
  <r>
    <n v="39249"/>
    <s v="Sales Forecast Tool (FR)"/>
    <s v="Sales Planning"/>
    <s v="Sales"/>
    <s v="Internal"/>
    <s v="Arjun Lambert"/>
    <s v="Ananya Pillai"/>
    <s v="SaaS Vendor Mgmt"/>
    <n v="106"/>
    <d v="2021-03-28T00:00:00"/>
    <s v="Active"/>
    <n v="3"/>
    <n v="3"/>
    <s v="TBD"/>
    <s v="SaaS"/>
    <s v="N/A (SaaS)"/>
    <n v="0"/>
    <s v="N/A"/>
    <s v="N/A"/>
    <s v="Vendor cloud (EU)"/>
    <m/>
    <s v="Structured"/>
    <n v="15"/>
    <s v="N"/>
    <n v="1"/>
    <s v="N"/>
    <s v="None"/>
    <n v="1"/>
    <s v="Partial"/>
    <s v="N"/>
    <s v="N"/>
    <n v="115000"/>
    <d v="2026-09-30T00:00:00"/>
    <n v="59000"/>
    <n v="80500"/>
    <n v="8.7950310559006226"/>
    <n v="0"/>
    <x v="2"/>
    <x v="2"/>
    <x v="1"/>
    <x v="22"/>
    <x v="1"/>
    <s v="No active users; switch-off confirmed with owner_x000a_Blocker: Replacement not yet funded_x000a_Q: Is budget confirmed in the next planning cycle?"/>
  </r>
  <r>
    <n v="110203"/>
    <s v="Shared Recruitment Tracker Lite"/>
    <s v="Recruitment"/>
    <s v="HR"/>
    <s v="Internal"/>
    <s v="Arjun Lambert"/>
    <s v="Varun Malhotra"/>
    <s v="Plant IT Services"/>
    <n v="261"/>
    <d v="2021-04-09T00:00:00"/>
    <s v="Active"/>
    <n v="3"/>
    <n v="3"/>
    <s v="Workday Recruiting"/>
    <s v="IaaS"/>
    <s v="srtapp01, srtdb01, srtweb01"/>
    <n v="3"/>
    <s v="AIX 7.1"/>
    <s v="DB2 10.5"/>
    <s v="Azure West Europe"/>
    <d v="2023-04-30T00:00:00"/>
    <s v="Unstructured"/>
    <n v="2480"/>
    <s v="Y"/>
    <n v="10"/>
    <s v="Y"/>
    <s v="Data archive"/>
    <n v="5"/>
    <s v="Partial"/>
    <s v="N"/>
    <s v="Y"/>
    <n v="24500"/>
    <d v="2030-08-31T00:00:00"/>
    <n v="60000"/>
    <n v="21000"/>
    <n v="34.285714285714285"/>
    <n v="1"/>
    <x v="0"/>
    <x v="0"/>
    <x v="1"/>
    <x v="12"/>
    <x v="4"/>
    <s v="Replacement option being confirmed_x000a_Blocker: Replacement not yet funded_x000a_Q: Is budget confirmed in the next planning cycle?"/>
  </r>
  <r>
    <n v="91317"/>
    <s v="Departmental Campaign DB v2"/>
    <s v="Campaign Mgmt"/>
    <s v="Marketing"/>
    <s v="Internal"/>
    <s v="Julia Rao"/>
    <s v="Theo Lopez"/>
    <s v="Infra Ops EMEA"/>
    <n v="5"/>
    <d v="2021-02-16T00:00:00"/>
    <s v="Low use"/>
    <n v="2"/>
    <n v="4"/>
    <s v="Qualtrics"/>
    <s v="IaaS"/>
    <s v="fs-dcd02 (file share)"/>
    <n v="1"/>
    <s v="Windows Server 2012 R2"/>
    <s v="MS Access 2010"/>
    <s v="AWS eu-west-1"/>
    <d v="2023-10-10T00:00:00"/>
    <s v="Both"/>
    <n v="260"/>
    <s v="Y"/>
    <n v="7"/>
    <s v="N"/>
    <s v="None"/>
    <n v="0"/>
    <s v="Partial"/>
    <s v="Partial"/>
    <s v="Partial"/>
    <n v="19000"/>
    <d v="2025-03-31T00:00:00"/>
    <n v="19000"/>
    <n v="16000"/>
    <n v="14.25"/>
    <n v="3"/>
    <x v="0"/>
    <x v="2"/>
    <x v="1"/>
    <x v="19"/>
    <x v="4"/>
    <s v="Replacement option being confirmed"/>
  </r>
  <r>
    <n v="152484"/>
    <s v="GL Consolidation Tool Lite"/>
    <s v="General Ledger"/>
    <s v="Finance"/>
    <s v="Internal"/>
    <s v="Priya Sharma"/>
    <s v="Manon Chevalier"/>
    <s v="Database Services"/>
    <n v="6"/>
    <d v="2019-10-06T00:00:00"/>
    <s v="Not in use"/>
    <n v="2"/>
    <n v="4"/>
    <s v="TBD"/>
    <s v="IaaS"/>
    <s v="gctapp01"/>
    <n v="1"/>
    <s v="Ubuntu 18.04"/>
    <s v="PostgreSQL 10"/>
    <s v="AWS us-east-1"/>
    <d v="2023-05-31T00:00:00"/>
    <s v="Unstructured"/>
    <n v="270"/>
    <s v="N"/>
    <n v="3"/>
    <s v="Y"/>
    <s v="Read-only access"/>
    <n v="1"/>
    <s v="Partial"/>
    <s v="N"/>
    <s v="Y"/>
    <n v="24500"/>
    <d v="2029-09-30T00:00:00"/>
    <n v="36000"/>
    <n v="15000"/>
    <n v="28.799999999999997"/>
    <n v="2"/>
    <x v="1"/>
    <x v="1"/>
    <x v="1"/>
    <x v="20"/>
    <x v="1"/>
    <s v="Retention 3 yrs - archive slot booked"/>
  </r>
  <r>
    <n v="67068"/>
    <s v="Regional Training Records (Nordics)"/>
    <s v="Learning"/>
    <s v="HR"/>
    <s v="Internal"/>
    <s v="Pierre Roux"/>
    <s v="Hugo Perrin"/>
    <s v="Infra Ops EMEA"/>
    <n v="14"/>
    <d v="2021-01-19T00:00:00"/>
    <s v="Low use"/>
    <n v="1"/>
    <n v="4"/>
    <m/>
    <s v="On-prem DC"/>
    <s v="rtrapp01, rtrdb01"/>
    <n v="2"/>
    <s v="Windows Server 2008 R2"/>
    <s v="SQL Server 2008 R2"/>
    <s v="EU DC-2"/>
    <d v="2020-01-14T00:00:00"/>
    <s v="Unstructured"/>
    <n v="110"/>
    <s v="Y"/>
    <n v="5"/>
    <s v="N"/>
    <s v="None"/>
    <n v="0"/>
    <s v="Y"/>
    <s v="N"/>
    <s v="Y"/>
    <n v="45500"/>
    <d v="2027-10-31T00:00:00"/>
    <n v="40500"/>
    <n v="40000"/>
    <n v="12.149999999999999"/>
    <n v="3"/>
    <x v="2"/>
    <x v="2"/>
    <x v="1"/>
    <x v="14"/>
    <x v="4"/>
    <s v="Awaiting dependency mapping"/>
  </r>
  <r>
    <n v="165519"/>
    <s v="Custom Cash Position Reporter (APAC)"/>
    <s v="Treasury"/>
    <s v="Finance"/>
    <s v="Internal"/>
    <s v="Priya Sharma"/>
    <s v="Tara Khanna"/>
    <s v="Infra Ops US"/>
    <n v="3"/>
    <d v="2021-04-21T00:00:00"/>
    <s v="Low use"/>
    <n v="1"/>
    <n v="3"/>
    <m/>
    <s v="On-prem DC"/>
    <s v="ccpapp01, ccpdb01, ccpweb01, ccpfs01"/>
    <n v="4"/>
    <s v="Ubuntu 20.04"/>
    <s v="MySQL 8.0"/>
    <s v="EU DC-1"/>
    <d v="2025-04-30T00:00:00"/>
    <s v="Both"/>
    <n v="20"/>
    <s v="Y"/>
    <n v="7"/>
    <s v="Y"/>
    <s v="Archive + read-only"/>
    <n v="5"/>
    <s v="Y"/>
    <s v="N"/>
    <s v="N"/>
    <n v="39000"/>
    <d v="2033-02-28T00:00:00"/>
    <n v="20500"/>
    <n v="26000"/>
    <n v="9.4615384615384617"/>
    <n v="2"/>
    <x v="1"/>
    <x v="1"/>
    <x v="1"/>
    <x v="18"/>
    <x v="1"/>
    <s v="Read-only access needed for audit"/>
  </r>
  <r>
    <n v="178024"/>
    <s v="Warehouse Mgmt System"/>
    <s v="Warehouse Mgmt"/>
    <s v="Supply Chain"/>
    <s v="Internal"/>
    <s v="Nicolas Sharma"/>
    <s v="Louis Faure"/>
    <s v="Cloud Platform Team"/>
    <n v="0"/>
    <d v="2021-04-20T00:00:00"/>
    <s v="Not in use"/>
    <n v="1"/>
    <n v="3"/>
    <s v="SAP IBP"/>
    <s v="IaaS"/>
    <s v="wmsapp01, wmsdb01"/>
    <n v="2"/>
    <s v="AIX 6.1"/>
    <s v="DB2 9.7"/>
    <s v="AWS eu-west-1"/>
    <d v="2017-04-30T00:00:00"/>
    <s v="Both"/>
    <n v="18"/>
    <s v="N"/>
    <n v="5"/>
    <s v="N"/>
    <s v="None"/>
    <n v="2"/>
    <s v="N"/>
    <s v="Partial"/>
    <s v="Y"/>
    <n v="28000"/>
    <d v="2032-08-31T00:00:00"/>
    <n v="19500"/>
    <n v="23500"/>
    <n v="9.9574468085106389"/>
    <n v="4"/>
    <x v="2"/>
    <x v="2"/>
    <x v="1"/>
    <x v="20"/>
    <x v="4"/>
    <s v="Awaiting dependency mapping_x000a_Blocker: Replacement rollout dependency_x000a_Q: What is the go-live date of the target platform?"/>
  </r>
  <r>
    <n v="166202"/>
    <s v="Departmental Commission Calculator 2008"/>
    <s v="Commissions"/>
    <s v="Sales"/>
    <s v="External"/>
    <s v="Yuki Tanaka"/>
    <s v="Lena Fischer"/>
    <s v="Plant IT Services"/>
    <n v="164"/>
    <d v="2021-04-03T00:00:00"/>
    <s v="Active"/>
    <n v="1"/>
    <n v="4"/>
    <s v="Salesforce (planned)"/>
    <s v="PaaS"/>
    <s v="Azure App Service (PaaS)"/>
    <n v="0"/>
    <s v="N/A (PaaS)"/>
    <s v="Azure SQL"/>
    <s v="Azure West Europe"/>
    <m/>
    <s v="Both"/>
    <n v="31"/>
    <s v="Y"/>
    <n v="10"/>
    <s v="Y"/>
    <s v="Read-only access"/>
    <n v="2"/>
    <s v="N"/>
    <s v="Y"/>
    <s v="Y"/>
    <n v="21500"/>
    <d v="2034-01-31T00:00:00"/>
    <n v="12500"/>
    <n v="13500"/>
    <n v="11.111111111111111"/>
    <n v="2"/>
    <x v="0"/>
    <x v="1"/>
    <x v="1"/>
    <x v="18"/>
    <x v="1"/>
    <s v="Funding approved; migration to Salesforce scheduled"/>
  </r>
  <r>
    <n v="68581"/>
    <s v="Regional Campaign DB v3"/>
    <s v="Campaign Mgmt"/>
    <s v="Marketing"/>
    <s v="Internal"/>
    <s v="Meera Dubois"/>
    <s v="Tara Khanna"/>
    <s v="Database Services"/>
    <n v="1169"/>
    <d v="2021-04-23T00:00:00"/>
    <s v="Active"/>
    <n v="4"/>
    <n v="2"/>
    <s v="Eventbrite"/>
    <s v="On-prem DC"/>
    <s v="rcdapp01, rcddb01, rcdweb01"/>
    <n v="3"/>
    <s v="Ubuntu 16.04"/>
    <s v="MySQL 5.7"/>
    <s v="US DC-1"/>
    <d v="2021-04-30T00:00:00"/>
    <s v="Both"/>
    <n v="28"/>
    <s v="Y"/>
    <n v="10"/>
    <s v="N"/>
    <s v="None"/>
    <n v="6"/>
    <s v="Y"/>
    <s v="Y"/>
    <s v="Partial"/>
    <n v="46000"/>
    <d v="2025-06-30T00:00:00"/>
    <n v="61000"/>
    <n v="36000"/>
    <n v="20.333333333333332"/>
    <n v="2"/>
    <x v="0"/>
    <x v="2"/>
    <x v="1"/>
    <x v="15"/>
    <x v="1"/>
    <s v="Funding approved; migration to Eventbrite scheduled"/>
  </r>
  <r>
    <n v="127529"/>
    <s v="Licence Manager (US)"/>
    <s v="Licence Mgmt"/>
    <s v="IT"/>
    <s v="Internal"/>
    <s v="Yuki Tanaka"/>
    <s v="Varun Malhotra"/>
    <s v="Unix Platform Team"/>
    <n v="5"/>
    <d v="2021-02-08T00:00:00"/>
    <s v="Low use"/>
    <n v="2"/>
    <n v="3"/>
    <s v="SharePoint Online"/>
    <s v="On-prem DC"/>
    <s v="lmuapp01, lmudb01, lmuweb01"/>
    <n v="3"/>
    <s v="TBD"/>
    <s v="Oracle 11g"/>
    <s v="EU DC-2"/>
    <d v="2020-11-30T00:00:00"/>
    <s v="Structured"/>
    <n v="6"/>
    <s v="Y"/>
    <n v="5"/>
    <s v="N"/>
    <s v="None"/>
    <n v="7"/>
    <s v="Partial"/>
    <s v="N"/>
    <s v="Partial"/>
    <n v="19500"/>
    <d v="2028-03-31T00:00:00"/>
    <n v="13000"/>
    <n v="19500"/>
    <n v="8"/>
    <n v="4"/>
    <x v="2"/>
    <x v="2"/>
    <x v="1"/>
    <x v="12"/>
    <x v="1"/>
    <s v="No active users; switch-off confirmed with owner"/>
  </r>
  <r>
    <n v="53607"/>
    <s v="Regional Quote Manager (FR)"/>
    <s v="Quoting"/>
    <s v="Sales"/>
    <s v="Internal"/>
    <s v="Fatima Khan"/>
    <s v="Kavya Reddy"/>
    <s v="Wintel Platform Team"/>
    <n v="5"/>
    <d v="2021-02-27T00:00:00"/>
    <s v="Low use"/>
    <n v="3"/>
    <n v="3"/>
    <m/>
    <s v="On-prem DC"/>
    <s v="rqmapp01, rqmdb01"/>
    <n v="2"/>
    <s v="Ubuntu 16.04"/>
    <s v="MySQL 5.7"/>
    <s v="US DC-1"/>
    <d v="2021-04-30T00:00:00"/>
    <s v="Structured"/>
    <n v="200"/>
    <s v="Y"/>
    <n v="5"/>
    <s v="N"/>
    <s v="None"/>
    <n v="8"/>
    <s v="N"/>
    <s v="N"/>
    <s v="Y"/>
    <n v="33000"/>
    <d v="2030-02-28T00:00:00"/>
    <n v="21000"/>
    <n v="29500"/>
    <n v="8.5423728813559325"/>
    <n v="2"/>
    <x v="2"/>
    <x v="2"/>
    <x v="1"/>
    <x v="12"/>
    <x v="4"/>
    <s v="Awaiting dependency mapping_x000a_Blocker: Replacement rollout dependency_x000a_Q: What is the go-live date of the target platform?"/>
  </r>
  <r>
    <n v="45016"/>
    <s v="Purchase Order System"/>
    <s v="Procurement"/>
    <s v="Supply Chain"/>
    <s v="External"/>
    <s v="Marc Laurent"/>
    <s v="Manon Chevalier"/>
    <s v="SaaS Vendor Mgmt"/>
    <n v="0"/>
    <d v="2019-09-05T00:00:00"/>
    <s v="Not in use"/>
    <n v="1"/>
    <n v="4"/>
    <m/>
    <s v="SaaS"/>
    <s v="N/A (SaaS)"/>
    <n v="0"/>
    <s v="N/A"/>
    <s v="N/A"/>
    <s v="Vendor cloud (EU)"/>
    <d v="2025-10-31T00:00:00"/>
    <s v="Structured"/>
    <n v="18"/>
    <s v="N"/>
    <n v="2"/>
    <s v="N"/>
    <s v="None"/>
    <n v="1"/>
    <s v="Y"/>
    <s v="Partial"/>
    <s v="Partial"/>
    <n v="5500"/>
    <d v="2031-07-31T00:00:00"/>
    <n v="3500"/>
    <n v="3500"/>
    <n v="12"/>
    <n v="2"/>
    <x v="2"/>
    <x v="2"/>
    <x v="1"/>
    <x v="23"/>
    <x v="4"/>
    <s v="Awaiting dependency mapping"/>
  </r>
  <r>
    <n v="21544"/>
    <s v="Shared Cash Position Reporter"/>
    <s v="Treasury"/>
    <s v="Finance"/>
    <s v="Internal"/>
    <s v="Claire Mehta"/>
    <s v="Remi Masson"/>
    <s v="Infra Ops US"/>
    <n v="649"/>
    <d v="2021-04-14T00:00:00"/>
    <s v="Active"/>
    <n v="2"/>
    <n v="3"/>
    <m/>
    <s v="On-prem DC"/>
    <s v="scpapp01"/>
    <n v="1"/>
    <s v="SUSE Linux 11"/>
    <s v="Oracle 11g"/>
    <s v="TBD"/>
    <d v="2019-03-31T00:00:00"/>
    <s v="Unstructured"/>
    <n v="20"/>
    <s v="Y"/>
    <n v="10"/>
    <s v="Y"/>
    <s v="Archive + read-only"/>
    <n v="5"/>
    <s v="N"/>
    <s v="Partial"/>
    <s v="N"/>
    <n v="25000"/>
    <d v="2035-04-30T00:00:00"/>
    <n v="17000"/>
    <n v="18000"/>
    <n v="11.333333333333332"/>
    <n v="2"/>
    <x v="1"/>
    <x v="1"/>
    <x v="1"/>
    <x v="0"/>
    <x v="1"/>
    <s v="Retention 10 yrs - archive slot booked_x000a_Blocker: Replacement not yet funded_x000a_Q: Is budget confirmed in the next planning cycle?"/>
  </r>
  <r>
    <n v="51992"/>
    <s v="Shared Training Records (FR)"/>
    <s v="Learning"/>
    <s v="HR"/>
    <s v="Internal"/>
    <s v="Julien Petit"/>
    <s v="Omar Haddad"/>
    <s v="SaaS Vendor Mgmt"/>
    <n v="13"/>
    <d v="2021-04-21T00:00:00"/>
    <s v="Low use"/>
    <n v="3"/>
    <n v="3"/>
    <m/>
    <s v="SaaS"/>
    <s v="N/A (SaaS)"/>
    <n v="0"/>
    <s v="N/A"/>
    <s v="N/A"/>
    <s v="Vendor cloud (EU)"/>
    <m/>
    <s v="Structured"/>
    <n v="270"/>
    <s v="Y"/>
    <n v="10"/>
    <s v="Y"/>
    <s v="Archive + read-only"/>
    <n v="6"/>
    <s v="Y"/>
    <s v="N"/>
    <s v="Partial"/>
    <n v="65000"/>
    <d v="2030-11-30T00:00:00"/>
    <n v="69000"/>
    <n v="26000"/>
    <n v="31.846153846153847"/>
    <n v="1"/>
    <x v="1"/>
    <x v="0"/>
    <x v="1"/>
    <x v="17"/>
    <x v="4"/>
    <s v="Replacement option being confirmed"/>
  </r>
  <r>
    <n v="175565"/>
    <s v="Price List Manager 2008"/>
    <s v="Pricing"/>
    <s v="Sales"/>
    <s v="Internal"/>
    <s v="Neha Nair"/>
    <s v="Ishaan Desai"/>
    <s v="Infra Ops US"/>
    <n v="14"/>
    <d v="2021-02-24T00:00:00"/>
    <s v="Low use"/>
    <n v="3"/>
    <n v="2"/>
    <m/>
    <s v="On-prem DC"/>
    <s v="plmapp01, plmdb01, plmweb01, plmfs01"/>
    <n v="4"/>
    <s v="RHEL 6"/>
    <s v="Oracle 11g"/>
    <s v="EU DC-2"/>
    <d v="2020-11-30T00:00:00"/>
    <s v="Unstructured"/>
    <n v="330"/>
    <s v="Y"/>
    <n v="7"/>
    <s v="Y"/>
    <s v="Archive + read-only"/>
    <n v="6"/>
    <s v="Y"/>
    <s v="N"/>
    <s v="Partial"/>
    <n v="85000"/>
    <d v="2030-08-31T00:00:00"/>
    <n v="100500"/>
    <n v="67500"/>
    <n v="17.866666666666667"/>
    <n v="2"/>
    <x v="1"/>
    <x v="0"/>
    <x v="1"/>
    <x v="23"/>
    <x v="4"/>
    <s v="Business case under review with owner"/>
  </r>
  <r>
    <n v="86776"/>
    <s v="Tax Compliance Tool"/>
    <s v="Tax"/>
    <s v="Finance"/>
    <s v="Internal"/>
    <s v="Vikram Rao"/>
    <s v="Sameer Joshi"/>
    <s v="Unix Platform Team"/>
    <n v="22"/>
    <d v="2020-12-14T00:00:00"/>
    <s v="Low use"/>
    <n v="3"/>
    <n v="3"/>
    <s v="TBD"/>
    <s v="IaaS"/>
    <s v="tctapp01, tctdb01, tctweb01"/>
    <n v="3"/>
    <s v="HP-UX 11i v3"/>
    <s v="Sybase ASE 15.7"/>
    <s v="AWS us-east-1"/>
    <d v="2021-12-31T00:00:00"/>
    <s v="Structured"/>
    <n v="140"/>
    <s v="N"/>
    <n v="3"/>
    <s v="Y"/>
    <s v="Read-only access"/>
    <n v="7"/>
    <s v="N"/>
    <s v="N"/>
    <s v="Partial"/>
    <n v="29000"/>
    <d v="2027-08-31T00:00:00"/>
    <n v="18500"/>
    <n v="17500"/>
    <n v="12.685714285714287"/>
    <n v="2"/>
    <x v="1"/>
    <x v="0"/>
    <x v="1"/>
    <x v="21"/>
    <x v="4"/>
    <s v="Retention requirement to be confirmed"/>
  </r>
  <r>
    <n v="88879"/>
    <s v="Custom Appraisal Tool v2"/>
    <s v="Performance"/>
    <s v="HR"/>
    <s v="External"/>
    <s v="Fatima Khan"/>
    <s v="Remi Masson"/>
    <s v="SaaS Vendor Mgmt"/>
    <n v="117"/>
    <d v="2021-04-16T00:00:00"/>
    <s v="Active"/>
    <n v="3"/>
    <n v="4"/>
    <s v="TBD"/>
    <s v="SaaS"/>
    <s v="N/A (SaaS)"/>
    <n v="0"/>
    <s v="N/A"/>
    <s v="N/A"/>
    <s v="Vendor cloud (EU)"/>
    <m/>
    <s v="Structured"/>
    <n v="100"/>
    <s v="Y"/>
    <n v="10"/>
    <s v="Y"/>
    <s v="Read-only access"/>
    <n v="2"/>
    <s v="Y"/>
    <s v="Partial"/>
    <s v="N"/>
    <n v="80000"/>
    <d v="2031-04-30T00:00:00"/>
    <n v="48500"/>
    <n v="36500"/>
    <n v="15.945205479452055"/>
    <n v="0"/>
    <x v="1"/>
    <x v="1"/>
    <x v="1"/>
    <x v="21"/>
    <x v="4"/>
    <s v="Replacement option being confirmed"/>
  </r>
  <r>
    <n v="119350"/>
    <s v="Budget Planner"/>
    <s v="Budgeting"/>
    <s v="Finance"/>
    <s v="Internal"/>
    <s v="Vikram Rao"/>
    <s v="Ananya Pillai"/>
    <s v="Unix Platform Team"/>
    <n v="14"/>
    <d v="2021-02-16T00:00:00"/>
    <s v="Low use"/>
    <n v="3"/>
    <n v="3"/>
    <m/>
    <s v="On-prem DC"/>
    <s v="bpxapp01, bpxdb01, bpxweb01, bpxfs01"/>
    <n v="4"/>
    <s v="Windows Server 2008"/>
    <s v="SQL Server 2008"/>
    <s v="EU DC-2"/>
    <d v="2019-07-09T00:00:00"/>
    <s v="Structured"/>
    <n v="20"/>
    <s v="Y"/>
    <n v="10"/>
    <s v="Y"/>
    <s v="Legal hold"/>
    <n v="2"/>
    <s v="Y"/>
    <s v="Y"/>
    <s v="N"/>
    <n v="65000"/>
    <d v="2029-03-31T00:00:00"/>
    <n v="89000"/>
    <n v="54000"/>
    <n v="19.777777777777779"/>
    <n v="2"/>
    <x v="1"/>
    <x v="1"/>
    <x v="1"/>
    <x v="17"/>
    <x v="4"/>
    <s v="Retention requirement to be confirmed"/>
  </r>
  <r>
    <n v="116507"/>
    <s v="Shared Quote Manager"/>
    <s v="Quoting"/>
    <s v="Sales"/>
    <s v="External"/>
    <s v="Antoine Patel"/>
    <s v="Kavya Reddy"/>
    <s v="Plant IT Services"/>
    <n v="2371"/>
    <d v="2021-03-26T00:00:00"/>
    <s v="Active"/>
    <n v="1"/>
    <n v="4"/>
    <m/>
    <s v="On-prem DC"/>
    <s v="sqmapp01, sqmdb01"/>
    <n v="2"/>
    <s v="RHEL 8"/>
    <s v="PostgreSQL 12"/>
    <s v="Plant DC"/>
    <d v="2029-05-31T00:00:00"/>
    <s v="Structured"/>
    <n v="690"/>
    <s v="Y"/>
    <n v="10"/>
    <s v="Y"/>
    <s v="Read-only access"/>
    <n v="1"/>
    <s v="Partial"/>
    <s v="Partial"/>
    <s v="N"/>
    <n v="36000"/>
    <d v="2027-11-30T00:00:00"/>
    <n v="60000"/>
    <n v="27000"/>
    <n v="26.666666666666668"/>
    <n v="1"/>
    <x v="1"/>
    <x v="1"/>
    <x v="1"/>
    <x v="20"/>
    <x v="1"/>
    <s v="Archive format agreed; load scheduled before switch-off"/>
  </r>
  <r>
    <n v="139643"/>
    <s v="Web Analytics Mart (FR)"/>
    <s v="Analytics"/>
    <s v="Marketing"/>
    <s v="Partner"/>
    <s v="Fatima Khan"/>
    <s v="Chloe Vidal"/>
    <s v="Database Services"/>
    <n v="4"/>
    <d v="2020-07-02T00:00:00"/>
    <s v="Not in use"/>
    <n v="1"/>
    <n v="3"/>
    <m/>
    <s v="On-prem DC"/>
    <s v="wamapp01"/>
    <n v="1"/>
    <s v="RHEL 6"/>
    <s v="Oracle 11g"/>
    <s v="EU DC-1"/>
    <d v="2020-11-30T00:00:00"/>
    <s v="Structured"/>
    <n v="720"/>
    <s v="Y"/>
    <n v="10"/>
    <s v="Y"/>
    <s v="Read-only access"/>
    <n v="2"/>
    <s v="Partial"/>
    <s v="N"/>
    <s v="N"/>
    <n v="28000"/>
    <d v="2035-06-30T00:00:00"/>
    <n v="50000"/>
    <n v="20500"/>
    <n v="29.268292682926827"/>
    <n v="3"/>
    <x v="1"/>
    <x v="1"/>
    <x v="1"/>
    <x v="12"/>
    <x v="4"/>
    <s v="Business case under review with owner_x000a_Blocker: Replacement rollout dependency_x000a_Q: What is the go-live date of the target platform?"/>
  </r>
  <r>
    <n v="65896"/>
    <s v="Corporate Commission Calculator Plus"/>
    <s v="Commissions"/>
    <s v="Sales"/>
    <s v="Internal"/>
    <s v="Fatima Khan"/>
    <s v="Ananya Pillai"/>
    <s v="Cloud Platform Team"/>
    <n v="7"/>
    <d v="2021-01-04T00:00:00"/>
    <s v="Low use"/>
    <n v="1"/>
    <n v="4"/>
    <m/>
    <s v="IaaS"/>
    <s v="cccapp01, cccdb01"/>
    <n v="2"/>
    <s v="SUSE Linux 11"/>
    <s v="Oracle 11g"/>
    <s v="Azure West Europe"/>
    <d v="2019-03-31T00:00:00"/>
    <s v="Structured"/>
    <n v="660"/>
    <s v="Y"/>
    <n v="10"/>
    <s v="Y"/>
    <s v="Data archive"/>
    <n v="0"/>
    <s v="N"/>
    <s v="N"/>
    <s v="Y"/>
    <n v="22000"/>
    <d v="2026-05-31T00:00:00"/>
    <n v="35500"/>
    <n v="11500"/>
    <n v="37.043478260869563"/>
    <n v="3"/>
    <x v="1"/>
    <x v="1"/>
    <x v="1"/>
    <x v="14"/>
    <x v="4"/>
    <s v="Awaiting dependency mapping"/>
  </r>
  <r>
    <n v="117013"/>
    <s v="Shared Newsletter Mailer (US)"/>
    <s v="Email"/>
    <s v="Marketing"/>
    <s v="Internal"/>
    <s v="Arjun Lambert"/>
    <s v="Omar Haddad"/>
    <s v="Infra Ops EMEA"/>
    <n v="20"/>
    <d v="2020-12-20T00:00:00"/>
    <s v="Low use"/>
    <n v="3"/>
    <n v="2"/>
    <s v="HubSpot"/>
    <s v="On-prem DC"/>
    <s v="snmapp01, snmdb01"/>
    <n v="2"/>
    <s v="Windows Server 2019"/>
    <s v="SQL Server 2019"/>
    <s v="US DC-1"/>
    <d v="2029-01-09T00:00:00"/>
    <s v="Both"/>
    <n v="52"/>
    <s v="Y"/>
    <n v="10"/>
    <s v="Y"/>
    <s v="Archive + read-only"/>
    <n v="5"/>
    <s v="Partial"/>
    <s v="N"/>
    <s v="Partial"/>
    <n v="60000"/>
    <d v="2026-01-31T00:00:00"/>
    <n v="110000"/>
    <n v="52500"/>
    <n v="25.142857142857146"/>
    <n v="2"/>
    <x v="0"/>
    <x v="0"/>
    <x v="1"/>
    <x v="17"/>
    <x v="4"/>
    <s v="Awaiting dependency mapping"/>
  </r>
  <r>
    <n v="143398"/>
    <s v="Regional Price List Manager (APAC)"/>
    <s v="Pricing"/>
    <s v="Sales"/>
    <s v="External"/>
    <s v="Elena Garcia"/>
    <s v="Manon Chevalier"/>
    <s v="Infra Ops US"/>
    <n v="16"/>
    <d v="2021-01-22T00:00:00"/>
    <s v="Low use"/>
    <n v="3"/>
    <n v="2"/>
    <m/>
    <s v="On-prem DC"/>
    <s v="rpl-app01–07, rpl-db01"/>
    <n v="8"/>
    <s v="Windows Server 2008"/>
    <s v="SQL Server 2008"/>
    <s v="EU DC-2"/>
    <d v="2019-07-09T00:00:00"/>
    <s v="Structured"/>
    <n v="69"/>
    <s v="Y"/>
    <n v="7"/>
    <s v="Y"/>
    <s v="Data archive"/>
    <n v="25"/>
    <s v="N"/>
    <s v="Partial"/>
    <s v="Partial"/>
    <n v="95000"/>
    <d v="2025-06-30T00:00:00"/>
    <n v="154000"/>
    <n v="66000"/>
    <n v="28"/>
    <n v="2"/>
    <x v="1"/>
    <x v="0"/>
    <x v="1"/>
    <x v="17"/>
    <x v="4"/>
    <s v="Awaiting dependency mapping_x000a_Blocker: Regulatory retention requirement_x000a_Q: Can the archive move to the enterprise archive, or must it stay vendor-hosted?"/>
  </r>
  <r>
    <n v="188333"/>
    <s v="Legacy Survey Tool (APAC)"/>
    <s v="Market Research"/>
    <s v="Marketing"/>
    <s v="Internal"/>
    <s v="Diego Alvarez"/>
    <s v="Kavya Reddy"/>
    <s v="Infra Ops US"/>
    <n v="88"/>
    <d v="2021-04-02T00:00:00"/>
    <s v="Active"/>
    <n v="2"/>
    <n v="3"/>
    <s v="Adobe Experience Manager"/>
    <s v="On-prem DC"/>
    <s v="lstapp01, lstdb01, lstweb01, lstfs01"/>
    <n v="4"/>
    <s v="Solaris 10"/>
    <s v="Oracle 11g"/>
    <s v="US DC-1"/>
    <d v="2021-01-31T00:00:00"/>
    <s v="Structured"/>
    <n v="28"/>
    <s v="N"/>
    <n v="5"/>
    <s v="N"/>
    <s v="None"/>
    <n v="8"/>
    <s v="N"/>
    <s v="N"/>
    <s v="Y"/>
    <n v="41000"/>
    <d v="2029-02-28T00:00:00"/>
    <n v="53000"/>
    <n v="36000"/>
    <n v="17.666666666666668"/>
    <n v="3"/>
    <x v="0"/>
    <x v="2"/>
    <x v="1"/>
    <x v="23"/>
    <x v="1"/>
    <s v="Cut-over planned for Nov-22; parallel run scheduled"/>
  </r>
  <r>
    <n v="160741"/>
    <s v="Legacy Facilities Request Portal 2008"/>
    <s v="Facilities"/>
    <s v="Operations"/>
    <s v="Partner"/>
    <s v="Camille Fontaine"/>
    <s v="Varun Malhotra"/>
    <s v="Infra Ops EMEA"/>
    <n v="15"/>
    <d v="2020-12-31T00:00:00"/>
    <s v="Low use"/>
    <n v="1"/>
    <n v="4"/>
    <m/>
    <s v="On-prem DC"/>
    <s v="lfrapp01"/>
    <n v="1"/>
    <s v="Windows Server 2016"/>
    <s v="SQL Server 2017"/>
    <s v="Plant DC"/>
    <d v="2027-01-12T00:00:00"/>
    <s v="Structured"/>
    <n v="16"/>
    <s v="N"/>
    <n v="3"/>
    <s v="N"/>
    <s v="None"/>
    <n v="0"/>
    <s v="Partial"/>
    <s v="Y"/>
    <s v="N"/>
    <n v="18500"/>
    <d v="2028-05-31T00:00:00"/>
    <n v="13000"/>
    <n v="17000"/>
    <n v="9.1764705882352935"/>
    <n v="2"/>
    <x v="2"/>
    <x v="2"/>
    <x v="1"/>
    <x v="22"/>
    <x v="4"/>
    <s v="Business case under review with owner"/>
  </r>
  <r>
    <n v="15617"/>
    <s v="Shared Commission Calculator 2012"/>
    <s v="Commissions"/>
    <s v="Sales"/>
    <s v="Partner"/>
    <s v="Neha Nair"/>
    <s v="Theo Lopez"/>
    <s v="Plant IT Services"/>
    <n v="14"/>
    <d v="2021-01-12T00:00:00"/>
    <s v="Low use"/>
    <n v="4"/>
    <n v="3"/>
    <s v="Salesforce CPQ"/>
    <s v="On-prem DC"/>
    <s v="sccapp01, sccdb01"/>
    <n v="2"/>
    <s v="Solaris 10"/>
    <s v="Oracle 11g"/>
    <s v="US DC-1"/>
    <d v="2021-01-31T00:00:00"/>
    <s v="Structured"/>
    <n v="390"/>
    <s v="Y"/>
    <n v="10"/>
    <s v="N"/>
    <s v="None"/>
    <n v="3"/>
    <s v="Partial"/>
    <s v="Partial"/>
    <s v="N"/>
    <n v="12500"/>
    <d v="2028-03-31T00:00:00"/>
    <n v="9000"/>
    <n v="10500"/>
    <n v="10.285714285714285"/>
    <n v="3"/>
    <x v="0"/>
    <x v="2"/>
    <x v="1"/>
    <x v="23"/>
    <x v="4"/>
    <s v="Retention requirement to be confirmed"/>
  </r>
  <r>
    <n v="21404"/>
    <s v="Tax Compliance Tool (DE)"/>
    <s v="Tax"/>
    <s v="Finance"/>
    <s v="Partner"/>
    <s v="Sara Kapoor"/>
    <s v="Aditi Menon"/>
    <s v="SaaS Vendor Mgmt"/>
    <n v="0"/>
    <d v="2019-08-11T00:00:00"/>
    <s v="Not in use"/>
    <n v="3"/>
    <n v="2"/>
    <s v="Anaplan"/>
    <s v="SaaS"/>
    <s v="N/A (SaaS)"/>
    <n v="0"/>
    <s v="N/A"/>
    <s v="N/A"/>
    <s v="Vendor cloud (EU)"/>
    <d v="2022-09-30T00:00:00"/>
    <s v="Unstructured"/>
    <n v="920"/>
    <s v="Y"/>
    <n v="7"/>
    <s v="Y"/>
    <s v="Archive + read-only"/>
    <n v="14"/>
    <s v="Partial"/>
    <s v="Partial"/>
    <s v="N"/>
    <n v="80000"/>
    <d v="2031-12-31T00:00:00"/>
    <n v="171000"/>
    <n v="50500"/>
    <n v="40.633663366336634"/>
    <n v="2"/>
    <x v="0"/>
    <x v="0"/>
    <x v="1"/>
    <x v="14"/>
    <x v="1"/>
    <s v="Funding approved; migration to Anaplan scheduled_x000a_Blocker: Month-end close dependency_x000a_Q: Can the cut-over avoid the quarter-end freeze?"/>
  </r>
  <r>
    <n v="151294"/>
    <s v="Shared Commission Calculator (DE)"/>
    <s v="Commissions"/>
    <s v="Sales"/>
    <s v="Internal"/>
    <s v="Laura Martin"/>
    <s v="Manon Chevalier"/>
    <s v="SaaS Vendor Mgmt"/>
    <n v="0"/>
    <d v="2019-12-04T00:00:00"/>
    <s v="Not in use"/>
    <n v="2"/>
    <n v="4"/>
    <m/>
    <s v="SaaS"/>
    <s v="N/A (SaaS)"/>
    <n v="0"/>
    <s v="N/A"/>
    <s v="N/A"/>
    <s v="Vendor cloud (EU)"/>
    <m/>
    <s v="Both"/>
    <n v="2280"/>
    <s v="Y"/>
    <n v="5"/>
    <s v="Y"/>
    <s v="Read-only access"/>
    <n v="3"/>
    <s v="Partial"/>
    <s v="Partial"/>
    <s v="Partial"/>
    <n v="110000"/>
    <d v="2025-10-31T00:00:00"/>
    <n v="178000"/>
    <n v="52000"/>
    <n v="41.076923076923073"/>
    <n v="2"/>
    <x v="1"/>
    <x v="0"/>
    <x v="1"/>
    <x v="23"/>
    <x v="1"/>
    <s v="Read-only access needed for audit"/>
  </r>
  <r>
    <n v="117844"/>
    <s v="Monitoring Console"/>
    <s v="Monitoring"/>
    <s v="IT"/>
    <s v="Internal"/>
    <s v="Elena Garcia"/>
    <s v="Remi Masson"/>
    <s v="Infra Ops US"/>
    <n v="5"/>
    <d v="2020-09-20T00:00:00"/>
    <s v="Not in use"/>
    <n v="2"/>
    <n v="4"/>
    <m/>
    <s v="IaaS"/>
    <s v="fs-mcx02 (file share)"/>
    <n v="1"/>
    <s v="Windows Server 2012 R2"/>
    <s v="MS Access 2010"/>
    <s v="Azure West Europe"/>
    <d v="2023-10-10T00:00:00"/>
    <s v="Structured"/>
    <n v="54"/>
    <s v="N"/>
    <n v="7"/>
    <s v="Y"/>
    <s v="Archive + read-only"/>
    <n v="1"/>
    <s v="N"/>
    <s v="Partial"/>
    <s v="Partial"/>
    <n v="26000"/>
    <d v="2033-09-30T00:00:00"/>
    <n v="29500"/>
    <n v="14500"/>
    <n v="24.413793103448274"/>
    <n v="2"/>
    <x v="1"/>
    <x v="1"/>
    <x v="1"/>
    <x v="15"/>
    <x v="1"/>
    <s v="Read-only access needed for audit_x000a_Blocker: Month-end close dependency_x000a_Q: Can the cut-over avoid the quarter-end freeze?"/>
  </r>
  <r>
    <n v="69275"/>
    <s v="Quote Manager v3"/>
    <s v="Quoting"/>
    <s v="Sales"/>
    <s v="Internal"/>
    <s v="Yuki Tanaka"/>
    <s v="Kavya Reddy"/>
    <s v="Unix Platform Team"/>
    <n v="7"/>
    <d v="2021-02-06T00:00:00"/>
    <s v="Low use"/>
    <n v="4"/>
    <n v="2"/>
    <m/>
    <s v="IaaS"/>
    <s v="qmvapp01, qmvdb01, qmvweb01, qmvfs01"/>
    <n v="4"/>
    <s v="Windows Server 2019"/>
    <s v="SQL Server 2019"/>
    <s v="AWS us-east-1"/>
    <d v="2029-01-09T00:00:00"/>
    <s v="Structured"/>
    <n v="59"/>
    <s v="Y"/>
    <n v="5"/>
    <s v="N"/>
    <s v="None"/>
    <n v="11"/>
    <s v="Partial"/>
    <s v="Y"/>
    <s v="Y"/>
    <n v="75000"/>
    <d v="2025-04-30T00:00:00"/>
    <n v="92500"/>
    <n v="68000"/>
    <n v="16.323529411764707"/>
    <n v="1"/>
    <x v="2"/>
    <x v="2"/>
    <x v="1"/>
    <x v="23"/>
    <x v="1"/>
    <s v="Owner sign-off received; switch-off scheduled"/>
  </r>
  <r>
    <n v="159532"/>
    <s v="Global Order Entry Portal (DE)"/>
    <s v="Order Entry"/>
    <s v="Sales"/>
    <s v="Internal"/>
    <s v="Marc Laurent"/>
    <s v="Lena Fischer"/>
    <s v="Wintel Platform Team"/>
    <n v="4"/>
    <d v="2021-03-21T00:00:00"/>
    <s v="Low use"/>
    <n v="3"/>
    <n v="2"/>
    <m/>
    <s v="On-prem DC"/>
    <s v="goeapp01, goedb01, goeweb01, goefs01"/>
    <n v="4"/>
    <s v="Solaris 10"/>
    <s v="Oracle 11g"/>
    <s v="Plant DC"/>
    <d v="2021-01-31T00:00:00"/>
    <s v="Structured"/>
    <n v="41"/>
    <s v="Y"/>
    <n v="7"/>
    <s v="N"/>
    <s v="None"/>
    <n v="6"/>
    <s v="N"/>
    <s v="Y"/>
    <s v="Y"/>
    <n v="105000"/>
    <d v="2031-09-30T00:00:00"/>
    <n v="66000"/>
    <n v="86000"/>
    <n v="9.2093023255813957"/>
    <n v="2"/>
    <x v="2"/>
    <x v="2"/>
    <x v="1"/>
    <x v="19"/>
    <x v="1"/>
    <s v="Functionality covered by existing tools"/>
  </r>
  <r>
    <n v="120090"/>
    <s v="Intranet (SharePoint) (Nordics)"/>
    <s v="Collaboration"/>
    <s v="IT"/>
    <s v="Internal"/>
    <s v="Anika Patel"/>
    <s v="Aditi Menon"/>
    <s v="Wintel Platform Team"/>
    <n v="3"/>
    <d v="2021-04-06T00:00:00"/>
    <s v="Low use"/>
    <n v="4"/>
    <n v="3"/>
    <s v="Microsoft 365"/>
    <s v="On-prem DC"/>
    <s v="isnapp01"/>
    <n v="1"/>
    <s v="Windows Server 2008 R2"/>
    <s v="SQL Server 2008 R2"/>
    <s v="EU DC-2"/>
    <d v="2020-01-14T00:00:00"/>
    <s v="Unstructured"/>
    <n v="130"/>
    <s v="N"/>
    <n v="3"/>
    <s v="N"/>
    <s v="None"/>
    <n v="1"/>
    <s v="N"/>
    <s v="Y"/>
    <s v="N"/>
    <n v="20000"/>
    <d v="2034-06-30T00:00:00"/>
    <n v="8500"/>
    <n v="15000"/>
    <n v="6.8"/>
    <n v="3"/>
    <x v="0"/>
    <x v="2"/>
    <x v="1"/>
    <x v="16"/>
    <x v="4"/>
    <s v="Replacement option being confirmed_x000a_Blocker: Replacement not yet funded_x000a_Q: Is budget confirmed in the next planning cycle?"/>
  </r>
  <r>
    <n v="164592"/>
    <s v="Regional Sales Forecast Tool 2012"/>
    <s v="Sales Planning"/>
    <s v="Sales"/>
    <s v="Internal"/>
    <s v="Mateo Girard"/>
    <s v="Tara Khanna"/>
    <s v="Database Services"/>
    <n v="0"/>
    <d v="2019-09-22T00:00:00"/>
    <s v="Not in use"/>
    <n v="1"/>
    <n v="4"/>
    <s v="Salesforce (planned)"/>
    <s v="PaaS"/>
    <s v="Azure App Service (PaaS)"/>
    <n v="0"/>
    <s v="N/A (PaaS)"/>
    <s v="Azure SQL"/>
    <s v="Azure West Europe"/>
    <m/>
    <s v="Structured"/>
    <n v="230"/>
    <s v="Y"/>
    <n v="7"/>
    <s v="N"/>
    <s v="None"/>
    <n v="3"/>
    <s v="N"/>
    <s v="N"/>
    <s v="Y"/>
    <n v="20000"/>
    <d v="2026-06-30T00:00:00"/>
    <n v="25000"/>
    <n v="18000"/>
    <n v="16.666666666666664"/>
    <n v="3"/>
    <x v="2"/>
    <x v="2"/>
    <x v="1"/>
    <x v="14"/>
    <x v="1"/>
    <s v="Functionality covered by existing tools_x000a_Blocker: Regulatory retention requirement_x000a_Q: Can the archive move to the enterprise archive, or must it stay vendor-hosted?"/>
  </r>
  <r>
    <n v="145730"/>
    <s v="Old Benefits Enrolment (FR)"/>
    <s v="Benefits"/>
    <s v="HR"/>
    <s v="Internal"/>
    <s v="Elena Garcia"/>
    <s v="Manon Chevalier"/>
    <s v="Plant IT Services"/>
    <n v="182"/>
    <d v="2021-04-19T00:00:00"/>
    <s v="Active"/>
    <n v="1"/>
    <n v="4"/>
    <s v="Workday HCM"/>
    <s v="On-prem DC"/>
    <s v="obeapp01, obedb01"/>
    <n v="2"/>
    <s v="RHEL 6"/>
    <s v="Oracle 11g"/>
    <s v="EU DC-2"/>
    <d v="2020-11-30T00:00:00"/>
    <s v="Structured"/>
    <n v="1030"/>
    <s v="Y"/>
    <n v="7"/>
    <s v="Y"/>
    <s v="Archive + read-only"/>
    <n v="3"/>
    <s v="Partial"/>
    <s v="Partial"/>
    <s v="N"/>
    <n v="24000"/>
    <d v="2030-05-31T00:00:00"/>
    <n v="19500"/>
    <n v="12500"/>
    <n v="18.72"/>
    <n v="3"/>
    <x v="1"/>
    <x v="0"/>
    <x v="1"/>
    <x v="18"/>
    <x v="1"/>
    <s v="Archive format agreed; load scheduled before switch-off"/>
  </r>
  <r>
    <n v="92698"/>
    <s v="Custom Order Entry Portal (Nordics)"/>
    <s v="Order Entry"/>
    <s v="Sales"/>
    <s v="Internal"/>
    <s v="Vikram Rao"/>
    <s v="Ananya Pillai"/>
    <s v="Wintel Platform Team"/>
    <n v="110"/>
    <d v="2021-04-13T00:00:00"/>
    <s v="Active"/>
    <n v="1"/>
    <n v="4"/>
    <m/>
    <s v="IaaS"/>
    <s v="coeapp01"/>
    <n v="1"/>
    <s v="HP-UX 11i v3"/>
    <s v="Sybase ASE 15.7"/>
    <s v="AWS eu-west-1"/>
    <d v="2021-12-31T00:00:00"/>
    <s v="Structured"/>
    <n v="52"/>
    <s v="Y"/>
    <n v="10"/>
    <s v="Y"/>
    <s v="Data archive"/>
    <n v="1"/>
    <s v="Partial"/>
    <s v="Partial"/>
    <s v="N"/>
    <n v="22500"/>
    <d v="2032-02-29T00:00:00"/>
    <n v="28000"/>
    <n v="13500"/>
    <n v="24.888888888888886"/>
    <n v="2"/>
    <x v="1"/>
    <x v="1"/>
    <x v="1"/>
    <x v="17"/>
    <x v="4"/>
    <s v="Business case under review with owner"/>
  </r>
  <r>
    <n v="26245"/>
    <s v="Sales Forecast Tool"/>
    <s v="Sales Planning"/>
    <s v="Sales"/>
    <s v="External"/>
    <s v="Julia Rao"/>
    <s v="Aditi Menon"/>
    <s v="Database Services"/>
    <n v="17"/>
    <d v="2021-01-21T00:00:00"/>
    <s v="Low use"/>
    <n v="2"/>
    <n v="3"/>
    <s v="TBD"/>
    <s v="On-prem DC"/>
    <s v="sftapp01"/>
    <n v="1"/>
    <s v="SUSE Linux 11"/>
    <s v="Oracle 11g"/>
    <s v="TBD"/>
    <d v="2019-03-31T00:00:00"/>
    <s v="Both"/>
    <n v="42"/>
    <s v="Y"/>
    <n v="5"/>
    <s v="N"/>
    <s v="None"/>
    <n v="5"/>
    <s v="N"/>
    <s v="Partial"/>
    <s v="Partial"/>
    <n v="30500"/>
    <d v="2033-06-30T00:00:00"/>
    <n v="39000"/>
    <n v="26000"/>
    <n v="18"/>
    <n v="3"/>
    <x v="2"/>
    <x v="2"/>
    <x v="1"/>
    <x v="12"/>
    <x v="1"/>
    <s v="Owner sign-off received; switch-off scheduled"/>
  </r>
  <r>
    <n v="40939"/>
    <s v="Custom Document Repository (DE)"/>
    <s v="Document Mgmt"/>
    <s v="IT"/>
    <s v="Internal"/>
    <s v="Mateo Girard"/>
    <s v="Ananya Pillai"/>
    <s v="Plant IT Services"/>
    <n v="217"/>
    <d v="2021-04-27T00:00:00"/>
    <s v="Active"/>
    <n v="2"/>
    <n v="3"/>
    <s v="ServiceNow"/>
    <s v="On-prem DC"/>
    <s v="cdrapp01, cdrdb01, cdrweb01, cdrfs01"/>
    <n v="4"/>
    <s v="Windows Server 2008"/>
    <s v="SQL Server 2008"/>
    <s v="Plant DC"/>
    <d v="2019-07-09T00:00:00"/>
    <s v="Structured"/>
    <n v="41"/>
    <s v="N"/>
    <n v="3"/>
    <s v="N"/>
    <s v="None"/>
    <n v="8"/>
    <s v="Partial"/>
    <s v="N"/>
    <s v="Partial"/>
    <n v="30000"/>
    <d v="2031-08-31T00:00:00"/>
    <n v="13500"/>
    <n v="27000"/>
    <n v="6"/>
    <n v="3"/>
    <x v="2"/>
    <x v="2"/>
    <x v="1"/>
    <x v="23"/>
    <x v="1"/>
    <s v="Owner sign-off received; switch-off scheduled"/>
  </r>
  <r>
    <n v="119840"/>
    <s v="Global Demand Planner (APAC)"/>
    <s v="Demand Planning"/>
    <s v="Supply Chain"/>
    <s v="Internal"/>
    <s v="Oscar Lindqvist"/>
    <s v="Manon Chevalier"/>
    <s v="Database Services"/>
    <n v="20"/>
    <d v="2021-03-30T00:00:00"/>
    <s v="Low use"/>
    <n v="3"/>
    <n v="3"/>
    <m/>
    <s v="PaaS"/>
    <s v="Azure App Service (PaaS)"/>
    <n v="0"/>
    <s v="N/A (PaaS)"/>
    <s v="Cosmos DB"/>
    <s v="Azure West Europe"/>
    <d v="2022-06-30T00:00:00"/>
    <s v="Structured"/>
    <n v="150"/>
    <s v="Y"/>
    <n v="7"/>
    <s v="Y"/>
    <s v="Archive + read-only"/>
    <n v="1"/>
    <s v="N"/>
    <s v="N"/>
    <s v="Partial"/>
    <n v="8000"/>
    <d v="2030-12-31T00:00:00"/>
    <n v="5000"/>
    <n v="4000"/>
    <n v="15"/>
    <n v="1"/>
    <x v="1"/>
    <x v="1"/>
    <x v="1"/>
    <x v="17"/>
    <x v="4"/>
    <s v="Retention requirement to be confirmed"/>
  </r>
  <r>
    <n v="194460"/>
    <s v="Custom Safety Incident Tracker (US)"/>
    <s v="Health &amp; Safety"/>
    <s v="Operations"/>
    <s v="Partner"/>
    <s v="Neha Nair"/>
    <s v="Varun Malhotra"/>
    <s v="Plant IT Services"/>
    <n v="323"/>
    <d v="2021-03-25T00:00:00"/>
    <s v="Active"/>
    <n v="1"/>
    <n v="3"/>
    <s v="TBD"/>
    <s v="On-prem DC"/>
    <s v="csiapp01, csidb01, csiweb01"/>
    <n v="3"/>
    <s v="RHEL 7"/>
    <s v="Oracle 12c"/>
    <s v="EU DC-1"/>
    <d v="2024-06-30T00:00:00"/>
    <s v="Both"/>
    <n v="1150"/>
    <s v="N"/>
    <n v="5"/>
    <s v="Y"/>
    <s v="Archive + read-only"/>
    <n v="8"/>
    <s v="Y"/>
    <s v="N"/>
    <s v="N"/>
    <n v="50000"/>
    <d v="2032-10-31T00:00:00"/>
    <n v="48500"/>
    <n v="32500"/>
    <n v="17.907692307692308"/>
    <n v="1"/>
    <x v="1"/>
    <x v="0"/>
    <x v="1"/>
    <x v="22"/>
    <x v="1"/>
    <s v="Retention 5 yrs - archive slot booked"/>
  </r>
  <r>
    <n v="144717"/>
    <s v="Legacy Facilities Request Portal v3"/>
    <s v="Facilities"/>
    <s v="Operations"/>
    <s v="Internal"/>
    <s v="Fatima Khan"/>
    <s v="Aditi Menon"/>
    <s v="Database Services"/>
    <n v="199"/>
    <d v="2021-04-25T00:00:00"/>
    <s v="Active"/>
    <n v="3"/>
    <n v="4"/>
    <s v="IBM Maximo"/>
    <s v="IaaS"/>
    <s v="lfrapp01, lfrdb01"/>
    <n v="2"/>
    <s v="RHEL 6"/>
    <s v="Oracle 11g"/>
    <s v="AWS eu-west-1"/>
    <d v="2020-11-30T00:00:00"/>
    <s v="Structured"/>
    <n v="28"/>
    <s v="N"/>
    <n v="7"/>
    <s v="Y"/>
    <s v="Data archive"/>
    <n v="3"/>
    <s v="N"/>
    <s v="Y"/>
    <s v="Y"/>
    <n v="21500"/>
    <d v="2029-02-28T00:00:00"/>
    <n v="32500"/>
    <n v="19500"/>
    <n v="20"/>
    <n v="2"/>
    <x v="0"/>
    <x v="1"/>
    <x v="1"/>
    <x v="21"/>
    <x v="1"/>
    <s v="5 feeds to re-point to IBM Maximo"/>
  </r>
  <r>
    <n v="149836"/>
    <s v="Training Records (UK)"/>
    <s v="Learning"/>
    <s v="HR"/>
    <s v="Internal"/>
    <s v="Neha Nair"/>
    <s v="Kavya Reddy"/>
    <s v="Infra Ops US"/>
    <n v="1178"/>
    <d v="2021-03-23T00:00:00"/>
    <s v="Active"/>
    <n v="4"/>
    <n v="1"/>
    <s v="Workday Recruiting"/>
    <s v="IaaS"/>
    <s v="truapp01, trudb01, truweb01"/>
    <n v="3"/>
    <s v="AIX 6.1"/>
    <s v="DB2 9.7"/>
    <s v="AWS eu-west-1"/>
    <d v="2017-04-30T00:00:00"/>
    <s v="Structured"/>
    <n v="430"/>
    <s v="Y"/>
    <n v="7"/>
    <s v="N"/>
    <s v="None"/>
    <n v="82"/>
    <s v="Partial"/>
    <s v="N"/>
    <s v="N"/>
    <n v="135000"/>
    <d v="2026-03-31T00:00:00"/>
    <n v="524500"/>
    <n v="114000"/>
    <n v="55.21052631578948"/>
    <n v="2"/>
    <x v="0"/>
    <x v="2"/>
    <x v="1"/>
    <x v="13"/>
    <x v="1"/>
    <s v="5 feeds to re-point to Workday Recruiting_x000a_Blocker: Vendor notice period of 12 months_x000a_Q: Can the contract end be brought forward?"/>
  </r>
  <r>
    <n v="32382"/>
    <s v="Shared Event Registration Tool 2012"/>
    <s v="Events"/>
    <s v="Marketing"/>
    <s v="External"/>
    <s v="Laura Martin"/>
    <s v="Ananya Pillai"/>
    <s v="Wintel Platform Team"/>
    <n v="1"/>
    <d v="2020-10-31T00:00:00"/>
    <s v="Not in use"/>
    <n v="3"/>
    <n v="2"/>
    <m/>
    <s v="PaaS"/>
    <s v="Azure App Service (PaaS)"/>
    <n v="0"/>
    <s v="N/A (PaaS)"/>
    <s v="Cosmos DB"/>
    <s v="Azure West Europe"/>
    <d v="2022-06-30T00:00:00"/>
    <s v="Structured"/>
    <n v="5"/>
    <s v="N"/>
    <n v="2"/>
    <s v="N"/>
    <s v="None"/>
    <n v="30"/>
    <s v="Partial"/>
    <s v="Y"/>
    <s v="Partial"/>
    <n v="43000"/>
    <d v="2027-07-31T00:00:00"/>
    <n v="30500"/>
    <n v="36000"/>
    <n v="10.166666666666666"/>
    <n v="1"/>
    <x v="2"/>
    <x v="2"/>
    <x v="1"/>
    <x v="12"/>
    <x v="1"/>
    <s v="No active users; switch-off confirmed with owner"/>
  </r>
  <r>
    <n v="70488"/>
    <s v="Shared Monitoring Console Classic"/>
    <s v="Monitoring"/>
    <s v="IT"/>
    <s v="Internal"/>
    <s v="Elena Garcia"/>
    <s v="Adrien Colin"/>
    <s v="Infra Ops EMEA"/>
    <n v="7"/>
    <d v="2020-12-30T00:00:00"/>
    <s v="Low use"/>
    <n v="2"/>
    <n v="3"/>
    <s v="Splunk (planned)"/>
    <s v="On-prem DC"/>
    <s v="smcapp01, smcdb01, smcweb01, smcfs01"/>
    <n v="4"/>
    <s v="Solaris 10"/>
    <s v="Oracle 11g"/>
    <s v="EU DC-2"/>
    <d v="2021-01-31T00:00:00"/>
    <s v="Structured"/>
    <n v="640"/>
    <s v="N"/>
    <n v="3"/>
    <s v="Y"/>
    <s v="Data archive"/>
    <n v="6"/>
    <s v="N"/>
    <s v="Partial"/>
    <s v="Y"/>
    <n v="60000"/>
    <d v="2029-11-30T00:00:00"/>
    <n v="51500"/>
    <n v="42500"/>
    <n v="14.541176470588233"/>
    <n v="4"/>
    <x v="1"/>
    <x v="0"/>
    <x v="1"/>
    <x v="19"/>
    <x v="4"/>
    <s v="Business case under review with owner_x000a_Blocker: Vendor notice period of 12 months_x000a_Q: Can the contract end be brought forward?"/>
  </r>
  <r>
    <n v="23254"/>
    <s v="Web Analytics Mart v4"/>
    <s v="Analytics"/>
    <s v="Marketing"/>
    <s v="Internal"/>
    <s v="Camille Fontaine"/>
    <s v="Ananya Pillai"/>
    <s v="Unix Platform Team"/>
    <n v="135"/>
    <d v="2021-03-24T00:00:00"/>
    <s v="Active"/>
    <n v="4"/>
    <n v="2"/>
    <s v="Adobe Campaign (planned)"/>
    <s v="On-prem DC"/>
    <s v="wamapp01"/>
    <n v="1"/>
    <s v="Windows Server 2008"/>
    <s v="SQL Server 2008"/>
    <s v="US DC-1"/>
    <d v="2019-07-09T00:00:00"/>
    <s v="Structured"/>
    <n v="890"/>
    <s v="Y"/>
    <n v="7"/>
    <s v="N"/>
    <s v="None"/>
    <n v="18"/>
    <s v="Partial"/>
    <s v="Partial"/>
    <s v="Partial"/>
    <n v="44000"/>
    <d v="2028-07-31T00:00:00"/>
    <n v="73000"/>
    <n v="25500"/>
    <n v="34.352941176470587"/>
    <n v="2"/>
    <x v="0"/>
    <x v="2"/>
    <x v="1"/>
    <x v="14"/>
    <x v="4"/>
    <s v="Business case under review with owner"/>
  </r>
  <r>
    <n v="193440"/>
    <s v="Corporate Access Request Tool"/>
    <s v="Identity"/>
    <s v="IT"/>
    <s v="External"/>
    <s v="Nicolas Sharma"/>
    <s v="Manon Chevalier"/>
    <s v="SaaS Vendor Mgmt"/>
    <n v="15"/>
    <d v="2021-02-25T00:00:00"/>
    <s v="Low use"/>
    <n v="1"/>
    <n v="4"/>
    <m/>
    <s v="SaaS"/>
    <s v="N/A (SaaS)"/>
    <n v="0"/>
    <s v="N/A"/>
    <s v="N/A"/>
    <s v="Vendor cloud (EU)"/>
    <m/>
    <s v="Both"/>
    <n v="87"/>
    <s v="Y"/>
    <n v="5"/>
    <s v="Y"/>
    <s v="Read-only access"/>
    <n v="1"/>
    <s v="Partial"/>
    <s v="N"/>
    <s v="N"/>
    <n v="60000"/>
    <d v="2031-10-31T00:00:00"/>
    <n v="79500"/>
    <n v="32500"/>
    <n v="29.353846153846156"/>
    <n v="2"/>
    <x v="1"/>
    <x v="1"/>
    <x v="1"/>
    <x v="21"/>
    <x v="4"/>
    <s v="Business case under review with owner"/>
  </r>
  <r>
    <n v="54602"/>
    <s v="Regional Production Scheduler"/>
    <s v="Production Planning"/>
    <s v="Operations"/>
    <s v="Internal"/>
    <s v="Sara Kapoor"/>
    <s v="Theo Lopez"/>
    <s v="Infra Ops US"/>
    <n v="0"/>
    <d v="2019-06-26T00:00:00"/>
    <s v="Not in use"/>
    <n v="1"/>
    <n v="4"/>
    <m/>
    <s v="On-prem DC"/>
    <s v="rpsapp01, rpsdb01, rpsweb01"/>
    <n v="3"/>
    <s v="RHEL 7"/>
    <s v="Oracle 12c"/>
    <s v="TBD"/>
    <d v="2024-06-30T00:00:00"/>
    <s v="Structured"/>
    <n v="780"/>
    <s v="N"/>
    <n v="3"/>
    <s v="N"/>
    <s v="None"/>
    <n v="0"/>
    <s v="N"/>
    <s v="Partial"/>
    <s v="Y"/>
    <n v="46500"/>
    <d v="2033-07-31T00:00:00"/>
    <n v="51500"/>
    <n v="43500"/>
    <n v="14.206896551724139"/>
    <n v="2"/>
    <x v="2"/>
    <x v="2"/>
    <x v="1"/>
    <x v="18"/>
    <x v="1"/>
    <s v="Owner sign-off received; switch-off scheduled"/>
  </r>
  <r>
    <n v="37206"/>
    <s v="Shared Brand Asset Library (UK)"/>
    <s v="Digital Assets"/>
    <s v="Marketing"/>
    <s v="Partner"/>
    <s v="Amelie Martin"/>
    <s v="Remi Masson"/>
    <s v="Cloud Platform Team"/>
    <n v="8"/>
    <d v="2021-01-30T00:00:00"/>
    <s v="Low use"/>
    <n v="3"/>
    <n v="3"/>
    <s v="Qualtrics (planned)"/>
    <s v="On-prem DC"/>
    <s v="sbaapp01, sbadb01, sbaweb01"/>
    <n v="3"/>
    <s v="Solaris 10"/>
    <s v="TBD"/>
    <s v="US DC-1"/>
    <d v="2021-01-31T00:00:00"/>
    <s v="Structured"/>
    <n v="7"/>
    <s v="Y"/>
    <n v="10"/>
    <s v="N"/>
    <s v="None"/>
    <n v="1"/>
    <s v="N"/>
    <s v="Partial"/>
    <s v="Partial"/>
    <n v="55000"/>
    <d v="2030-07-31T00:00:00"/>
    <n v="26000"/>
    <n v="44500"/>
    <n v="7.0112359550561791"/>
    <n v="3"/>
    <x v="2"/>
    <x v="2"/>
    <x v="1"/>
    <x v="19"/>
    <x v="4"/>
    <s v="Replacement option being confirmed"/>
  </r>
  <r>
    <n v="84464"/>
    <s v="Corporate CMDB Lite Lite"/>
    <s v="Config Mgmt"/>
    <s v="IT"/>
    <s v="Internal"/>
    <s v="Lucas Bernard"/>
    <s v="Adrien Colin"/>
    <s v="Database Services"/>
    <n v="246"/>
    <d v="2021-04-14T00:00:00"/>
    <s v="Active"/>
    <n v="4"/>
    <n v="3"/>
    <s v="SharePoint Online"/>
    <s v="On-prem DC"/>
    <s v="cclapp01, ccldb01"/>
    <n v="2"/>
    <s v="HP-UX 11i v3"/>
    <s v="Sybase ASE 15.7"/>
    <s v="US DC-1"/>
    <d v="2021-12-31T00:00:00"/>
    <s v="Structured"/>
    <n v="1"/>
    <s v="N"/>
    <n v="2"/>
    <s v="N"/>
    <s v="None"/>
    <n v="6"/>
    <s v="Partial"/>
    <s v="Y"/>
    <s v="Partial"/>
    <n v="36000"/>
    <d v="2029-06-30T00:00:00"/>
    <n v="51000"/>
    <n v="29000"/>
    <n v="21.103448275862068"/>
    <n v="2"/>
    <x v="0"/>
    <x v="2"/>
    <x v="1"/>
    <x v="23"/>
    <x v="4"/>
    <s v="Business case under review with owner"/>
  </r>
  <r>
    <n v="70485"/>
    <s v="Corporate AP Invoice Processor 2008"/>
    <s v="Accounts Payable"/>
    <s v="Finance"/>
    <s v="Internal"/>
    <s v="Hannah Weber"/>
    <s v="Adrien Colin"/>
    <s v="Database Services"/>
    <n v="192"/>
    <d v="2021-03-31T00:00:00"/>
    <s v="Active"/>
    <n v="1"/>
    <n v="4"/>
    <m/>
    <s v="IaaS"/>
    <s v="caiapp01, caidb01"/>
    <n v="2"/>
    <s v="SUSE Linux 11"/>
    <s v="Oracle 11g"/>
    <s v="AWS eu-west-1"/>
    <d v="2019-03-31T00:00:00"/>
    <s v="Unstructured"/>
    <n v="2010"/>
    <s v="N"/>
    <n v="3"/>
    <s v="Y"/>
    <s v="Archive + read-only"/>
    <n v="0"/>
    <s v="Y"/>
    <s v="Partial"/>
    <s v="Partial"/>
    <n v="34000"/>
    <d v="2033-12-31T00:00:00"/>
    <n v="74000"/>
    <n v="19000"/>
    <n v="46.736842105263158"/>
    <n v="2"/>
    <x v="1"/>
    <x v="0"/>
    <x v="1"/>
    <x v="22"/>
    <x v="1"/>
    <s v="Archive format agreed; load scheduled before switch-off"/>
  </r>
  <r>
    <n v="37005"/>
    <s v="CMDB Lite Lite"/>
    <s v="Config Mgmt"/>
    <s v="IT"/>
    <s v="Partner"/>
    <s v="Marc Laurent"/>
    <s v="Remi Masson"/>
    <s v="Plant IT Services"/>
    <n v="16"/>
    <d v="2020-12-15T00:00:00"/>
    <s v="Low use"/>
    <n v="3"/>
    <n v="4"/>
    <s v="Microsoft 365"/>
    <s v="On-prem DC"/>
    <s v="cllapp01, clldb01, cllweb01"/>
    <n v="3"/>
    <s v="RHEL 7"/>
    <s v="Oracle 12c"/>
    <s v="EU DC-1"/>
    <d v="2024-06-30T00:00:00"/>
    <s v="Structured"/>
    <n v="59"/>
    <s v="N"/>
    <n v="3"/>
    <s v="N"/>
    <s v="None"/>
    <n v="2"/>
    <s v="N"/>
    <s v="Partial"/>
    <s v="N"/>
    <n v="39500"/>
    <d v="2025-04-30T00:00:00"/>
    <n v="28000"/>
    <n v="38000"/>
    <n v="8.8421052631578938"/>
    <n v="2"/>
    <x v="2"/>
    <x v="2"/>
    <x v="1"/>
    <x v="15"/>
    <x v="4"/>
    <s v="Business case under review with owner"/>
  </r>
  <r>
    <n v="18642"/>
    <s v="Batch Scheduler"/>
    <s v="Batch Scheduling"/>
    <s v="IT"/>
    <s v="Internal"/>
    <s v="Pierre Roux"/>
    <s v="Kavya Reddy"/>
    <s v="Cloud Platform Team"/>
    <n v="74"/>
    <d v="2021-03-25T00:00:00"/>
    <s v="Active"/>
    <n v="4"/>
    <n v="3"/>
    <s v="SailPoint"/>
    <s v="On-prem DC"/>
    <s v="bsxapp01, bsxdb01, bsxweb01, bsxfs01"/>
    <n v="4"/>
    <s v="Ubuntu 16.04"/>
    <s v="MySQL 5.7"/>
    <s v="Plant DC"/>
    <d v="2021-04-30T00:00:00"/>
    <s v="Structured"/>
    <n v="49"/>
    <s v="N"/>
    <n v="7"/>
    <s v="N"/>
    <s v="None"/>
    <n v="4"/>
    <s v="Y"/>
    <s v="N"/>
    <s v="Partial"/>
    <n v="80000"/>
    <d v="2026-06-30T00:00:00"/>
    <n v="49000"/>
    <n v="62000"/>
    <n v="9.4838709677419359"/>
    <n v="2"/>
    <x v="0"/>
    <x v="2"/>
    <x v="1"/>
    <x v="16"/>
    <x v="1"/>
    <s v="Cut-over planned for Dec-22; parallel run scheduled"/>
  </r>
  <r>
    <n v="154923"/>
    <s v="Regional Leave Manager"/>
    <s v="Leave Mgmt"/>
    <s v="HR"/>
    <s v="Internal"/>
    <s v="Karan Blanc"/>
    <s v="Lena Fischer"/>
    <s v="Plant IT Services"/>
    <n v="266"/>
    <d v="2021-04-21T00:00:00"/>
    <s v="Active"/>
    <n v="3"/>
    <n v="2"/>
    <s v="Workday HCM"/>
    <s v="On-prem DC"/>
    <s v="rlm-app01–07, rlm-db01"/>
    <n v="8"/>
    <s v="SUSE Linux 11"/>
    <s v="Oracle 11g"/>
    <s v="TBD"/>
    <d v="2019-03-31T00:00:00"/>
    <s v="Structured"/>
    <n v="130"/>
    <s v="N"/>
    <n v="3"/>
    <s v="Y"/>
    <s v="Read-only access"/>
    <n v="30"/>
    <s v="Partial"/>
    <s v="Y"/>
    <s v="Partial"/>
    <n v="90000"/>
    <d v="2030-03-31T00:00:00"/>
    <n v="148500"/>
    <n v="70000"/>
    <n v="25.457142857142856"/>
    <n v="2"/>
    <x v="1"/>
    <x v="0"/>
    <x v="1"/>
    <x v="23"/>
    <x v="1"/>
    <s v="Retention 3 yrs - archive slot booked"/>
  </r>
  <r>
    <n v="66056"/>
    <s v="Shared Batch Scheduler v4"/>
    <s v="Batch Scheduling"/>
    <s v="IT"/>
    <s v="Internal"/>
    <s v="Neha Nair"/>
    <s v="Louis Faure"/>
    <s v="Database Services"/>
    <n v="16"/>
    <d v="2021-02-19T00:00:00"/>
    <s v="Low use"/>
    <n v="1"/>
    <n v="4"/>
    <s v="ServiceNow"/>
    <s v="On-prem DC"/>
    <s v="sbsapp01"/>
    <n v="1"/>
    <s v="Windows Server 2008"/>
    <s v="SQL Server 2008"/>
    <s v="TBD"/>
    <d v="2019-07-09T00:00:00"/>
    <s v="Both"/>
    <n v="20"/>
    <s v="Y"/>
    <n v="7"/>
    <s v="Y"/>
    <s v="Legal hold"/>
    <n v="0"/>
    <s v="N"/>
    <s v="Partial"/>
    <s v="Partial"/>
    <n v="11000"/>
    <d v="2034-02-28T00:00:00"/>
    <n v="13500"/>
    <n v="8500"/>
    <n v="19.058823529411764"/>
    <n v="4"/>
    <x v="1"/>
    <x v="1"/>
    <x v="1"/>
    <x v="19"/>
    <x v="1"/>
    <s v="Archive format agreed; load scheduled before switch-off_x000a_Blocker: Legal sign-off on retention_x000a_Q: Who owns the retention decision for archived records?"/>
  </r>
  <r>
    <n v="29786"/>
    <s v="Shared Access Request Tool Lite"/>
    <s v="Identity"/>
    <s v="IT"/>
    <s v="Internal"/>
    <s v="Mateo Girard"/>
    <s v="Rohan Bhatt"/>
    <s v="Plant IT Services"/>
    <n v="1353"/>
    <d v="2021-04-07T00:00:00"/>
    <s v="Active"/>
    <n v="3"/>
    <n v="2"/>
    <s v="ServiceNow"/>
    <s v="On-prem DC"/>
    <s v="sarapp01, sardb01, sarweb01, sarfs01"/>
    <n v="4"/>
    <s v="Ubuntu 16.04"/>
    <s v="MySQL 5.7"/>
    <s v="Plant DC"/>
    <d v="2021-04-30T00:00:00"/>
    <s v="Structured"/>
    <n v="1590"/>
    <s v="N"/>
    <n v="3"/>
    <s v="Y"/>
    <s v="Legal hold"/>
    <n v="15"/>
    <s v="Y"/>
    <s v="N"/>
    <s v="Partial"/>
    <n v="110000"/>
    <d v="2029-09-30T00:00:00"/>
    <n v="107500"/>
    <n v="76000"/>
    <n v="16.973684210526315"/>
    <n v="2"/>
    <x v="1"/>
    <x v="0"/>
    <x v="1"/>
    <x v="22"/>
    <x v="1"/>
    <s v="Retention 3 yrs - archive slot booked"/>
  </r>
  <r>
    <n v="69182"/>
    <s v="Regional Recruitment Tracker Plus"/>
    <s v="Recruitment"/>
    <s v="HR"/>
    <s v="Internal"/>
    <s v="Meera Dubois"/>
    <s v="Ishaan Desai"/>
    <s v="Unix Platform Team"/>
    <n v="21"/>
    <d v="2021-03-24T00:00:00"/>
    <s v="Low use"/>
    <n v="1"/>
    <n v="4"/>
    <m/>
    <s v="IaaS"/>
    <s v="rrtapp01, rrtdb01"/>
    <n v="2"/>
    <s v="Windows Server 2012 R2"/>
    <s v="SQL Server 2014"/>
    <s v="AWS us-east-1"/>
    <d v="2024-07-09T00:00:00"/>
    <s v="Unstructured"/>
    <n v="55"/>
    <s v="Y"/>
    <n v="5"/>
    <s v="Y"/>
    <s v="Data archive"/>
    <n v="3"/>
    <s v="Partial"/>
    <s v="Partial"/>
    <s v="N"/>
    <n v="32000"/>
    <d v="2032-08-31T00:00:00"/>
    <n v="19500"/>
    <n v="24500"/>
    <n v="9.5510204081632644"/>
    <n v="2"/>
    <x v="1"/>
    <x v="1"/>
    <x v="1"/>
    <x v="20"/>
    <x v="4"/>
    <s v="Retention requirement to be confirmed"/>
  </r>
  <r>
    <n v="47091"/>
    <s v="Customer Contact Manager (UK)"/>
    <s v="CRM"/>
    <s v="Sales"/>
    <s v="Internal"/>
    <s v="Vikram Rao"/>
    <s v="Rohan Bhatt"/>
    <s v="SaaS Vendor Mgmt"/>
    <n v="0"/>
    <d v="2020-09-28T00:00:00"/>
    <s v="Not in use"/>
    <n v="2"/>
    <n v="4"/>
    <m/>
    <s v="SaaS"/>
    <s v="N/A (SaaS)"/>
    <n v="0"/>
    <s v="N/A"/>
    <s v="N/A"/>
    <s v="Vendor cloud (EU)"/>
    <m/>
    <s v="Both"/>
    <n v="5"/>
    <s v="Y"/>
    <n v="7"/>
    <s v="N"/>
    <s v="None"/>
    <n v="1"/>
    <s v="Partial"/>
    <s v="Partial"/>
    <s v="N"/>
    <n v="85000"/>
    <d v="2034-03-31T00:00:00"/>
    <n v="48500"/>
    <n v="48500"/>
    <n v="12"/>
    <n v="2"/>
    <x v="2"/>
    <x v="2"/>
    <x v="1"/>
    <x v="20"/>
    <x v="4"/>
    <s v="Retention requirement to be confirmed"/>
  </r>
  <r>
    <n v="196808"/>
    <s v="Global Safety Incident Tracker (Nordics)"/>
    <s v="Health &amp; Safety"/>
    <s v="Operations"/>
    <s v="External"/>
    <s v="Amelie Martin"/>
    <s v="Remi Masson"/>
    <s v="SaaS Vendor Mgmt"/>
    <n v="0"/>
    <d v="2020-08-15T00:00:00"/>
    <s v="Not in use"/>
    <n v="3"/>
    <n v="4"/>
    <s v="TBD"/>
    <s v="SaaS"/>
    <s v="N/A (SaaS)"/>
    <n v="0"/>
    <s v="N/A"/>
    <s v="N/A"/>
    <s v="Vendor cloud (EU)"/>
    <m/>
    <s v="Structured"/>
    <n v="110"/>
    <s v="N"/>
    <n v="5"/>
    <s v="N"/>
    <s v="None"/>
    <n v="2"/>
    <s v="N"/>
    <s v="Y"/>
    <s v="Partial"/>
    <n v="70000"/>
    <d v="2025-05-31T00:00:00"/>
    <n v="53500"/>
    <n v="46000"/>
    <n v="13.956521739130435"/>
    <n v="1"/>
    <x v="2"/>
    <x v="2"/>
    <x v="1"/>
    <x v="21"/>
    <x v="1"/>
    <s v="Functionality covered by existing tools"/>
  </r>
  <r>
    <n v="67388"/>
    <s v="Regional Facilities Request Portal 2012"/>
    <s v="Facilities"/>
    <s v="Operations"/>
    <s v="Internal"/>
    <s v="Isabelle Singh"/>
    <s v="Adrien Colin"/>
    <s v="Database Services"/>
    <n v="0"/>
    <d v="2020-05-04T00:00:00"/>
    <s v="Not in use"/>
    <n v="4"/>
    <n v="2"/>
    <m/>
    <s v="On-prem DC"/>
    <s v="rfrapp01, rfrdb01, rfrweb01, rfrfs01"/>
    <n v="4"/>
    <s v="RHEL 8"/>
    <s v="PostgreSQL 12"/>
    <s v="Plant DC"/>
    <s v="TBD"/>
    <s v="Structured"/>
    <n v="320"/>
    <s v="N"/>
    <n v="5"/>
    <s v="Y"/>
    <s v="Data archive"/>
    <n v="24"/>
    <s v="Partial"/>
    <s v="Partial"/>
    <s v="Partial"/>
    <n v="100000"/>
    <d v="2027-04-30T00:00:00"/>
    <n v="243500"/>
    <n v="50500"/>
    <n v="57.861386138613859"/>
    <n v="1"/>
    <x v="1"/>
    <x v="0"/>
    <x v="1"/>
    <x v="19"/>
    <x v="4"/>
    <s v="Replacement option being confirmed"/>
  </r>
  <r>
    <n v="52626"/>
    <s v="Legacy AP Invoice Processor v3"/>
    <s v="Accounts Payable"/>
    <s v="Finance"/>
    <s v="External"/>
    <s v="Rahul Iyer"/>
    <s v="Louis Faure"/>
    <s v="Database Services"/>
    <n v="331"/>
    <d v="2021-04-17T00:00:00"/>
    <s v="Active"/>
    <n v="3"/>
    <n v="3"/>
    <s v="Anaplan"/>
    <s v="On-prem DC"/>
    <s v="laiapp01, laidb01, laiweb01"/>
    <n v="3"/>
    <s v="Windows Server 2008"/>
    <s v="SQL Server 2008"/>
    <s v="TBD"/>
    <d v="2019-07-09T00:00:00"/>
    <s v="Both"/>
    <n v="390"/>
    <s v="Y"/>
    <n v="5"/>
    <s v="N"/>
    <s v="None"/>
    <n v="3"/>
    <s v="Partial"/>
    <s v="N"/>
    <s v="N"/>
    <n v="24500"/>
    <d v="2032-07-31T00:00:00"/>
    <n v="29000"/>
    <n v="20500"/>
    <n v="16.975609756097562"/>
    <n v="2"/>
    <x v="2"/>
    <x v="2"/>
    <x v="1"/>
    <x v="22"/>
    <x v="4"/>
    <s v="Replacement option being confirmed"/>
  </r>
  <r>
    <n v="50860"/>
    <s v="Global Licence Manager (US)"/>
    <s v="Licence Mgmt"/>
    <s v="IT"/>
    <s v="Partner"/>
    <s v="Diego Alvarez"/>
    <s v="Lena Fischer"/>
    <s v="Infra Ops EMEA"/>
    <n v="5"/>
    <d v="2019-06-15T00:00:00"/>
    <s v="Not in use"/>
    <n v="4"/>
    <n v="3"/>
    <s v="Microsoft 365 (planned)"/>
    <s v="IaaS"/>
    <s v="glmapp01"/>
    <n v="1"/>
    <s v="Ubuntu 16.04"/>
    <s v="MySQL 5.7"/>
    <s v="AWS eu-west-1"/>
    <d v="2021-04-30T00:00:00"/>
    <s v="Both"/>
    <n v="490"/>
    <s v="N"/>
    <n v="3"/>
    <s v="N"/>
    <s v="None"/>
    <n v="1"/>
    <s v="N"/>
    <s v="Partial"/>
    <s v="Partial"/>
    <n v="9500"/>
    <d v="2032-12-31T00:00:00"/>
    <n v="10500"/>
    <n v="6000"/>
    <n v="21"/>
    <n v="3"/>
    <x v="0"/>
    <x v="2"/>
    <x v="1"/>
    <x v="16"/>
    <x v="4"/>
    <s v="Replacement option being confirmed"/>
  </r>
  <r>
    <n v="184400"/>
    <s v="CMDB Lite (DE)"/>
    <s v="Config Mgmt"/>
    <s v="IT"/>
    <s v="Internal"/>
    <s v="Sophie Dubois"/>
    <s v="Sameer Joshi"/>
    <s v="SaaS Vendor Mgmt"/>
    <n v="22"/>
    <d v="2021-04-10T00:00:00"/>
    <s v="Low use"/>
    <n v="2"/>
    <n v="3"/>
    <m/>
    <s v="SaaS"/>
    <s v="N/A (SaaS)"/>
    <n v="0"/>
    <s v="N/A"/>
    <s v="N/A"/>
    <s v="Vendor cloud (EU)"/>
    <m/>
    <s v="Structured"/>
    <n v="370"/>
    <s v="N"/>
    <n v="1"/>
    <s v="N"/>
    <s v="None"/>
    <n v="4"/>
    <s v="N"/>
    <s v="N"/>
    <s v="N"/>
    <n v="32000"/>
    <d v="2030-02-28T00:00:00"/>
    <n v="40000"/>
    <n v="20000"/>
    <n v="24"/>
    <n v="2"/>
    <x v="2"/>
    <x v="2"/>
    <x v="1"/>
    <x v="12"/>
    <x v="4"/>
    <s v="Business case under review with owner"/>
  </r>
  <r>
    <n v="164433"/>
    <s v="Partner Portal v3"/>
    <s v="Partner Mgmt"/>
    <s v="Sales"/>
    <s v="External"/>
    <s v="Arjun Lambert"/>
    <s v="Rohan Bhatt"/>
    <s v="Database Services"/>
    <n v="17"/>
    <d v="2021-01-19T00:00:00"/>
    <s v="Low use"/>
    <n v="3"/>
    <n v="3"/>
    <m/>
    <s v="IaaS"/>
    <s v="ppvapp01"/>
    <n v="1"/>
    <s v="AIX 6.1"/>
    <s v="DB2 9.7"/>
    <s v="Azure West Europe"/>
    <d v="2017-04-30T00:00:00"/>
    <s v="Structured"/>
    <n v="1580"/>
    <s v="N"/>
    <n v="3"/>
    <s v="Y"/>
    <s v="Archive + read-only"/>
    <n v="5"/>
    <s v="N"/>
    <s v="Y"/>
    <s v="N"/>
    <n v="8500"/>
    <d v="2035-05-31T00:00:00"/>
    <n v="20000"/>
    <n v="6000"/>
    <n v="40"/>
    <n v="2"/>
    <x v="1"/>
    <x v="0"/>
    <x v="1"/>
    <x v="19"/>
    <x v="1"/>
    <s v="Retention 3 yrs - archive slot booked"/>
  </r>
  <r>
    <n v="42068"/>
    <s v="Global Sales Forecast Tool v3"/>
    <s v="Sales Planning"/>
    <s v="Sales"/>
    <s v="Internal"/>
    <s v="Nicolas Sharma"/>
    <s v="Kavya Reddy"/>
    <s v="Wintel Platform Team"/>
    <n v="360"/>
    <d v="2021-04-04T00:00:00"/>
    <s v="Active"/>
    <n v="5"/>
    <n v="2"/>
    <s v="Salesforce"/>
    <s v="On-prem DC"/>
    <s v="gsfapp01"/>
    <n v="1"/>
    <s v="Windows Server 2016"/>
    <s v="SQL Server 2017"/>
    <s v="EU DC-1"/>
    <d v="2027-01-12T00:00:00"/>
    <s v="Unstructured"/>
    <n v="51"/>
    <s v="N"/>
    <n v="5"/>
    <s v="N"/>
    <s v="None"/>
    <n v="15"/>
    <s v="Partial"/>
    <s v="Partial"/>
    <s v="Y"/>
    <n v="60000"/>
    <d v="2028-09-30T00:00:00"/>
    <n v="86500"/>
    <n v="37000"/>
    <n v="28.054054054054053"/>
    <n v="1"/>
    <x v="0"/>
    <x v="2"/>
    <x v="1"/>
    <x v="20"/>
    <x v="4"/>
    <s v="Replacement option being confirmed_x000a_Blocker: Vendor notice period of 12 months_x000a_Q: Can the contract end be brought forward?"/>
  </r>
  <r>
    <n v="102312"/>
    <s v="Custom CMDB Lite v3"/>
    <s v="Config Mgmt"/>
    <s v="IT"/>
    <s v="Internal"/>
    <s v="Diego Alvarez"/>
    <s v="Ishaan Desai"/>
    <s v="Infra Ops EMEA"/>
    <n v="13"/>
    <d v="2021-01-12T00:00:00"/>
    <s v="Low use"/>
    <n v="1"/>
    <n v="4"/>
    <m/>
    <s v="On-prem DC"/>
    <s v="cclapp01, ccldb01"/>
    <n v="2"/>
    <s v="SUSE Linux 11"/>
    <s v="Oracle 11g"/>
    <s v="US DC-1"/>
    <d v="2019-03-31T00:00:00"/>
    <s v="Both"/>
    <n v="4"/>
    <s v="N"/>
    <n v="3"/>
    <s v="N"/>
    <s v="None"/>
    <n v="0"/>
    <s v="N"/>
    <s v="N"/>
    <s v="N"/>
    <n v="24500"/>
    <d v="2035-12-31T00:00:00"/>
    <n v="14500"/>
    <n v="21500"/>
    <n v="8.0930232558139537"/>
    <n v="3"/>
    <x v="2"/>
    <x v="2"/>
    <x v="1"/>
    <x v="21"/>
    <x v="1"/>
    <s v="No active users; switch-off confirmed with owner_x000a_Blocker: Month-end close dependency_x000a_Q: Can the cut-over avoid the quarter-end freeze?"/>
  </r>
  <r>
    <n v="66024"/>
    <s v="Licence Manager (APAC)"/>
    <s v="Licence Mgmt"/>
    <s v="IT"/>
    <s v="Internal"/>
    <s v="Claire Mehta"/>
    <s v="Aditi Menon"/>
    <s v="Unix Platform Team"/>
    <n v="28"/>
    <d v="2021-04-12T00:00:00"/>
    <s v="Active"/>
    <n v="1"/>
    <n v="4"/>
    <m/>
    <s v="On-prem DC"/>
    <s v="lmaapp01, lmadb01, lmaweb01"/>
    <n v="3"/>
    <s v="Ubuntu 16.04"/>
    <s v="MySQL 5.7"/>
    <s v="US DC-1"/>
    <d v="2021-04-30T00:00:00"/>
    <s v="Structured"/>
    <n v="36"/>
    <s v="N"/>
    <n v="3"/>
    <s v="Y"/>
    <s v="Archive + read-only"/>
    <n v="3"/>
    <s v="N"/>
    <s v="Y"/>
    <s v="N"/>
    <n v="24500"/>
    <d v="2027-12-31T00:00:00"/>
    <n v="31500"/>
    <n v="17000"/>
    <n v="22.235294117647058"/>
    <n v="2"/>
    <x v="1"/>
    <x v="1"/>
    <x v="1"/>
    <x v="19"/>
    <x v="4"/>
    <s v="Awaiting dependency mapping"/>
  </r>
  <r>
    <n v="117516"/>
    <s v="Legacy Event Registration Tool (FR)"/>
    <s v="Events"/>
    <s v="Marketing"/>
    <s v="Internal"/>
    <s v="Lucas Bernard"/>
    <s v="Kavya Reddy"/>
    <s v="SaaS Vendor Mgmt"/>
    <n v="21"/>
    <d v="2021-04-12T00:00:00"/>
    <s v="Low use"/>
    <n v="3"/>
    <n v="2"/>
    <s v="TBD"/>
    <s v="SaaS"/>
    <s v="N/A (SaaS)"/>
    <n v="0"/>
    <s v="N/A"/>
    <s v="N/A"/>
    <s v="Vendor cloud (EU)"/>
    <m/>
    <s v="Unstructured"/>
    <n v="52"/>
    <s v="Y"/>
    <n v="7"/>
    <s v="Y"/>
    <s v="Legal hold"/>
    <n v="19"/>
    <s v="Y"/>
    <s v="Y"/>
    <s v="N"/>
    <n v="185000"/>
    <d v="2027-10-31T00:00:00"/>
    <n v="347000"/>
    <n v="72500"/>
    <n v="57.434482758620689"/>
    <n v="1"/>
    <x v="1"/>
    <x v="0"/>
    <x v="1"/>
    <x v="13"/>
    <x v="1"/>
    <s v="Read-only access needed for audit_x000a_Blocker: Interface owners not yet identified_x000a_Q: Which teams consume the outbound feeds?"/>
  </r>
  <r>
    <n v="170025"/>
    <s v="Custom Purchase Order System v4"/>
    <s v="Procurement"/>
    <s v="Supply Chain"/>
    <s v="Internal"/>
    <s v="Marc Laurent"/>
    <s v="Louis Faure"/>
    <s v="Plant IT Services"/>
    <n v="20"/>
    <d v="2021-01-09T00:00:00"/>
    <s v="Low use"/>
    <n v="1"/>
    <n v="4"/>
    <s v="SAP IBP"/>
    <s v="On-prem DC"/>
    <s v="fs-cpo02 (file share)"/>
    <n v="1"/>
    <s v="Windows Server 2012 R2"/>
    <s v="MS Access 2010"/>
    <s v="EU DC-1"/>
    <d v="2023-10-10T00:00:00"/>
    <s v="Both"/>
    <n v="1210"/>
    <s v="N"/>
    <n v="7"/>
    <s v="N"/>
    <s v="None"/>
    <n v="2"/>
    <s v="N"/>
    <s v="Partial"/>
    <s v="Partial"/>
    <n v="16500"/>
    <d v="2033-11-30T00:00:00"/>
    <n v="12500"/>
    <n v="11000"/>
    <n v="13.636363636363637"/>
    <n v="3"/>
    <x v="0"/>
    <x v="2"/>
    <x v="1"/>
    <x v="17"/>
    <x v="4"/>
    <s v="Replacement option being confirmed"/>
  </r>
  <r>
    <n v="147197"/>
    <s v="Quote Manager 2010"/>
    <s v="Quoting"/>
    <s v="Sales"/>
    <s v="Internal"/>
    <s v="Isabelle Singh"/>
    <s v="Hugo Perrin"/>
    <s v="Infra Ops EMEA"/>
    <n v="237"/>
    <d v="2021-04-25T00:00:00"/>
    <s v="Active"/>
    <n v="1"/>
    <n v="4"/>
    <m/>
    <s v="On-prem DC"/>
    <s v="qmxapp01, qmxdb01, qmxweb01, qmxfs01"/>
    <n v="4"/>
    <s v="Ubuntu 18.04"/>
    <s v="PostgreSQL 10"/>
    <s v="EU DC-1"/>
    <d v="2023-05-31T00:00:00"/>
    <s v="Both"/>
    <n v="390"/>
    <s v="Y"/>
    <n v="7"/>
    <s v="Y"/>
    <s v="Read-only access"/>
    <n v="1"/>
    <s v="N"/>
    <s v="N"/>
    <s v="N"/>
    <n v="60000"/>
    <d v="2032-07-31T00:00:00"/>
    <n v="44500"/>
    <n v="50000"/>
    <n v="10.68"/>
    <n v="1"/>
    <x v="1"/>
    <x v="1"/>
    <x v="1"/>
    <x v="15"/>
    <x v="1"/>
    <s v="Read-only access needed for audit"/>
  </r>
  <r>
    <n v="21115"/>
    <s v="Newsletter Mailer (APAC)"/>
    <s v="Email"/>
    <s v="Marketing"/>
    <s v="Internal"/>
    <s v="Camille Fontaine"/>
    <s v="Manon Chevalier"/>
    <s v="Cloud Platform Team"/>
    <n v="25"/>
    <d v="2021-04-18T00:00:00"/>
    <s v="Active"/>
    <n v="2"/>
    <n v="4"/>
    <s v="Marketo"/>
    <s v="On-prem DC"/>
    <s v="nmaapp01, nmadb01"/>
    <n v="2"/>
    <s v="Solaris 10"/>
    <s v="Oracle 11g"/>
    <s v="TBD"/>
    <d v="2021-01-31T00:00:00"/>
    <s v="Both"/>
    <n v="2590"/>
    <s v="N"/>
    <n v="1"/>
    <s v="N"/>
    <s v="None"/>
    <n v="2"/>
    <s v="N"/>
    <s v="N"/>
    <s v="Partial"/>
    <n v="32000"/>
    <d v="2025-09-30T00:00:00"/>
    <n v="27000"/>
    <n v="26000"/>
    <n v="12.461538461538463"/>
    <n v="3"/>
    <x v="0"/>
    <x v="2"/>
    <x v="1"/>
    <x v="14"/>
    <x v="4"/>
    <s v="Retention requirement to be confirmed_x000a_Blocker: Month-end close dependency_x000a_Q: Can the cut-over avoid the quarter-end freeze?"/>
  </r>
  <r>
    <n v="130113"/>
    <s v="Credit Check Portal"/>
    <s v="Credit Mgmt"/>
    <s v="Finance"/>
    <s v="Internal"/>
    <s v="Vikram Rao"/>
    <s v="Baptiste Henry"/>
    <s v="Infra Ops US"/>
    <n v="3"/>
    <d v="2021-01-12T00:00:00"/>
    <s v="Low use"/>
    <n v="1"/>
    <n v="4"/>
    <m/>
    <s v="On-prem DC"/>
    <s v="ccpapp01"/>
    <n v="1"/>
    <s v="Windows Server 2008 R2"/>
    <s v="SQL Server 2008 R2"/>
    <s v="TBD"/>
    <d v="2020-01-14T00:00:00"/>
    <s v="Structured"/>
    <n v="590"/>
    <s v="Y"/>
    <n v="5"/>
    <s v="Y"/>
    <s v="Read-only access"/>
    <n v="3"/>
    <s v="N"/>
    <s v="N"/>
    <s v="Partial"/>
    <n v="33000"/>
    <d v="2027-06-30T00:00:00"/>
    <n v="45000"/>
    <n v="17000"/>
    <n v="31.764705882352942"/>
    <n v="3"/>
    <x v="1"/>
    <x v="1"/>
    <x v="1"/>
    <x v="22"/>
    <x v="1"/>
    <s v="Retention 5 yrs - archive slot booked"/>
  </r>
  <r>
    <n v="36276"/>
    <s v="Org Chart Publisher"/>
    <s v="Org Mgmt"/>
    <s v="HR"/>
    <s v="Internal"/>
    <s v="Anika Patel"/>
    <s v="Louis Faure"/>
    <s v="Wintel Platform Team"/>
    <n v="6"/>
    <d v="2021-03-06T00:00:00"/>
    <s v="Low use"/>
    <n v="1"/>
    <n v="3"/>
    <m/>
    <s v="PaaS"/>
    <s v="Azure App Service (PaaS)"/>
    <n v="0"/>
    <s v="N/A (PaaS)"/>
    <s v="Azure SQL"/>
    <s v="Azure West Europe"/>
    <d v="2022-06-30T00:00:00"/>
    <s v="Unstructured"/>
    <n v="1080"/>
    <s v="N"/>
    <n v="7"/>
    <s v="Y"/>
    <s v="Archive + read-only"/>
    <n v="4"/>
    <s v="Partial"/>
    <s v="Y"/>
    <s v="N"/>
    <n v="4500"/>
    <d v="2027-06-30T00:00:00"/>
    <n v="4000"/>
    <n v="2500"/>
    <n v="19.200000000000003"/>
    <n v="2"/>
    <x v="1"/>
    <x v="0"/>
    <x v="1"/>
    <x v="15"/>
    <x v="1"/>
    <s v="Archive format agreed; load scheduled before switch-off"/>
  </r>
  <r>
    <n v="126310"/>
    <s v="Corporate Document Repository v3"/>
    <s v="Document Mgmt"/>
    <s v="IT"/>
    <s v="Internal"/>
    <s v="Pierre Roux"/>
    <s v="Rohan Bhatt"/>
    <s v="Wintel Platform Team"/>
    <n v="64"/>
    <d v="2021-04-29T00:00:00"/>
    <s v="Active"/>
    <n v="1"/>
    <n v="4"/>
    <m/>
    <s v="On-prem DC"/>
    <s v="cdrapp01, cdrdb01, cdrweb01, cdrfs01"/>
    <n v="4"/>
    <s v="Ubuntu 16.04"/>
    <s v="MySQL 5.7"/>
    <s v="EU DC-2"/>
    <d v="2021-04-30T00:00:00"/>
    <s v="Both"/>
    <n v="440"/>
    <s v="N"/>
    <n v="7"/>
    <s v="N"/>
    <s v="None"/>
    <n v="2"/>
    <s v="N"/>
    <s v="Y"/>
    <s v="Y"/>
    <n v="60000"/>
    <d v="2033-05-31T00:00:00"/>
    <n v="62000"/>
    <n v="56000"/>
    <n v="13.285714285714286"/>
    <n v="2"/>
    <x v="2"/>
    <x v="2"/>
    <x v="1"/>
    <x v="16"/>
    <x v="4"/>
    <s v="Business case under review with owner"/>
  </r>
  <r>
    <n v="58292"/>
    <s v="Credit Check Portal 2010"/>
    <s v="Credit Mgmt"/>
    <s v="Finance"/>
    <s v="Internal"/>
    <s v="Sophie Dubois"/>
    <s v="Chloe Vidal"/>
    <s v="Database Services"/>
    <n v="0"/>
    <d v="2020-12-13T00:00:00"/>
    <s v="Not in use"/>
    <n v="1"/>
    <n v="3"/>
    <s v="SAP S/4HANA"/>
    <s v="On-prem DC"/>
    <s v="ccpapp01, ccpdb01, ccpweb01"/>
    <n v="3"/>
    <s v="Ubuntu 20.04"/>
    <s v="MySQL 8.0"/>
    <s v="Plant DC"/>
    <d v="2025-04-30T00:00:00"/>
    <s v="Both"/>
    <n v="9"/>
    <s v="N"/>
    <n v="7"/>
    <s v="N"/>
    <s v="None"/>
    <n v="3"/>
    <s v="Partial"/>
    <s v="Partial"/>
    <s v="Partial"/>
    <n v="37000"/>
    <d v="2031-07-31T00:00:00"/>
    <n v="48000"/>
    <n v="31000"/>
    <n v="18.58064516129032"/>
    <n v="3"/>
    <x v="2"/>
    <x v="2"/>
    <x v="1"/>
    <x v="16"/>
    <x v="1"/>
    <s v="Functionality covered by existing tools"/>
  </r>
  <r>
    <n v="159043"/>
    <s v="Departmental Quote Manager Plus"/>
    <s v="Quoting"/>
    <s v="Sales"/>
    <s v="Partner"/>
    <s v="Lucas Bernard"/>
    <s v="Tara Khanna"/>
    <s v="Cloud Platform Team"/>
    <n v="19"/>
    <d v="2020-12-14T00:00:00"/>
    <s v="Low use"/>
    <n v="3"/>
    <n v="3"/>
    <s v="Salesforce CPQ"/>
    <s v="IaaS"/>
    <s v="fs-dqm02 (file share)"/>
    <n v="1"/>
    <s v="Windows Server 2012 R2"/>
    <s v="MS Access 2010"/>
    <s v="AWS eu-west-1"/>
    <d v="2023-10-10T00:00:00"/>
    <s v="Structured"/>
    <n v="820"/>
    <s v="Y"/>
    <n v="10"/>
    <s v="Y"/>
    <s v="Legal hold"/>
    <n v="2"/>
    <s v="Y"/>
    <s v="N"/>
    <s v="N"/>
    <n v="13000"/>
    <d v="2033-05-31T00:00:00"/>
    <n v="11500"/>
    <n v="7000"/>
    <n v="19.714285714285715"/>
    <n v="2"/>
    <x v="1"/>
    <x v="1"/>
    <x v="1"/>
    <x v="12"/>
    <x v="4"/>
    <s v="Retention requirement to be confirmed"/>
  </r>
  <r>
    <n v="123776"/>
    <s v="Global Newsletter Mailer v2"/>
    <s v="Email"/>
    <s v="Marketing"/>
    <s v="Internal"/>
    <s v="Thomas Moreau"/>
    <s v="Omar Haddad"/>
    <s v="Unix Platform Team"/>
    <n v="21"/>
    <d v="2021-04-10T00:00:00"/>
    <s v="Low use"/>
    <n v="2"/>
    <n v="4"/>
    <s v="TBD"/>
    <s v="On-prem DC"/>
    <s v="gnmapp01"/>
    <n v="1"/>
    <s v="Solaris 10"/>
    <s v="Oracle 11g"/>
    <s v="TBD"/>
    <d v="2021-01-31T00:00:00"/>
    <s v="Structured"/>
    <n v="5"/>
    <s v="Y"/>
    <n v="7"/>
    <s v="N"/>
    <s v="None"/>
    <n v="3"/>
    <s v="Partial"/>
    <s v="N"/>
    <s v="Partial"/>
    <n v="38000"/>
    <d v="2032-03-31T00:00:00"/>
    <n v="16500"/>
    <n v="31500"/>
    <n v="6.2857142857142865"/>
    <n v="3"/>
    <x v="2"/>
    <x v="2"/>
    <x v="1"/>
    <x v="19"/>
    <x v="4"/>
    <s v="Awaiting dependency mapping"/>
  </r>
  <r>
    <n v="52131"/>
    <s v="Sales Forecast Tool (Nordics)"/>
    <s v="Sales Planning"/>
    <s v="Sales"/>
    <s v="Partner"/>
    <s v="Julia Rao"/>
    <s v="Omar Haddad"/>
    <s v="Infra Ops US"/>
    <n v="260"/>
    <d v="2021-03-18T00:00:00"/>
    <s v="Active"/>
    <n v="5"/>
    <n v="1"/>
    <s v="Salesforce Partner Community"/>
    <s v="On-prem DC"/>
    <s v="sft-app01–04, sft-db01"/>
    <n v="5"/>
    <s v="Solaris 10"/>
    <s v="Oracle 11g"/>
    <s v="TBD"/>
    <d v="2021-01-31T00:00:00"/>
    <s v="Unstructured"/>
    <n v="15"/>
    <s v="Y"/>
    <n v="7"/>
    <s v="N"/>
    <s v="None"/>
    <n v="20"/>
    <s v="N"/>
    <s v="Partial"/>
    <s v="Y"/>
    <n v="150000"/>
    <d v="2031-08-31T00:00:00"/>
    <n v="152000"/>
    <n v="89500"/>
    <n v="20.379888268156424"/>
    <n v="2"/>
    <x v="0"/>
    <x v="2"/>
    <x v="1"/>
    <x v="21"/>
    <x v="1"/>
    <s v="Cut-over planned for Feb-22; parallel run scheduled"/>
  </r>
  <r>
    <n v="183151"/>
    <s v="Legacy Brand Asset Library Plus"/>
    <s v="Digital Assets"/>
    <s v="Marketing"/>
    <s v="Internal"/>
    <s v="Camille Fontaine"/>
    <s v="Theo Lopez"/>
    <s v="Unix Platform Team"/>
    <n v="6"/>
    <d v="2021-04-13T00:00:00"/>
    <s v="Low use"/>
    <n v="1"/>
    <n v="4"/>
    <m/>
    <s v="PaaS"/>
    <s v="Azure App Service (PaaS)"/>
    <n v="0"/>
    <s v="N/A (PaaS)"/>
    <s v="Cosmos DB"/>
    <s v="Azure West Europe"/>
    <m/>
    <s v="Structured"/>
    <n v="36"/>
    <s v="Y"/>
    <n v="10"/>
    <s v="N"/>
    <s v="None"/>
    <n v="2"/>
    <s v="N"/>
    <s v="Partial"/>
    <s v="N"/>
    <n v="6000"/>
    <d v="2031-09-30T00:00:00"/>
    <n v="4500"/>
    <n v="5500"/>
    <n v="9.8181818181818183"/>
    <n v="2"/>
    <x v="2"/>
    <x v="2"/>
    <x v="1"/>
    <x v="14"/>
    <x v="1"/>
    <s v="Functionality covered by existing tools"/>
  </r>
  <r>
    <n v="83593"/>
    <s v="Production Scheduler v2"/>
    <s v="Production Planning"/>
    <s v="Operations"/>
    <s v="Internal"/>
    <s v="Vikram Rao"/>
    <s v="Tara Khanna"/>
    <s v="Infra Ops US"/>
    <n v="597"/>
    <d v="2021-04-09T00:00:00"/>
    <s v="Active"/>
    <n v="3"/>
    <n v="2"/>
    <s v="ServiceMax"/>
    <s v="On-prem DC"/>
    <s v="psv-app01–04, psv-db01"/>
    <n v="5"/>
    <s v="Windows Server 2008"/>
    <s v="SQL Server 2008"/>
    <s v="EU DC-2"/>
    <d v="2019-07-09T00:00:00"/>
    <s v="Structured"/>
    <n v="180"/>
    <s v="N"/>
    <n v="5"/>
    <s v="N"/>
    <s v="None"/>
    <n v="23"/>
    <s v="N"/>
    <s v="Partial"/>
    <s v="Y"/>
    <n v="95000"/>
    <d v="2027-01-31T00:00:00"/>
    <n v="121500"/>
    <n v="76500"/>
    <n v="19.058823529411764"/>
    <n v="2"/>
    <x v="0"/>
    <x v="2"/>
    <x v="1"/>
    <x v="17"/>
    <x v="4"/>
    <s v="Business case under review with owner"/>
  </r>
  <r>
    <n v="144556"/>
    <s v="Org Chart Publisher v4"/>
    <s v="Org Mgmt"/>
    <s v="HR"/>
    <s v="Internal"/>
    <s v="Camille Fontaine"/>
    <s v="Omar Haddad"/>
    <s v="SaaS Vendor Mgmt"/>
    <n v="3"/>
    <d v="2019-12-19T00:00:00"/>
    <s v="Not in use"/>
    <n v="3"/>
    <n v="4"/>
    <s v="Workday Recruiting"/>
    <s v="SaaS"/>
    <s v="N/A (SaaS)"/>
    <n v="0"/>
    <s v="N/A"/>
    <s v="N/A"/>
    <s v="Vendor cloud (EU)"/>
    <d v="2022-04-30T00:00:00"/>
    <s v="Structured"/>
    <n v="170"/>
    <s v="Y"/>
    <n v="10"/>
    <s v="Y"/>
    <s v="Data archive"/>
    <n v="3"/>
    <s v="N"/>
    <s v="Partial"/>
    <s v="N"/>
    <n v="65000"/>
    <d v="2025-08-31T00:00:00"/>
    <n v="116000"/>
    <n v="26000"/>
    <n v="53.53846153846154"/>
    <n v="3"/>
    <x v="0"/>
    <x v="1"/>
    <x v="1"/>
    <x v="18"/>
    <x v="1"/>
    <s v="2 feeds to re-point to Workday Recruiting"/>
  </r>
  <r>
    <n v="46110"/>
    <s v="Legacy Commission Calculator v3"/>
    <s v="Commissions"/>
    <s v="Sales"/>
    <s v="Internal"/>
    <s v="Oscar Lindqvist"/>
    <s v="Omar Haddad"/>
    <s v="Plant IT Services"/>
    <n v="0"/>
    <d v="2020-04-14T00:00:00"/>
    <s v="Not in use"/>
    <n v="1"/>
    <n v="3"/>
    <s v="TBD"/>
    <s v="On-prem DC"/>
    <s v="lccapp01"/>
    <n v="1"/>
    <s v="Windows Server 2008 R2"/>
    <s v="SQL Server 2008 R2"/>
    <s v="EU DC-1"/>
    <d v="2020-01-14T00:00:00"/>
    <s v="Structured"/>
    <n v="160"/>
    <s v="Y"/>
    <n v="5"/>
    <s v="N"/>
    <s v="None"/>
    <n v="8"/>
    <s v="N"/>
    <s v="Partial"/>
    <s v="Y"/>
    <n v="15500"/>
    <d v="2035-10-31T00:00:00"/>
    <n v="19500"/>
    <n v="15000"/>
    <n v="15.600000000000001"/>
    <n v="3"/>
    <x v="2"/>
    <x v="2"/>
    <x v="1"/>
    <x v="15"/>
    <x v="4"/>
    <s v="Retention requirement to be confirmed"/>
  </r>
  <r>
    <n v="14362"/>
    <s v="Leave Manager"/>
    <s v="Leave Mgmt"/>
    <s v="HR"/>
    <s v="Internal"/>
    <s v="Elena Garcia"/>
    <s v="Aditi Menon"/>
    <s v="Plant IT Services"/>
    <n v="4"/>
    <d v="2020-07-30T00:00:00"/>
    <s v="Not in use"/>
    <n v="2"/>
    <n v="4"/>
    <s v="Workday Recruiting"/>
    <s v="On-prem DC"/>
    <s v="lmxapp01, lmxdb01, lmxweb01, lmxfs01"/>
    <n v="4"/>
    <s v="Ubuntu 16.04"/>
    <s v="MySQL 5.7"/>
    <s v="US DC-1"/>
    <d v="2021-04-30T00:00:00"/>
    <s v="Unstructured"/>
    <n v="26"/>
    <s v="Y"/>
    <n v="10"/>
    <s v="N"/>
    <s v="None"/>
    <n v="3"/>
    <s v="N"/>
    <s v="N"/>
    <s v="N"/>
    <n v="30500"/>
    <d v="2034-08-31T00:00:00"/>
    <n v="34500"/>
    <n v="25000"/>
    <n v="16.559999999999999"/>
    <n v="4"/>
    <x v="2"/>
    <x v="2"/>
    <x v="1"/>
    <x v="22"/>
    <x v="1"/>
    <s v="Functionality covered by existing tools"/>
  </r>
  <r>
    <n v="147099"/>
    <s v="Global Travel Booking Tool (Nordics)"/>
    <s v="Travel"/>
    <s v="HR"/>
    <s v="Internal"/>
    <s v="Vikram Rao"/>
    <s v="Remi Masson"/>
    <s v="Cloud Platform Team"/>
    <n v="513"/>
    <d v="2021-04-16T00:00:00"/>
    <s v="Active"/>
    <n v="2"/>
    <n v="3"/>
    <s v="Workday Payroll"/>
    <s v="On-prem DC"/>
    <s v="gtbapp01, gtbdb01"/>
    <n v="2"/>
    <s v="Solaris 10"/>
    <s v="Oracle 11g"/>
    <s v="US DC-1"/>
    <d v="2021-01-31T00:00:00"/>
    <s v="Both"/>
    <n v="610"/>
    <s v="Y"/>
    <n v="7"/>
    <s v="Y"/>
    <s v="Reporting extract"/>
    <n v="8"/>
    <s v="Partial"/>
    <s v="Y"/>
    <s v="Y"/>
    <n v="36000"/>
    <d v="2031-06-30T00:00:00"/>
    <n v="76000"/>
    <n v="20000"/>
    <n v="45.599999999999994"/>
    <n v="3"/>
    <x v="0"/>
    <x v="0"/>
    <x v="1"/>
    <x v="16"/>
    <x v="4"/>
    <s v="Awaiting dependency mapping"/>
  </r>
  <r>
    <n v="178232"/>
    <s v="Credit Check Portal (UK)"/>
    <s v="Credit Mgmt"/>
    <s v="Finance"/>
    <s v="External"/>
    <s v="Arjun Lambert"/>
    <s v="Manon Chevalier"/>
    <s v="Unix Platform Team"/>
    <n v="536"/>
    <d v="2021-03-30T00:00:00"/>
    <s v="Active"/>
    <n v="3"/>
    <n v="3"/>
    <s v="BlackLine (planned)"/>
    <s v="On-prem DC"/>
    <s v="ccpapp01"/>
    <n v="1"/>
    <s v="RHEL 8"/>
    <s v="Oracle 19c"/>
    <s v="EU DC-2"/>
    <d v="2029-05-31T00:00:00"/>
    <s v="Both"/>
    <n v="330"/>
    <s v="N"/>
    <n v="3"/>
    <s v="N"/>
    <s v="None"/>
    <n v="7"/>
    <s v="Partial"/>
    <s v="Partial"/>
    <s v="N"/>
    <n v="17500"/>
    <d v="2028-10-31T00:00:00"/>
    <n v="25000"/>
    <n v="12000"/>
    <n v="25"/>
    <n v="1"/>
    <x v="0"/>
    <x v="2"/>
    <x v="1"/>
    <x v="22"/>
    <x v="1"/>
    <s v="Funding approved; migration to BlackLine scheduled"/>
  </r>
  <r>
    <n v="148702"/>
    <s v="Order Entry Portal"/>
    <s v="Order Entry"/>
    <s v="Sales"/>
    <s v="Internal"/>
    <s v="Sophie Dubois"/>
    <s v="Omar Haddad"/>
    <s v="Plant IT Services"/>
    <n v="226"/>
    <d v="2021-03-31T00:00:00"/>
    <s v="Active"/>
    <n v="2"/>
    <n v="4"/>
    <m/>
    <s v="On-prem DC"/>
    <s v="oepapp01, oepdb01, oepweb01, oepfs01"/>
    <n v="4"/>
    <s v="Windows Server 2012 R2"/>
    <s v="SQL Server 2012"/>
    <s v="US DC-1"/>
    <d v="2022-07-12T00:00:00"/>
    <s v="Structured"/>
    <n v="690"/>
    <s v="N"/>
    <n v="5"/>
    <s v="Y"/>
    <s v="Data archive"/>
    <n v="2"/>
    <s v="Partial"/>
    <s v="N"/>
    <s v="Partial"/>
    <n v="60000"/>
    <d v="2031-06-30T00:00:00"/>
    <n v="35000"/>
    <n v="39500"/>
    <n v="10.632911392405063"/>
    <n v="1"/>
    <x v="1"/>
    <x v="1"/>
    <x v="1"/>
    <x v="21"/>
    <x v="1"/>
    <s v="Retention 5 yrs - archive slot booked"/>
  </r>
  <r>
    <n v="173935"/>
    <s v="Regional Inventory Control (US)"/>
    <s v="Inventory"/>
    <s v="Supply Chain"/>
    <s v="External"/>
    <s v="Marc Laurent"/>
    <s v="Kavya Reddy"/>
    <s v="Database Services"/>
    <n v="420"/>
    <d v="2021-04-27T00:00:00"/>
    <s v="Active"/>
    <n v="3"/>
    <n v="3"/>
    <m/>
    <s v="On-prem DC"/>
    <s v="ricapp01, ricdb01, ricweb01, ricfs01"/>
    <n v="4"/>
    <s v="SUSE Linux 11"/>
    <s v="Oracle 11g"/>
    <s v="TBD"/>
    <d v="2019-03-31T00:00:00"/>
    <s v="Structured"/>
    <n v="190"/>
    <s v="N"/>
    <n v="5"/>
    <s v="N"/>
    <s v="None"/>
    <n v="7"/>
    <s v="N"/>
    <s v="Partial"/>
    <s v="Y"/>
    <n v="65000"/>
    <d v="2026-07-31T00:00:00"/>
    <n v="85000"/>
    <n v="54000"/>
    <n v="18.888888888888889"/>
    <n v="1"/>
    <x v="2"/>
    <x v="2"/>
    <x v="1"/>
    <x v="15"/>
    <x v="4"/>
    <s v="Retention requirement to be confirmed"/>
  </r>
  <r>
    <n v="95993"/>
    <s v="Web Analytics Mart"/>
    <s v="Analytics"/>
    <s v="Marketing"/>
    <s v="External"/>
    <s v="Neha Nair"/>
    <s v="Aditi Menon"/>
    <s v="Database Services"/>
    <n v="1"/>
    <d v="2020-02-04T00:00:00"/>
    <s v="Not in use"/>
    <n v="3"/>
    <n v="4"/>
    <s v="TBD"/>
    <s v="On-prem DC"/>
    <s v="wamapp01, wamdb01, wamweb01, wamfs01"/>
    <n v="4"/>
    <s v="AIX 7.1"/>
    <s v="DB2 10.5"/>
    <s v="Plant DC"/>
    <d v="2023-04-30T00:00:00"/>
    <s v="Structured"/>
    <n v="140"/>
    <s v="Y"/>
    <n v="7"/>
    <s v="N"/>
    <s v="None"/>
    <n v="3"/>
    <s v="Partial"/>
    <s v="Partial"/>
    <s v="Partial"/>
    <n v="65000"/>
    <d v="2032-05-31T00:00:00"/>
    <n v="73500"/>
    <n v="55500"/>
    <n v="15.891891891891891"/>
    <n v="1"/>
    <x v="2"/>
    <x v="2"/>
    <x v="1"/>
    <x v="15"/>
    <x v="4"/>
    <s v="Replacement option being confirmed"/>
  </r>
  <r>
    <n v="111998"/>
    <s v="Maintenance Scheduler (DE)"/>
    <s v="Asset Maintenance"/>
    <s v="Operations"/>
    <s v="Internal"/>
    <s v="Antoine Patel"/>
    <s v="Ishaan Desai"/>
    <s v="Infra Ops EMEA"/>
    <n v="15"/>
    <d v="2021-02-12T00:00:00"/>
    <s v="Low use"/>
    <n v="2"/>
    <n v="3"/>
    <s v="IBM Maximo (planned)"/>
    <s v="IaaS"/>
    <s v="msdapp01, msddb01, msdweb01"/>
    <n v="3"/>
    <s v="Windows Server 2016"/>
    <s v="SQL Server 2016"/>
    <s v="Azure West Europe"/>
    <d v="2026-07-14T00:00:00"/>
    <s v="Structured"/>
    <n v="4"/>
    <s v="N"/>
    <n v="1"/>
    <s v="N"/>
    <s v="None"/>
    <n v="8"/>
    <s v="N"/>
    <s v="N"/>
    <s v="N"/>
    <n v="33000"/>
    <d v="2034-12-31T00:00:00"/>
    <n v="12500"/>
    <n v="28000"/>
    <n v="5.3571428571428577"/>
    <n v="3"/>
    <x v="2"/>
    <x v="2"/>
    <x v="1"/>
    <x v="12"/>
    <x v="4"/>
    <s v="Retention requirement to be confirmed_x000a_Blocker: Replacement rollout dependency_x000a_Q: What is the go-live date of the target platform?"/>
  </r>
  <r>
    <n v="55096"/>
    <s v="Corporate Inventory Control"/>
    <s v="Inventory"/>
    <s v="Supply Chain"/>
    <s v="Internal"/>
    <s v="Yuki Tanaka"/>
    <s v="Theo Lopez"/>
    <s v="Infra Ops EMEA"/>
    <n v="24"/>
    <d v="2021-03-23T00:00:00"/>
    <s v="Low use"/>
    <n v="5"/>
    <n v="1"/>
    <s v="Ariba"/>
    <s v="On-prem DC"/>
    <s v="cicapp01, cicdb01, cicweb01, cicfs01"/>
    <n v="4"/>
    <s v="Solaris 10"/>
    <s v="Oracle 11g"/>
    <s v="Plant DC"/>
    <d v="2021-01-31T00:00:00"/>
    <s v="Structured"/>
    <n v="200"/>
    <s v="N"/>
    <n v="2"/>
    <s v="Y"/>
    <s v="Reporting extract"/>
    <n v="18"/>
    <s v="Y"/>
    <s v="Partial"/>
    <s v="Partial"/>
    <n v="175000"/>
    <d v="2035-11-30T00:00:00"/>
    <n v="293000"/>
    <n v="154500"/>
    <n v="22.757281553398059"/>
    <n v="3"/>
    <x v="0"/>
    <x v="0"/>
    <x v="1"/>
    <x v="15"/>
    <x v="1"/>
    <s v="Cut-over planned for Jul-22; parallel run scheduled"/>
  </r>
  <r>
    <n v="110660"/>
    <s v="Legacy Billing Engine 2008"/>
    <s v="Billing"/>
    <s v="Finance"/>
    <s v="Internal"/>
    <s v="Lucas Bernard"/>
    <s v="Varun Malhotra"/>
    <s v="Database Services"/>
    <n v="415"/>
    <d v="2021-04-09T00:00:00"/>
    <s v="Active"/>
    <n v="4"/>
    <n v="2"/>
    <s v="SAP S/4HANA"/>
    <s v="On-prem DC"/>
    <s v="lbe-app01–06, lbe-db01"/>
    <n v="7"/>
    <s v="Windows Server 2008 R2"/>
    <s v="SQL Server 2008 R2"/>
    <s v="Plant DC"/>
    <d v="2020-01-14T00:00:00"/>
    <s v="Structured"/>
    <n v="360"/>
    <s v="N"/>
    <n v="5"/>
    <s v="Y"/>
    <s v="Reporting extract"/>
    <n v="14"/>
    <s v="Partial"/>
    <s v="Y"/>
    <s v="Partial"/>
    <n v="80000"/>
    <d v="2032-03-31T00:00:00"/>
    <n v="117500"/>
    <n v="61000"/>
    <n v="23.114754098360656"/>
    <n v="2"/>
    <x v="0"/>
    <x v="0"/>
    <x v="1"/>
    <x v="12"/>
    <x v="1"/>
    <s v="Funding approved; migration to SAP S/4HANA scheduled_x000a_Blocker: Regulatory retention requirement_x000a_Q: Can the archive move to the enterprise archive, or must it stay vendor-hosted?"/>
  </r>
  <r>
    <n v="132095"/>
    <s v="Asset Register"/>
    <s v="Fixed Assets"/>
    <s v="Finance"/>
    <s v="Internal"/>
    <s v="Arjun Lambert"/>
    <s v="Louis Faure"/>
    <s v="Cloud Platform Team"/>
    <n v="5"/>
    <d v="2021-01-14T00:00:00"/>
    <s v="Low use"/>
    <n v="1"/>
    <n v="3"/>
    <m/>
    <s v="On-prem DC"/>
    <s v="arxapp01"/>
    <n v="1"/>
    <s v="Windows Server 2019"/>
    <s v="SQL Server 2019"/>
    <s v="TBD"/>
    <d v="2029-01-09T00:00:00"/>
    <s v="Structured"/>
    <n v="2910"/>
    <s v="Y"/>
    <n v="10"/>
    <s v="Y"/>
    <s v="Legal hold"/>
    <n v="7"/>
    <s v="N"/>
    <s v="Partial"/>
    <s v="Y"/>
    <n v="38000"/>
    <d v="2027-01-31T00:00:00"/>
    <n v="98500"/>
    <n v="28500"/>
    <n v="41.473684210526315"/>
    <n v="2"/>
    <x v="1"/>
    <x v="0"/>
    <x v="1"/>
    <x v="21"/>
    <x v="1"/>
    <s v="Retention 10 yrs - archive slot booked"/>
  </r>
  <r>
    <n v="72981"/>
    <s v="Old Field Service Dispatcher v3"/>
    <s v="Field Service"/>
    <s v="Operations"/>
    <s v="Internal"/>
    <s v="Julia Rao"/>
    <s v="Louis Faure"/>
    <s v="Plant IT Services"/>
    <n v="3"/>
    <d v="2020-07-13T00:00:00"/>
    <s v="Not in use"/>
    <n v="4"/>
    <n v="1"/>
    <m/>
    <s v="On-prem DC"/>
    <s v="ofsapp01, ofsdb01"/>
    <n v="2"/>
    <s v="Windows Server 2012 R2"/>
    <s v="TBD"/>
    <s v="EU DC-2"/>
    <d v="2022-07-12T00:00:00"/>
    <s v="Structured"/>
    <n v="54"/>
    <s v="N"/>
    <n v="5"/>
    <s v="Y"/>
    <s v="Archive + read-only"/>
    <n v="41"/>
    <s v="Partial"/>
    <s v="Partial"/>
    <s v="Partial"/>
    <n v="120000"/>
    <d v="2031-09-30T00:00:00"/>
    <n v="319000"/>
    <n v="92500"/>
    <n v="41.383783783783784"/>
    <n v="1"/>
    <x v="1"/>
    <x v="0"/>
    <x v="1"/>
    <x v="15"/>
    <x v="1"/>
    <s v="Archive format agreed; load scheduled before switch-off"/>
  </r>
  <r>
    <n v="19324"/>
    <s v="Production Scheduler (UK)"/>
    <s v="Production Planning"/>
    <s v="Operations"/>
    <s v="Internal"/>
    <s v="Hannah Weber"/>
    <s v="Louis Faure"/>
    <s v="SaaS Vendor Mgmt"/>
    <n v="1"/>
    <d v="2020-08-22T00:00:00"/>
    <s v="Not in use"/>
    <n v="2"/>
    <n v="4"/>
    <m/>
    <s v="SaaS"/>
    <s v="N/A (SaaS)"/>
    <n v="0"/>
    <s v="N/A"/>
    <s v="N/A"/>
    <s v="Vendor cloud (EU)"/>
    <d v="2024-10-31T00:00:00"/>
    <s v="Unstructured"/>
    <n v="360"/>
    <s v="Y"/>
    <n v="7"/>
    <s v="Y"/>
    <s v="Archive + read-only"/>
    <n v="3"/>
    <s v="Y"/>
    <s v="N"/>
    <s v="N"/>
    <n v="80000"/>
    <d v="2027-06-30T00:00:00"/>
    <n v="144500"/>
    <n v="39500"/>
    <n v="43.898734177215189"/>
    <n v="2"/>
    <x v="1"/>
    <x v="1"/>
    <x v="1"/>
    <x v="18"/>
    <x v="1"/>
    <s v="Archive format agreed; load scheduled before switch-off"/>
  </r>
  <r>
    <n v="115933"/>
    <s v="Corporate Ticket Desk v2"/>
    <s v="Service Desk"/>
    <s v="IT"/>
    <s v="Internal"/>
    <s v="Hannah Weber"/>
    <s v="Hugo Perrin"/>
    <s v="Database Services"/>
    <n v="143"/>
    <d v="2021-03-24T00:00:00"/>
    <s v="Active"/>
    <n v="1"/>
    <n v="4"/>
    <m/>
    <s v="On-prem DC"/>
    <s v="ctdapp01"/>
    <n v="1"/>
    <s v="RHEL 6"/>
    <s v="Oracle 11g"/>
    <s v="Plant DC"/>
    <d v="2020-11-30T00:00:00"/>
    <s v="Structured"/>
    <n v="200"/>
    <s v="N"/>
    <n v="7"/>
    <s v="Y"/>
    <s v="Read-only access"/>
    <n v="0"/>
    <s v="N"/>
    <s v="Y"/>
    <s v="Partial"/>
    <n v="19500"/>
    <d v="2030-02-28T00:00:00"/>
    <n v="23000"/>
    <n v="15500"/>
    <n v="17.806451612903224"/>
    <n v="2"/>
    <x v="1"/>
    <x v="1"/>
    <x v="1"/>
    <x v="18"/>
    <x v="4"/>
    <s v="Awaiting dependency mapping_x000a_Blocker: Replacement not yet funded_x000a_Q: Is budget confirmed in the next planning cycle?"/>
  </r>
  <r>
    <n v="76296"/>
    <s v="Survey Tool v4"/>
    <s v="Market Research"/>
    <s v="Marketing"/>
    <s v="Internal"/>
    <s v="Diego Alvarez"/>
    <s v="Hugo Perrin"/>
    <s v="Infra Ops EMEA"/>
    <n v="3"/>
    <d v="2019-06-02T00:00:00"/>
    <s v="Not in use"/>
    <n v="1"/>
    <n v="3"/>
    <s v="Marketo"/>
    <s v="On-prem DC"/>
    <s v="stvapp01, stvdb01, stvweb01, stvfs01"/>
    <n v="4"/>
    <s v="AIX 7.1"/>
    <s v="DB2 10.5"/>
    <s v="Plant DC"/>
    <d v="2023-04-30T00:00:00"/>
    <s v="Structured"/>
    <n v="1720"/>
    <s v="Y"/>
    <n v="5"/>
    <s v="Y"/>
    <s v="Read-only access"/>
    <n v="7"/>
    <s v="Partial"/>
    <s v="Partial"/>
    <s v="Partial"/>
    <n v="55000"/>
    <d v="2033-05-31T00:00:00"/>
    <n v="72500"/>
    <n v="42500"/>
    <n v="20.470588235294116"/>
    <n v="3"/>
    <x v="1"/>
    <x v="0"/>
    <x v="1"/>
    <x v="23"/>
    <x v="4"/>
    <s v="Business case under review with owner"/>
  </r>
  <r>
    <n v="131077"/>
    <s v="Regional Survey Tool v3"/>
    <s v="Market Research"/>
    <s v="Marketing"/>
    <s v="Internal"/>
    <s v="Neha Nair"/>
    <s v="Kavya Reddy"/>
    <s v="Unix Platform Team"/>
    <n v="7"/>
    <d v="2021-04-01T00:00:00"/>
    <s v="Low use"/>
    <n v="1"/>
    <n v="4"/>
    <s v="Marketo (planned)"/>
    <s v="On-prem DC"/>
    <s v="rstapp01, rstdb01"/>
    <n v="2"/>
    <s v="SUSE Linux 11"/>
    <s v="Oracle 11g"/>
    <s v="EU DC-1"/>
    <d v="2019-03-31T00:00:00"/>
    <s v="Structured"/>
    <n v="64"/>
    <s v="N"/>
    <n v="5"/>
    <s v="N"/>
    <s v="None"/>
    <n v="0"/>
    <s v="Partial"/>
    <s v="N"/>
    <s v="Partial"/>
    <n v="39500"/>
    <d v="2028-03-31T00:00:00"/>
    <n v="43500"/>
    <n v="33500"/>
    <n v="15.582089552238806"/>
    <n v="4"/>
    <x v="0"/>
    <x v="2"/>
    <x v="1"/>
    <x v="12"/>
    <x v="1"/>
    <s v="Funding approved; migration to Marketo scheduled"/>
  </r>
  <r>
    <n v="164218"/>
    <s v="Regional Safety Incident Tracker Lite"/>
    <s v="Health &amp; Safety"/>
    <s v="Operations"/>
    <s v="Internal"/>
    <s v="Nicolas Sharma"/>
    <s v="Aditi Menon"/>
    <s v="Wintel Platform Team"/>
    <n v="25"/>
    <d v="2021-03-28T00:00:00"/>
    <s v="Active"/>
    <n v="3"/>
    <n v="3"/>
    <s v="Fiix"/>
    <s v="On-prem DC"/>
    <s v="rsiapp01"/>
    <n v="1"/>
    <s v="HP-UX 11i v3"/>
    <s v="Sybase ASE 15.7"/>
    <s v="EU DC-2"/>
    <d v="2021-12-31T00:00:00"/>
    <s v="Structured"/>
    <n v="31"/>
    <s v="Y"/>
    <n v="7"/>
    <s v="N"/>
    <s v="None"/>
    <n v="4"/>
    <s v="Partial"/>
    <s v="Partial"/>
    <s v="Partial"/>
    <n v="21000"/>
    <d v="2034-08-31T00:00:00"/>
    <n v="18500"/>
    <n v="14500"/>
    <n v="15.310344827586208"/>
    <n v="2"/>
    <x v="0"/>
    <x v="2"/>
    <x v="1"/>
    <x v="21"/>
    <x v="4"/>
    <s v="Retention requirement to be confirmed_x000a_Blocker: Month-end close dependency_x000a_Q: Can the cut-over avoid the quarter-end freeze?"/>
  </r>
  <r>
    <n v="60397"/>
    <s v="Timesheet Portal (UK)"/>
    <s v="Time &amp; Attendance"/>
    <s v="HR"/>
    <s v="Internal"/>
    <s v="Amelie Martin"/>
    <s v="Varun Malhotra"/>
    <s v="SaaS Vendor Mgmt"/>
    <n v="2128"/>
    <d v="2021-03-15T00:00:00"/>
    <s v="Active"/>
    <n v="1"/>
    <n v="4"/>
    <m/>
    <s v="SaaS"/>
    <s v="N/A (SaaS)"/>
    <n v="0"/>
    <s v="N/A"/>
    <s v="N/A"/>
    <s v="Vendor cloud (EU)"/>
    <m/>
    <s v="Structured"/>
    <n v="140"/>
    <s v="Y"/>
    <n v="10"/>
    <s v="Y"/>
    <s v="Read-only access"/>
    <n v="2"/>
    <s v="Partial"/>
    <s v="Partial"/>
    <s v="N"/>
    <n v="55000"/>
    <d v="2034-02-28T00:00:00"/>
    <n v="64000"/>
    <n v="23000"/>
    <n v="33.391304347826086"/>
    <n v="1"/>
    <x v="1"/>
    <x v="1"/>
    <x v="1"/>
    <x v="15"/>
    <x v="1"/>
    <s v="Retention 10 yrs - archive slot booked"/>
  </r>
  <r>
    <n v="66062"/>
    <s v="Shared Intranet (SharePoint) Plus"/>
    <s v="Collaboration"/>
    <s v="IT"/>
    <s v="External"/>
    <s v="Marc Laurent"/>
    <s v="Varun Malhotra"/>
    <s v="Unix Platform Team"/>
    <n v="5"/>
    <d v="2021-04-02T00:00:00"/>
    <s v="Low use"/>
    <n v="2"/>
    <n v="3"/>
    <s v="Splunk"/>
    <s v="On-prem DC"/>
    <s v="sisapp01, sisdb01"/>
    <n v="2"/>
    <s v="AIX 6.1"/>
    <s v="DB2 9.7"/>
    <s v="TBD"/>
    <d v="2017-04-30T00:00:00"/>
    <s v="Unstructured"/>
    <n v="25"/>
    <s v="N"/>
    <n v="7"/>
    <s v="N"/>
    <s v="None"/>
    <n v="6"/>
    <s v="Partial"/>
    <s v="N"/>
    <s v="Y"/>
    <n v="18000"/>
    <d v="2025-08-31T00:00:00"/>
    <n v="9000"/>
    <n v="12000"/>
    <n v="9"/>
    <n v="4"/>
    <x v="0"/>
    <x v="2"/>
    <x v="1"/>
    <x v="17"/>
    <x v="1"/>
    <s v="Cut-over planned for Sep-22; parallel run scheduled"/>
  </r>
  <r>
    <n v="89339"/>
    <s v="Legacy Access Request Tool (FR)"/>
    <s v="Identity"/>
    <s v="IT"/>
    <s v="Internal"/>
    <s v="Yuki Tanaka"/>
    <s v="Hugo Perrin"/>
    <s v="Unix Platform Team"/>
    <n v="2"/>
    <d v="2019-11-20T00:00:00"/>
    <s v="Not in use"/>
    <n v="1"/>
    <n v="4"/>
    <m/>
    <s v="On-prem DC"/>
    <s v="larapp01, lardb01, larweb01, larfs01"/>
    <n v="4"/>
    <s v="RHEL 8"/>
    <s v="PostgreSQL 12"/>
    <s v="EU DC-2"/>
    <s v="TBD"/>
    <s v="Both"/>
    <n v="24"/>
    <s v="Y"/>
    <n v="10"/>
    <s v="Y"/>
    <s v="Data archive"/>
    <n v="1"/>
    <s v="Y"/>
    <s v="Partial"/>
    <s v="Partial"/>
    <n v="70000"/>
    <d v="2028-09-30T00:00:00"/>
    <n v="42000"/>
    <n v="40500"/>
    <n v="12.444444444444443"/>
    <n v="2"/>
    <x v="1"/>
    <x v="1"/>
    <x v="1"/>
    <x v="14"/>
    <x v="1"/>
    <s v="Read-only access needed for audit_x000a_Blocker: Archive platform capacity not confirmed_x000a_Q: Can the enterprise archive take this volume this year?"/>
  </r>
  <r>
    <n v="82038"/>
    <s v="Legacy Document Repository v4"/>
    <s v="Document Mgmt"/>
    <s v="IT"/>
    <s v="Internal"/>
    <s v="Diego Alvarez"/>
    <s v="Sameer Joshi"/>
    <s v="Wintel Platform Team"/>
    <n v="0"/>
    <d v="2021-03-27T00:00:00"/>
    <s v="Not in use"/>
    <n v="1"/>
    <n v="3"/>
    <m/>
    <s v="On-prem DC"/>
    <s v="ldrapp01"/>
    <n v="1"/>
    <s v="Solaris 10"/>
    <s v="Oracle 11g"/>
    <s v="Plant DC"/>
    <d v="2021-01-31T00:00:00"/>
    <s v="Unstructured"/>
    <n v="520"/>
    <s v="N"/>
    <n v="3"/>
    <s v="Y"/>
    <s v="Data archive"/>
    <n v="4"/>
    <s v="Partial"/>
    <s v="N"/>
    <s v="N"/>
    <n v="21500"/>
    <d v="2030-07-31T00:00:00"/>
    <n v="13000"/>
    <n v="16000"/>
    <n v="9.75"/>
    <n v="3"/>
    <x v="1"/>
    <x v="1"/>
    <x v="1"/>
    <x v="13"/>
    <x v="1"/>
    <s v="Archive format agreed; load scheduled before switch-off"/>
  </r>
  <r>
    <n v="73349"/>
    <s v="Old Supplier Portal"/>
    <s v="Supplier Mgmt"/>
    <s v="Supply Chain"/>
    <s v="Partner"/>
    <s v="Isabelle Singh"/>
    <s v="Kavya Reddy"/>
    <s v="Infra Ops EMEA"/>
    <n v="202"/>
    <d v="2021-04-23T00:00:00"/>
    <s v="Active"/>
    <n v="2"/>
    <n v="3"/>
    <m/>
    <s v="On-prem DC"/>
    <s v="ospapp01, ospdb01, ospweb01"/>
    <n v="3"/>
    <s v="Ubuntu 16.04"/>
    <s v="MySQL 5.7"/>
    <s v="TBD"/>
    <d v="2021-04-30T00:00:00"/>
    <s v="Structured"/>
    <n v="1610"/>
    <s v="Y"/>
    <n v="10"/>
    <s v="Y"/>
    <s v="Archive + read-only"/>
    <n v="4"/>
    <s v="N"/>
    <s v="Y"/>
    <s v="Partial"/>
    <n v="26500"/>
    <d v="2028-11-30T00:00:00"/>
    <n v="31500"/>
    <n v="13500"/>
    <n v="28"/>
    <n v="2"/>
    <x v="1"/>
    <x v="0"/>
    <x v="1"/>
    <x v="14"/>
    <x v="4"/>
    <s v="Retention requirement to be confirmed"/>
  </r>
  <r>
    <n v="13236"/>
    <s v="Price List Manager (DE)"/>
    <s v="Pricing"/>
    <s v="Sales"/>
    <s v="External"/>
    <s v="Priya Sharma"/>
    <s v="Varun Malhotra"/>
    <s v="SaaS Vendor Mgmt"/>
    <n v="20"/>
    <d v="2021-03-04T00:00:00"/>
    <s v="Low use"/>
    <n v="3"/>
    <n v="4"/>
    <s v="Xactly"/>
    <s v="SaaS"/>
    <s v="N/A (SaaS)"/>
    <n v="0"/>
    <s v="N/A"/>
    <s v="N/A"/>
    <s v="Vendor cloud (EU)"/>
    <d v="2022-12-31T00:00:00"/>
    <s v="Structured"/>
    <n v="140"/>
    <s v="Y"/>
    <n v="7"/>
    <s v="Y"/>
    <s v="Data archive"/>
    <n v="1"/>
    <s v="N"/>
    <s v="N"/>
    <s v="Partial"/>
    <n v="80000"/>
    <d v="2027-01-31T00:00:00"/>
    <n v="50000"/>
    <n v="42500"/>
    <n v="14.117647058823529"/>
    <n v="2"/>
    <x v="1"/>
    <x v="1"/>
    <x v="1"/>
    <x v="17"/>
    <x v="1"/>
    <s v="Read-only access needed for audit_x000a_Blocker: Legal sign-off on retention_x000a_Q: Who owns the retention decision for archived records?"/>
  </r>
  <r>
    <n v="47277"/>
    <s v="Quote Manager (DE)"/>
    <s v="Quoting"/>
    <s v="Sales"/>
    <s v="Internal"/>
    <s v="Arjun Lambert"/>
    <s v="Tara Khanna"/>
    <s v="Infra Ops EMEA"/>
    <n v="138"/>
    <d v="2021-04-06T00:00:00"/>
    <s v="Active"/>
    <n v="2"/>
    <n v="3"/>
    <s v="TBD"/>
    <s v="On-prem DC"/>
    <s v="qmdapp01, qmddb01, qmdweb01"/>
    <n v="3"/>
    <s v="AIX 7.1"/>
    <s v="DB2 10.5"/>
    <s v="TBD"/>
    <d v="2023-04-30T00:00:00"/>
    <s v="Both"/>
    <n v="87"/>
    <s v="N"/>
    <n v="5"/>
    <s v="Y"/>
    <s v="Archive + read-only"/>
    <n v="1"/>
    <s v="Partial"/>
    <s v="N"/>
    <s v="N"/>
    <n v="55000"/>
    <d v="2033-06-30T00:00:00"/>
    <n v="75000"/>
    <n v="44000"/>
    <n v="20.454545454545453"/>
    <n v="1"/>
    <x v="1"/>
    <x v="1"/>
    <x v="1"/>
    <x v="16"/>
    <x v="1"/>
    <s v="Retention 5 yrs - archive slot booked"/>
  </r>
  <r>
    <n v="190369"/>
    <s v="Old Supplier Portal (Nordics)"/>
    <s v="Supplier Mgmt"/>
    <s v="Supply Chain"/>
    <s v="Internal"/>
    <s v="Camille Fontaine"/>
    <s v="Adrien Colin"/>
    <s v="SaaS Vendor Mgmt"/>
    <n v="7"/>
    <d v="2021-02-26T00:00:00"/>
    <s v="Low use"/>
    <n v="5"/>
    <n v="1"/>
    <s v="Manhattan WMS (planned)"/>
    <s v="SaaS"/>
    <s v="N/A (SaaS)"/>
    <n v="0"/>
    <s v="N/A"/>
    <s v="N/A"/>
    <s v="Vendor cloud (EU)"/>
    <d v="2022-09-30T00:00:00"/>
    <s v="Unstructured"/>
    <n v="2100"/>
    <s v="N"/>
    <n v="1"/>
    <s v="Y"/>
    <s v="Archive + read-only"/>
    <n v="68"/>
    <s v="Y"/>
    <s v="Y"/>
    <s v="N"/>
    <n v="55000"/>
    <d v="2035-08-31T00:00:00"/>
    <n v="184500"/>
    <n v="31500"/>
    <n v="70.285714285714278"/>
    <n v="2"/>
    <x v="0"/>
    <x v="0"/>
    <x v="1"/>
    <x v="19"/>
    <x v="4"/>
    <s v="Retention requirement to be confirmed"/>
  </r>
  <r>
    <n v="92106"/>
    <s v="Shared Purchase Order System (US)"/>
    <s v="Procurement"/>
    <s v="Supply Chain"/>
    <s v="Internal"/>
    <s v="Yuki Tanaka"/>
    <s v="Chloe Vidal"/>
    <s v="Infra Ops US"/>
    <n v="21"/>
    <d v="2021-01-30T00:00:00"/>
    <s v="Low use"/>
    <n v="5"/>
    <n v="1"/>
    <s v="Ariba"/>
    <s v="On-prem DC"/>
    <s v="spo-app01–06, spo-db01"/>
    <n v="7"/>
    <s v="Windows Server 2016"/>
    <s v="SQL Server 2017"/>
    <s v="EU DC-2"/>
    <d v="2027-01-12T00:00:00"/>
    <s v="Both"/>
    <n v="200"/>
    <s v="N"/>
    <n v="3"/>
    <s v="N"/>
    <s v="None"/>
    <n v="40"/>
    <s v="Partial"/>
    <s v="Partial"/>
    <s v="N"/>
    <n v="215000"/>
    <d v="2028-01-31T00:00:00"/>
    <n v="444500"/>
    <n v="172500"/>
    <n v="30.921739130434784"/>
    <n v="2"/>
    <x v="0"/>
    <x v="2"/>
    <x v="1"/>
    <x v="14"/>
    <x v="1"/>
    <s v="3 feeds to re-point to Ariba"/>
  </r>
  <r>
    <n v="146127"/>
    <s v="Regional GL Consolidation Tool (US)"/>
    <s v="General Ledger"/>
    <s v="Finance"/>
    <s v="Internal"/>
    <s v="Elena Garcia"/>
    <s v="Theo Lopez"/>
    <s v="Wintel Platform Team"/>
    <n v="1"/>
    <d v="2020-10-09T00:00:00"/>
    <s v="Not in use"/>
    <n v="2"/>
    <n v="4"/>
    <m/>
    <s v="On-prem DC"/>
    <s v="rgcapp01, rgcdb01"/>
    <n v="2"/>
    <s v="RHEL 8"/>
    <s v="PostgreSQL 12"/>
    <s v="TBD"/>
    <d v="2029-05-31T00:00:00"/>
    <s v="Both"/>
    <n v="270"/>
    <s v="N"/>
    <n v="7"/>
    <s v="Y"/>
    <s v="Read-only access"/>
    <n v="3"/>
    <s v="Partial"/>
    <s v="N"/>
    <s v="N"/>
    <n v="29500"/>
    <d v="2033-07-31T00:00:00"/>
    <n v="24500"/>
    <n v="22000"/>
    <n v="13.363636363636363"/>
    <n v="2"/>
    <x v="1"/>
    <x v="1"/>
    <x v="1"/>
    <x v="21"/>
    <x v="4"/>
    <s v="Retention requirement to be confirmed"/>
  </r>
  <r>
    <n v="184823"/>
    <s v="Production Scheduler 2010"/>
    <s v="Production Planning"/>
    <s v="Operations"/>
    <s v="Internal"/>
    <s v="Isabelle Singh"/>
    <s v="Omar Haddad"/>
    <s v="Infra Ops EMEA"/>
    <n v="4"/>
    <d v="2021-01-03T00:00:00"/>
    <s v="Low use"/>
    <n v="2"/>
    <n v="4"/>
    <m/>
    <s v="On-prem DC"/>
    <s v="psxapp01"/>
    <n v="1"/>
    <s v="RHEL 7"/>
    <s v="TBD"/>
    <s v="Plant DC"/>
    <d v="2024-06-30T00:00:00"/>
    <s v="Structured"/>
    <n v="3790"/>
    <s v="N"/>
    <n v="5"/>
    <s v="Y"/>
    <s v="Data archive"/>
    <n v="0"/>
    <s v="Partial"/>
    <s v="N"/>
    <s v="Y"/>
    <n v="33000"/>
    <d v="2025-10-31T00:00:00"/>
    <n v="61500"/>
    <n v="24000"/>
    <n v="30.75"/>
    <n v="2"/>
    <x v="1"/>
    <x v="0"/>
    <x v="1"/>
    <x v="21"/>
    <x v="4"/>
    <s v="Business case under review with owner"/>
  </r>
  <r>
    <n v="116196"/>
    <s v="Shared Inventory Control v3"/>
    <s v="Inventory"/>
    <s v="Supply Chain"/>
    <s v="Internal"/>
    <s v="Camille Fontaine"/>
    <s v="Lena Fischer"/>
    <s v="SaaS Vendor Mgmt"/>
    <n v="0"/>
    <d v="2020-02-16T00:00:00"/>
    <s v="Not in use"/>
    <n v="3"/>
    <n v="3"/>
    <m/>
    <s v="SaaS"/>
    <s v="N/A (SaaS)"/>
    <n v="0"/>
    <s v="N/A"/>
    <s v="N/A"/>
    <s v="Vendor cloud (EU)"/>
    <m/>
    <s v="Both"/>
    <n v="36"/>
    <s v="N"/>
    <n v="5"/>
    <s v="N"/>
    <s v="None"/>
    <n v="5"/>
    <s v="N"/>
    <s v="N"/>
    <s v="N"/>
    <n v="65000"/>
    <d v="2025-06-30T00:00:00"/>
    <n v="56000"/>
    <n v="38000"/>
    <n v="17.684210526315788"/>
    <n v="1"/>
    <x v="2"/>
    <x v="2"/>
    <x v="1"/>
    <x v="20"/>
    <x v="1"/>
    <s v="No active users; switch-off confirmed with owner"/>
  </r>
  <r>
    <n v="176671"/>
    <s v="Shared Supplier Portal Classic"/>
    <s v="Supplier Mgmt"/>
    <s v="Supply Chain"/>
    <s v="Internal"/>
    <s v="Nicolas Sharma"/>
    <s v="Rohan Bhatt"/>
    <s v="Cloud Platform Team"/>
    <n v="19"/>
    <d v="2021-04-25T00:00:00"/>
    <s v="Low use"/>
    <n v="1"/>
    <n v="3"/>
    <m/>
    <s v="On-prem DC"/>
    <s v="sspapp01, sspdb01, sspweb01"/>
    <n v="3"/>
    <s v="Windows Server 2012 R2"/>
    <s v="SQL Server 2012"/>
    <s v="US DC-1"/>
    <d v="2022-07-12T00:00:00"/>
    <s v="Structured"/>
    <n v="660"/>
    <s v="N"/>
    <n v="1"/>
    <s v="N"/>
    <s v="None"/>
    <n v="4"/>
    <s v="N"/>
    <s v="Partial"/>
    <s v="Partial"/>
    <n v="47000"/>
    <d v="2028-07-31T00:00:00"/>
    <n v="69000"/>
    <n v="45500"/>
    <n v="18.197802197802197"/>
    <n v="2"/>
    <x v="2"/>
    <x v="2"/>
    <x v="1"/>
    <x v="21"/>
    <x v="4"/>
    <s v="Awaiting dependency mapping"/>
  </r>
  <r>
    <n v="85302"/>
    <s v="Custom Timesheet Portal Lite"/>
    <s v="Time &amp; Attendance"/>
    <s v="HR"/>
    <s v="External"/>
    <s v="Sara Kapoor"/>
    <s v="Kavya Reddy"/>
    <s v="Wintel Platform Team"/>
    <n v="71"/>
    <d v="2021-03-22T00:00:00"/>
    <s v="Active"/>
    <n v="3"/>
    <n v="4"/>
    <s v="SuccessFactors"/>
    <s v="On-prem DC"/>
    <s v="ctpapp01, ctpdb01, ctpweb01"/>
    <n v="3"/>
    <s v="TBD"/>
    <s v="Oracle 11g"/>
    <s v="EU DC-2"/>
    <d v="2021-01-31T00:00:00"/>
    <s v="Structured"/>
    <n v="250"/>
    <s v="Y"/>
    <n v="7"/>
    <s v="N"/>
    <s v="None"/>
    <n v="0"/>
    <s v="N"/>
    <s v="N"/>
    <s v="N"/>
    <n v="31000"/>
    <d v="2026-11-30T00:00:00"/>
    <n v="27500"/>
    <n v="18500"/>
    <n v="17.837837837837839"/>
    <n v="2"/>
    <x v="0"/>
    <x v="2"/>
    <x v="1"/>
    <x v="16"/>
    <x v="4"/>
    <s v="Business case under review with owner"/>
  </r>
  <r>
    <n v="61315"/>
    <s v="Custom Safety Incident Tracker (FR)"/>
    <s v="Health &amp; Safety"/>
    <s v="Operations"/>
    <s v="Internal"/>
    <s v="Rahul Iyer"/>
    <s v="Theo Lopez"/>
    <s v="SaaS Vendor Mgmt"/>
    <n v="10"/>
    <d v="2020-12-11T00:00:00"/>
    <s v="Low use"/>
    <n v="4"/>
    <n v="2"/>
    <s v="SAP EAM"/>
    <s v="SaaS"/>
    <s v="N/A (SaaS)"/>
    <n v="0"/>
    <s v="N/A"/>
    <s v="N/A"/>
    <s v="Vendor cloud (EU)"/>
    <d v="2022-07-31T00:00:00"/>
    <s v="Structured"/>
    <n v="49"/>
    <s v="N"/>
    <n v="3"/>
    <s v="Y"/>
    <s v="Data archive"/>
    <n v="10"/>
    <s v="N"/>
    <s v="Y"/>
    <s v="Y"/>
    <n v="185000"/>
    <d v="2032-08-31T00:00:00"/>
    <n v="369000"/>
    <n v="74000"/>
    <n v="59.837837837837839"/>
    <n v="2"/>
    <x v="0"/>
    <x v="0"/>
    <x v="1"/>
    <x v="12"/>
    <x v="1"/>
    <s v="Cut-over planned for Oct-22; parallel run scheduled"/>
  </r>
  <r>
    <n v="182058"/>
    <s v="Brand Asset Library v3"/>
    <s v="Digital Assets"/>
    <s v="Marketing"/>
    <s v="External"/>
    <s v="Laura Martin"/>
    <s v="Chloe Vidal"/>
    <s v="Wintel Platform Team"/>
    <n v="25"/>
    <d v="2021-04-01T00:00:00"/>
    <s v="Active"/>
    <n v="3"/>
    <n v="2"/>
    <s v="Adobe Experience Manager"/>
    <s v="On-prem DC"/>
    <s v="balapp01, baldb01"/>
    <n v="2"/>
    <s v="Ubuntu 20.04"/>
    <s v="MySQL 8.0"/>
    <s v="Plant DC"/>
    <d v="2025-04-30T00:00:00"/>
    <s v="Structured"/>
    <n v="310"/>
    <s v="N"/>
    <n v="3"/>
    <s v="Y"/>
    <s v="Archive + read-only"/>
    <n v="23"/>
    <s v="Y"/>
    <s v="Partial"/>
    <s v="Y"/>
    <n v="36500"/>
    <d v="2032-05-31T00:00:00"/>
    <n v="51000"/>
    <n v="27000"/>
    <n v="22.666666666666664"/>
    <n v="1"/>
    <x v="0"/>
    <x v="0"/>
    <x v="1"/>
    <x v="16"/>
    <x v="4"/>
    <s v="Retention requirement to be confirmed"/>
  </r>
  <r>
    <n v="155005"/>
    <s v="Field Service Dispatcher v3"/>
    <s v="Field Service"/>
    <s v="Operations"/>
    <s v="Internal"/>
    <s v="Yuki Tanaka"/>
    <s v="Ishaan Desai"/>
    <s v="Infra Ops EMEA"/>
    <n v="0"/>
    <d v="2020-02-25T00:00:00"/>
    <s v="Not in use"/>
    <n v="1"/>
    <n v="4"/>
    <m/>
    <s v="On-prem DC"/>
    <s v="fsdapp01, fsddb01, fsdweb01"/>
    <n v="3"/>
    <s v="Ubuntu 18.04"/>
    <s v="PostgreSQL 10"/>
    <s v="Plant DC"/>
    <d v="2023-05-31T00:00:00"/>
    <s v="Both"/>
    <n v="110"/>
    <s v="N"/>
    <n v="3"/>
    <s v="Y"/>
    <s v="Archive + read-only"/>
    <n v="2"/>
    <s v="Partial"/>
    <s v="Y"/>
    <s v="N"/>
    <n v="29000"/>
    <d v="2031-03-31T00:00:00"/>
    <n v="25500"/>
    <n v="18000"/>
    <n v="17"/>
    <n v="2"/>
    <x v="1"/>
    <x v="1"/>
    <x v="1"/>
    <x v="22"/>
    <x v="4"/>
    <s v="Business case under review with owner"/>
  </r>
  <r>
    <n v="33368"/>
    <s v="Global Production Scheduler (Nordics)"/>
    <s v="Production Planning"/>
    <s v="Operations"/>
    <s v="Internal"/>
    <s v="Julia Rao"/>
    <s v="Adrien Colin"/>
    <s v="SaaS Vendor Mgmt"/>
    <n v="535"/>
    <d v="2021-03-19T00:00:00"/>
    <s v="Active"/>
    <n v="3"/>
    <n v="4"/>
    <m/>
    <s v="SaaS"/>
    <s v="N/A (SaaS)"/>
    <n v="0"/>
    <s v="N/A"/>
    <s v="N/A"/>
    <s v="Vendor cloud (EU)"/>
    <d v="2022-06-30T00:00:00"/>
    <s v="Both"/>
    <n v="230"/>
    <s v="N"/>
    <n v="5"/>
    <s v="Y"/>
    <s v="Archive + read-only"/>
    <n v="2"/>
    <s v="N"/>
    <s v="Y"/>
    <s v="N"/>
    <n v="120000"/>
    <d v="2035-01-31T00:00:00"/>
    <n v="93500"/>
    <n v="71000"/>
    <n v="15.802816901408452"/>
    <n v="0"/>
    <x v="1"/>
    <x v="1"/>
    <x v="1"/>
    <x v="19"/>
    <x v="4"/>
    <s v="Replacement option being confirmed"/>
  </r>
  <r>
    <n v="192411"/>
    <s v="Legacy Monitoring Console 2008"/>
    <s v="Monitoring"/>
    <s v="IT"/>
    <s v="Internal"/>
    <s v="Arjun Lambert"/>
    <s v="Ananya Pillai"/>
    <s v="Database Services"/>
    <n v="298"/>
    <d v="2021-04-18T00:00:00"/>
    <s v="Active"/>
    <n v="3"/>
    <n v="3"/>
    <s v="Splunk (planned)"/>
    <s v="IaaS"/>
    <s v="lmcapp01, lmcdb01"/>
    <n v="2"/>
    <s v="Windows Server 2008"/>
    <s v="SQL Server 2008"/>
    <s v="AWS us-east-1"/>
    <d v="2019-07-09T00:00:00"/>
    <s v="Unstructured"/>
    <n v="1280"/>
    <s v="N"/>
    <n v="1"/>
    <s v="N"/>
    <s v="None"/>
    <n v="4"/>
    <s v="N"/>
    <s v="Partial"/>
    <s v="N"/>
    <n v="25000"/>
    <d v="2026-08-31T00:00:00"/>
    <n v="43000"/>
    <n v="21500"/>
    <n v="24"/>
    <n v="2"/>
    <x v="2"/>
    <x v="2"/>
    <x v="1"/>
    <x v="15"/>
    <x v="1"/>
    <s v="Functionality covered by existing tools"/>
  </r>
  <r>
    <n v="60407"/>
    <s v="Regional Price List Manager (UK)"/>
    <s v="Pricing"/>
    <s v="Sales"/>
    <s v="Internal"/>
    <s v="Oscar Lindqvist"/>
    <s v="Baptiste Henry"/>
    <s v="Cloud Platform Team"/>
    <n v="8"/>
    <d v="2020-12-14T00:00:00"/>
    <s v="Low use"/>
    <n v="3"/>
    <n v="3"/>
    <s v="TBD"/>
    <s v="On-prem DC"/>
    <s v="rplapp01, rpldb01, rplweb01, rplfs01"/>
    <n v="4"/>
    <s v="SUSE Linux 11"/>
    <s v="Oracle 11g"/>
    <s v="US DC-1"/>
    <d v="2019-03-31T00:00:00"/>
    <s v="Unstructured"/>
    <n v="64"/>
    <s v="Y"/>
    <n v="10"/>
    <s v="Y"/>
    <s v="Data archive"/>
    <n v="3"/>
    <s v="N"/>
    <s v="Y"/>
    <s v="N"/>
    <n v="42000"/>
    <d v="2035-12-31T00:00:00"/>
    <n v="72500"/>
    <n v="31000"/>
    <n v="28.06451612903226"/>
    <n v="2"/>
    <x v="1"/>
    <x v="1"/>
    <x v="1"/>
    <x v="13"/>
    <x v="4"/>
    <s v="Awaiting dependency mapping"/>
  </r>
  <r>
    <n v="130919"/>
    <s v="Facilities Request Portal (FR)"/>
    <s v="Facilities"/>
    <s v="Operations"/>
    <s v="Internal"/>
    <s v="Vikram Rao"/>
    <s v="Adrien Colin"/>
    <s v="Unix Platform Team"/>
    <n v="9"/>
    <d v="2021-03-01T00:00:00"/>
    <s v="Low use"/>
    <n v="3"/>
    <n v="4"/>
    <s v="TBD"/>
    <s v="On-prem DC"/>
    <s v="frpapp01, frpdb01, frpweb01, frpfs01"/>
    <n v="4"/>
    <s v="RHEL 7"/>
    <s v="Oracle 12c"/>
    <s v="EU DC-2"/>
    <d v="2024-06-30T00:00:00"/>
    <s v="Structured"/>
    <n v="33"/>
    <s v="N"/>
    <n v="1"/>
    <s v="N"/>
    <s v="None"/>
    <n v="2"/>
    <s v="Partial"/>
    <s v="N"/>
    <s v="Y"/>
    <n v="28500"/>
    <d v="2035-06-30T00:00:00"/>
    <n v="32000"/>
    <n v="25500"/>
    <n v="15.058823529411764"/>
    <n v="1"/>
    <x v="2"/>
    <x v="2"/>
    <x v="1"/>
    <x v="20"/>
    <x v="1"/>
    <s v="Owner sign-off received; switch-off scheduled"/>
  </r>
  <r>
    <n v="73015"/>
    <s v="Custom Purchase Order System (UK)"/>
    <s v="Procurement"/>
    <s v="Supply Chain"/>
    <s v="Internal"/>
    <s v="Thomas Moreau"/>
    <s v="Louis Faure"/>
    <s v="Cloud Platform Team"/>
    <n v="4"/>
    <d v="2020-04-13T00:00:00"/>
    <s v="Not in use"/>
    <n v="4"/>
    <n v="2"/>
    <m/>
    <s v="IaaS"/>
    <s v="cpoapp01, cpodb01"/>
    <n v="2"/>
    <s v="SUSE Linux 11"/>
    <s v="Oracle 11g"/>
    <s v="AWS eu-west-1"/>
    <d v="2019-03-31T00:00:00"/>
    <s v="Structured"/>
    <n v="400"/>
    <s v="N"/>
    <n v="7"/>
    <s v="Y"/>
    <s v="Data archive"/>
    <n v="23"/>
    <s v="N"/>
    <s v="N"/>
    <s v="Partial"/>
    <n v="29000"/>
    <d v="2030-09-30T00:00:00"/>
    <n v="52500"/>
    <n v="22000"/>
    <n v="28.636363636363633"/>
    <n v="2"/>
    <x v="1"/>
    <x v="0"/>
    <x v="1"/>
    <x v="13"/>
    <x v="4"/>
    <s v="Retention requirement to be confirmed"/>
  </r>
  <r>
    <n v="31317"/>
    <s v="Legacy Billing Engine Classic"/>
    <s v="Billing"/>
    <s v="Finance"/>
    <s v="Internal"/>
    <s v="Elena Garcia"/>
    <s v="Kavya Reddy"/>
    <s v="Infra Ops US"/>
    <n v="0"/>
    <d v="2019-09-01T00:00:00"/>
    <s v="Not in use"/>
    <n v="1"/>
    <n v="3"/>
    <s v="Icertis CLM"/>
    <s v="On-prem DC"/>
    <s v="lbeapp01, lbedb01"/>
    <n v="2"/>
    <s v="TBD"/>
    <s v="Oracle 11g"/>
    <s v="EU DC-2"/>
    <d v="2020-11-30T00:00:00"/>
    <s v="Structured"/>
    <n v="69"/>
    <s v="N"/>
    <n v="5"/>
    <s v="N"/>
    <s v="None"/>
    <n v="1"/>
    <s v="Y"/>
    <s v="N"/>
    <s v="Partial"/>
    <n v="48500"/>
    <d v="2027-05-31T00:00:00"/>
    <n v="53000"/>
    <n v="42500"/>
    <n v="14.964705882352941"/>
    <n v="4"/>
    <x v="2"/>
    <x v="2"/>
    <x v="1"/>
    <x v="20"/>
    <x v="1"/>
    <s v="Owner sign-off received; switch-off scheduled"/>
  </r>
  <r>
    <n v="187618"/>
    <s v="Inventory Control (APAC)"/>
    <s v="Inventory"/>
    <s v="Supply Chain"/>
    <s v="Internal"/>
    <s v="Thomas Moreau"/>
    <s v="Tara Khanna"/>
    <s v="Wintel Platform Team"/>
    <n v="2"/>
    <d v="2019-08-16T00:00:00"/>
    <s v="Not in use"/>
    <n v="2"/>
    <n v="3"/>
    <m/>
    <s v="On-prem DC"/>
    <s v="icaapp01, icadb01, icaweb01"/>
    <n v="3"/>
    <s v="Windows Server 2019"/>
    <s v="SQL Server 2019"/>
    <s v="EU DC-1"/>
    <d v="2029-01-09T00:00:00"/>
    <s v="Structured"/>
    <n v="1240"/>
    <s v="Y"/>
    <n v="10"/>
    <s v="Y"/>
    <s v="Data archive"/>
    <n v="6"/>
    <s v="N"/>
    <s v="N"/>
    <s v="N"/>
    <n v="33500"/>
    <d v="2028-03-31T00:00:00"/>
    <n v="43000"/>
    <n v="21000"/>
    <n v="24.571428571428569"/>
    <n v="2"/>
    <x v="1"/>
    <x v="0"/>
    <x v="1"/>
    <x v="13"/>
    <x v="1"/>
    <s v="Retention 10 yrs - archive slot booked"/>
  </r>
  <r>
    <n v="34369"/>
    <s v="Maintenance Scheduler"/>
    <s v="Asset Maintenance"/>
    <s v="Operations"/>
    <s v="Internal"/>
    <s v="Nicolas Sharma"/>
    <s v="Manon Chevalier"/>
    <s v="Database Services"/>
    <n v="163"/>
    <d v="2021-03-24T00:00:00"/>
    <s v="Active"/>
    <n v="3"/>
    <n v="3"/>
    <m/>
    <s v="IaaS"/>
    <s v="msxapp01, msxdb01, msxweb01"/>
    <n v="3"/>
    <s v="HP-UX 11i v3"/>
    <s v="Sybase ASE 15.7"/>
    <s v="AWS us-east-1"/>
    <d v="2021-12-31T00:00:00"/>
    <s v="Structured"/>
    <n v="2320"/>
    <s v="N"/>
    <n v="3"/>
    <s v="Y"/>
    <s v="Data archive"/>
    <n v="2"/>
    <s v="Partial"/>
    <s v="N"/>
    <s v="N"/>
    <n v="46000"/>
    <d v="2028-12-31T00:00:00"/>
    <n v="120000"/>
    <n v="24000"/>
    <n v="60"/>
    <n v="1"/>
    <x v="1"/>
    <x v="0"/>
    <x v="1"/>
    <x v="22"/>
    <x v="1"/>
    <s v="Read-only access needed for audit"/>
  </r>
  <r>
    <n v="87902"/>
    <s v="Legacy Newsletter Mailer (APAC)"/>
    <s v="Email"/>
    <s v="Marketing"/>
    <s v="Internal"/>
    <s v="Yuki Tanaka"/>
    <s v="Adrien Colin"/>
    <s v="Unix Platform Team"/>
    <n v="0"/>
    <d v="2019-09-18T00:00:00"/>
    <s v="Not in use"/>
    <n v="2"/>
    <n v="4"/>
    <m/>
    <s v="PaaS"/>
    <s v="Azure App Service (PaaS)"/>
    <n v="0"/>
    <s v="N/A (PaaS)"/>
    <s v="Azure SQL"/>
    <s v="Azure West Europe"/>
    <m/>
    <s v="Both"/>
    <n v="110"/>
    <s v="Y"/>
    <n v="7"/>
    <s v="Y"/>
    <s v="Read-only access"/>
    <n v="3"/>
    <s v="Y"/>
    <s v="N"/>
    <s v="Partial"/>
    <n v="27000"/>
    <d v="2026-03-31T00:00:00"/>
    <n v="21500"/>
    <n v="18000"/>
    <n v="14.333333333333332"/>
    <n v="2"/>
    <x v="1"/>
    <x v="1"/>
    <x v="1"/>
    <x v="16"/>
    <x v="1"/>
    <s v="Archive format agreed; load scheduled before switch-off"/>
  </r>
  <r>
    <n v="150425"/>
    <s v="Budget Planner Lite"/>
    <s v="Budgeting"/>
    <s v="Finance"/>
    <s v="Partner"/>
    <s v="Thomas Moreau"/>
    <s v="Baptiste Henry"/>
    <s v="Wintel Platform Team"/>
    <n v="311"/>
    <d v="2021-04-23T00:00:00"/>
    <s v="Active"/>
    <n v="3"/>
    <n v="3"/>
    <m/>
    <s v="IaaS"/>
    <s v="bplapp01, bpldb01, bplweb01"/>
    <n v="3"/>
    <s v="Windows Server 2008 R2"/>
    <s v="SQL Server 2008 R2"/>
    <s v="AWS eu-west-1"/>
    <d v="2020-01-14T00:00:00"/>
    <s v="Structured"/>
    <n v="72"/>
    <s v="Y"/>
    <n v="7"/>
    <s v="N"/>
    <s v="None"/>
    <n v="3"/>
    <s v="Partial"/>
    <s v="Partial"/>
    <s v="Y"/>
    <n v="26000"/>
    <d v="2033-06-30T00:00:00"/>
    <n v="27500"/>
    <n v="25000"/>
    <n v="13.200000000000001"/>
    <n v="1"/>
    <x v="2"/>
    <x v="2"/>
    <x v="1"/>
    <x v="18"/>
    <x v="4"/>
    <s v="Retention requirement to be confirmed"/>
  </r>
  <r>
    <n v="34665"/>
    <s v="Custom Payroll Interface"/>
    <s v="Payroll"/>
    <s v="HR"/>
    <s v="External"/>
    <s v="Elena Garcia"/>
    <s v="Aditi Menon"/>
    <s v="Plant IT Services"/>
    <n v="114"/>
    <d v="2021-04-05T00:00:00"/>
    <s v="Active"/>
    <n v="3"/>
    <n v="2"/>
    <m/>
    <s v="On-prem DC"/>
    <s v="cpiapp01, cpidb01, cpiweb01, cpifs01"/>
    <n v="4"/>
    <s v="RHEL 8"/>
    <s v="Oracle 19c"/>
    <s v="EU DC-2"/>
    <d v="2029-05-31T00:00:00"/>
    <s v="Structured"/>
    <n v="20"/>
    <s v="Y"/>
    <n v="10"/>
    <s v="Y"/>
    <s v="Data archive"/>
    <n v="18"/>
    <s v="N"/>
    <s v="Y"/>
    <s v="N"/>
    <n v="125000"/>
    <d v="2025-04-30T00:00:00"/>
    <n v="146000"/>
    <n v="78500"/>
    <n v="22.318471337579616"/>
    <n v="0"/>
    <x v="1"/>
    <x v="0"/>
    <x v="1"/>
    <x v="20"/>
    <x v="4"/>
    <s v="Retention requirement to be confirmed_x000a_Blocker: Archive platform capacity not confirmed_x000a_Q: Can the enterprise archive take this volume this year?"/>
  </r>
  <r>
    <n v="72461"/>
    <s v="Departmental Intranet (SharePoint)"/>
    <s v="Collaboration"/>
    <s v="IT"/>
    <s v="Internal"/>
    <s v="Vikram Rao"/>
    <s v="Rohan Bhatt"/>
    <s v="Infra Ops EMEA"/>
    <n v="352"/>
    <d v="2021-04-27T00:00:00"/>
    <s v="Active"/>
    <n v="3"/>
    <n v="2"/>
    <s v="Azure Monitor"/>
    <s v="On-prem DC"/>
    <s v="dis-app01–06, dis-db01"/>
    <n v="7"/>
    <s v="AIX 7.1"/>
    <s v="DB2 10.5"/>
    <s v="EU DC-1"/>
    <d v="2023-04-30T00:00:00"/>
    <s v="Unstructured"/>
    <n v="290"/>
    <s v="N"/>
    <n v="5"/>
    <s v="N"/>
    <s v="None"/>
    <n v="5"/>
    <s v="Partial"/>
    <s v="Partial"/>
    <s v="N"/>
    <n v="100000"/>
    <d v="2026-07-31T00:00:00"/>
    <n v="96000"/>
    <n v="63500"/>
    <n v="18.141732283464567"/>
    <n v="1"/>
    <x v="0"/>
    <x v="2"/>
    <x v="1"/>
    <x v="22"/>
    <x v="4"/>
    <s v="Business case under review with owner"/>
  </r>
  <r>
    <n v="56991"/>
    <s v="Ticket Desk"/>
    <s v="Service Desk"/>
    <s v="IT"/>
    <s v="Internal"/>
    <s v="Laura Martin"/>
    <s v="Aditi Menon"/>
    <s v="Cloud Platform Team"/>
    <n v="0"/>
    <d v="2019-06-24T00:00:00"/>
    <s v="Not in use"/>
    <n v="3"/>
    <n v="3"/>
    <m/>
    <s v="On-prem DC"/>
    <s v="tdxapp01, tdxdb01, tdxweb01, tdxfs01"/>
    <n v="4"/>
    <s v="RHEL 6"/>
    <s v="Oracle 11g"/>
    <s v="Plant DC"/>
    <d v="2020-11-30T00:00:00"/>
    <s v="Both"/>
    <n v="20"/>
    <s v="Y"/>
    <n v="5"/>
    <s v="Y"/>
    <s v="Archive + read-only"/>
    <n v="7"/>
    <s v="Partial"/>
    <s v="Y"/>
    <s v="N"/>
    <n v="41500"/>
    <d v="2027-06-30T00:00:00"/>
    <n v="66000"/>
    <n v="23500"/>
    <n v="33.702127659574472"/>
    <n v="2"/>
    <x v="1"/>
    <x v="0"/>
    <x v="1"/>
    <x v="13"/>
    <x v="1"/>
    <s v="Read-only access needed for audit"/>
  </r>
  <r>
    <n v="198649"/>
    <s v="Legacy Billing Engine v2"/>
    <s v="Billing"/>
    <s v="Finance"/>
    <s v="Internal"/>
    <s v="Meera Dubois"/>
    <s v="Manon Chevalier"/>
    <s v="Database Services"/>
    <n v="0"/>
    <d v="2019-10-23T00:00:00"/>
    <s v="Not in use"/>
    <n v="4"/>
    <n v="1"/>
    <s v="Icertis CLM"/>
    <s v="On-prem DC"/>
    <s v="lbeapp01, lbedb01"/>
    <n v="2"/>
    <s v="Solaris 10"/>
    <s v="Oracle 11g"/>
    <s v="EU DC-1"/>
    <d v="2021-01-31T00:00:00"/>
    <s v="Both"/>
    <n v="18"/>
    <s v="Y"/>
    <n v="10"/>
    <s v="Y"/>
    <s v="Reporting extract"/>
    <n v="71"/>
    <s v="Partial"/>
    <s v="Y"/>
    <s v="Partial"/>
    <n v="170000"/>
    <d v="2027-06-30T00:00:00"/>
    <n v="376000"/>
    <n v="118000"/>
    <n v="38.237288135593218"/>
    <n v="3"/>
    <x v="0"/>
    <x v="0"/>
    <x v="1"/>
    <x v="20"/>
    <x v="4"/>
    <s v="Awaiting dependency mapping"/>
  </r>
  <r>
    <n v="188650"/>
    <s v="Old Event Registration Tool"/>
    <s v="Events"/>
    <s v="Marketing"/>
    <s v="Internal"/>
    <s v="Isabelle Singh"/>
    <s v="Louis Faure"/>
    <s v="Infra Ops EMEA"/>
    <n v="0"/>
    <d v="2020-03-06T00:00:00"/>
    <s v="Not in use"/>
    <n v="1"/>
    <n v="4"/>
    <s v="TBD"/>
    <s v="On-prem DC"/>
    <s v="oerapp01, oerdb01, oerweb01"/>
    <n v="3"/>
    <s v="Windows Server 2008 R2"/>
    <s v="SQL Server 2008 R2"/>
    <s v="US DC-1"/>
    <d v="2020-01-14T00:00:00"/>
    <s v="Structured"/>
    <n v="13160"/>
    <s v="Y"/>
    <n v="7"/>
    <s v="Y"/>
    <s v="Data archive"/>
    <n v="2"/>
    <s v="Partial"/>
    <s v="N"/>
    <s v="Partial"/>
    <n v="50000"/>
    <d v="2035-09-30T00:00:00"/>
    <n v="241000"/>
    <n v="34000"/>
    <n v="85.058823529411768"/>
    <n v="3"/>
    <x v="1"/>
    <x v="0"/>
    <x v="1"/>
    <x v="17"/>
    <x v="1"/>
    <s v="Read-only access needed for audit"/>
  </r>
  <r>
    <n v="172355"/>
    <s v="Ticket Desk 2010"/>
    <s v="Service Desk"/>
    <s v="IT"/>
    <s v="Internal"/>
    <s v="Hannah Weber"/>
    <s v="Kavya Reddy"/>
    <s v="Unix Platform Team"/>
    <n v="159"/>
    <d v="2021-04-29T00:00:00"/>
    <s v="Active"/>
    <n v="1"/>
    <n v="3"/>
    <s v="ServiceNow"/>
    <s v="On-prem DC"/>
    <s v="tdxapp01, tdxdb01, tdxweb01, tdxfs01"/>
    <n v="4"/>
    <s v="Ubuntu 16.04"/>
    <s v="MySQL 5.7"/>
    <s v="Plant DC"/>
    <d v="2021-04-30T00:00:00"/>
    <s v="Structured"/>
    <n v="3720"/>
    <s v="Y"/>
    <n v="10"/>
    <s v="Y"/>
    <s v="Archive + read-only"/>
    <n v="6"/>
    <s v="Y"/>
    <s v="Partial"/>
    <s v="N"/>
    <n v="60000"/>
    <d v="2033-08-31T00:00:00"/>
    <n v="137500"/>
    <n v="34000"/>
    <n v="48.529411764705884"/>
    <n v="3"/>
    <x v="1"/>
    <x v="0"/>
    <x v="1"/>
    <x v="18"/>
    <x v="4"/>
    <s v="Replacement option being confirmed"/>
  </r>
  <r>
    <n v="18566"/>
    <s v="Departmental GL Consolidation Tool Classic"/>
    <s v="General Ledger"/>
    <s v="Finance"/>
    <s v="External"/>
    <s v="Julien Petit"/>
    <s v="Sameer Joshi"/>
    <s v="Wintel Platform Team"/>
    <n v="82"/>
    <d v="2021-04-20T00:00:00"/>
    <s v="Active"/>
    <n v="2"/>
    <n v="4"/>
    <s v="TBD"/>
    <s v="PaaS"/>
    <s v="Azure App Service (PaaS)"/>
    <n v="0"/>
    <s v="N/A (PaaS)"/>
    <s v="Cosmos DB"/>
    <s v="Azure West Europe"/>
    <m/>
    <s v="Structured"/>
    <n v="1350"/>
    <s v="Y"/>
    <n v="10"/>
    <s v="Y"/>
    <s v="Data archive"/>
    <n v="3"/>
    <s v="Y"/>
    <s v="N"/>
    <s v="N"/>
    <n v="23000"/>
    <d v="2035-04-30T00:00:00"/>
    <n v="17500"/>
    <n v="16500"/>
    <n v="12.727272727272727"/>
    <n v="1"/>
    <x v="1"/>
    <x v="0"/>
    <x v="1"/>
    <x v="17"/>
    <x v="4"/>
    <s v="Business case under review with owner"/>
  </r>
  <r>
    <n v="147349"/>
    <s v="Custom Document Repository Lite"/>
    <s v="Document Mgmt"/>
    <s v="IT"/>
    <s v="Internal"/>
    <s v="Fatima Khan"/>
    <s v="Ishaan Desai"/>
    <s v="Infra Ops EMEA"/>
    <n v="20"/>
    <d v="2020-12-06T00:00:00"/>
    <s v="Low use"/>
    <n v="3"/>
    <n v="4"/>
    <s v="Microsoft 365 (planned)"/>
    <s v="On-prem DC"/>
    <s v="cdrapp01, cdrdb01, cdrweb01"/>
    <n v="3"/>
    <s v="Ubuntu 16.04"/>
    <s v="MySQL 5.7"/>
    <s v="US DC-1"/>
    <d v="2021-04-30T00:00:00"/>
    <s v="Both"/>
    <n v="61"/>
    <s v="N"/>
    <n v="2"/>
    <s v="N"/>
    <s v="None"/>
    <n v="2"/>
    <s v="N"/>
    <s v="Partial"/>
    <s v="Partial"/>
    <n v="55000"/>
    <d v="2027-11-30T00:00:00"/>
    <n v="62500"/>
    <n v="47000"/>
    <n v="15.957446808510639"/>
    <n v="3"/>
    <x v="2"/>
    <x v="2"/>
    <x v="1"/>
    <x v="23"/>
    <x v="4"/>
    <s v="Retention requirement to be confirmed"/>
  </r>
  <r>
    <n v="64511"/>
    <s v="Legacy Demand Planner 2008"/>
    <s v="Demand Planning"/>
    <s v="Supply Chain"/>
    <s v="Internal"/>
    <s v="Amelie Martin"/>
    <s v="Chloe Vidal"/>
    <s v="Infra Ops US"/>
    <n v="13"/>
    <d v="2021-01-07T00:00:00"/>
    <s v="Low use"/>
    <n v="1"/>
    <n v="4"/>
    <m/>
    <s v="On-prem DC"/>
    <s v="ldpapp01, ldpdb01"/>
    <n v="2"/>
    <s v="Ubuntu 18.04"/>
    <s v="PostgreSQL 10"/>
    <s v="Plant DC"/>
    <d v="2023-05-31T00:00:00"/>
    <s v="Both"/>
    <n v="4160"/>
    <s v="N"/>
    <n v="7"/>
    <s v="Y"/>
    <s v="Read-only access"/>
    <n v="1"/>
    <s v="Partial"/>
    <s v="N"/>
    <s v="N"/>
    <n v="32500"/>
    <d v="2035-08-31T00:00:00"/>
    <n v="118000"/>
    <n v="23000"/>
    <n v="61.565217391304344"/>
    <n v="2"/>
    <x v="1"/>
    <x v="0"/>
    <x v="1"/>
    <x v="18"/>
    <x v="4"/>
    <s v="Retention requirement to be confirmed"/>
  </r>
  <r>
    <n v="149409"/>
    <s v="Customer Contact Manager"/>
    <s v="CRM"/>
    <s v="Sales"/>
    <s v="Internal"/>
    <s v="Claire Mehta"/>
    <s v="Adrien Colin"/>
    <s v="Cloud Platform Team"/>
    <n v="46"/>
    <d v="2021-04-09T00:00:00"/>
    <s v="Active"/>
    <n v="2"/>
    <n v="3"/>
    <s v="Salesforce CPQ (planned)"/>
    <s v="On-prem DC"/>
    <s v="ccmapp01, ccmdb01, ccmweb01"/>
    <n v="3"/>
    <s v="Windows Server 2012 R2"/>
    <s v="SQL Server 2012"/>
    <s v="EU DC-1"/>
    <d v="2022-07-12T00:00:00"/>
    <s v="Both"/>
    <n v="230"/>
    <s v="N"/>
    <n v="3"/>
    <s v="Y"/>
    <s v="Read-only access"/>
    <n v="3"/>
    <s v="Partial"/>
    <s v="N"/>
    <s v="Y"/>
    <n v="21500"/>
    <d v="2027-07-31T00:00:00"/>
    <n v="23000"/>
    <n v="11000"/>
    <n v="25.09090909090909"/>
    <n v="2"/>
    <x v="1"/>
    <x v="1"/>
    <x v="1"/>
    <x v="19"/>
    <x v="4"/>
    <s v="Business case under review with owner"/>
  </r>
  <r>
    <n v="151118"/>
    <s v="Global Expense Portal Plus"/>
    <s v="Expense Mgmt"/>
    <s v="Finance"/>
    <s v="Internal"/>
    <s v="Elena Garcia"/>
    <s v="Baptiste Henry"/>
    <s v="Infra Ops EMEA"/>
    <n v="18"/>
    <d v="2021-01-30T00:00:00"/>
    <s v="Low use"/>
    <n v="2"/>
    <n v="4"/>
    <m/>
    <s v="On-prem DC"/>
    <s v="fs-gep02 (file share)"/>
    <n v="1"/>
    <s v="Windows Server 2012 R2"/>
    <s v="MS Access 2010"/>
    <s v="EU DC-1"/>
    <d v="2023-10-10T00:00:00"/>
    <s v="Unstructured"/>
    <n v="510"/>
    <s v="Y"/>
    <n v="10"/>
    <s v="N"/>
    <s v="None"/>
    <n v="2"/>
    <s v="N"/>
    <s v="N"/>
    <s v="Partial"/>
    <n v="20000"/>
    <d v="2031-05-31T00:00:00"/>
    <n v="20500"/>
    <n v="16000"/>
    <n v="15.375"/>
    <n v="2"/>
    <x v="2"/>
    <x v="2"/>
    <x v="1"/>
    <x v="20"/>
    <x v="1"/>
    <s v="Functionality covered by existing tools_x000a_Blocker: Month-end close dependency_x000a_Q: Can the cut-over avoid the quarter-end freeze?"/>
  </r>
  <r>
    <n v="139635"/>
    <s v="Old Payroll Interface (US)"/>
    <s v="Payroll"/>
    <s v="HR"/>
    <s v="Internal"/>
    <s v="Mateo Girard"/>
    <s v="Rohan Bhatt"/>
    <s v="Unix Platform Team"/>
    <n v="51"/>
    <d v="2021-04-17T00:00:00"/>
    <s v="Active"/>
    <n v="2"/>
    <n v="4"/>
    <s v="Workday Recruiting"/>
    <s v="On-prem DC"/>
    <s v="opiapp01"/>
    <n v="1"/>
    <s v="Windows Server 2012 R2"/>
    <s v="SQL Server 2014"/>
    <s v="Plant DC"/>
    <d v="2024-07-09T00:00:00"/>
    <s v="Structured"/>
    <n v="11"/>
    <s v="N"/>
    <n v="2"/>
    <s v="Y"/>
    <s v="Archive + read-only"/>
    <n v="3"/>
    <s v="Partial"/>
    <s v="N"/>
    <s v="N"/>
    <n v="15500"/>
    <d v="2025-05-31T00:00:00"/>
    <n v="20500"/>
    <n v="12500"/>
    <n v="19.68"/>
    <n v="2"/>
    <x v="0"/>
    <x v="1"/>
    <x v="1"/>
    <x v="13"/>
    <x v="1"/>
    <s v="Funding approved; migration to Workday Recruiting scheduled"/>
  </r>
  <r>
    <n v="52956"/>
    <s v="Corporate AP Invoice Processor v4"/>
    <s v="Accounts Payable"/>
    <s v="Finance"/>
    <s v="Internal"/>
    <s v="Rahul Iyer"/>
    <s v="Hugo Perrin"/>
    <s v="Infra Ops EMEA"/>
    <n v="398"/>
    <d v="2021-03-26T00:00:00"/>
    <s v="Active"/>
    <n v="3"/>
    <n v="4"/>
    <s v="Oracle Cloud ERP"/>
    <s v="On-prem DC"/>
    <s v="caiapp01, caidb01"/>
    <n v="2"/>
    <s v="AIX 7.1"/>
    <s v="DB2 10.5"/>
    <s v="EU DC-1"/>
    <d v="2023-04-30T00:00:00"/>
    <s v="Structured"/>
    <n v="3580"/>
    <s v="Y"/>
    <n v="7"/>
    <s v="Y"/>
    <s v="Read-only access"/>
    <n v="1"/>
    <s v="N"/>
    <s v="Partial"/>
    <s v="Y"/>
    <n v="46000"/>
    <d v="2028-05-31T00:00:00"/>
    <n v="78000"/>
    <n v="39500"/>
    <n v="23.696202531645572"/>
    <n v="1"/>
    <x v="0"/>
    <x v="0"/>
    <x v="1"/>
    <x v="23"/>
    <x v="4"/>
    <s v="Business case under review with owner_x000a_Blocker: Archive platform capacity not confirmed_x000a_Q: Can the enterprise archive take this volume this year?"/>
  </r>
  <r>
    <n v="153837"/>
    <s v="Departmental AP Invoice Processor (FR)"/>
    <s v="Accounts Payable"/>
    <s v="Finance"/>
    <s v="Partner"/>
    <s v="Oscar Lindqvist"/>
    <s v="Varun Malhotra"/>
    <s v="Infra Ops US"/>
    <n v="1"/>
    <d v="2020-05-04T00:00:00"/>
    <s v="Not in use"/>
    <n v="1"/>
    <n v="4"/>
    <m/>
    <s v="On-prem DC"/>
    <s v="daiapp01, daidb01"/>
    <n v="2"/>
    <s v="Windows Server 2008 R2"/>
    <s v="SQL Server 2008 R2"/>
    <s v="EU DC-2"/>
    <d v="2020-01-14T00:00:00"/>
    <s v="Unstructured"/>
    <n v="23"/>
    <s v="Y"/>
    <n v="10"/>
    <s v="Y"/>
    <s v="Read-only access"/>
    <n v="1"/>
    <s v="Partial"/>
    <s v="N"/>
    <s v="N"/>
    <n v="41500"/>
    <d v="2027-12-31T00:00:00"/>
    <n v="33500"/>
    <n v="24500"/>
    <n v="16.408163265306122"/>
    <n v="3"/>
    <x v="1"/>
    <x v="1"/>
    <x v="1"/>
    <x v="17"/>
    <x v="1"/>
    <s v="Read-only access needed for audit"/>
  </r>
  <r>
    <n v="89279"/>
    <s v="Monitoring Console v4"/>
    <s v="Monitoring"/>
    <s v="IT"/>
    <s v="External"/>
    <s v="Nicolas Sharma"/>
    <s v="Louis Faure"/>
    <s v="Database Services"/>
    <n v="7"/>
    <d v="2021-03-26T00:00:00"/>
    <s v="Low use"/>
    <n v="5"/>
    <n v="1"/>
    <m/>
    <s v="IaaS"/>
    <s v="mcvapp01"/>
    <n v="1"/>
    <s v="Ubuntu 20.04"/>
    <s v="MySQL 8.0"/>
    <s v="Azure West Europe"/>
    <d v="2025-04-30T00:00:00"/>
    <s v="Both"/>
    <n v="600"/>
    <s v="Y"/>
    <n v="10"/>
    <s v="N"/>
    <s v="None"/>
    <n v="21"/>
    <s v="N"/>
    <s v="Partial"/>
    <s v="N"/>
    <n v="21500"/>
    <d v="2031-09-30T00:00:00"/>
    <n v="44000"/>
    <n v="17500"/>
    <n v="30.171428571428571"/>
    <n v="1"/>
    <x v="2"/>
    <x v="2"/>
    <x v="1"/>
    <x v="17"/>
    <x v="4"/>
    <s v="Business case under review with owner_x000a_Blocker: Month-end close dependency_x000a_Q: Can the cut-over avoid the quarter-end freeze?"/>
  </r>
  <r>
    <n v="173112"/>
    <s v="Custom Inventory Control 2008"/>
    <s v="Inventory"/>
    <s v="Supply Chain"/>
    <s v="Internal"/>
    <s v="Mateo Girard"/>
    <s v="Ishaan Desai"/>
    <s v="Unix Platform Team"/>
    <n v="396"/>
    <d v="2021-03-23T00:00:00"/>
    <s v="Active"/>
    <n v="3"/>
    <n v="4"/>
    <s v="Manhattan WMS"/>
    <s v="IaaS"/>
    <s v="cicapp01"/>
    <n v="1"/>
    <s v="Ubuntu 16.04"/>
    <s v="MySQL 5.7"/>
    <s v="AWS eu-west-1"/>
    <d v="2021-04-30T00:00:00"/>
    <s v="Structured"/>
    <n v="5"/>
    <s v="N"/>
    <n v="2"/>
    <s v="Y"/>
    <s v="Data archive"/>
    <n v="0"/>
    <s v="N"/>
    <s v="Y"/>
    <s v="Y"/>
    <n v="22000"/>
    <d v="2029-07-31T00:00:00"/>
    <n v="16000"/>
    <n v="18000"/>
    <n v="10.666666666666666"/>
    <n v="2"/>
    <x v="0"/>
    <x v="1"/>
    <x v="1"/>
    <x v="14"/>
    <x v="4"/>
    <s v="Awaiting dependency mapping"/>
  </r>
  <r>
    <n v="47217"/>
    <s v="Order Entry Portal (US)"/>
    <s v="Order Entry"/>
    <s v="Sales"/>
    <s v="Internal"/>
    <s v="Julia Rao"/>
    <s v="Theo Lopez"/>
    <s v="Unix Platform Team"/>
    <n v="5"/>
    <d v="2021-04-28T00:00:00"/>
    <s v="Low use"/>
    <n v="2"/>
    <n v="4"/>
    <m/>
    <s v="On-prem DC"/>
    <s v="oepapp01, oepdb01, oepweb01, oepfs01"/>
    <n v="4"/>
    <s v="TBD"/>
    <s v="SQL Server 2008"/>
    <s v="TBD"/>
    <s v="TBD"/>
    <s v="Both"/>
    <n v="380"/>
    <s v="Y"/>
    <n v="7"/>
    <s v="Y"/>
    <s v="Data archive"/>
    <n v="3"/>
    <s v="N"/>
    <s v="Partial"/>
    <s v="N"/>
    <n v="46500"/>
    <d v="2031-09-30T00:00:00"/>
    <n v="30000"/>
    <n v="31500"/>
    <n v="11.428571428571427"/>
    <n v="2"/>
    <x v="1"/>
    <x v="1"/>
    <x v="1"/>
    <x v="23"/>
    <x v="1"/>
    <s v="Retention 7 yrs - archive slot booked"/>
  </r>
  <r>
    <n v="31840"/>
    <s v="Legacy Event Registration Tool (US)"/>
    <s v="Events"/>
    <s v="Marketing"/>
    <s v="Internal"/>
    <s v="Mateo Girard"/>
    <s v="Chloe Vidal"/>
    <s v="SaaS Vendor Mgmt"/>
    <n v="1"/>
    <d v="2020-04-26T00:00:00"/>
    <s v="Not in use"/>
    <n v="2"/>
    <n v="3"/>
    <m/>
    <s v="SaaS"/>
    <s v="N/A (SaaS)"/>
    <n v="0"/>
    <s v="N/A"/>
    <s v="N/A"/>
    <s v="Vendor cloud (EU)"/>
    <d v="2022-04-30T00:00:00"/>
    <s v="Structured"/>
    <n v="130"/>
    <s v="Y"/>
    <n v="5"/>
    <s v="Y"/>
    <s v="Reporting extract"/>
    <n v="8"/>
    <s v="N"/>
    <s v="Partial"/>
    <s v="Partial"/>
    <n v="75000"/>
    <d v="2025-05-31T00:00:00"/>
    <n v="128500"/>
    <n v="42500"/>
    <n v="36.28235294117647"/>
    <n v="3"/>
    <x v="1"/>
    <x v="0"/>
    <x v="1"/>
    <x v="20"/>
    <x v="1"/>
    <s v="Read-only access needed for audit_x000a_Blocker: Month-end close dependency_x000a_Q: Can the cut-over avoid the quarter-end freeze?"/>
  </r>
  <r>
    <n v="185239"/>
    <s v="Global Safety Incident Tracker"/>
    <s v="Health &amp; Safety"/>
    <s v="Operations"/>
    <s v="Internal"/>
    <s v="Marc Laurent"/>
    <s v="Omar Haddad"/>
    <s v="Infra Ops EMEA"/>
    <n v="4"/>
    <d v="2019-06-01T00:00:00"/>
    <s v="Not in use"/>
    <n v="1"/>
    <n v="3"/>
    <m/>
    <s v="IaaS"/>
    <s v="gsiapp01, gsidb01"/>
    <n v="2"/>
    <s v="Windows Server 2008 R2"/>
    <s v="SQL Server 2008 R2"/>
    <s v="Azure West Europe"/>
    <d v="2020-01-14T00:00:00"/>
    <s v="Structured"/>
    <n v="620"/>
    <s v="N"/>
    <n v="3"/>
    <s v="N"/>
    <s v="None"/>
    <n v="3"/>
    <s v="Y"/>
    <s v="N"/>
    <s v="Partial"/>
    <n v="27500"/>
    <d v="2034-05-31T00:00:00"/>
    <n v="34000"/>
    <n v="24000"/>
    <n v="17"/>
    <n v="3"/>
    <x v="2"/>
    <x v="2"/>
    <x v="1"/>
    <x v="13"/>
    <x v="1"/>
    <s v="No active users; switch-off confirmed with owner"/>
  </r>
  <r>
    <n v="192276"/>
    <s v="Old Order Entry Portal (US)"/>
    <s v="Order Entry"/>
    <s v="Sales"/>
    <s v="Internal"/>
    <s v="Neha Nair"/>
    <s v="Ishaan Desai"/>
    <s v="Infra Ops US"/>
    <n v="25"/>
    <d v="2021-04-18T00:00:00"/>
    <s v="Active"/>
    <n v="5"/>
    <n v="1"/>
    <s v="Salesforce Partner Community"/>
    <s v="On-prem DC"/>
    <s v="ooe-app01–07, ooe-db01"/>
    <n v="8"/>
    <s v="Ubuntu 16.04"/>
    <s v="MySQL 5.7"/>
    <s v="Plant DC"/>
    <d v="2021-04-30T00:00:00"/>
    <s v="Unstructured"/>
    <n v="13"/>
    <s v="Y"/>
    <n v="7"/>
    <s v="N"/>
    <s v="None"/>
    <n v="22"/>
    <s v="N"/>
    <s v="N"/>
    <s v="Partial"/>
    <n v="140000"/>
    <d v="2033-11-30T00:00:00"/>
    <n v="73000"/>
    <n v="83000"/>
    <n v="10.554216867469879"/>
    <n v="2"/>
    <x v="0"/>
    <x v="2"/>
    <x v="1"/>
    <x v="13"/>
    <x v="4"/>
    <s v="Retention requirement to be confirmed"/>
  </r>
  <r>
    <n v="148874"/>
    <s v="Shared Facilities Request Portal 2008"/>
    <s v="Facilities"/>
    <s v="Operations"/>
    <s v="External"/>
    <s v="Mateo Girard"/>
    <s v="Varun Malhotra"/>
    <s v="Database Services"/>
    <n v="693"/>
    <d v="2021-04-11T00:00:00"/>
    <s v="Active"/>
    <n v="3"/>
    <n v="2"/>
    <s v="ServiceMax"/>
    <s v="On-prem DC"/>
    <s v="sfrapp01, sfrdb01, sfrweb01, sfrfs01"/>
    <n v="4"/>
    <s v="Solaris 10"/>
    <s v="Oracle 11g"/>
    <s v="US DC-1"/>
    <d v="2021-01-31T00:00:00"/>
    <s v="Structured"/>
    <n v="390"/>
    <s v="N"/>
    <n v="3"/>
    <s v="Y"/>
    <s v="Reporting extract"/>
    <n v="8"/>
    <s v="Y"/>
    <s v="N"/>
    <s v="Y"/>
    <n v="90000"/>
    <d v="2029-07-31T00:00:00"/>
    <n v="56000"/>
    <n v="55000"/>
    <n v="12.218181818181817"/>
    <n v="2"/>
    <x v="0"/>
    <x v="0"/>
    <x v="1"/>
    <x v="23"/>
    <x v="4"/>
    <s v="Business case under review with owner"/>
  </r>
  <r>
    <n v="150183"/>
    <s v="Global Access Request Tool Plus"/>
    <s v="Identity"/>
    <s v="IT"/>
    <s v="Internal"/>
    <s v="Pierre Roux"/>
    <s v="Louis Faure"/>
    <s v="SaaS Vendor Mgmt"/>
    <n v="7"/>
    <d v="2021-04-02T00:00:00"/>
    <s v="Low use"/>
    <n v="3"/>
    <n v="2"/>
    <m/>
    <s v="SaaS"/>
    <s v="N/A (SaaS)"/>
    <n v="0"/>
    <s v="N/A"/>
    <s v="N/A"/>
    <s v="Vendor cloud (EU)"/>
    <m/>
    <s v="Structured"/>
    <n v="650"/>
    <s v="Y"/>
    <n v="10"/>
    <s v="Y"/>
    <s v="Read-only access"/>
    <n v="16"/>
    <s v="Y"/>
    <s v="N"/>
    <s v="N"/>
    <n v="85000"/>
    <d v="2033-01-31T00:00:00"/>
    <n v="202500"/>
    <n v="48000"/>
    <n v="50.625"/>
    <n v="1"/>
    <x v="1"/>
    <x v="0"/>
    <x v="1"/>
    <x v="17"/>
    <x v="1"/>
    <s v="Retention 10 yrs - archive slot booked"/>
  </r>
  <r>
    <n v="132998"/>
    <s v="Regional AP Invoice Processor (FR)"/>
    <s v="Accounts Payable"/>
    <s v="Finance"/>
    <s v="External"/>
    <s v="Camille Fontaine"/>
    <s v="Manon Chevalier"/>
    <s v="Infra Ops EMEA"/>
    <n v="4"/>
    <d v="2021-03-07T00:00:00"/>
    <s v="Low use"/>
    <n v="4"/>
    <n v="2"/>
    <m/>
    <s v="IaaS"/>
    <s v="raiapp01, raidb01, raiweb01"/>
    <n v="3"/>
    <s v="Ubuntu 18.04"/>
    <s v="PostgreSQL 10"/>
    <s v="AWS eu-west-1"/>
    <d v="2023-05-31T00:00:00"/>
    <s v="Unstructured"/>
    <n v="1390"/>
    <s v="N"/>
    <n v="3"/>
    <s v="Y"/>
    <s v="Archive + read-only"/>
    <n v="20"/>
    <s v="Partial"/>
    <s v="Partial"/>
    <s v="Y"/>
    <n v="50000"/>
    <d v="2026-01-31T00:00:00"/>
    <n v="92000"/>
    <n v="33500"/>
    <n v="32.955223880597018"/>
    <n v="1"/>
    <x v="1"/>
    <x v="0"/>
    <x v="1"/>
    <x v="13"/>
    <x v="1"/>
    <s v="Read-only access needed for audit"/>
  </r>
  <r>
    <n v="33110"/>
    <s v="Regional Training Records Plus"/>
    <s v="Learning"/>
    <s v="HR"/>
    <s v="Internal"/>
    <s v="Sophie Dubois"/>
    <s v="Remi Masson"/>
    <s v="Infra Ops US"/>
    <n v="12"/>
    <d v="2020-12-15T00:00:00"/>
    <s v="Low use"/>
    <n v="2"/>
    <n v="3"/>
    <s v="Cornerstone (planned)"/>
    <s v="On-prem DC"/>
    <s v="rtrapp01, rtrdb01, rtrweb01, rtrfs01"/>
    <n v="4"/>
    <s v="Ubuntu 20.04"/>
    <s v="MySQL 8.0"/>
    <s v="Plant DC"/>
    <d v="2025-04-30T00:00:00"/>
    <s v="Structured"/>
    <n v="460"/>
    <s v="Y"/>
    <n v="10"/>
    <s v="Y"/>
    <s v="Read-only access"/>
    <n v="6"/>
    <s v="Partial"/>
    <s v="N"/>
    <s v="Partial"/>
    <n v="41000"/>
    <d v="2025-03-31T00:00:00"/>
    <n v="33000"/>
    <n v="32000"/>
    <n v="12.375"/>
    <n v="3"/>
    <x v="1"/>
    <x v="0"/>
    <x v="1"/>
    <x v="17"/>
    <x v="1"/>
    <s v="Retention 10 yrs - archive slot booked"/>
  </r>
  <r>
    <n v="28081"/>
    <s v="Corporate Batch Scheduler (DE)"/>
    <s v="Batch Scheduling"/>
    <s v="IT"/>
    <s v="Internal"/>
    <s v="Sara Kapoor"/>
    <s v="Adrien Colin"/>
    <s v="Infra Ops EMEA"/>
    <n v="0"/>
    <d v="2019-11-20T00:00:00"/>
    <s v="Not in use"/>
    <n v="3"/>
    <n v="3"/>
    <s v="Azure Monitor"/>
    <s v="On-prem DC"/>
    <s v="cbsapp01"/>
    <n v="1"/>
    <s v="Ubuntu 18.04"/>
    <s v="PostgreSQL 10"/>
    <s v="TBD"/>
    <d v="2023-05-31T00:00:00"/>
    <s v="Structured"/>
    <n v="2290"/>
    <s v="N"/>
    <n v="3"/>
    <s v="Y"/>
    <s v="Reporting extract"/>
    <n v="5"/>
    <s v="Y"/>
    <s v="Partial"/>
    <s v="N"/>
    <n v="26500"/>
    <d v="2025-10-31T00:00:00"/>
    <n v="68500"/>
    <n v="19000"/>
    <n v="43.263157894736842"/>
    <n v="2"/>
    <x v="1"/>
    <x v="0"/>
    <x v="1"/>
    <x v="23"/>
    <x v="4"/>
    <s v="Replacement option being confirmed"/>
  </r>
  <r>
    <n v="182530"/>
    <s v="Corporate Licence Manager (APAC)"/>
    <s v="Licence Mgmt"/>
    <s v="IT"/>
    <s v="External"/>
    <s v="Thomas Moreau"/>
    <s v="Varun Malhotra"/>
    <s v="Plant IT Services"/>
    <n v="0"/>
    <d v="2020-02-14T00:00:00"/>
    <s v="Not in use"/>
    <n v="2"/>
    <n v="4"/>
    <m/>
    <s v="On-prem DC"/>
    <s v="clmapp01, clmdb01, clmweb01"/>
    <n v="3"/>
    <s v="Windows Server 2012 R2"/>
    <s v="SQL Server 2012"/>
    <s v="EU DC-1"/>
    <d v="2022-07-12T00:00:00"/>
    <s v="Structured"/>
    <n v="31"/>
    <s v="N"/>
    <n v="7"/>
    <s v="N"/>
    <s v="None"/>
    <n v="3"/>
    <s v="Partial"/>
    <s v="Partial"/>
    <s v="Y"/>
    <n v="48000"/>
    <d v="2025-05-31T00:00:00"/>
    <n v="40500"/>
    <n v="42000"/>
    <n v="11.571428571428571"/>
    <n v="2"/>
    <x v="2"/>
    <x v="2"/>
    <x v="1"/>
    <x v="22"/>
    <x v="1"/>
    <s v="Owner sign-off received; switch-off scheduled"/>
  </r>
  <r>
    <n v="157534"/>
    <s v="Shared Demand Planner"/>
    <s v="Demand Planning"/>
    <s v="Supply Chain"/>
    <s v="Internal"/>
    <s v="Hannah Weber"/>
    <s v="Tara Khanna"/>
    <s v="Unix Platform Team"/>
    <n v="101"/>
    <d v="2021-04-13T00:00:00"/>
    <s v="Active"/>
    <n v="4"/>
    <n v="2"/>
    <s v="Oracle SCM Cloud"/>
    <s v="On-prem DC"/>
    <s v="sdpapp01, sdpdb01, sdpweb01, sdpfs01"/>
    <n v="4"/>
    <s v="Windows Server 2008"/>
    <s v="SQL Server 2008"/>
    <s v="Plant DC"/>
    <d v="2019-07-09T00:00:00"/>
    <s v="Both"/>
    <n v="48"/>
    <s v="N"/>
    <n v="2"/>
    <s v="Y"/>
    <s v="Data archive"/>
    <n v="29"/>
    <s v="Partial"/>
    <s v="Y"/>
    <s v="Partial"/>
    <n v="75000"/>
    <d v="2025-11-30T00:00:00"/>
    <n v="199500"/>
    <n v="46500"/>
    <n v="51.483870967741936"/>
    <n v="2"/>
    <x v="0"/>
    <x v="0"/>
    <x v="1"/>
    <x v="14"/>
    <x v="1"/>
    <s v="Funding approved; migration to Oracle SCM Cloud scheduled"/>
  </r>
  <r>
    <n v="101112"/>
    <s v="Corporate Purchase Order System (Nordics)"/>
    <s v="Procurement"/>
    <s v="Supply Chain"/>
    <s v="Internal"/>
    <s v="Nicolas Sharma"/>
    <s v="Ananya Pillai"/>
    <s v="SaaS Vendor Mgmt"/>
    <n v="19"/>
    <d v="2021-02-15T00:00:00"/>
    <s v="Low use"/>
    <n v="3"/>
    <n v="2"/>
    <m/>
    <s v="SaaS"/>
    <s v="N/A (SaaS)"/>
    <n v="0"/>
    <s v="N/A"/>
    <s v="N/A"/>
    <s v="Vendor cloud (EU)"/>
    <d v="2025-05-31T00:00:00"/>
    <s v="Unstructured"/>
    <n v="130"/>
    <s v="N"/>
    <n v="3"/>
    <s v="Y"/>
    <s v="Legal hold"/>
    <n v="5"/>
    <s v="Y"/>
    <s v="N"/>
    <s v="N"/>
    <n v="230000"/>
    <d v="2025-10-31T00:00:00"/>
    <n v="374500"/>
    <n v="131000"/>
    <n v="34.305343511450381"/>
    <n v="1"/>
    <x v="1"/>
    <x v="0"/>
    <x v="2"/>
    <x v="24"/>
    <x v="4"/>
    <s v="Awaiting dependency mapping"/>
  </r>
  <r>
    <n v="74276"/>
    <s v="Custom Quote Manager 2010"/>
    <s v="Quoting"/>
    <s v="Sales"/>
    <s v="Internal"/>
    <s v="Camille Fontaine"/>
    <s v="Hugo Perrin"/>
    <s v="Plant IT Services"/>
    <n v="19"/>
    <d v="2021-04-26T00:00:00"/>
    <s v="Low use"/>
    <n v="2"/>
    <n v="4"/>
    <m/>
    <s v="On-prem DC"/>
    <s v="cqmapp01"/>
    <n v="1"/>
    <s v="HP-UX 11i v3"/>
    <s v="Sybase ASE 15.7"/>
    <s v="TBD"/>
    <d v="2021-12-31T00:00:00"/>
    <s v="Unstructured"/>
    <n v="83"/>
    <s v="Y"/>
    <n v="5"/>
    <s v="Y"/>
    <s v="Legal hold"/>
    <n v="0"/>
    <s v="Partial"/>
    <s v="N"/>
    <s v="Partial"/>
    <n v="25000"/>
    <d v="2032-10-31T00:00:00"/>
    <n v="14500"/>
    <n v="20000"/>
    <n v="8.6999999999999993"/>
    <n v="3"/>
    <x v="1"/>
    <x v="1"/>
    <x v="2"/>
    <x v="25"/>
    <x v="4"/>
    <s v="Awaiting dependency mapping"/>
  </r>
  <r>
    <n v="75318"/>
    <s v="Old Document Repository"/>
    <s v="Document Mgmt"/>
    <s v="IT"/>
    <s v="Internal"/>
    <s v="Isabelle Singh"/>
    <s v="Sameer Joshi"/>
    <s v="Cloud Platform Team"/>
    <n v="1652"/>
    <d v="2021-04-16T00:00:00"/>
    <s v="Active"/>
    <n v="5"/>
    <n v="1"/>
    <s v="SharePoint Online"/>
    <s v="IaaS"/>
    <s v="odrapp01, odrdb01, odrweb01, odrfs01"/>
    <n v="4"/>
    <s v="Windows Server 2012 R2"/>
    <s v="SQL Server 2014"/>
    <s v="AWS eu-west-1"/>
    <d v="2024-07-09T00:00:00"/>
    <s v="Structured"/>
    <n v="86"/>
    <s v="N"/>
    <n v="2"/>
    <s v="Y"/>
    <s v="Reporting extract"/>
    <n v="71"/>
    <s v="Y"/>
    <s v="Partial"/>
    <s v="Y"/>
    <n v="150000"/>
    <d v="2025-08-31T00:00:00"/>
    <n v="415000"/>
    <n v="119000"/>
    <n v="41.84873949579832"/>
    <n v="1"/>
    <x v="0"/>
    <x v="0"/>
    <x v="2"/>
    <x v="26"/>
    <x v="4"/>
    <s v="Replacement option being confirmed"/>
  </r>
  <r>
    <n v="149690"/>
    <s v="Regional Contract Repository Classic"/>
    <s v="Contract Mgmt"/>
    <s v="Finance"/>
    <s v="Internal"/>
    <s v="Pierre Roux"/>
    <s v="Varun Malhotra"/>
    <s v="Infra Ops US"/>
    <n v="0"/>
    <d v="2020-03-04T00:00:00"/>
    <s v="Not in use"/>
    <n v="1"/>
    <n v="3"/>
    <s v="SAP S/4HANA"/>
    <s v="On-prem DC"/>
    <s v="rcrapp01, rcrdb01, rcrweb01, rcrfs01"/>
    <n v="4"/>
    <s v="Solaris 10"/>
    <s v="Oracle 11g"/>
    <s v="EU DC-1"/>
    <d v="2021-01-31T00:00:00"/>
    <s v="Structured"/>
    <n v="470"/>
    <s v="Y"/>
    <n v="10"/>
    <s v="Y"/>
    <s v="Archive + read-only"/>
    <n v="4"/>
    <s v="Partial"/>
    <s v="Y"/>
    <s v="Y"/>
    <n v="65000"/>
    <d v="2035-06-30T00:00:00"/>
    <n v="100000"/>
    <n v="37500"/>
    <n v="32"/>
    <n v="4"/>
    <x v="1"/>
    <x v="1"/>
    <x v="2"/>
    <x v="27"/>
    <x v="4"/>
    <s v="Retention requirement to be confirmed"/>
  </r>
  <r>
    <n v="46281"/>
    <s v="Asset Register 2008"/>
    <s v="Fixed Assets"/>
    <s v="Finance"/>
    <s v="Internal"/>
    <s v="Antoine Patel"/>
    <s v="Aditi Menon"/>
    <s v="SaaS Vendor Mgmt"/>
    <n v="102"/>
    <d v="2021-04-12T00:00:00"/>
    <s v="Active"/>
    <n v="3"/>
    <n v="2"/>
    <s v="Anaplan"/>
    <s v="SaaS"/>
    <s v="N/A (SaaS)"/>
    <n v="0"/>
    <s v="N/A"/>
    <s v="N/A"/>
    <s v="Vendor cloud (EU)"/>
    <d v="2023-12-31T00:00:00"/>
    <s v="Structured"/>
    <n v="9"/>
    <s v="Y"/>
    <n v="10"/>
    <s v="Y"/>
    <s v="Reporting extract"/>
    <n v="27"/>
    <s v="Y"/>
    <s v="Partial"/>
    <s v="N"/>
    <n v="21500"/>
    <d v="2032-07-31T00:00:00"/>
    <n v="31500"/>
    <n v="11000"/>
    <n v="34.363636363636367"/>
    <n v="1"/>
    <x v="0"/>
    <x v="0"/>
    <x v="2"/>
    <x v="28"/>
    <x v="1"/>
    <s v="5 feeds to re-point to Anaplan"/>
  </r>
  <r>
    <n v="82513"/>
    <s v="Legacy Freight Booking Tool 2010"/>
    <s v="Transport"/>
    <s v="Supply Chain"/>
    <s v="Internal"/>
    <s v="Pierre Roux"/>
    <s v="Omar Haddad"/>
    <s v="SaaS Vendor Mgmt"/>
    <n v="99"/>
    <d v="2021-03-28T00:00:00"/>
    <s v="Active"/>
    <n v="3"/>
    <n v="3"/>
    <s v="SAP EWM (planned)"/>
    <s v="SaaS"/>
    <s v="N/A (SaaS)"/>
    <n v="0"/>
    <s v="N/A"/>
    <s v="N/A"/>
    <s v="Vendor cloud (EU)"/>
    <d v="2025-05-31T00:00:00"/>
    <s v="Both"/>
    <n v="3500"/>
    <s v="N"/>
    <n v="7"/>
    <s v="N"/>
    <s v="None"/>
    <n v="5"/>
    <s v="Y"/>
    <s v="Partial"/>
    <s v="N"/>
    <n v="23500"/>
    <d v="2025-02-28T00:00:00"/>
    <n v="48500"/>
    <n v="15000"/>
    <n v="38.799999999999997"/>
    <n v="1"/>
    <x v="0"/>
    <x v="2"/>
    <x v="2"/>
    <x v="27"/>
    <x v="1"/>
    <s v="Funding approved; migration to SAP EWM scheduled"/>
  </r>
  <r>
    <n v="148763"/>
    <s v="Billing Engine 2008"/>
    <s v="Billing"/>
    <s v="Finance"/>
    <s v="External"/>
    <s v="Neha Nair"/>
    <s v="Ishaan Desai"/>
    <s v="Infra Ops US"/>
    <n v="114"/>
    <d v="2021-04-27T00:00:00"/>
    <s v="Active"/>
    <n v="2"/>
    <n v="3"/>
    <s v="Icertis CLM"/>
    <s v="PaaS"/>
    <s v="Azure App Service (PaaS)"/>
    <n v="0"/>
    <s v="N/A (PaaS)"/>
    <s v="Azure SQL"/>
    <s v="Azure West Europe"/>
    <m/>
    <s v="Unstructured"/>
    <n v="64"/>
    <s v="Y"/>
    <n v="10"/>
    <s v="N"/>
    <s v="None"/>
    <n v="8"/>
    <s v="Y"/>
    <s v="Y"/>
    <s v="N"/>
    <n v="28000"/>
    <d v="2032-09-30T00:00:00"/>
    <n v="26500"/>
    <n v="24500"/>
    <n v="12.979591836734695"/>
    <n v="2"/>
    <x v="0"/>
    <x v="2"/>
    <x v="2"/>
    <x v="24"/>
    <x v="1"/>
    <s v="4 feeds to re-point to Icertis CLM"/>
  </r>
  <r>
    <n v="137519"/>
    <s v="Shared Supplier Portal 2008"/>
    <s v="Supplier Mgmt"/>
    <s v="Supply Chain"/>
    <s v="Internal"/>
    <s v="Sara Kapoor"/>
    <s v="Tara Khanna"/>
    <s v="Plant IT Services"/>
    <n v="4"/>
    <d v="2020-07-20T00:00:00"/>
    <s v="Not in use"/>
    <n v="3"/>
    <n v="3"/>
    <s v="SAP EWM (planned)"/>
    <s v="On-prem DC"/>
    <s v="sspapp01, sspdb01"/>
    <n v="2"/>
    <s v="AIX 6.1"/>
    <s v="DB2 9.7"/>
    <s v="TBD"/>
    <d v="2017-04-30T00:00:00"/>
    <s v="Structured"/>
    <n v="100"/>
    <s v="Y"/>
    <n v="5"/>
    <s v="Y"/>
    <s v="Read-only access"/>
    <n v="6"/>
    <s v="Y"/>
    <s v="Partial"/>
    <s v="Partial"/>
    <n v="40500"/>
    <d v="2028-04-30T00:00:00"/>
    <n v="25500"/>
    <n v="25500"/>
    <n v="12"/>
    <n v="3"/>
    <x v="1"/>
    <x v="0"/>
    <x v="2"/>
    <x v="29"/>
    <x v="4"/>
    <s v="Awaiting dependency mapping"/>
  </r>
  <r>
    <n v="35557"/>
    <s v="Shared Access Request Tool Classic"/>
    <s v="Identity"/>
    <s v="IT"/>
    <s v="External"/>
    <s v="Sara Kapoor"/>
    <s v="Omar Haddad"/>
    <s v="SaaS Vendor Mgmt"/>
    <n v="177"/>
    <d v="2021-04-08T00:00:00"/>
    <s v="Active"/>
    <n v="2"/>
    <n v="3"/>
    <m/>
    <s v="SaaS"/>
    <s v="N/A (SaaS)"/>
    <n v="0"/>
    <s v="N/A"/>
    <s v="N/A"/>
    <s v="Vendor cloud (EU)"/>
    <d v="2026-09-30T00:00:00"/>
    <s v="Structured"/>
    <n v="39"/>
    <s v="N"/>
    <n v="5"/>
    <s v="N"/>
    <s v="None"/>
    <n v="5"/>
    <s v="N"/>
    <s v="Partial"/>
    <s v="N"/>
    <n v="65000"/>
    <d v="2032-11-30T00:00:00"/>
    <n v="61000"/>
    <n v="44000"/>
    <n v="16.636363636363637"/>
    <n v="1"/>
    <x v="2"/>
    <x v="2"/>
    <x v="2"/>
    <x v="30"/>
    <x v="4"/>
    <s v="Replacement option being confirmed_x000a_Blocker: Month-end close dependency_x000a_Q: Can the cut-over avoid the quarter-end freeze?"/>
  </r>
  <r>
    <n v="135654"/>
    <s v="Custom Licence Manager v2"/>
    <s v="Licence Mgmt"/>
    <s v="IT"/>
    <s v="Internal"/>
    <s v="Hannah Weber"/>
    <s v="Omar Haddad"/>
    <s v="Unix Platform Team"/>
    <n v="0"/>
    <d v="2020-04-05T00:00:00"/>
    <s v="Not in use"/>
    <n v="1"/>
    <n v="4"/>
    <m/>
    <s v="On-prem DC"/>
    <s v="clmapp01, clmdb01, clmweb01"/>
    <n v="3"/>
    <s v="AIX 6.1"/>
    <s v="DB2 9.7"/>
    <s v="EU DC-2"/>
    <d v="2017-04-30T00:00:00"/>
    <s v="Both"/>
    <n v="5890"/>
    <s v="Y"/>
    <n v="10"/>
    <s v="Y"/>
    <s v="Archive + read-only"/>
    <n v="1"/>
    <s v="N"/>
    <s v="N"/>
    <s v="N"/>
    <n v="40000"/>
    <d v="2034-10-31T00:00:00"/>
    <n v="89500"/>
    <n v="23000"/>
    <n v="46.695652173913047"/>
    <n v="3"/>
    <x v="1"/>
    <x v="0"/>
    <x v="2"/>
    <x v="31"/>
    <x v="4"/>
    <s v="Awaiting dependency mapping"/>
  </r>
  <r>
    <n v="78730"/>
    <s v="Legacy Maintenance Scheduler 2012"/>
    <s v="Asset Maintenance"/>
    <s v="Operations"/>
    <s v="Internal"/>
    <s v="Sophie Dubois"/>
    <s v="Louis Faure"/>
    <s v="Infra Ops EMEA"/>
    <n v="160"/>
    <d v="2021-04-01T00:00:00"/>
    <s v="Active"/>
    <n v="1"/>
    <n v="3"/>
    <s v="ServiceMax"/>
    <s v="IaaS"/>
    <s v="lmsapp01, lmsdb01, lmsweb01"/>
    <n v="3"/>
    <s v="RHEL 6"/>
    <s v="TBD"/>
    <s v="Azure West Europe"/>
    <d v="2020-11-30T00:00:00"/>
    <s v="Unstructured"/>
    <n v="160"/>
    <s v="N"/>
    <n v="3"/>
    <s v="Y"/>
    <s v="Data archive"/>
    <n v="6"/>
    <s v="N"/>
    <s v="Y"/>
    <s v="N"/>
    <n v="23000"/>
    <d v="2029-10-31T00:00:00"/>
    <n v="19500"/>
    <n v="14500"/>
    <n v="16.137931034482758"/>
    <n v="3"/>
    <x v="1"/>
    <x v="0"/>
    <x v="2"/>
    <x v="32"/>
    <x v="4"/>
    <s v="Business case under review with owner"/>
  </r>
  <r>
    <n v="135467"/>
    <s v="Departmental Tax Compliance Tool 2010"/>
    <s v="Tax"/>
    <s v="Finance"/>
    <s v="Internal"/>
    <s v="Yuki Tanaka"/>
    <s v="Manon Chevalier"/>
    <s v="Infra Ops EMEA"/>
    <n v="213"/>
    <d v="2021-04-14T00:00:00"/>
    <s v="Active"/>
    <n v="4"/>
    <n v="3"/>
    <s v="Coupa"/>
    <s v="On-prem DC"/>
    <s v="dtcapp01, dtcdb01"/>
    <n v="2"/>
    <s v="Ubuntu 16.04"/>
    <s v="MySQL 5.7"/>
    <s v="EU DC-1"/>
    <d v="2021-04-30T00:00:00"/>
    <s v="Unstructured"/>
    <n v="230"/>
    <s v="Y"/>
    <n v="10"/>
    <s v="Y"/>
    <s v="Data archive"/>
    <n v="2"/>
    <s v="Partial"/>
    <s v="Partial"/>
    <s v="Partial"/>
    <n v="46000"/>
    <d v="2028-07-31T00:00:00"/>
    <n v="25500"/>
    <n v="37000"/>
    <n v="8.2702702702702702"/>
    <n v="2"/>
    <x v="0"/>
    <x v="1"/>
    <x v="2"/>
    <x v="30"/>
    <x v="4"/>
    <s v="Replacement option being confirmed"/>
  </r>
  <r>
    <n v="38116"/>
    <s v="Shipment Tracker (DE)"/>
    <s v="Logistics"/>
    <s v="Supply Chain"/>
    <s v="Partner"/>
    <s v="Lucas Bernard"/>
    <s v="Louis Faure"/>
    <s v="Wintel Platform Team"/>
    <n v="17"/>
    <d v="2020-12-24T00:00:00"/>
    <s v="Low use"/>
    <n v="2"/>
    <n v="3"/>
    <s v="SAP TM"/>
    <s v="On-prem DC"/>
    <s v="stdapp01, stddb01, stdweb01, stdfs01"/>
    <n v="4"/>
    <s v="Ubuntu 16.04"/>
    <s v="MySQL 5.7"/>
    <s v="EU DC-2"/>
    <d v="2021-04-30T00:00:00"/>
    <s v="Both"/>
    <n v="53"/>
    <s v="N"/>
    <n v="2"/>
    <s v="Y"/>
    <s v="Data archive"/>
    <n v="1"/>
    <s v="Partial"/>
    <s v="Partial"/>
    <s v="N"/>
    <n v="46000"/>
    <d v="2033-11-30T00:00:00"/>
    <n v="32500"/>
    <n v="34500"/>
    <n v="11.304347826086957"/>
    <n v="4"/>
    <x v="0"/>
    <x v="1"/>
    <x v="2"/>
    <x v="29"/>
    <x v="4"/>
    <s v="Replacement option being confirmed"/>
  </r>
  <r>
    <n v="174202"/>
    <s v="Demand Planner (DE)"/>
    <s v="Demand Planning"/>
    <s v="Supply Chain"/>
    <s v="Internal"/>
    <s v="Claire Mehta"/>
    <s v="Hugo Perrin"/>
    <s v="Cloud Platform Team"/>
    <n v="16"/>
    <d v="2021-01-17T00:00:00"/>
    <s v="Low use"/>
    <n v="3"/>
    <n v="3"/>
    <s v="Oracle SCM Cloud (planned)"/>
    <s v="On-prem DC"/>
    <s v="fs-dpd02 (file share)"/>
    <n v="1"/>
    <s v="Windows Server 2012 R2"/>
    <s v="MS Access 2010"/>
    <s v="EU DC-1"/>
    <d v="2023-10-10T00:00:00"/>
    <s v="Structured"/>
    <n v="92"/>
    <s v="N"/>
    <n v="3"/>
    <s v="N"/>
    <s v="None"/>
    <n v="2"/>
    <s v="Partial"/>
    <s v="N"/>
    <s v="N"/>
    <n v="38500"/>
    <d v="2028-05-31T00:00:00"/>
    <n v="14000"/>
    <n v="35000"/>
    <n v="4.8000000000000007"/>
    <n v="2"/>
    <x v="2"/>
    <x v="2"/>
    <x v="2"/>
    <x v="33"/>
    <x v="4"/>
    <s v="Business case under review with owner"/>
  </r>
  <r>
    <n v="157433"/>
    <s v="Order Entry Portal Lite"/>
    <s v="Order Entry"/>
    <s v="Sales"/>
    <s v="Internal"/>
    <s v="Rahul Iyer"/>
    <s v="Chloe Vidal"/>
    <s v="Plant IT Services"/>
    <n v="0"/>
    <d v="2019-10-21T00:00:00"/>
    <s v="Not in use"/>
    <n v="3"/>
    <n v="3"/>
    <s v="TBD"/>
    <s v="PaaS"/>
    <s v="Azure App Service (PaaS)"/>
    <n v="0"/>
    <s v="N/A (PaaS)"/>
    <s v="Cosmos DB"/>
    <s v="Azure West Europe"/>
    <m/>
    <s v="Structured"/>
    <n v="42"/>
    <s v="N"/>
    <n v="7"/>
    <s v="N"/>
    <s v="None"/>
    <n v="8"/>
    <s v="Y"/>
    <s v="Y"/>
    <s v="N"/>
    <n v="17500"/>
    <d v="2028-09-30T00:00:00"/>
    <n v="18500"/>
    <n v="15500"/>
    <n v="14.322580645161292"/>
    <n v="1"/>
    <x v="2"/>
    <x v="2"/>
    <x v="2"/>
    <x v="31"/>
    <x v="4"/>
    <s v="Business case under review with owner"/>
  </r>
  <r>
    <n v="69556"/>
    <s v="Old Maintenance Scheduler (APAC)"/>
    <s v="Asset Maintenance"/>
    <s v="Operations"/>
    <s v="Internal"/>
    <s v="Julien Petit"/>
    <s v="Lena Fischer"/>
    <s v="Wintel Platform Team"/>
    <n v="333"/>
    <d v="2021-03-27T00:00:00"/>
    <s v="Active"/>
    <n v="5"/>
    <n v="2"/>
    <s v="SAP EAM"/>
    <s v="On-prem DC"/>
    <s v="oms-app01–06, oms-db01"/>
    <n v="7"/>
    <s v="HP-UX 11i v3"/>
    <s v="Sybase ASE 15.7"/>
    <s v="Plant DC"/>
    <d v="2021-12-31T00:00:00"/>
    <s v="Structured"/>
    <n v="140"/>
    <s v="N"/>
    <n v="2"/>
    <s v="N"/>
    <s v="None"/>
    <n v="6"/>
    <s v="Y"/>
    <s v="N"/>
    <s v="N"/>
    <n v="150000"/>
    <d v="2026-06-30T00:00:00"/>
    <n v="95000"/>
    <n v="131000"/>
    <n v="8.7022900763358777"/>
    <n v="2"/>
    <x v="0"/>
    <x v="2"/>
    <x v="2"/>
    <x v="25"/>
    <x v="1"/>
    <s v="Funding approved; migration to SAP EAM scheduled"/>
  </r>
  <r>
    <n v="48648"/>
    <s v="Corporate Purchase Order System (US)"/>
    <s v="Procurement"/>
    <s v="Supply Chain"/>
    <s v="Internal"/>
    <s v="Nicolas Sharma"/>
    <s v="Sameer Joshi"/>
    <s v="Cloud Platform Team"/>
    <n v="14"/>
    <d v="2021-03-04T00:00:00"/>
    <s v="Low use"/>
    <n v="3"/>
    <n v="2"/>
    <m/>
    <s v="On-prem DC"/>
    <s v="cpo-app01–07, cpo-db01"/>
    <n v="8"/>
    <s v="Solaris 10"/>
    <s v="Oracle 11g"/>
    <s v="US DC-1"/>
    <d v="2021-01-31T00:00:00"/>
    <s v="Both"/>
    <n v="810"/>
    <s v="N"/>
    <n v="7"/>
    <s v="Y"/>
    <s v="Read-only access"/>
    <n v="26"/>
    <s v="Partial"/>
    <s v="Partial"/>
    <s v="Y"/>
    <n v="135000"/>
    <d v="2027-07-31T00:00:00"/>
    <n v="326000"/>
    <n v="110500"/>
    <n v="35.402714932126699"/>
    <n v="2"/>
    <x v="1"/>
    <x v="0"/>
    <x v="2"/>
    <x v="30"/>
    <x v="4"/>
    <s v="Retention requirement to be confirmed"/>
  </r>
  <r>
    <n v="177738"/>
    <s v="Batch Scheduler 2012"/>
    <s v="Batch Scheduling"/>
    <s v="IT"/>
    <s v="Internal"/>
    <s v="Neha Nair"/>
    <s v="Tara Khanna"/>
    <s v="SaaS Vendor Mgmt"/>
    <n v="243"/>
    <d v="2021-04-11T00:00:00"/>
    <s v="Active"/>
    <n v="1"/>
    <n v="4"/>
    <m/>
    <s v="SaaS"/>
    <s v="N/A (SaaS)"/>
    <n v="0"/>
    <s v="N/A"/>
    <s v="N/A"/>
    <s v="Vendor cloud (EU)"/>
    <m/>
    <s v="Structured"/>
    <n v="35"/>
    <s v="Y"/>
    <n v="7"/>
    <s v="Y"/>
    <s v="Data archive"/>
    <n v="1"/>
    <s v="N"/>
    <s v="Partial"/>
    <s v="Partial"/>
    <n v="75000"/>
    <d v="2035-11-30T00:00:00"/>
    <n v="114000"/>
    <n v="38000"/>
    <n v="36"/>
    <n v="1"/>
    <x v="1"/>
    <x v="1"/>
    <x v="2"/>
    <x v="34"/>
    <x v="4"/>
    <s v="Retention requirement to be confirmed"/>
  </r>
  <r>
    <n v="56455"/>
    <s v="Training Records Lite"/>
    <s v="Learning"/>
    <s v="HR"/>
    <s v="Partner"/>
    <s v="Marc Laurent"/>
    <s v="Sameer Joshi"/>
    <s v="Infra Ops US"/>
    <n v="45"/>
    <d v="2021-04-15T00:00:00"/>
    <s v="Active"/>
    <n v="3"/>
    <n v="3"/>
    <s v="SuccessFactors"/>
    <s v="On-prem DC"/>
    <s v="trlapp01, trldb01, trlweb01"/>
    <n v="3"/>
    <s v="AIX 6.1"/>
    <s v="DB2 9.7"/>
    <s v="TBD"/>
    <d v="2017-04-30T00:00:00"/>
    <s v="Structured"/>
    <n v="640"/>
    <s v="Y"/>
    <n v="7"/>
    <s v="N"/>
    <s v="None"/>
    <n v="5"/>
    <s v="Y"/>
    <s v="Y"/>
    <s v="Y"/>
    <n v="65000"/>
    <d v="2028-06-30T00:00:00"/>
    <n v="51500"/>
    <n v="53000"/>
    <n v="11.660377358490566"/>
    <n v="2"/>
    <x v="2"/>
    <x v="2"/>
    <x v="2"/>
    <x v="31"/>
    <x v="4"/>
    <s v="Retention requirement to be confirmed"/>
  </r>
  <r>
    <n v="81562"/>
    <s v="Global Newsletter Mailer"/>
    <s v="Email"/>
    <s v="Marketing"/>
    <s v="External"/>
    <s v="Julien Petit"/>
    <s v="Manon Chevalier"/>
    <s v="Infra Ops US"/>
    <n v="54"/>
    <d v="2021-03-21T00:00:00"/>
    <s v="Active"/>
    <n v="1"/>
    <n v="4"/>
    <m/>
    <s v="On-prem DC"/>
    <s v="fs-gnm02 (file share)"/>
    <n v="1"/>
    <s v="Windows Server 2012 R2"/>
    <s v="MS Access 2010"/>
    <s v="US DC-1"/>
    <d v="2023-10-10T00:00:00"/>
    <s v="Structured"/>
    <n v="690"/>
    <s v="Y"/>
    <n v="7"/>
    <s v="N"/>
    <s v="None"/>
    <n v="1"/>
    <s v="Partial"/>
    <s v="Partial"/>
    <s v="N"/>
    <n v="40500"/>
    <d v="2035-02-28T00:00:00"/>
    <n v="18000"/>
    <n v="37500"/>
    <n v="5.76"/>
    <n v="1"/>
    <x v="2"/>
    <x v="2"/>
    <x v="2"/>
    <x v="33"/>
    <x v="4"/>
    <s v="Retention requirement to be confirmed"/>
  </r>
  <r>
    <n v="143659"/>
    <s v="Field Service Dispatcher v4"/>
    <s v="Field Service"/>
    <s v="Operations"/>
    <s v="Partner"/>
    <s v="Antoine Patel"/>
    <s v="Kavya Reddy"/>
    <s v="Wintel Platform Team"/>
    <n v="11"/>
    <d v="2021-03-08T00:00:00"/>
    <s v="Low use"/>
    <n v="3"/>
    <n v="2"/>
    <s v="Fiix (planned)"/>
    <s v="On-prem DC"/>
    <s v="fsd-app01–04, fsd-db01"/>
    <n v="5"/>
    <s v="Windows Server 2008 R2"/>
    <s v="SQL Server 2008 R2"/>
    <s v="Plant DC"/>
    <d v="2020-01-14T00:00:00"/>
    <s v="Unstructured"/>
    <n v="67"/>
    <s v="Y"/>
    <n v="10"/>
    <s v="Y"/>
    <s v="Archive + read-only"/>
    <n v="18"/>
    <s v="Partial"/>
    <s v="Partial"/>
    <s v="Partial"/>
    <n v="150000"/>
    <d v="2030-06-30T00:00:00"/>
    <n v="344500"/>
    <n v="77500"/>
    <n v="53.341935483870969"/>
    <n v="3"/>
    <x v="1"/>
    <x v="0"/>
    <x v="2"/>
    <x v="35"/>
    <x v="1"/>
    <s v="Archive format agreed; load scheduled before switch-off"/>
  </r>
  <r>
    <n v="125692"/>
    <s v="Org Chart Publisher (FR)"/>
    <s v="Org Mgmt"/>
    <s v="HR"/>
    <s v="Internal"/>
    <s v="Karan Blanc"/>
    <s v="Baptiste Henry"/>
    <s v="Plant IT Services"/>
    <n v="0"/>
    <d v="2019-10-05T00:00:00"/>
    <s v="Not in use"/>
    <n v="1"/>
    <n v="4"/>
    <s v="SuccessFactors"/>
    <s v="On-prem DC"/>
    <s v="ocpapp01, ocpdb01"/>
    <n v="2"/>
    <s v="TBD"/>
    <s v="Oracle 11g"/>
    <s v="US DC-1"/>
    <d v="2019-03-31T00:00:00"/>
    <s v="Both"/>
    <n v="650"/>
    <s v="Y"/>
    <n v="5"/>
    <s v="Y"/>
    <s v="Archive + read-only"/>
    <n v="1"/>
    <s v="N"/>
    <s v="Partial"/>
    <s v="Partial"/>
    <n v="22000"/>
    <d v="2033-06-30T00:00:00"/>
    <n v="17500"/>
    <n v="11500"/>
    <n v="18.260869565217391"/>
    <n v="4"/>
    <x v="1"/>
    <x v="1"/>
    <x v="2"/>
    <x v="25"/>
    <x v="1"/>
    <s v="Read-only access needed for audit"/>
  </r>
  <r>
    <n v="26765"/>
    <s v="Regional Corporate Website CMS"/>
    <s v="Web"/>
    <s v="Marketing"/>
    <s v="External"/>
    <s v="Elena Garcia"/>
    <s v="Adrien Colin"/>
    <s v="Database Services"/>
    <n v="21"/>
    <d v="2021-02-14T00:00:00"/>
    <s v="Low use"/>
    <n v="2"/>
    <n v="4"/>
    <m/>
    <s v="IaaS"/>
    <s v="rcwapp01, rcwdb01, rcwweb01, rcwfs01"/>
    <n v="4"/>
    <s v="AIX 6.1"/>
    <s v="DB2 9.7"/>
    <s v="Azure West Europe"/>
    <d v="2017-04-30T00:00:00"/>
    <s v="Unstructured"/>
    <n v="64"/>
    <s v="Y"/>
    <n v="7"/>
    <s v="N"/>
    <s v="None"/>
    <n v="2"/>
    <s v="Y"/>
    <s v="Partial"/>
    <s v="Y"/>
    <n v="25000"/>
    <d v="2034-02-28T00:00:00"/>
    <n v="32000"/>
    <n v="23500"/>
    <n v="16.340425531914892"/>
    <n v="3"/>
    <x v="2"/>
    <x v="2"/>
    <x v="2"/>
    <x v="32"/>
    <x v="4"/>
    <s v="Retention requirement to be confirmed_x000a_Blocker: Interface owners not yet identified_x000a_Q: Which teams consume the outbound feeds?"/>
  </r>
  <r>
    <n v="131423"/>
    <s v="Freight Booking Tool"/>
    <s v="Transport"/>
    <s v="Supply Chain"/>
    <s v="Internal"/>
    <s v="Julien Petit"/>
    <s v="Ananya Pillai"/>
    <s v="SaaS Vendor Mgmt"/>
    <n v="25"/>
    <d v="2021-03-17T00:00:00"/>
    <s v="Active"/>
    <n v="4"/>
    <n v="3"/>
    <s v="SAP TM"/>
    <s v="SaaS"/>
    <s v="N/A (SaaS)"/>
    <n v="0"/>
    <s v="N/A"/>
    <s v="N/A"/>
    <s v="Vendor cloud (EU)"/>
    <d v="2022-02-28T00:00:00"/>
    <s v="Unstructured"/>
    <n v="790"/>
    <s v="N"/>
    <n v="3"/>
    <s v="Y"/>
    <s v="Data archive"/>
    <n v="7"/>
    <s v="Partial"/>
    <s v="N"/>
    <s v="Partial"/>
    <n v="115000"/>
    <d v="2031-04-30T00:00:00"/>
    <n v="139000"/>
    <n v="63000"/>
    <n v="26.476190476190478"/>
    <n v="2"/>
    <x v="0"/>
    <x v="0"/>
    <x v="2"/>
    <x v="24"/>
    <x v="4"/>
    <s v="Awaiting dependency mapping"/>
  </r>
  <r>
    <n v="136727"/>
    <s v="Warehouse Mgmt System v2"/>
    <s v="Warehouse Mgmt"/>
    <s v="Supply Chain"/>
    <s v="Internal"/>
    <s v="Meera Dubois"/>
    <s v="Baptiste Henry"/>
    <s v="Cloud Platform Team"/>
    <n v="20"/>
    <d v="2021-02-09T00:00:00"/>
    <s v="Low use"/>
    <n v="2"/>
    <n v="4"/>
    <m/>
    <s v="On-prem DC"/>
    <s v="wmsapp01, wmsdb01"/>
    <n v="2"/>
    <s v="Ubuntu 16.04"/>
    <s v="MySQL 5.7"/>
    <s v="US DC-1"/>
    <d v="2021-04-30T00:00:00"/>
    <s v="Both"/>
    <n v="34"/>
    <s v="Y"/>
    <n v="10"/>
    <s v="Y"/>
    <s v="Read-only access"/>
    <n v="1"/>
    <s v="Partial"/>
    <s v="N"/>
    <s v="N"/>
    <n v="28500"/>
    <d v="2031-02-28T00:00:00"/>
    <n v="39000"/>
    <n v="14500"/>
    <n v="32.275862068965516"/>
    <n v="3"/>
    <x v="1"/>
    <x v="1"/>
    <x v="2"/>
    <x v="31"/>
    <x v="4"/>
    <s v="Replacement option being confirmed"/>
  </r>
  <r>
    <n v="198095"/>
    <s v="Regional Access Request Tool (DE)"/>
    <s v="Identity"/>
    <s v="IT"/>
    <s v="Internal"/>
    <s v="Lucas Bernard"/>
    <s v="Adrien Colin"/>
    <s v="SaaS Vendor Mgmt"/>
    <n v="11"/>
    <d v="2021-01-17T00:00:00"/>
    <s v="Low use"/>
    <n v="2"/>
    <n v="3"/>
    <s v="SharePoint Online"/>
    <s v="SaaS"/>
    <s v="N/A (SaaS)"/>
    <n v="0"/>
    <s v="N/A"/>
    <s v="N/A"/>
    <s v="Vendor cloud (EU)"/>
    <m/>
    <s v="Structured"/>
    <n v="2900"/>
    <s v="N"/>
    <n v="3"/>
    <s v="Y"/>
    <s v="Read-only access"/>
    <n v="6"/>
    <s v="N"/>
    <s v="Partial"/>
    <s v="Partial"/>
    <n v="75000"/>
    <d v="2026-07-31T00:00:00"/>
    <n v="232500"/>
    <n v="28500"/>
    <n v="97.89473684210526"/>
    <n v="3"/>
    <x v="1"/>
    <x v="0"/>
    <x v="2"/>
    <x v="26"/>
    <x v="1"/>
    <s v="Archive format agreed; load scheduled before switch-off"/>
  </r>
  <r>
    <n v="78340"/>
    <s v="Event Registration Tool (APAC)"/>
    <s v="Events"/>
    <s v="Marketing"/>
    <s v="Internal"/>
    <s v="Marc Laurent"/>
    <s v="Baptiste Henry"/>
    <s v="Infra Ops EMEA"/>
    <n v="17"/>
    <d v="2020-12-18T00:00:00"/>
    <s v="Low use"/>
    <n v="3"/>
    <n v="3"/>
    <s v="Adobe Campaign"/>
    <s v="PaaS"/>
    <s v="Azure App Service (PaaS)"/>
    <n v="0"/>
    <s v="N/A (PaaS)"/>
    <s v="Cosmos DB"/>
    <s v="Azure West Europe"/>
    <m/>
    <s v="Structured"/>
    <n v="970"/>
    <s v="Y"/>
    <n v="10"/>
    <s v="Y"/>
    <s v="Read-only access"/>
    <n v="4"/>
    <s v="Partial"/>
    <s v="N"/>
    <s v="N"/>
    <n v="19000"/>
    <d v="2027-08-31T00:00:00"/>
    <n v="24000"/>
    <n v="15500"/>
    <n v="18.58064516129032"/>
    <n v="2"/>
    <x v="1"/>
    <x v="1"/>
    <x v="2"/>
    <x v="27"/>
    <x v="1"/>
    <s v="Retention 10 yrs - archive slot booked"/>
  </r>
  <r>
    <n v="175349"/>
    <s v="Custom Training Records (US)"/>
    <s v="Learning"/>
    <s v="HR"/>
    <s v="Internal"/>
    <s v="Anika Patel"/>
    <s v="Adrien Colin"/>
    <s v="Infra Ops US"/>
    <n v="0"/>
    <d v="2020-10-31T00:00:00"/>
    <s v="Not in use"/>
    <n v="2"/>
    <n v="3"/>
    <m/>
    <s v="On-prem DC"/>
    <s v="ctrapp01, ctrdb01, ctrweb01, ctrfs01"/>
    <n v="4"/>
    <s v="Windows Server 2008 R2"/>
    <s v="TBD"/>
    <s v="EU DC-2"/>
    <d v="2020-01-14T00:00:00"/>
    <s v="Structured"/>
    <n v="20"/>
    <s v="Y"/>
    <n v="10"/>
    <s v="Y"/>
    <s v="Archive + read-only"/>
    <n v="2"/>
    <s v="Y"/>
    <s v="Y"/>
    <s v="Partial"/>
    <n v="70000"/>
    <d v="2032-02-29T00:00:00"/>
    <n v="62500"/>
    <n v="45000"/>
    <n v="16.666666666666664"/>
    <n v="3"/>
    <x v="1"/>
    <x v="1"/>
    <x v="2"/>
    <x v="34"/>
    <x v="4"/>
    <s v="Retention requirement to be confirmed"/>
  </r>
  <r>
    <n v="150514"/>
    <s v="Facilities Request Portal"/>
    <s v="Facilities"/>
    <s v="Operations"/>
    <s v="Internal"/>
    <s v="Julien Petit"/>
    <s v="Omar Haddad"/>
    <s v="Database Services"/>
    <n v="18"/>
    <d v="2021-01-13T00:00:00"/>
    <s v="Low use"/>
    <n v="2"/>
    <n v="3"/>
    <s v="SAP EAM"/>
    <s v="On-prem DC"/>
    <s v="frpapp01"/>
    <n v="1"/>
    <s v="RHEL 8"/>
    <s v="PostgreSQL 12"/>
    <s v="EU DC-1"/>
    <d v="2029-05-31T00:00:00"/>
    <s v="Both"/>
    <n v="77"/>
    <s v="N"/>
    <n v="3"/>
    <s v="Y"/>
    <s v="Read-only access"/>
    <n v="6"/>
    <s v="N"/>
    <s v="Y"/>
    <s v="Partial"/>
    <n v="20500"/>
    <d v="2027-09-30T00:00:00"/>
    <n v="11500"/>
    <n v="12500"/>
    <n v="11.040000000000001"/>
    <n v="3"/>
    <x v="1"/>
    <x v="0"/>
    <x v="2"/>
    <x v="29"/>
    <x v="4"/>
    <s v="Awaiting dependency mapping"/>
  </r>
  <r>
    <n v="73284"/>
    <s v="Org Chart Publisher Classic"/>
    <s v="Org Mgmt"/>
    <s v="HR"/>
    <s v="Internal"/>
    <s v="Antoine Patel"/>
    <s v="Rohan Bhatt"/>
    <s v="Infra Ops US"/>
    <n v="278"/>
    <d v="2021-04-25T00:00:00"/>
    <s v="Active"/>
    <n v="1"/>
    <n v="4"/>
    <s v="TBD"/>
    <s v="On-prem DC"/>
    <s v="ocpapp01"/>
    <n v="1"/>
    <s v="Solaris 10"/>
    <s v="TBD"/>
    <s v="EU DC-1"/>
    <d v="2021-01-31T00:00:00"/>
    <s v="Structured"/>
    <n v="650"/>
    <s v="Y"/>
    <n v="10"/>
    <s v="Y"/>
    <s v="Archive + read-only"/>
    <n v="0"/>
    <s v="Y"/>
    <s v="Partial"/>
    <s v="N"/>
    <n v="22000"/>
    <d v="2025-10-31T00:00:00"/>
    <n v="38500"/>
    <n v="11500"/>
    <n v="40.173913043478265"/>
    <n v="2"/>
    <x v="1"/>
    <x v="1"/>
    <x v="2"/>
    <x v="30"/>
    <x v="1"/>
    <s v="Read-only access needed for audit"/>
  </r>
  <r>
    <n v="88211"/>
    <s v="Global Recruitment Tracker (Nordics)"/>
    <s v="Recruitment"/>
    <s v="HR"/>
    <s v="External"/>
    <s v="Karan Blanc"/>
    <s v="Theo Lopez"/>
    <s v="Plant IT Services"/>
    <n v="2"/>
    <d v="2019-12-14T00:00:00"/>
    <s v="Not in use"/>
    <n v="3"/>
    <n v="2"/>
    <m/>
    <s v="On-prem DC"/>
    <s v="grtapp01"/>
    <n v="1"/>
    <s v="Ubuntu 16.04"/>
    <s v="MySQL 5.7"/>
    <s v="US DC-1"/>
    <d v="2021-04-30T00:00:00"/>
    <s v="Both"/>
    <n v="140"/>
    <s v="Y"/>
    <n v="10"/>
    <s v="N"/>
    <s v="None"/>
    <n v="8"/>
    <s v="Partial"/>
    <s v="Partial"/>
    <s v="Partial"/>
    <n v="33500"/>
    <d v="2033-12-31T00:00:00"/>
    <n v="44000"/>
    <n v="29000"/>
    <n v="18.206896551724135"/>
    <n v="2"/>
    <x v="2"/>
    <x v="2"/>
    <x v="2"/>
    <x v="35"/>
    <x v="4"/>
    <s v="Business case under review with owner"/>
  </r>
  <r>
    <n v="97914"/>
    <s v="Shared Demand Planner (DE)"/>
    <s v="Demand Planning"/>
    <s v="Supply Chain"/>
    <s v="Partner"/>
    <s v="Oscar Lindqvist"/>
    <s v="Omar Haddad"/>
    <s v="SaaS Vendor Mgmt"/>
    <n v="4"/>
    <d v="2021-02-21T00:00:00"/>
    <s v="Low use"/>
    <n v="2"/>
    <n v="3"/>
    <s v="SAP TM"/>
    <s v="SaaS"/>
    <s v="N/A (SaaS)"/>
    <n v="0"/>
    <s v="N/A"/>
    <s v="N/A"/>
    <s v="Vendor cloud (EU)"/>
    <d v="2025-02-28T00:00:00"/>
    <s v="Both"/>
    <n v="770"/>
    <s v="N"/>
    <n v="5"/>
    <s v="Y"/>
    <s v="Legal hold"/>
    <n v="1"/>
    <s v="Y"/>
    <s v="Partial"/>
    <s v="Partial"/>
    <n v="80000"/>
    <d v="2029-04-30T00:00:00"/>
    <n v="77500"/>
    <n v="36500"/>
    <n v="25.479452054794521"/>
    <n v="3"/>
    <x v="1"/>
    <x v="1"/>
    <x v="2"/>
    <x v="25"/>
    <x v="4"/>
    <s v="Awaiting dependency mapping"/>
  </r>
  <r>
    <n v="172378"/>
    <s v="Custom Fleet Manager (UK)"/>
    <s v="Fleet"/>
    <s v="Operations"/>
    <s v="External"/>
    <s v="Meera Dubois"/>
    <s v="Omar Haddad"/>
    <s v="Wintel Platform Team"/>
    <n v="4"/>
    <d v="2020-09-18T00:00:00"/>
    <s v="Not in use"/>
    <n v="2"/>
    <n v="3"/>
    <m/>
    <s v="IaaS"/>
    <s v="cfmapp01"/>
    <n v="1"/>
    <s v="RHEL 6"/>
    <s v="Oracle 11g"/>
    <s v="AWS us-east-1"/>
    <d v="2020-11-30T00:00:00"/>
    <s v="Structured"/>
    <n v="17"/>
    <s v="N"/>
    <n v="3"/>
    <s v="N"/>
    <s v="None"/>
    <n v="1"/>
    <s v="Partial"/>
    <s v="Partial"/>
    <s v="Y"/>
    <n v="20000"/>
    <d v="2030-07-31T00:00:00"/>
    <n v="22500"/>
    <n v="19500"/>
    <n v="13.846153846153845"/>
    <n v="3"/>
    <x v="2"/>
    <x v="2"/>
    <x v="2"/>
    <x v="32"/>
    <x v="4"/>
    <s v="Awaiting dependency mapping_x000a_Blocker: Interface owners not yet identified_x000a_Q: Which teams consume the outbound feeds?"/>
  </r>
  <r>
    <n v="192623"/>
    <s v="Old Access Request Tool Lite"/>
    <s v="Identity"/>
    <s v="IT"/>
    <s v="Partner"/>
    <s v="Claire Mehta"/>
    <s v="Adrien Colin"/>
    <s v="Cloud Platform Team"/>
    <n v="6"/>
    <d v="2021-02-06T00:00:00"/>
    <s v="Low use"/>
    <n v="3"/>
    <n v="3"/>
    <m/>
    <s v="On-prem DC"/>
    <s v="oarapp01, oardb01"/>
    <n v="2"/>
    <s v="Windows Server 2019"/>
    <s v="SQL Server 2019"/>
    <s v="Plant DC"/>
    <d v="2029-01-09T00:00:00"/>
    <s v="Structured"/>
    <n v="25"/>
    <s v="N"/>
    <n v="2"/>
    <s v="N"/>
    <s v="None"/>
    <n v="5"/>
    <s v="Partial"/>
    <s v="Partial"/>
    <s v="N"/>
    <n v="44000"/>
    <d v="2025-04-30T00:00:00"/>
    <n v="58000"/>
    <n v="44000"/>
    <n v="15.818181818181817"/>
    <n v="1"/>
    <x v="2"/>
    <x v="2"/>
    <x v="2"/>
    <x v="26"/>
    <x v="4"/>
    <s v="Business case under review with owner"/>
  </r>
  <r>
    <n v="28220"/>
    <s v="Old Monitoring Console v4"/>
    <s v="Monitoring"/>
    <s v="IT"/>
    <s v="Internal"/>
    <s v="Anika Patel"/>
    <s v="Tara Khanna"/>
    <s v="Plant IT Services"/>
    <n v="0"/>
    <d v="2020-12-02T00:00:00"/>
    <s v="Not in use"/>
    <n v="2"/>
    <n v="3"/>
    <s v="Azure Monitor"/>
    <s v="IaaS"/>
    <s v="omcapp01, omcdb01, omcweb01"/>
    <n v="3"/>
    <s v="AIX 6.1"/>
    <s v="DB2 9.7"/>
    <s v="Azure West Europe"/>
    <d v="2017-04-30T00:00:00"/>
    <s v="Structured"/>
    <n v="23"/>
    <s v="N"/>
    <n v="3"/>
    <s v="Y"/>
    <s v="Archive + read-only"/>
    <n v="4"/>
    <s v="N"/>
    <s v="N"/>
    <s v="N"/>
    <n v="35500"/>
    <d v="2028-07-31T00:00:00"/>
    <n v="46500"/>
    <n v="21000"/>
    <n v="26.571428571428573"/>
    <n v="4"/>
    <x v="1"/>
    <x v="1"/>
    <x v="2"/>
    <x v="27"/>
    <x v="4"/>
    <s v="Replacement option being confirmed"/>
  </r>
  <r>
    <n v="156672"/>
    <s v="Shared Shipment Tracker (APAC)"/>
    <s v="Logistics"/>
    <s v="Supply Chain"/>
    <s v="Internal"/>
    <s v="Sophie Dubois"/>
    <s v="Louis Faure"/>
    <s v="SaaS Vendor Mgmt"/>
    <n v="13"/>
    <d v="2021-03-15T00:00:00"/>
    <s v="Low use"/>
    <n v="2"/>
    <n v="3"/>
    <m/>
    <s v="SaaS"/>
    <s v="N/A (SaaS)"/>
    <n v="0"/>
    <s v="N/A"/>
    <s v="N/A"/>
    <s v="Vendor cloud (EU)"/>
    <d v="2024-11-30T00:00:00"/>
    <s v="Structured"/>
    <n v="4800"/>
    <s v="N"/>
    <n v="3"/>
    <s v="Y"/>
    <s v="Archive + read-only"/>
    <n v="7"/>
    <s v="Partial"/>
    <s v="Partial"/>
    <s v="Y"/>
    <n v="60000"/>
    <d v="2033-12-31T00:00:00"/>
    <n v="95500"/>
    <n v="21500"/>
    <n v="53.302325581395351"/>
    <n v="2"/>
    <x v="1"/>
    <x v="0"/>
    <x v="2"/>
    <x v="25"/>
    <x v="4"/>
    <s v="Replacement option being confirmed_x000a_Blocker: Legal sign-off on retention_x000a_Q: Who owns the retention decision for archived records?"/>
  </r>
  <r>
    <n v="144202"/>
    <s v="Regional Travel Booking Tool v4"/>
    <s v="Travel"/>
    <s v="HR"/>
    <s v="Internal"/>
    <s v="Marc Laurent"/>
    <s v="Manon Chevalier"/>
    <s v="SaaS Vendor Mgmt"/>
    <n v="17"/>
    <d v="2021-04-09T00:00:00"/>
    <s v="Low use"/>
    <n v="2"/>
    <n v="3"/>
    <m/>
    <s v="SaaS"/>
    <s v="N/A (SaaS)"/>
    <n v="0"/>
    <s v="N/A"/>
    <s v="N/A"/>
    <s v="Vendor cloud (EU)"/>
    <m/>
    <s v="Structured"/>
    <n v="2440"/>
    <s v="Y"/>
    <n v="10"/>
    <s v="Y"/>
    <s v="Data archive"/>
    <n v="4"/>
    <s v="Partial"/>
    <s v="Partial"/>
    <s v="Y"/>
    <n v="60000"/>
    <d v="2027-12-31T00:00:00"/>
    <n v="167000"/>
    <n v="32000"/>
    <n v="62.625"/>
    <n v="2"/>
    <x v="1"/>
    <x v="0"/>
    <x v="2"/>
    <x v="28"/>
    <x v="4"/>
    <s v="Retention requirement to be confirmed"/>
  </r>
  <r>
    <n v="114606"/>
    <s v="Global Ticket Desk (UK)"/>
    <s v="Service Desk"/>
    <s v="IT"/>
    <s v="External"/>
    <s v="Nicolas Sharma"/>
    <s v="Aditi Menon"/>
    <s v="Infra Ops US"/>
    <n v="23"/>
    <d v="2020-12-14T00:00:00"/>
    <s v="Low use"/>
    <n v="2"/>
    <n v="4"/>
    <s v="Splunk"/>
    <s v="On-prem DC"/>
    <s v="gtdapp01, gtddb01"/>
    <n v="2"/>
    <s v="AIX 7.1"/>
    <s v="DB2 10.5"/>
    <s v="Plant DC"/>
    <d v="2023-04-30T00:00:00"/>
    <s v="Structured"/>
    <n v="200"/>
    <s v="Y"/>
    <n v="5"/>
    <s v="N"/>
    <s v="None"/>
    <n v="1"/>
    <s v="Partial"/>
    <s v="Partial"/>
    <s v="Partial"/>
    <n v="41500"/>
    <d v="2026-01-31T00:00:00"/>
    <n v="21500"/>
    <n v="30000"/>
    <n v="8.6"/>
    <n v="3"/>
    <x v="0"/>
    <x v="2"/>
    <x v="2"/>
    <x v="32"/>
    <x v="4"/>
    <s v="Retention requirement to be confirmed_x000a_Blocker: Archive platform capacity not confirmed_x000a_Q: Can the enterprise archive take this volume this year?"/>
  </r>
  <r>
    <n v="190592"/>
    <s v="Appraisal Tool (FR)"/>
    <s v="Performance"/>
    <s v="HR"/>
    <s v="Partner"/>
    <s v="Neha Nair"/>
    <s v="Adrien Colin"/>
    <s v="Cloud Platform Team"/>
    <n v="0"/>
    <d v="2019-12-02T00:00:00"/>
    <s v="Not in use"/>
    <n v="1"/>
    <n v="3"/>
    <m/>
    <s v="On-prem DC"/>
    <s v="atfapp01, atfdb01, atfweb01, atffs01"/>
    <n v="4"/>
    <s v="Windows Server 2012 R2"/>
    <s v="SQL Server 2012"/>
    <s v="EU DC-2"/>
    <d v="2022-07-12T00:00:00"/>
    <s v="Unstructured"/>
    <n v="6"/>
    <s v="N"/>
    <n v="5"/>
    <s v="N"/>
    <s v="None"/>
    <n v="8"/>
    <s v="N"/>
    <s v="N"/>
    <s v="Partial"/>
    <n v="55000"/>
    <d v="2030-02-28T00:00:00"/>
    <n v="48500"/>
    <n v="48000"/>
    <n v="12.125"/>
    <n v="2"/>
    <x v="2"/>
    <x v="2"/>
    <x v="2"/>
    <x v="26"/>
    <x v="4"/>
    <s v="Awaiting dependency mapping"/>
  </r>
  <r>
    <n v="66681"/>
    <s v="Newsletter Mailer 2010"/>
    <s v="Email"/>
    <s v="Marketing"/>
    <s v="External"/>
    <s v="Julia Rao"/>
    <s v="Varun Malhotra"/>
    <s v="SaaS Vendor Mgmt"/>
    <n v="176"/>
    <d v="2021-04-16T00:00:00"/>
    <s v="Active"/>
    <n v="3"/>
    <n v="3"/>
    <s v="Eventbrite"/>
    <s v="SaaS"/>
    <s v="N/A (SaaS)"/>
    <n v="0"/>
    <s v="N/A"/>
    <s v="N/A"/>
    <s v="Vendor cloud (EU)"/>
    <m/>
    <s v="Both"/>
    <n v="18"/>
    <s v="N"/>
    <n v="7"/>
    <s v="N"/>
    <s v="None"/>
    <n v="8"/>
    <s v="Partial"/>
    <s v="Y"/>
    <s v="Y"/>
    <n v="50000"/>
    <d v="2034-10-31T00:00:00"/>
    <n v="73000"/>
    <n v="32500"/>
    <n v="26.953846153846154"/>
    <n v="1"/>
    <x v="2"/>
    <x v="2"/>
    <x v="2"/>
    <x v="31"/>
    <x v="4"/>
    <s v="Retention requirement to be confirmed"/>
  </r>
  <r>
    <n v="126558"/>
    <s v="Custom Contract Repository Plus"/>
    <s v="Contract Mgmt"/>
    <s v="Finance"/>
    <s v="Partner"/>
    <s v="Neha Nair"/>
    <s v="Adrien Colin"/>
    <s v="Database Services"/>
    <n v="342"/>
    <d v="2021-04-12T00:00:00"/>
    <s v="Active"/>
    <n v="3"/>
    <n v="3"/>
    <s v="Anaplan"/>
    <s v="On-prem DC"/>
    <s v="ccrapp01, ccrdb01, ccrweb01"/>
    <n v="3"/>
    <s v="Windows Server 2016"/>
    <s v="SQL Server 2016"/>
    <s v="Plant DC"/>
    <d v="2026-07-14T00:00:00"/>
    <s v="Unstructured"/>
    <n v="230"/>
    <s v="Y"/>
    <n v="5"/>
    <s v="Y"/>
    <s v="Read-only access"/>
    <n v="7"/>
    <s v="Y"/>
    <s v="N"/>
    <s v="Y"/>
    <n v="41000"/>
    <d v="2026-12-31T00:00:00"/>
    <n v="52000"/>
    <n v="34000"/>
    <n v="18.352941176470587"/>
    <n v="1"/>
    <x v="0"/>
    <x v="0"/>
    <x v="2"/>
    <x v="29"/>
    <x v="4"/>
    <s v="Replacement option being confirmed"/>
  </r>
  <r>
    <n v="40894"/>
    <s v="Global Event Registration Tool"/>
    <s v="Events"/>
    <s v="Marketing"/>
    <s v="Internal"/>
    <s v="Mateo Girard"/>
    <s v="Manon Chevalier"/>
    <s v="Infra Ops EMEA"/>
    <n v="156"/>
    <d v="2021-04-18T00:00:00"/>
    <s v="Active"/>
    <n v="4"/>
    <n v="2"/>
    <s v="Marketo"/>
    <s v="On-prem DC"/>
    <s v="ger-app01–05, ger-db01"/>
    <n v="6"/>
    <s v="Windows Server 2016"/>
    <s v="SQL Server 2016"/>
    <s v="Plant DC"/>
    <d v="2026-07-14T00:00:00"/>
    <s v="Structured"/>
    <n v="81"/>
    <s v="N"/>
    <n v="2"/>
    <s v="N"/>
    <s v="None"/>
    <n v="28"/>
    <s v="Partial"/>
    <s v="Partial"/>
    <s v="Y"/>
    <n v="110000"/>
    <d v="2025-03-31T00:00:00"/>
    <n v="118000"/>
    <n v="92500"/>
    <n v="15.308108108108108"/>
    <n v="1"/>
    <x v="0"/>
    <x v="2"/>
    <x v="2"/>
    <x v="31"/>
    <x v="4"/>
    <s v="Awaiting dependency mapping"/>
  </r>
  <r>
    <n v="92434"/>
    <s v="Regional Fleet Manager (Nordics)"/>
    <s v="Fleet"/>
    <s v="Operations"/>
    <s v="Internal"/>
    <s v="Yuki Tanaka"/>
    <s v="Lena Fischer"/>
    <s v="Infra Ops US"/>
    <n v="3"/>
    <d v="2020-01-08T00:00:00"/>
    <s v="Not in use"/>
    <n v="3"/>
    <n v="2"/>
    <m/>
    <s v="On-prem DC"/>
    <s v="rfm-app01–04, rfm-db01"/>
    <n v="5"/>
    <s v="Windows Server 2008 R2"/>
    <s v="SQL Server 2008 R2"/>
    <s v="TBD"/>
    <d v="2020-01-14T00:00:00"/>
    <s v="Structured"/>
    <n v="490"/>
    <s v="N"/>
    <n v="5"/>
    <s v="Y"/>
    <s v="Read-only access"/>
    <n v="22"/>
    <s v="Partial"/>
    <s v="Y"/>
    <s v="Y"/>
    <n v="55000"/>
    <d v="2035-03-31T00:00:00"/>
    <n v="62000"/>
    <n v="41000"/>
    <n v="18.146341463414636"/>
    <n v="2"/>
    <x v="1"/>
    <x v="0"/>
    <x v="2"/>
    <x v="24"/>
    <x v="4"/>
    <s v="Awaiting dependency mapping"/>
  </r>
  <r>
    <n v="59756"/>
    <s v="Shared Benefits Enrolment v3"/>
    <s v="Benefits"/>
    <s v="HR"/>
    <s v="Internal"/>
    <s v="Hannah Weber"/>
    <s v="Theo Lopez"/>
    <s v="Infra Ops US"/>
    <n v="7"/>
    <d v="2020-12-22T00:00:00"/>
    <s v="Low use"/>
    <n v="2"/>
    <n v="4"/>
    <s v="Workday Payroll"/>
    <s v="IaaS"/>
    <s v="sbeapp01"/>
    <n v="1"/>
    <s v="TBD"/>
    <s v="SQL Server 2008"/>
    <s v="Azure West Europe"/>
    <d v="2019-07-09T00:00:00"/>
    <s v="Both"/>
    <n v="20"/>
    <s v="Y"/>
    <n v="5"/>
    <s v="Y"/>
    <s v="Read-only access"/>
    <n v="3"/>
    <s v="Partial"/>
    <s v="Partial"/>
    <s v="Partial"/>
    <n v="22500"/>
    <d v="2031-11-30T00:00:00"/>
    <n v="21500"/>
    <n v="15000"/>
    <n v="17.2"/>
    <n v="4"/>
    <x v="1"/>
    <x v="1"/>
    <x v="2"/>
    <x v="26"/>
    <x v="1"/>
    <s v="Retention 5 yrs - archive slot booked"/>
  </r>
  <r>
    <n v="96135"/>
    <s v="Legacy Maintenance Scheduler (APAC)"/>
    <s v="Asset Maintenance"/>
    <s v="Operations"/>
    <s v="Internal"/>
    <s v="Lucas Bernard"/>
    <s v="Tara Khanna"/>
    <s v="Infra Ops US"/>
    <n v="934"/>
    <d v="2021-03-24T00:00:00"/>
    <s v="Active"/>
    <n v="5"/>
    <n v="2"/>
    <s v="Intelex (planned)"/>
    <s v="On-prem DC"/>
    <s v="lms-app01–06, lms-db01"/>
    <n v="7"/>
    <s v="HP-UX 11i v3"/>
    <s v="Sybase ASE 15.7"/>
    <s v="EU DC-2"/>
    <d v="2021-12-31T00:00:00"/>
    <s v="Unstructured"/>
    <n v="57"/>
    <s v="N"/>
    <n v="3"/>
    <s v="Y"/>
    <s v="Archive + read-only"/>
    <n v="8"/>
    <s v="Partial"/>
    <s v="Y"/>
    <s v="Partial"/>
    <n v="125000"/>
    <d v="2025-08-31T00:00:00"/>
    <n v="130500"/>
    <n v="102500"/>
    <n v="15.278048780487804"/>
    <n v="2"/>
    <x v="0"/>
    <x v="0"/>
    <x v="2"/>
    <x v="29"/>
    <x v="4"/>
    <s v="Business case under review with owner_x000a_Blocker: Regulatory retention requirement_x000a_Q: Can the archive move to the enterprise archive, or must it stay vendor-hosted?"/>
  </r>
  <r>
    <n v="48602"/>
    <s v="Fleet Manager (APAC)"/>
    <s v="Fleet"/>
    <s v="Operations"/>
    <s v="Internal"/>
    <s v="Antoine Patel"/>
    <s v="Omar Haddad"/>
    <s v="Infra Ops EMEA"/>
    <n v="13"/>
    <d v="2020-12-16T00:00:00"/>
    <s v="Low use"/>
    <n v="3"/>
    <n v="4"/>
    <s v="Fiix (planned)"/>
    <s v="IaaS"/>
    <s v="fmaapp01"/>
    <n v="1"/>
    <s v="Ubuntu 20.04"/>
    <s v="MySQL 8.0"/>
    <s v="Azure West Europe"/>
    <d v="2025-04-30T00:00:00"/>
    <s v="Structured"/>
    <n v="180"/>
    <s v="N"/>
    <n v="3"/>
    <s v="N"/>
    <s v="None"/>
    <n v="1"/>
    <s v="Partial"/>
    <s v="Y"/>
    <s v="N"/>
    <n v="10000"/>
    <d v="2035-12-31T00:00:00"/>
    <n v="9500"/>
    <n v="7000"/>
    <n v="16.285714285714285"/>
    <n v="2"/>
    <x v="0"/>
    <x v="2"/>
    <x v="2"/>
    <x v="34"/>
    <x v="1"/>
    <s v="Funding approved; migration to Fiix scheduled"/>
  </r>
  <r>
    <n v="84235"/>
    <s v="AP Invoice Processor (UK)"/>
    <s v="Accounts Payable"/>
    <s v="Finance"/>
    <s v="External"/>
    <s v="Diego Alvarez"/>
    <s v="Ananya Pillai"/>
    <s v="Cloud Platform Team"/>
    <n v="25"/>
    <d v="2021-03-30T00:00:00"/>
    <s v="Active"/>
    <n v="5"/>
    <n v="1"/>
    <s v="Coupa"/>
    <s v="On-prem DC"/>
    <s v="aip-app01–06, aip-db01"/>
    <n v="7"/>
    <s v="RHEL 6"/>
    <s v="Oracle 11g"/>
    <s v="TBD"/>
    <d v="2020-11-30T00:00:00"/>
    <s v="Unstructured"/>
    <n v="370"/>
    <s v="Y"/>
    <n v="7"/>
    <s v="N"/>
    <s v="None"/>
    <n v="53"/>
    <s v="Partial"/>
    <s v="N"/>
    <s v="Partial"/>
    <n v="505000"/>
    <d v="2030-02-28T00:00:00"/>
    <n v="575000"/>
    <n v="335500"/>
    <n v="20.566318926974663"/>
    <n v="2"/>
    <x v="0"/>
    <x v="2"/>
    <x v="2"/>
    <x v="26"/>
    <x v="4"/>
    <s v="Business case under review with owner"/>
  </r>
  <r>
    <n v="153486"/>
    <s v="Regional Demand Planner"/>
    <s v="Demand Planning"/>
    <s v="Supply Chain"/>
    <s v="External"/>
    <s v="Sara Kapoor"/>
    <s v="Sameer Joshi"/>
    <s v="Infra Ops EMEA"/>
    <n v="237"/>
    <d v="2021-04-29T00:00:00"/>
    <s v="Active"/>
    <n v="4"/>
    <n v="3"/>
    <s v="Oracle SCM Cloud"/>
    <s v="On-prem DC"/>
    <s v="rdpapp01, rdpdb01"/>
    <n v="2"/>
    <s v="Ubuntu 20.04"/>
    <s v="MySQL 8.0"/>
    <s v="EU DC-1"/>
    <s v="TBD"/>
    <s v="Structured"/>
    <n v="38"/>
    <s v="N"/>
    <n v="3"/>
    <s v="Y"/>
    <s v="Archive + read-only"/>
    <n v="7"/>
    <s v="Y"/>
    <s v="Partial"/>
    <s v="N"/>
    <n v="35000"/>
    <d v="2030-01-31T00:00:00"/>
    <n v="19500"/>
    <n v="23500"/>
    <n v="9.9574468085106389"/>
    <n v="1"/>
    <x v="0"/>
    <x v="0"/>
    <x v="2"/>
    <x v="24"/>
    <x v="4"/>
    <s v="Awaiting dependency mapping"/>
  </r>
  <r>
    <n v="88622"/>
    <s v="Event Registration Tool (DE)"/>
    <s v="Events"/>
    <s v="Marketing"/>
    <s v="Internal"/>
    <s v="Laura Martin"/>
    <s v="Baptiste Henry"/>
    <s v="Unix Platform Team"/>
    <n v="0"/>
    <d v="2020-04-15T00:00:00"/>
    <s v="Not in use"/>
    <n v="2"/>
    <n v="3"/>
    <s v="Qualtrics (planned)"/>
    <s v="On-prem DC"/>
    <s v="ertapp01"/>
    <n v="1"/>
    <s v="AIX 7.1"/>
    <s v="DB2 10.5"/>
    <s v="Plant DC"/>
    <d v="2023-04-30T00:00:00"/>
    <s v="Structured"/>
    <n v="6200"/>
    <s v="N"/>
    <n v="3"/>
    <s v="Y"/>
    <s v="Data archive"/>
    <n v="6"/>
    <s v="Partial"/>
    <s v="Partial"/>
    <s v="N"/>
    <n v="33500"/>
    <d v="2032-04-30T00:00:00"/>
    <n v="75000"/>
    <n v="19500"/>
    <n v="46.153846153846153"/>
    <n v="3"/>
    <x v="1"/>
    <x v="0"/>
    <x v="2"/>
    <x v="31"/>
    <x v="1"/>
    <s v="Retention 3 yrs - archive slot booked"/>
  </r>
  <r>
    <n v="99080"/>
    <s v="Shared Org Chart Publisher (UK)"/>
    <s v="Org Mgmt"/>
    <s v="HR"/>
    <s v="Partner"/>
    <s v="Pierre Roux"/>
    <s v="Sameer Joshi"/>
    <s v="SaaS Vendor Mgmt"/>
    <n v="12"/>
    <d v="2021-03-07T00:00:00"/>
    <s v="Low use"/>
    <n v="5"/>
    <n v="1"/>
    <s v="Workday Recruiting"/>
    <s v="SaaS"/>
    <s v="N/A (SaaS)"/>
    <n v="0"/>
    <s v="N/A"/>
    <s v="N/A"/>
    <s v="Vendor cloud (EU)"/>
    <m/>
    <s v="Both"/>
    <n v="1040"/>
    <s v="Y"/>
    <n v="7"/>
    <s v="Y"/>
    <s v="Archive + read-only"/>
    <n v="28"/>
    <s v="Partial"/>
    <s v="Y"/>
    <s v="Y"/>
    <n v="390000"/>
    <d v="2030-09-30T00:00:00"/>
    <n v="692000"/>
    <n v="234000"/>
    <n v="35.487179487179489"/>
    <n v="2"/>
    <x v="0"/>
    <x v="0"/>
    <x v="2"/>
    <x v="31"/>
    <x v="1"/>
    <s v="Cut-over planned for Jun-23; parallel run scheduled"/>
  </r>
  <r>
    <n v="152701"/>
    <s v="Global Batch Scheduler"/>
    <s v="Batch Scheduling"/>
    <s v="IT"/>
    <s v="Internal"/>
    <s v="Anika Patel"/>
    <s v="Theo Lopez"/>
    <s v="Unix Platform Team"/>
    <n v="4"/>
    <d v="2019-06-03T00:00:00"/>
    <s v="Not in use"/>
    <n v="3"/>
    <n v="4"/>
    <s v="SharePoint Online"/>
    <s v="On-prem DC"/>
    <s v="gbsapp01"/>
    <n v="1"/>
    <s v="AIX 6.1"/>
    <s v="DB2 9.7"/>
    <s v="Plant DC"/>
    <s v="TBD"/>
    <s v="Unstructured"/>
    <n v="46"/>
    <s v="N"/>
    <n v="3"/>
    <s v="N"/>
    <s v="None"/>
    <n v="1"/>
    <s v="N"/>
    <s v="N"/>
    <s v="N"/>
    <n v="27500"/>
    <d v="2029-02-28T00:00:00"/>
    <n v="30000"/>
    <n v="26000"/>
    <n v="13.846153846153845"/>
    <n v="2"/>
    <x v="2"/>
    <x v="2"/>
    <x v="2"/>
    <x v="30"/>
    <x v="1"/>
    <s v="No active users; switch-off confirmed with owner"/>
  </r>
  <r>
    <n v="103814"/>
    <s v="Access Request Tool Lite"/>
    <s v="Identity"/>
    <s v="IT"/>
    <s v="Internal"/>
    <s v="Pierre Roux"/>
    <s v="Varun Malhotra"/>
    <s v="SaaS Vendor Mgmt"/>
    <n v="0"/>
    <d v="2020-12-07T00:00:00"/>
    <s v="Not in use"/>
    <n v="2"/>
    <n v="4"/>
    <m/>
    <s v="SaaS"/>
    <s v="N/A (SaaS)"/>
    <n v="0"/>
    <s v="N/A"/>
    <s v="N/A"/>
    <s v="Vendor cloud (EU)"/>
    <d v="2025-05-31T00:00:00"/>
    <s v="Structured"/>
    <n v="75"/>
    <s v="Y"/>
    <n v="7"/>
    <s v="N"/>
    <s v="None"/>
    <n v="2"/>
    <s v="N"/>
    <s v="Partial"/>
    <s v="Partial"/>
    <n v="90000"/>
    <d v="2032-06-30T00:00:00"/>
    <n v="89500"/>
    <n v="53000"/>
    <n v="20.264150943396224"/>
    <n v="2"/>
    <x v="2"/>
    <x v="2"/>
    <x v="2"/>
    <x v="24"/>
    <x v="4"/>
    <s v="Replacement option being confirmed"/>
  </r>
  <r>
    <n v="77346"/>
    <s v="Licence Manager 2010"/>
    <s v="Licence Mgmt"/>
    <s v="IT"/>
    <s v="Internal"/>
    <s v="Pierre Roux"/>
    <s v="Louis Faure"/>
    <s v="Cloud Platform Team"/>
    <n v="2"/>
    <d v="2020-08-27T00:00:00"/>
    <s v="Not in use"/>
    <n v="1"/>
    <n v="3"/>
    <s v="ServiceNow"/>
    <s v="PaaS"/>
    <s v="Azure App Service (PaaS)"/>
    <n v="0"/>
    <s v="N/A (PaaS)"/>
    <s v="Azure SQL"/>
    <s v="Azure West Europe"/>
    <d v="2022-06-30T00:00:00"/>
    <s v="Structured"/>
    <n v="1100"/>
    <s v="Y"/>
    <n v="7"/>
    <s v="Y"/>
    <s v="Data archive"/>
    <n v="3"/>
    <s v="Partial"/>
    <s v="N"/>
    <s v="N"/>
    <n v="20000"/>
    <d v="2026-12-31T00:00:00"/>
    <n v="20000"/>
    <n v="14500"/>
    <n v="16.551724137931036"/>
    <n v="3"/>
    <x v="1"/>
    <x v="0"/>
    <x v="2"/>
    <x v="31"/>
    <x v="4"/>
    <s v="Retention requirement to be confirmed_x000a_Blocker: Replacement rollout dependency_x000a_Q: What is the go-live date of the target platform?"/>
  </r>
  <r>
    <n v="160478"/>
    <s v="Price List Manager Lite"/>
    <s v="Pricing"/>
    <s v="Sales"/>
    <s v="Internal"/>
    <s v="Oscar Lindqvist"/>
    <s v="Ananya Pillai"/>
    <s v="Plant IT Services"/>
    <n v="0"/>
    <d v="2020-09-09T00:00:00"/>
    <s v="Not in use"/>
    <n v="4"/>
    <n v="2"/>
    <s v="Salesforce CPQ"/>
    <s v="On-prem DC"/>
    <s v="plmapp01, plmdb01"/>
    <n v="2"/>
    <s v="AIX 6.1"/>
    <s v="DB2 9.7"/>
    <s v="EU DC-2"/>
    <s v="TBD"/>
    <s v="Unstructured"/>
    <n v="80"/>
    <s v="Y"/>
    <n v="10"/>
    <s v="N"/>
    <s v="None"/>
    <n v="11"/>
    <s v="N"/>
    <s v="N"/>
    <s v="Partial"/>
    <n v="55000"/>
    <d v="2034-07-31T00:00:00"/>
    <n v="38500"/>
    <n v="44000"/>
    <n v="10.5"/>
    <n v="2"/>
    <x v="0"/>
    <x v="2"/>
    <x v="2"/>
    <x v="27"/>
    <x v="4"/>
    <s v="Retention requirement to be confirmed_x000a_Blocker: Month-end close dependency_x000a_Q: Can the cut-over avoid the quarter-end freeze?"/>
  </r>
  <r>
    <n v="137116"/>
    <s v="Shared Leave Manager 2008"/>
    <s v="Leave Mgmt"/>
    <s v="HR"/>
    <s v="Internal"/>
    <s v="Yuki Tanaka"/>
    <s v="Manon Chevalier"/>
    <s v="Infra Ops US"/>
    <n v="5"/>
    <d v="2019-06-14T00:00:00"/>
    <s v="Not in use"/>
    <n v="2"/>
    <n v="3"/>
    <s v="Workday Recruiting"/>
    <s v="On-prem DC"/>
    <s v="slmapp01, slmdb01, slmweb01"/>
    <n v="3"/>
    <s v="Windows Server 2012 R2"/>
    <s v="SQL Server 2014"/>
    <s v="Plant DC"/>
    <d v="2024-07-09T00:00:00"/>
    <s v="Structured"/>
    <n v="180"/>
    <s v="Y"/>
    <n v="7"/>
    <s v="Y"/>
    <s v="Read-only access"/>
    <n v="6"/>
    <s v="Y"/>
    <s v="Partial"/>
    <s v="Y"/>
    <n v="43000"/>
    <d v="2029-02-28T00:00:00"/>
    <n v="42000"/>
    <n v="34000"/>
    <n v="14.823529411764707"/>
    <n v="3"/>
    <x v="0"/>
    <x v="0"/>
    <x v="2"/>
    <x v="34"/>
    <x v="4"/>
    <s v="Retention requirement to be confirmed"/>
  </r>
  <r>
    <n v="68094"/>
    <s v="Regional Credit Check Portal (US)"/>
    <s v="Credit Mgmt"/>
    <s v="Finance"/>
    <s v="Internal"/>
    <s v="Claire Mehta"/>
    <s v="Tara Khanna"/>
    <s v="SaaS Vendor Mgmt"/>
    <n v="18"/>
    <d v="2021-01-20T00:00:00"/>
    <s v="Low use"/>
    <n v="3"/>
    <n v="4"/>
    <m/>
    <s v="SaaS"/>
    <s v="N/A (SaaS)"/>
    <n v="0"/>
    <s v="N/A"/>
    <s v="N/A"/>
    <s v="Vendor cloud (EU)"/>
    <m/>
    <s v="Structured"/>
    <n v="170"/>
    <s v="Y"/>
    <n v="10"/>
    <s v="Y"/>
    <s v="Archive + read-only"/>
    <n v="0"/>
    <s v="N"/>
    <s v="N"/>
    <s v="Partial"/>
    <n v="80000"/>
    <d v="2033-03-31T00:00:00"/>
    <n v="101500"/>
    <n v="33500"/>
    <n v="36.35820895522388"/>
    <n v="1"/>
    <x v="1"/>
    <x v="1"/>
    <x v="2"/>
    <x v="27"/>
    <x v="4"/>
    <s v="Retention requirement to be confirmed"/>
  </r>
  <r>
    <n v="171063"/>
    <s v="Expense Portal v3"/>
    <s v="Expense Mgmt"/>
    <s v="Finance"/>
    <s v="External"/>
    <s v="Vikram Rao"/>
    <s v="Ishaan Desai"/>
    <s v="Infra Ops EMEA"/>
    <n v="6"/>
    <d v="2021-04-01T00:00:00"/>
    <s v="Low use"/>
    <n v="1"/>
    <n v="3"/>
    <m/>
    <s v="On-prem DC"/>
    <s v="epvapp01"/>
    <n v="1"/>
    <s v="Ubuntu 18.04"/>
    <s v="PostgreSQL 10"/>
    <s v="US DC-1"/>
    <d v="2023-05-31T00:00:00"/>
    <s v="Structured"/>
    <n v="140"/>
    <s v="N"/>
    <n v="5"/>
    <s v="Y"/>
    <s v="Reporting extract"/>
    <n v="4"/>
    <s v="Partial"/>
    <s v="N"/>
    <s v="N"/>
    <n v="34000"/>
    <d v="2029-06-30T00:00:00"/>
    <n v="62000"/>
    <n v="23000"/>
    <n v="32.347826086956523"/>
    <n v="2"/>
    <x v="1"/>
    <x v="1"/>
    <x v="2"/>
    <x v="33"/>
    <x v="4"/>
    <s v="Awaiting dependency mapping"/>
  </r>
  <r>
    <n v="72177"/>
    <s v="Departmental Asset Register (FR)"/>
    <s v="Fixed Assets"/>
    <s v="Finance"/>
    <s v="Internal"/>
    <s v="Claire Mehta"/>
    <s v="Hugo Perrin"/>
    <s v="Database Services"/>
    <n v="25"/>
    <d v="2021-04-24T00:00:00"/>
    <s v="Active"/>
    <n v="3"/>
    <n v="3"/>
    <s v="BlackLine"/>
    <s v="On-prem DC"/>
    <s v="darapp01, dardb01, darweb01, darfs01"/>
    <n v="4"/>
    <s v="Ubuntu 20.04"/>
    <s v="MySQL 8.0"/>
    <s v="Plant DC"/>
    <d v="2025-04-30T00:00:00"/>
    <s v="Unstructured"/>
    <n v="200"/>
    <s v="N"/>
    <n v="3"/>
    <s v="N"/>
    <s v="None"/>
    <n v="5"/>
    <s v="Y"/>
    <s v="Partial"/>
    <s v="N"/>
    <n v="37000"/>
    <d v="2032-04-30T00:00:00"/>
    <n v="13500"/>
    <n v="32500"/>
    <n v="4.9846153846153847"/>
    <n v="1"/>
    <x v="0"/>
    <x v="2"/>
    <x v="2"/>
    <x v="25"/>
    <x v="4"/>
    <s v="Awaiting dependency mapping_x000a_Blocker: Month-end close dependency_x000a_Q: Can the cut-over avoid the quarter-end freeze?"/>
  </r>
  <r>
    <n v="40022"/>
    <s v="Document Repository"/>
    <s v="Document Mgmt"/>
    <s v="IT"/>
    <s v="Internal"/>
    <s v="Claire Mehta"/>
    <s v="Sameer Joshi"/>
    <s v="Database Services"/>
    <n v="8"/>
    <d v="2020-12-18T00:00:00"/>
    <s v="Low use"/>
    <n v="5"/>
    <n v="2"/>
    <s v="ServiceNow (planned)"/>
    <s v="On-prem DC"/>
    <s v="drx-app01–06, drx-db01"/>
    <n v="7"/>
    <s v="Solaris 10"/>
    <s v="Oracle 11g"/>
    <s v="TBD"/>
    <d v="2021-01-31T00:00:00"/>
    <s v="Both"/>
    <n v="120"/>
    <s v="Y"/>
    <n v="7"/>
    <s v="N"/>
    <s v="None"/>
    <n v="12"/>
    <s v="Y"/>
    <s v="Y"/>
    <s v="N"/>
    <n v="70000"/>
    <d v="2031-05-31T00:00:00"/>
    <n v="64000"/>
    <n v="57000"/>
    <n v="13.473684210526315"/>
    <n v="3"/>
    <x v="0"/>
    <x v="2"/>
    <x v="2"/>
    <x v="25"/>
    <x v="4"/>
    <s v="Replacement option being confirmed"/>
  </r>
  <r>
    <n v="181289"/>
    <s v="Licence Manager (UK)"/>
    <s v="Licence Mgmt"/>
    <s v="IT"/>
    <s v="Internal"/>
    <s v="Anika Patel"/>
    <s v="Tara Khanna"/>
    <s v="Unix Platform Team"/>
    <n v="84"/>
    <d v="2021-04-05T00:00:00"/>
    <s v="Active"/>
    <n v="3"/>
    <n v="3"/>
    <s v="ServiceNow"/>
    <s v="On-prem DC"/>
    <s v="lmuapp01, lmudb01"/>
    <n v="2"/>
    <s v="RHEL 6"/>
    <s v="Oracle 11g"/>
    <s v="TBD"/>
    <d v="2020-11-30T00:00:00"/>
    <s v="Structured"/>
    <n v="46"/>
    <s v="N"/>
    <n v="1"/>
    <s v="Y"/>
    <s v="Data archive"/>
    <n v="6"/>
    <s v="Partial"/>
    <s v="N"/>
    <s v="Partial"/>
    <n v="42000"/>
    <d v="2029-05-31T00:00:00"/>
    <n v="74000"/>
    <n v="27500"/>
    <n v="32.290909090909089"/>
    <n v="2"/>
    <x v="0"/>
    <x v="0"/>
    <x v="2"/>
    <x v="26"/>
    <x v="4"/>
    <s v="Retention requirement to be confirmed"/>
  </r>
  <r>
    <n v="128278"/>
    <s v="Recruitment Tracker"/>
    <s v="Recruitment"/>
    <s v="HR"/>
    <s v="Internal"/>
    <s v="Claire Mehta"/>
    <s v="Kavya Reddy"/>
    <s v="Infra Ops EMEA"/>
    <n v="13"/>
    <d v="2021-01-22T00:00:00"/>
    <s v="Low use"/>
    <n v="2"/>
    <n v="3"/>
    <m/>
    <s v="PaaS"/>
    <s v="Azure App Service (PaaS)"/>
    <n v="0"/>
    <s v="N/A (PaaS)"/>
    <s v="Azure SQL"/>
    <s v="Azure West Europe"/>
    <d v="2022-06-30T00:00:00"/>
    <s v="Unstructured"/>
    <n v="600"/>
    <s v="Y"/>
    <n v="7"/>
    <s v="Y"/>
    <s v="Data archive"/>
    <n v="8"/>
    <s v="Partial"/>
    <s v="N"/>
    <s v="N"/>
    <n v="17000"/>
    <d v="2034-01-31T00:00:00"/>
    <n v="18000"/>
    <n v="11500"/>
    <n v="18.782608695652176"/>
    <n v="2"/>
    <x v="1"/>
    <x v="0"/>
    <x v="2"/>
    <x v="34"/>
    <x v="1"/>
    <s v="Read-only access needed for audit"/>
  </r>
  <r>
    <n v="81978"/>
    <s v="Customer Contact Manager Plus"/>
    <s v="CRM"/>
    <s v="Sales"/>
    <s v="Internal"/>
    <s v="Diego Alvarez"/>
    <s v="Kavya Reddy"/>
    <s v="Infra Ops US"/>
    <n v="198"/>
    <d v="2021-04-14T00:00:00"/>
    <s v="Active"/>
    <n v="4"/>
    <n v="1"/>
    <s v="Salesforce Partner Community (planned)"/>
    <s v="On-prem DC"/>
    <s v="ccm-app01–04, ccm-db01"/>
    <n v="5"/>
    <s v="TBD"/>
    <s v="Oracle 12c"/>
    <s v="US DC-1"/>
    <d v="2024-06-30T00:00:00"/>
    <s v="Structured"/>
    <n v="420"/>
    <s v="N"/>
    <n v="2"/>
    <s v="Y"/>
    <s v="Legal hold"/>
    <n v="86"/>
    <s v="Y"/>
    <s v="Partial"/>
    <s v="Y"/>
    <n v="345000"/>
    <d v="2030-07-31T00:00:00"/>
    <n v="614000"/>
    <n v="295500"/>
    <n v="24.934010152284262"/>
    <n v="1"/>
    <x v="0"/>
    <x v="0"/>
    <x v="2"/>
    <x v="25"/>
    <x v="1"/>
    <s v="5 feeds to re-point to Salesforce Partner Community"/>
  </r>
  <r>
    <n v="185801"/>
    <s v="Budget Planner 2010"/>
    <s v="Budgeting"/>
    <s v="Finance"/>
    <s v="Internal"/>
    <s v="Yuki Tanaka"/>
    <s v="Chloe Vidal"/>
    <s v="Unix Platform Team"/>
    <n v="779"/>
    <d v="2021-03-31T00:00:00"/>
    <s v="Active"/>
    <n v="4"/>
    <n v="2"/>
    <s v="SAP Concur (planned)"/>
    <s v="On-prem DC"/>
    <s v="bpx-app01–06, bpx-db01"/>
    <n v="7"/>
    <s v="Windows Server 2008"/>
    <s v="SQL Server 2008"/>
    <s v="Plant DC"/>
    <d v="2019-07-09T00:00:00"/>
    <s v="Structured"/>
    <n v="1010"/>
    <s v="Y"/>
    <n v="10"/>
    <s v="N"/>
    <s v="None"/>
    <n v="14"/>
    <s v="Partial"/>
    <s v="Partial"/>
    <s v="Partial"/>
    <n v="160000"/>
    <d v="2028-08-31T00:00:00"/>
    <n v="213000"/>
    <n v="116000"/>
    <n v="22.03448275862069"/>
    <n v="2"/>
    <x v="0"/>
    <x v="2"/>
    <x v="2"/>
    <x v="32"/>
    <x v="4"/>
    <s v="Awaiting dependency mapping"/>
  </r>
  <r>
    <n v="43378"/>
    <s v="Old Inventory Control v4"/>
    <s v="Inventory"/>
    <s v="Supply Chain"/>
    <s v="External"/>
    <s v="Rahul Iyer"/>
    <s v="Sameer Joshi"/>
    <s v="Infra Ops US"/>
    <n v="25"/>
    <d v="2021-04-08T00:00:00"/>
    <s v="Active"/>
    <n v="2"/>
    <n v="4"/>
    <s v="Oracle SCM Cloud"/>
    <s v="On-prem DC"/>
    <s v="fs-oic02 (file share)"/>
    <n v="1"/>
    <s v="Windows Server 2012 R2"/>
    <s v="MS Access 2010"/>
    <s v="EU DC-2"/>
    <d v="2023-10-10T00:00:00"/>
    <s v="Structured"/>
    <n v="20"/>
    <s v="Y"/>
    <n v="10"/>
    <s v="N"/>
    <s v="None"/>
    <n v="1"/>
    <s v="N"/>
    <s v="Partial"/>
    <s v="Partial"/>
    <n v="40500"/>
    <d v="2032-04-30T00:00:00"/>
    <n v="47000"/>
    <n v="26500"/>
    <n v="21.283018867924529"/>
    <n v="2"/>
    <x v="0"/>
    <x v="2"/>
    <x v="2"/>
    <x v="28"/>
    <x v="4"/>
    <s v="Business case under review with owner"/>
  </r>
  <r>
    <n v="107922"/>
    <s v="Shared Ticket Desk 2012"/>
    <s v="Service Desk"/>
    <s v="IT"/>
    <s v="External"/>
    <s v="Karan Blanc"/>
    <s v="Ishaan Desai"/>
    <s v="Cloud Platform Team"/>
    <n v="10"/>
    <d v="2021-04-10T00:00:00"/>
    <s v="Low use"/>
    <n v="3"/>
    <n v="2"/>
    <s v="SharePoint Online"/>
    <s v="On-prem DC"/>
    <s v="stdapp01, stddb01"/>
    <n v="2"/>
    <s v="Windows Server 2008"/>
    <s v="SQL Server 2008"/>
    <s v="Plant DC"/>
    <d v="2019-07-09T00:00:00"/>
    <s v="Structured"/>
    <n v="60"/>
    <s v="N"/>
    <n v="1"/>
    <s v="N"/>
    <s v="None"/>
    <n v="23"/>
    <s v="Partial"/>
    <s v="Partial"/>
    <s v="Partial"/>
    <n v="70000"/>
    <d v="2033-01-31T00:00:00"/>
    <n v="124500"/>
    <n v="64500"/>
    <n v="23.162790697674421"/>
    <n v="3"/>
    <x v="2"/>
    <x v="2"/>
    <x v="2"/>
    <x v="27"/>
    <x v="4"/>
    <s v="Business case under review with owner"/>
  </r>
  <r>
    <n v="39744"/>
    <s v="Legacy Customer Contact Manager 2010"/>
    <s v="CRM"/>
    <s v="Sales"/>
    <s v="External"/>
    <s v="Oscar Lindqvist"/>
    <s v="Hugo Perrin"/>
    <s v="Infra Ops US"/>
    <n v="9"/>
    <d v="2021-04-10T00:00:00"/>
    <s v="Low use"/>
    <n v="2"/>
    <n v="3"/>
    <s v="Salesforce CPQ (planned)"/>
    <s v="PaaS"/>
    <s v="Azure App Service (PaaS)"/>
    <n v="0"/>
    <s v="N/A (PaaS)"/>
    <s v="Azure SQL"/>
    <s v="Azure West Europe"/>
    <d v="2022-06-30T00:00:00"/>
    <s v="Unstructured"/>
    <n v="78"/>
    <s v="Y"/>
    <n v="7"/>
    <s v="Y"/>
    <s v="Archive + read-only"/>
    <n v="3"/>
    <s v="Y"/>
    <s v="N"/>
    <s v="Y"/>
    <n v="26000"/>
    <d v="2027-08-31T00:00:00"/>
    <n v="18000"/>
    <n v="20500"/>
    <n v="10.536585365853659"/>
    <n v="3"/>
    <x v="0"/>
    <x v="1"/>
    <x v="2"/>
    <x v="29"/>
    <x v="4"/>
    <s v="Business case under review with owner"/>
  </r>
  <r>
    <n v="19237"/>
    <s v="Facilities Request Portal v3"/>
    <s v="Facilities"/>
    <s v="Operations"/>
    <s v="Internal"/>
    <s v="Rahul Iyer"/>
    <s v="Rohan Bhatt"/>
    <s v="Plant IT Services"/>
    <n v="11"/>
    <d v="2021-03-30T00:00:00"/>
    <s v="Low use"/>
    <n v="5"/>
    <n v="2"/>
    <s v="ServiceMax"/>
    <s v="IaaS"/>
    <s v="frpapp01, frpdb01"/>
    <n v="2"/>
    <s v="Windows Server 2019"/>
    <s v="SQL Server 2019"/>
    <s v="Azure West Europe"/>
    <d v="2029-01-09T00:00:00"/>
    <s v="Structured"/>
    <n v="3"/>
    <s v="N"/>
    <n v="7"/>
    <s v="N"/>
    <s v="None"/>
    <n v="27"/>
    <s v="Y"/>
    <s v="Y"/>
    <s v="Partial"/>
    <n v="38000"/>
    <d v="2025-11-30T00:00:00"/>
    <n v="29500"/>
    <n v="27500"/>
    <n v="12.872727272727273"/>
    <n v="2"/>
    <x v="0"/>
    <x v="2"/>
    <x v="2"/>
    <x v="34"/>
    <x v="4"/>
    <s v="Retention requirement to be confirmed"/>
  </r>
  <r>
    <n v="129999"/>
    <s v="Old Supplier Portal 2008"/>
    <s v="Supplier Mgmt"/>
    <s v="Supply Chain"/>
    <s v="Partner"/>
    <s v="Hannah Weber"/>
    <s v="Chloe Vidal"/>
    <s v="Database Services"/>
    <n v="0"/>
    <d v="2020-08-12T00:00:00"/>
    <s v="Not in use"/>
    <n v="3"/>
    <n v="2"/>
    <m/>
    <s v="On-prem DC"/>
    <s v="osp-app01–06, osp-db01"/>
    <n v="7"/>
    <s v="Ubuntu 16.04"/>
    <s v="MySQL 5.7"/>
    <s v="Plant DC"/>
    <d v="2021-04-30T00:00:00"/>
    <s v="Structured"/>
    <n v="110"/>
    <s v="N"/>
    <n v="7"/>
    <s v="N"/>
    <s v="None"/>
    <n v="12"/>
    <s v="Partial"/>
    <s v="Partial"/>
    <s v="Y"/>
    <n v="130000"/>
    <d v="2035-12-31T00:00:00"/>
    <n v="195500"/>
    <n v="113500"/>
    <n v="20.669603524229075"/>
    <n v="2"/>
    <x v="2"/>
    <x v="2"/>
    <x v="2"/>
    <x v="30"/>
    <x v="4"/>
    <s v="Replacement option being confirmed_x000a_Blocker: Month-end close dependency_x000a_Q: Can the cut-over avoid the quarter-end freeze?"/>
  </r>
  <r>
    <n v="164984"/>
    <s v="Licence Manager v2"/>
    <s v="Licence Mgmt"/>
    <s v="IT"/>
    <s v="Internal"/>
    <s v="Amelie Martin"/>
    <s v="Aditi Menon"/>
    <s v="Cloud Platform Team"/>
    <n v="274"/>
    <d v="2021-04-13T00:00:00"/>
    <s v="Active"/>
    <n v="4"/>
    <n v="1"/>
    <s v="Microsoft 365"/>
    <s v="IaaS"/>
    <s v="lmvapp01"/>
    <n v="1"/>
    <s v="SUSE Linux 11"/>
    <s v="Oracle 11g"/>
    <s v="AWS eu-west-1"/>
    <d v="2019-03-31T00:00:00"/>
    <s v="Both"/>
    <n v="170"/>
    <s v="N"/>
    <n v="5"/>
    <s v="N"/>
    <s v="None"/>
    <n v="74"/>
    <s v="Partial"/>
    <s v="Y"/>
    <s v="Partial"/>
    <n v="40000"/>
    <d v="2029-10-31T00:00:00"/>
    <n v="138000"/>
    <n v="26500"/>
    <n v="62.490566037735846"/>
    <n v="2"/>
    <x v="0"/>
    <x v="2"/>
    <x v="2"/>
    <x v="29"/>
    <x v="1"/>
    <s v="Funding approved; migration to Microsoft 365 scheduled_x000a_Blocker: Interface owners not yet identified_x000a_Q: Which teams consume the outbound feeds?"/>
  </r>
  <r>
    <n v="135259"/>
    <s v="Shared Corporate Website CMS"/>
    <s v="Web"/>
    <s v="Marketing"/>
    <s v="Internal"/>
    <s v="Mateo Girard"/>
    <s v="Varun Malhotra"/>
    <s v="Cloud Platform Team"/>
    <n v="0"/>
    <d v="2020-12-22T00:00:00"/>
    <s v="Not in use"/>
    <n v="1"/>
    <n v="3"/>
    <m/>
    <s v="On-prem DC"/>
    <s v="scwapp01"/>
    <n v="1"/>
    <s v="AIX 6.1"/>
    <s v="DB2 9.7"/>
    <s v="Plant DC"/>
    <d v="2017-04-30T00:00:00"/>
    <s v="Both"/>
    <n v="150"/>
    <s v="N"/>
    <n v="3"/>
    <s v="N"/>
    <s v="None"/>
    <n v="1"/>
    <s v="Partial"/>
    <s v="Y"/>
    <s v="Partial"/>
    <n v="27000"/>
    <d v="2034-08-31T00:00:00"/>
    <n v="24500"/>
    <n v="22500"/>
    <n v="13.066666666666666"/>
    <n v="3"/>
    <x v="2"/>
    <x v="2"/>
    <x v="2"/>
    <x v="30"/>
    <x v="4"/>
    <s v="Retention requirement to be confirmed"/>
  </r>
  <r>
    <n v="66679"/>
    <s v="Newsletter Mailer"/>
    <s v="Email"/>
    <s v="Marketing"/>
    <s v="Partner"/>
    <s v="Sophie Dubois"/>
    <s v="Remi Masson"/>
    <s v="Database Services"/>
    <n v="109"/>
    <d v="2021-04-09T00:00:00"/>
    <s v="Active"/>
    <n v="2"/>
    <n v="3"/>
    <s v="HubSpot"/>
    <s v="On-prem DC"/>
    <s v="nmxapp01, nmxdb01, nmxweb01, nmxfs01"/>
    <n v="4"/>
    <s v="Windows Server 2008 R2"/>
    <s v="SQL Server 2008 R2"/>
    <s v="US DC-1"/>
    <d v="2020-01-14T00:00:00"/>
    <s v="Structured"/>
    <n v="34"/>
    <s v="Y"/>
    <n v="10"/>
    <s v="N"/>
    <s v="None"/>
    <n v="2"/>
    <s v="Y"/>
    <s v="Partial"/>
    <s v="Partial"/>
    <n v="65000"/>
    <d v="2025-07-31T00:00:00"/>
    <n v="24000"/>
    <n v="54000"/>
    <n v="5.333333333333333"/>
    <n v="3"/>
    <x v="0"/>
    <x v="2"/>
    <x v="2"/>
    <x v="32"/>
    <x v="4"/>
    <s v="Awaiting dependency mapping_x000a_Blocker: Archive platform capacity not confirmed_x000a_Q: Can the enterprise archive take this volume this year?"/>
  </r>
  <r>
    <n v="184135"/>
    <s v="Leave Manager (Nordics)"/>
    <s v="Leave Mgmt"/>
    <s v="HR"/>
    <s v="External"/>
    <s v="Marc Laurent"/>
    <s v="Baptiste Henry"/>
    <s v="Plant IT Services"/>
    <n v="22"/>
    <d v="2021-01-26T00:00:00"/>
    <s v="Low use"/>
    <n v="3"/>
    <n v="4"/>
    <m/>
    <s v="On-prem DC"/>
    <s v="lmnapp01, lmndb01"/>
    <n v="2"/>
    <s v="RHEL 7"/>
    <s v="Oracle 12c"/>
    <s v="Plant DC"/>
    <d v="2024-06-30T00:00:00"/>
    <s v="Both"/>
    <n v="17"/>
    <s v="Y"/>
    <n v="10"/>
    <s v="N"/>
    <s v="None"/>
    <n v="1"/>
    <s v="Partial"/>
    <s v="Y"/>
    <s v="Partial"/>
    <n v="22000"/>
    <d v="2031-12-31T00:00:00"/>
    <n v="26500"/>
    <n v="19000"/>
    <n v="16.736842105263158"/>
    <n v="1"/>
    <x v="2"/>
    <x v="2"/>
    <x v="2"/>
    <x v="35"/>
    <x v="1"/>
    <s v="No active users; switch-off confirmed with owner"/>
  </r>
  <r>
    <n v="22111"/>
    <s v="Survey Tool"/>
    <s v="Market Research"/>
    <s v="Marketing"/>
    <s v="External"/>
    <s v="Mateo Girard"/>
    <s v="Omar Haddad"/>
    <s v="Infra Ops US"/>
    <n v="15"/>
    <d v="2021-02-20T00:00:00"/>
    <s v="Low use"/>
    <n v="2"/>
    <n v="4"/>
    <s v="Qualtrics"/>
    <s v="PaaS"/>
    <s v="Azure App Service (PaaS)"/>
    <n v="0"/>
    <s v="N/A (PaaS)"/>
    <s v="Azure SQL"/>
    <s v="Azure West Europe"/>
    <d v="2022-06-30T00:00:00"/>
    <s v="Structured"/>
    <n v="34"/>
    <s v="N"/>
    <n v="5"/>
    <s v="N"/>
    <s v="None"/>
    <n v="0"/>
    <s v="N"/>
    <s v="Y"/>
    <s v="Y"/>
    <n v="11000"/>
    <d v="2027-07-31T00:00:00"/>
    <n v="5500"/>
    <n v="10500"/>
    <n v="6.2857142857142865"/>
    <n v="3"/>
    <x v="2"/>
    <x v="2"/>
    <x v="2"/>
    <x v="24"/>
    <x v="1"/>
    <s v="No active users; switch-off confirmed with owner_x000a_Blocker: Interface owners not yet identified_x000a_Q: Which teams consume the outbound feeds?"/>
  </r>
  <r>
    <n v="148041"/>
    <s v="Departmental Fleet Manager 2012"/>
    <s v="Fleet"/>
    <s v="Operations"/>
    <s v="External"/>
    <s v="Neha Nair"/>
    <s v="Hugo Perrin"/>
    <s v="Cloud Platform Team"/>
    <n v="357"/>
    <d v="2021-03-16T00:00:00"/>
    <s v="Active"/>
    <n v="2"/>
    <n v="4"/>
    <m/>
    <s v="On-prem DC"/>
    <s v="dfmapp01"/>
    <n v="1"/>
    <s v="Solaris 10"/>
    <s v="Oracle 11g"/>
    <s v="EU DC-1"/>
    <d v="2021-01-31T00:00:00"/>
    <s v="Structured"/>
    <n v="110"/>
    <s v="N"/>
    <n v="3"/>
    <s v="N"/>
    <s v="None"/>
    <n v="2"/>
    <s v="N"/>
    <s v="Partial"/>
    <s v="Y"/>
    <n v="31000"/>
    <d v="2027-07-31T00:00:00"/>
    <n v="25000"/>
    <n v="30000"/>
    <n v="10"/>
    <n v="2"/>
    <x v="2"/>
    <x v="2"/>
    <x v="2"/>
    <x v="26"/>
    <x v="4"/>
    <s v="Awaiting dependency mapping"/>
  </r>
  <r>
    <n v="145356"/>
    <s v="Batch Scheduler (UK)"/>
    <s v="Batch Scheduling"/>
    <s v="IT"/>
    <s v="External"/>
    <s v="Karan Blanc"/>
    <s v="Adrien Colin"/>
    <s v="SaaS Vendor Mgmt"/>
    <n v="445"/>
    <d v="2021-04-13T00:00:00"/>
    <s v="Active"/>
    <n v="4"/>
    <n v="2"/>
    <s v="ServiceNow"/>
    <s v="SaaS"/>
    <s v="N/A (SaaS)"/>
    <n v="0"/>
    <s v="N/A"/>
    <s v="N/A"/>
    <s v="Vendor cloud (EU)"/>
    <d v="2023-09-30T00:00:00"/>
    <s v="Structured"/>
    <n v="35"/>
    <s v="N"/>
    <n v="3"/>
    <s v="N"/>
    <s v="None"/>
    <n v="27"/>
    <s v="Y"/>
    <s v="N"/>
    <s v="Partial"/>
    <n v="240000"/>
    <d v="2033-01-31T00:00:00"/>
    <n v="385500"/>
    <n v="121500"/>
    <n v="38.074074074074076"/>
    <n v="1"/>
    <x v="0"/>
    <x v="2"/>
    <x v="2"/>
    <x v="32"/>
    <x v="4"/>
    <s v="Replacement option being confirmed_x000a_Blocker: Interface owners not yet identified_x000a_Q: Which teams consume the outbound feeds?"/>
  </r>
  <r>
    <n v="48374"/>
    <s v="Corporate Demand Planner (FR)"/>
    <s v="Demand Planning"/>
    <s v="Supply Chain"/>
    <s v="Internal"/>
    <s v="Neha Nair"/>
    <s v="Sameer Joshi"/>
    <s v="Plant IT Services"/>
    <n v="224"/>
    <d v="2021-03-28T00:00:00"/>
    <s v="Active"/>
    <n v="3"/>
    <n v="4"/>
    <m/>
    <s v="PaaS"/>
    <s v="Azure App Service (PaaS)"/>
    <n v="0"/>
    <s v="N/A (PaaS)"/>
    <s v="Azure SQL"/>
    <s v="Azure West Europe"/>
    <m/>
    <s v="Unstructured"/>
    <n v="140"/>
    <s v="N"/>
    <n v="5"/>
    <s v="Y"/>
    <s v="Archive + read-only"/>
    <n v="3"/>
    <s v="Partial"/>
    <s v="N"/>
    <s v="N"/>
    <n v="9000"/>
    <d v="2035-12-31T00:00:00"/>
    <n v="6000"/>
    <n v="7000"/>
    <n v="10.285714285714285"/>
    <n v="0"/>
    <x v="1"/>
    <x v="1"/>
    <x v="2"/>
    <x v="27"/>
    <x v="4"/>
    <s v="Business case under review with owner"/>
  </r>
  <r>
    <n v="15298"/>
    <s v="Regional Travel Booking Tool 2012"/>
    <s v="Travel"/>
    <s v="HR"/>
    <s v="External"/>
    <s v="Camille Fontaine"/>
    <s v="Varun Malhotra"/>
    <s v="Infra Ops EMEA"/>
    <n v="15"/>
    <d v="2021-04-28T00:00:00"/>
    <s v="Low use"/>
    <n v="2"/>
    <n v="3"/>
    <m/>
    <s v="On-prem DC"/>
    <s v="rtbapp01"/>
    <n v="1"/>
    <s v="RHEL 6"/>
    <s v="Oracle 11g"/>
    <s v="EU DC-1"/>
    <d v="2020-11-30T00:00:00"/>
    <s v="Structured"/>
    <n v="310"/>
    <s v="Y"/>
    <n v="5"/>
    <s v="Y"/>
    <s v="Data archive"/>
    <n v="4"/>
    <s v="N"/>
    <s v="Y"/>
    <s v="N"/>
    <n v="33000"/>
    <d v="2032-08-31T00:00:00"/>
    <n v="38500"/>
    <n v="22000"/>
    <n v="21"/>
    <n v="3"/>
    <x v="1"/>
    <x v="1"/>
    <x v="2"/>
    <x v="26"/>
    <x v="4"/>
    <s v="Retention requirement to be confirmed"/>
  </r>
  <r>
    <n v="142004"/>
    <s v="Shared Billing Engine (UK)"/>
    <s v="Billing"/>
    <s v="Finance"/>
    <s v="Internal"/>
    <s v="Laura Martin"/>
    <s v="Tara Khanna"/>
    <s v="Unix Platform Team"/>
    <n v="0"/>
    <d v="2019-11-27T00:00:00"/>
    <s v="Not in use"/>
    <n v="1"/>
    <n v="4"/>
    <m/>
    <s v="On-prem DC"/>
    <s v="sbeapp01, sbedb01, sbeweb01, sbefs01"/>
    <n v="4"/>
    <s v="RHEL 6"/>
    <s v="Oracle 11g"/>
    <s v="US DC-1"/>
    <d v="2020-11-30T00:00:00"/>
    <s v="Both"/>
    <n v="11"/>
    <s v="Y"/>
    <n v="5"/>
    <s v="N"/>
    <s v="None"/>
    <n v="2"/>
    <s v="Partial"/>
    <s v="Y"/>
    <s v="N"/>
    <n v="60000"/>
    <d v="2028-07-31T00:00:00"/>
    <n v="62500"/>
    <n v="50000"/>
    <n v="15"/>
    <n v="3"/>
    <x v="2"/>
    <x v="2"/>
    <x v="2"/>
    <x v="33"/>
    <x v="1"/>
    <s v="Functionality covered by existing tools"/>
  </r>
  <r>
    <n v="28054"/>
    <s v="Global Training Records Classic"/>
    <s v="Learning"/>
    <s v="HR"/>
    <s v="Internal"/>
    <s v="Rahul Iyer"/>
    <s v="Theo Lopez"/>
    <s v="Plant IT Services"/>
    <n v="15"/>
    <d v="2021-02-15T00:00:00"/>
    <s v="Low use"/>
    <n v="2"/>
    <n v="4"/>
    <s v="TBD"/>
    <s v="On-prem DC"/>
    <s v="gtrapp01"/>
    <n v="1"/>
    <s v="AIX 6.1"/>
    <s v="DB2 9.7"/>
    <s v="EU DC-1"/>
    <d v="2017-04-30T00:00:00"/>
    <s v="Both"/>
    <n v="580"/>
    <s v="Y"/>
    <n v="10"/>
    <s v="Y"/>
    <s v="Data archive"/>
    <n v="1"/>
    <s v="Partial"/>
    <s v="N"/>
    <s v="N"/>
    <n v="34500"/>
    <d v="2025-03-31T00:00:00"/>
    <n v="38000"/>
    <n v="26500"/>
    <n v="17.20754716981132"/>
    <n v="3"/>
    <x v="1"/>
    <x v="1"/>
    <x v="2"/>
    <x v="28"/>
    <x v="4"/>
    <s v="Awaiting dependency mapping"/>
  </r>
  <r>
    <n v="19171"/>
    <s v="Shared Web Analytics Mart"/>
    <s v="Analytics"/>
    <s v="Marketing"/>
    <s v="Internal"/>
    <s v="Laura Martin"/>
    <s v="Manon Chevalier"/>
    <s v="Plant IT Services"/>
    <n v="6"/>
    <d v="2021-02-17T00:00:00"/>
    <s v="Low use"/>
    <n v="4"/>
    <n v="1"/>
    <s v="Marketo"/>
    <s v="On-prem DC"/>
    <s v="swaapp01, swadb01"/>
    <n v="2"/>
    <s v="SUSE Linux 11"/>
    <s v="Oracle 11g"/>
    <s v="Plant DC"/>
    <d v="2019-03-31T00:00:00"/>
    <s v="Both"/>
    <n v="17"/>
    <s v="N"/>
    <n v="1"/>
    <s v="Y"/>
    <s v="Read-only access"/>
    <n v="89"/>
    <s v="N"/>
    <s v="Partial"/>
    <s v="Partial"/>
    <n v="140000"/>
    <d v="2032-02-29T00:00:00"/>
    <n v="696000"/>
    <n v="115000"/>
    <n v="72.626086956521732"/>
    <n v="3"/>
    <x v="0"/>
    <x v="0"/>
    <x v="2"/>
    <x v="32"/>
    <x v="4"/>
    <s v="Business case under review with owner"/>
  </r>
  <r>
    <n v="48542"/>
    <s v="Regional Commission Calculator"/>
    <s v="Commissions"/>
    <s v="Sales"/>
    <s v="External"/>
    <s v="Mateo Girard"/>
    <s v="Remi Masson"/>
    <s v="SaaS Vendor Mgmt"/>
    <n v="7"/>
    <d v="2020-12-16T00:00:00"/>
    <s v="Low use"/>
    <n v="2"/>
    <n v="3"/>
    <m/>
    <s v="SaaS"/>
    <s v="N/A (SaaS)"/>
    <n v="0"/>
    <s v="N/A"/>
    <s v="N/A"/>
    <s v="Vendor cloud (EU)"/>
    <m/>
    <s v="Unstructured"/>
    <n v="99"/>
    <s v="Y"/>
    <n v="10"/>
    <s v="Y"/>
    <s v="Archive + read-only"/>
    <n v="5"/>
    <s v="Partial"/>
    <s v="N"/>
    <s v="Y"/>
    <n v="27000"/>
    <d v="2032-08-31T00:00:00"/>
    <n v="36500"/>
    <n v="12000"/>
    <n v="36.5"/>
    <n v="2"/>
    <x v="1"/>
    <x v="1"/>
    <x v="2"/>
    <x v="30"/>
    <x v="1"/>
    <s v="Archive format agreed; load scheduled before switch-off"/>
  </r>
  <r>
    <n v="18513"/>
    <s v="Shared Tax Compliance Tool (APAC)"/>
    <s v="Tax"/>
    <s v="Finance"/>
    <s v="Internal"/>
    <s v="Amelie Martin"/>
    <s v="Ishaan Desai"/>
    <s v="SaaS Vendor Mgmt"/>
    <n v="19"/>
    <d v="2021-01-31T00:00:00"/>
    <s v="Low use"/>
    <n v="1"/>
    <n v="4"/>
    <m/>
    <s v="SaaS"/>
    <s v="N/A (SaaS)"/>
    <n v="0"/>
    <s v="N/A"/>
    <s v="N/A"/>
    <s v="Vendor cloud (EU)"/>
    <m/>
    <s v="Unstructured"/>
    <n v="14"/>
    <s v="N"/>
    <n v="1"/>
    <s v="N"/>
    <s v="None"/>
    <n v="2"/>
    <s v="N"/>
    <s v="N"/>
    <s v="Y"/>
    <n v="21500"/>
    <d v="2032-01-31T00:00:00"/>
    <n v="13500"/>
    <n v="12500"/>
    <n v="12.96"/>
    <n v="2"/>
    <x v="2"/>
    <x v="2"/>
    <x v="2"/>
    <x v="30"/>
    <x v="4"/>
    <s v="Retention requirement to be confirmed"/>
  </r>
  <r>
    <n v="150329"/>
    <s v="Regional Sales Forecast Tool Lite"/>
    <s v="Sales Planning"/>
    <s v="Sales"/>
    <s v="Internal"/>
    <s v="Anika Patel"/>
    <s v="Ananya Pillai"/>
    <s v="Database Services"/>
    <n v="2193"/>
    <d v="2021-04-08T00:00:00"/>
    <s v="Active"/>
    <n v="3"/>
    <n v="2"/>
    <s v="Salesforce"/>
    <s v="On-prem DC"/>
    <s v="rsfapp01"/>
    <n v="1"/>
    <s v="Ubuntu 16.04"/>
    <s v="MySQL 5.7"/>
    <s v="TBD"/>
    <d v="2021-04-30T00:00:00"/>
    <s v="Unstructured"/>
    <n v="1550"/>
    <s v="Y"/>
    <n v="10"/>
    <s v="Y"/>
    <s v="Read-only access"/>
    <n v="13"/>
    <s v="N"/>
    <s v="Y"/>
    <s v="N"/>
    <n v="46500"/>
    <d v="2034-03-31T00:00:00"/>
    <n v="110500"/>
    <n v="27000"/>
    <n v="49.111111111111114"/>
    <n v="2"/>
    <x v="0"/>
    <x v="0"/>
    <x v="2"/>
    <x v="32"/>
    <x v="1"/>
    <s v="4 feeds to re-point to Salesforce"/>
  </r>
  <r>
    <n v="172400"/>
    <s v="Shared AP Invoice Processor 2008"/>
    <s v="Accounts Payable"/>
    <s v="Finance"/>
    <s v="Internal"/>
    <s v="Claire Mehta"/>
    <s v="Adrien Colin"/>
    <s v="Infra Ops EMEA"/>
    <n v="0"/>
    <d v="2020-07-31T00:00:00"/>
    <s v="Not in use"/>
    <n v="3"/>
    <n v="3"/>
    <m/>
    <s v="On-prem DC"/>
    <s v="saiapp01"/>
    <n v="1"/>
    <s v="Windows Server 2019"/>
    <s v="SQL Server 2019"/>
    <s v="TBD"/>
    <d v="2029-01-09T00:00:00"/>
    <s v="Both"/>
    <n v="150"/>
    <s v="N"/>
    <n v="7"/>
    <s v="N"/>
    <s v="None"/>
    <n v="3"/>
    <s v="Y"/>
    <s v="N"/>
    <s v="Partial"/>
    <n v="28500"/>
    <d v="2033-02-28T00:00:00"/>
    <n v="36000"/>
    <n v="27000"/>
    <n v="16"/>
    <n v="1"/>
    <x v="2"/>
    <x v="2"/>
    <x v="2"/>
    <x v="26"/>
    <x v="4"/>
    <s v="Business case under review with owner"/>
  </r>
  <r>
    <n v="179148"/>
    <s v="Freight Booking Tool v2"/>
    <s v="Transport"/>
    <s v="Supply Chain"/>
    <s v="Internal"/>
    <s v="Oscar Lindqvist"/>
    <s v="Hugo Perrin"/>
    <s v="Plant IT Services"/>
    <n v="0"/>
    <d v="2020-09-28T00:00:00"/>
    <s v="Not in use"/>
    <n v="2"/>
    <n v="3"/>
    <s v="SAP TM"/>
    <s v="On-prem DC"/>
    <s v="fbtapp01, fbtdb01"/>
    <n v="2"/>
    <s v="HP-UX 11i v3"/>
    <s v="Sybase ASE 15.7"/>
    <s v="EU DC-2"/>
    <d v="2021-12-31T00:00:00"/>
    <s v="Both"/>
    <n v="420"/>
    <s v="Y"/>
    <n v="7"/>
    <s v="N"/>
    <s v="None"/>
    <n v="5"/>
    <s v="N"/>
    <s v="N"/>
    <s v="Partial"/>
    <n v="31500"/>
    <d v="2033-10-31T00:00:00"/>
    <n v="24500"/>
    <n v="28000"/>
    <n v="10.5"/>
    <n v="4"/>
    <x v="2"/>
    <x v="2"/>
    <x v="2"/>
    <x v="27"/>
    <x v="1"/>
    <s v="Functionality covered by existing tools"/>
  </r>
  <r>
    <n v="32448"/>
    <s v="Access Request Tool"/>
    <s v="Identity"/>
    <s v="IT"/>
    <s v="Internal"/>
    <s v="Vikram Rao"/>
    <s v="Louis Faure"/>
    <s v="Infra Ops US"/>
    <n v="10"/>
    <d v="2021-04-20T00:00:00"/>
    <s v="Low use"/>
    <n v="3"/>
    <n v="4"/>
    <m/>
    <s v="On-prem DC"/>
    <s v="artapp01, artdb01, artweb01, artfs01"/>
    <n v="4"/>
    <s v="Windows Server 2016"/>
    <s v="SQL Server 2017"/>
    <s v="EU DC-1"/>
    <d v="2027-01-12T00:00:00"/>
    <s v="Unstructured"/>
    <n v="1570"/>
    <s v="N"/>
    <n v="3"/>
    <s v="N"/>
    <s v="None"/>
    <n v="3"/>
    <s v="N"/>
    <s v="N"/>
    <s v="Y"/>
    <n v="75000"/>
    <d v="2026-09-30T00:00:00"/>
    <n v="108000"/>
    <n v="63500"/>
    <n v="20.409448818897637"/>
    <n v="1"/>
    <x v="2"/>
    <x v="2"/>
    <x v="2"/>
    <x v="29"/>
    <x v="4"/>
    <s v="Business case under review with owner"/>
  </r>
  <r>
    <n v="20778"/>
    <s v="Departmental Monitoring Console"/>
    <s v="Monitoring"/>
    <s v="IT"/>
    <s v="Internal"/>
    <s v="Oscar Lindqvist"/>
    <s v="Chloe Vidal"/>
    <s v="Database Services"/>
    <n v="59"/>
    <d v="2021-04-20T00:00:00"/>
    <s v="Active"/>
    <n v="3"/>
    <n v="4"/>
    <s v="SailPoint"/>
    <s v="PaaS"/>
    <s v="Azure App Service (PaaS)"/>
    <n v="0"/>
    <s v="N/A (PaaS)"/>
    <s v="Cosmos DB"/>
    <s v="Azure West Europe"/>
    <m/>
    <s v="Structured"/>
    <n v="26"/>
    <s v="N"/>
    <n v="5"/>
    <s v="Y"/>
    <s v="Archive + read-only"/>
    <n v="0"/>
    <s v="Partial"/>
    <s v="N"/>
    <s v="Partial"/>
    <n v="21500"/>
    <d v="2031-04-30T00:00:00"/>
    <n v="11000"/>
    <n v="12000"/>
    <n v="11"/>
    <n v="1"/>
    <x v="0"/>
    <x v="1"/>
    <x v="2"/>
    <x v="32"/>
    <x v="1"/>
    <s v="4 feeds to re-point to SailPoint"/>
  </r>
  <r>
    <n v="137926"/>
    <s v="Legacy Contract Repository (Nordics)"/>
    <s v="Contract Mgmt"/>
    <s v="Finance"/>
    <s v="Internal"/>
    <s v="Thomas Moreau"/>
    <s v="Varun Malhotra"/>
    <s v="SaaS Vendor Mgmt"/>
    <n v="470"/>
    <d v="2021-04-22T00:00:00"/>
    <s v="Active"/>
    <n v="4"/>
    <n v="1"/>
    <s v="Anaplan"/>
    <s v="SaaS"/>
    <s v="N/A (SaaS)"/>
    <n v="0"/>
    <s v="N/A"/>
    <s v="N/A"/>
    <s v="Vendor cloud (EU)"/>
    <m/>
    <s v="Both"/>
    <n v="1540"/>
    <s v="Y"/>
    <n v="5"/>
    <s v="Y"/>
    <s v="Data archive"/>
    <n v="43"/>
    <s v="Partial"/>
    <s v="Partial"/>
    <s v="N"/>
    <n v="12500"/>
    <d v="2025-12-31T00:00:00"/>
    <n v="28500"/>
    <n v="7500"/>
    <n v="45.599999999999994"/>
    <n v="1"/>
    <x v="1"/>
    <x v="0"/>
    <x v="2"/>
    <x v="35"/>
    <x v="4"/>
    <s v="Replacement option being confirmed"/>
  </r>
  <r>
    <n v="165193"/>
    <s v="Old Batch Scheduler (Nordics)"/>
    <s v="Batch Scheduling"/>
    <s v="IT"/>
    <s v="Internal"/>
    <s v="Lucas Bernard"/>
    <s v="Aditi Menon"/>
    <s v="Unix Platform Team"/>
    <n v="16"/>
    <d v="2021-01-28T00:00:00"/>
    <s v="Low use"/>
    <n v="2"/>
    <n v="4"/>
    <s v="ServiceNow"/>
    <s v="On-prem DC"/>
    <s v="obsapp01, obsdb01, obsweb01, obsfs01"/>
    <n v="4"/>
    <s v="HP-UX 11i v3"/>
    <s v="Sybase ASE 15.7"/>
    <s v="EU DC-2"/>
    <d v="2021-12-31T00:00:00"/>
    <s v="Unstructured"/>
    <n v="240"/>
    <s v="N"/>
    <n v="3"/>
    <s v="Y"/>
    <s v="Read-only access"/>
    <n v="0"/>
    <s v="N"/>
    <s v="Partial"/>
    <s v="Partial"/>
    <n v="60000"/>
    <d v="2033-04-30T00:00:00"/>
    <n v="77500"/>
    <n v="37500"/>
    <n v="24.800000000000004"/>
    <n v="4"/>
    <x v="1"/>
    <x v="1"/>
    <x v="2"/>
    <x v="31"/>
    <x v="4"/>
    <s v="Retention requirement to be confirmed"/>
  </r>
  <r>
    <n v="75600"/>
    <s v="Custom Web Analytics Mart (FR)"/>
    <s v="Analytics"/>
    <s v="Marketing"/>
    <s v="Internal"/>
    <s v="Arjun Lambert"/>
    <s v="Kavya Reddy"/>
    <s v="Infra Ops EMEA"/>
    <n v="1"/>
    <d v="2019-11-20T00:00:00"/>
    <s v="Not in use"/>
    <n v="1"/>
    <n v="4"/>
    <m/>
    <s v="PaaS"/>
    <s v="Azure App Service (PaaS)"/>
    <n v="0"/>
    <s v="N/A (PaaS)"/>
    <s v="Cosmos DB"/>
    <s v="Azure West Europe"/>
    <m/>
    <s v="Both"/>
    <n v="30"/>
    <s v="Y"/>
    <n v="10"/>
    <s v="N"/>
    <s v="None"/>
    <n v="2"/>
    <s v="Partial"/>
    <s v="Partial"/>
    <s v="Partial"/>
    <n v="21500"/>
    <d v="2031-09-30T00:00:00"/>
    <n v="8500"/>
    <n v="21500"/>
    <n v="4.7441860465116275"/>
    <n v="2"/>
    <x v="2"/>
    <x v="2"/>
    <x v="2"/>
    <x v="35"/>
    <x v="4"/>
    <s v="Retention requirement to be confirmed_x000a_Blocker: Interface owners not yet identified_x000a_Q: Which teams consume the outbound feeds?"/>
  </r>
  <r>
    <n v="129000"/>
    <s v="Departmental Training Records"/>
    <s v="Learning"/>
    <s v="HR"/>
    <s v="Internal"/>
    <s v="Arjun Lambert"/>
    <s v="Omar Haddad"/>
    <s v="Unix Platform Team"/>
    <n v="387"/>
    <d v="2021-03-24T00:00:00"/>
    <s v="Active"/>
    <n v="2"/>
    <n v="3"/>
    <m/>
    <s v="On-prem DC"/>
    <s v="dtrapp01, dtrdb01, dtrweb01"/>
    <n v="3"/>
    <s v="Windows Server 2012 R2"/>
    <s v="SQL Server 2012"/>
    <s v="EU DC-1"/>
    <d v="2022-07-12T00:00:00"/>
    <s v="Structured"/>
    <n v="280"/>
    <s v="Y"/>
    <n v="7"/>
    <s v="Y"/>
    <s v="Archive + read-only"/>
    <n v="3"/>
    <s v="N"/>
    <s v="Partial"/>
    <s v="N"/>
    <n v="47500"/>
    <d v="2031-05-31T00:00:00"/>
    <n v="40000"/>
    <n v="28000"/>
    <n v="17.142857142857142"/>
    <n v="1"/>
    <x v="1"/>
    <x v="1"/>
    <x v="2"/>
    <x v="29"/>
    <x v="1"/>
    <s v="Read-only access needed for audit_x000a_Blocker: Month-end close dependency_x000a_Q: Can the cut-over avoid the quarter-end freeze?"/>
  </r>
  <r>
    <n v="108221"/>
    <s v="Shared Campaign DB 2008"/>
    <s v="Campaign Mgmt"/>
    <s v="Marketing"/>
    <s v="Internal"/>
    <s v="Laura Martin"/>
    <s v="Adrien Colin"/>
    <s v="SaaS Vendor Mgmt"/>
    <n v="1386"/>
    <d v="2021-04-11T00:00:00"/>
    <s v="Active"/>
    <n v="2"/>
    <n v="4"/>
    <s v="Adobe Experience Manager"/>
    <s v="SaaS"/>
    <s v="N/A (SaaS)"/>
    <n v="0"/>
    <s v="N/A"/>
    <s v="N/A"/>
    <s v="Vendor cloud (EU)"/>
    <m/>
    <s v="Both"/>
    <n v="420"/>
    <s v="Y"/>
    <n v="10"/>
    <s v="Y"/>
    <s v="Data archive"/>
    <n v="1"/>
    <s v="Partial"/>
    <s v="Y"/>
    <s v="N"/>
    <n v="110000"/>
    <d v="2031-04-30T00:00:00"/>
    <n v="80500"/>
    <n v="48500"/>
    <n v="19.917525773195877"/>
    <n v="2"/>
    <x v="0"/>
    <x v="1"/>
    <x v="2"/>
    <x v="25"/>
    <x v="4"/>
    <s v="Awaiting dependency mapping"/>
  </r>
  <r>
    <n v="142937"/>
    <s v="Facilities Request Portal 2012"/>
    <s v="Facilities"/>
    <s v="Operations"/>
    <s v="Internal"/>
    <s v="Mateo Girard"/>
    <s v="Kavya Reddy"/>
    <s v="SaaS Vendor Mgmt"/>
    <n v="327"/>
    <d v="2021-04-22T00:00:00"/>
    <s v="Active"/>
    <n v="5"/>
    <n v="2"/>
    <s v="IBM Maximo"/>
    <s v="SaaS"/>
    <s v="N/A (SaaS)"/>
    <n v="0"/>
    <s v="N/A"/>
    <s v="N/A"/>
    <s v="Vendor cloud (EU)"/>
    <m/>
    <s v="Both"/>
    <n v="570"/>
    <s v="Y"/>
    <n v="7"/>
    <s v="Y"/>
    <s v="Archive + read-only"/>
    <n v="22"/>
    <s v="Y"/>
    <s v="N"/>
    <s v="N"/>
    <n v="39500"/>
    <d v="2029-02-28T00:00:00"/>
    <n v="105500"/>
    <n v="20500"/>
    <n v="61.756097560975611"/>
    <n v="1"/>
    <x v="0"/>
    <x v="0"/>
    <x v="2"/>
    <x v="28"/>
    <x v="4"/>
    <s v="Business case under review with owner"/>
  </r>
  <r>
    <n v="118596"/>
    <s v="Old Freight Booking Tool (Nordics)"/>
    <s v="Transport"/>
    <s v="Supply Chain"/>
    <s v="Internal"/>
    <s v="Laura Martin"/>
    <s v="Theo Lopez"/>
    <s v="SaaS Vendor Mgmt"/>
    <n v="2"/>
    <d v="2019-09-24T00:00:00"/>
    <s v="Not in use"/>
    <n v="3"/>
    <n v="3"/>
    <m/>
    <s v="SaaS"/>
    <s v="N/A (SaaS)"/>
    <n v="0"/>
    <s v="N/A"/>
    <s v="N/A"/>
    <s v="Vendor cloud (EU)"/>
    <m/>
    <s v="Structured"/>
    <n v="220"/>
    <s v="N"/>
    <n v="2"/>
    <s v="N"/>
    <s v="None"/>
    <n v="5"/>
    <s v="Partial"/>
    <s v="N"/>
    <s v="N"/>
    <n v="60000"/>
    <d v="2035-05-31T00:00:00"/>
    <n v="30000"/>
    <n v="37500"/>
    <n v="9.6000000000000014"/>
    <n v="1"/>
    <x v="2"/>
    <x v="2"/>
    <x v="2"/>
    <x v="31"/>
    <x v="4"/>
    <s v="Replacement option being confirmed"/>
  </r>
  <r>
    <n v="36326"/>
    <s v="Shipment Tracker Classic"/>
    <s v="Logistics"/>
    <s v="Supply Chain"/>
    <s v="External"/>
    <s v="Anika Patel"/>
    <s v="Sameer Joshi"/>
    <s v="Plant IT Services"/>
    <n v="100"/>
    <d v="2021-03-20T00:00:00"/>
    <s v="Active"/>
    <n v="3"/>
    <n v="3"/>
    <s v="SAP IBP (planned)"/>
    <s v="On-prem DC"/>
    <s v="stcapp01, stcdb01, stcweb01"/>
    <n v="3"/>
    <s v="AIX 6.1"/>
    <s v="DB2 9.7"/>
    <s v="US DC-1"/>
    <s v="TBD"/>
    <s v="Structured"/>
    <n v="58"/>
    <s v="N"/>
    <n v="5"/>
    <s v="N"/>
    <s v="None"/>
    <n v="4"/>
    <s v="Partial"/>
    <s v="Partial"/>
    <s v="Partial"/>
    <n v="36000"/>
    <d v="2025-07-31T00:00:00"/>
    <n v="49000"/>
    <n v="27000"/>
    <n v="21.777777777777779"/>
    <n v="1"/>
    <x v="0"/>
    <x v="2"/>
    <x v="2"/>
    <x v="34"/>
    <x v="4"/>
    <s v="Awaiting dependency mapping"/>
  </r>
  <r>
    <n v="21058"/>
    <s v="Corporate Maintenance Scheduler Lite"/>
    <s v="Asset Maintenance"/>
    <s v="Operations"/>
    <s v="Internal"/>
    <s v="Sara Kapoor"/>
    <s v="Hugo Perrin"/>
    <s v="SaaS Vendor Mgmt"/>
    <n v="251"/>
    <d v="2021-04-26T00:00:00"/>
    <s v="Active"/>
    <n v="2"/>
    <n v="4"/>
    <m/>
    <s v="SaaS"/>
    <s v="N/A (SaaS)"/>
    <n v="0"/>
    <s v="N/A"/>
    <s v="N/A"/>
    <s v="Vendor cloud (EU)"/>
    <m/>
    <s v="Unstructured"/>
    <n v="28"/>
    <s v="N"/>
    <n v="3"/>
    <s v="N"/>
    <s v="None"/>
    <n v="3"/>
    <s v="Y"/>
    <s v="Partial"/>
    <s v="N"/>
    <n v="70000"/>
    <d v="2027-12-31T00:00:00"/>
    <n v="73500"/>
    <n v="48000"/>
    <n v="18.375"/>
    <n v="1"/>
    <x v="2"/>
    <x v="2"/>
    <x v="2"/>
    <x v="35"/>
    <x v="4"/>
    <s v="Awaiting dependency mapping_x000a_Blocker: Replacement rollout dependency_x000a_Q: What is the go-live date of the target platform?"/>
  </r>
  <r>
    <n v="91147"/>
    <s v="Purchase Order System (US)"/>
    <s v="Procurement"/>
    <s v="Supply Chain"/>
    <s v="Internal"/>
    <s v="Arjun Lambert"/>
    <s v="Baptiste Henry"/>
    <s v="SaaS Vendor Mgmt"/>
    <n v="232"/>
    <d v="2021-04-24T00:00:00"/>
    <s v="Active"/>
    <n v="1"/>
    <n v="4"/>
    <s v="Oracle SCM Cloud"/>
    <s v="SaaS"/>
    <s v="N/A (SaaS)"/>
    <n v="0"/>
    <s v="N/A"/>
    <s v="N/A"/>
    <s v="Vendor cloud (EU)"/>
    <d v="2023-12-31T00:00:00"/>
    <s v="Structured"/>
    <n v="13"/>
    <s v="N"/>
    <n v="1"/>
    <s v="Y"/>
    <s v="Archive + read-only"/>
    <n v="1"/>
    <s v="N"/>
    <s v="N"/>
    <s v="Y"/>
    <n v="105000"/>
    <d v="2028-05-31T00:00:00"/>
    <n v="117500"/>
    <n v="58500"/>
    <n v="24.102564102564102"/>
    <n v="2"/>
    <x v="0"/>
    <x v="1"/>
    <x v="2"/>
    <x v="28"/>
    <x v="4"/>
    <s v="Awaiting dependency mapping"/>
  </r>
  <r>
    <n v="156987"/>
    <s v="Intranet (SharePoint) 2012"/>
    <s v="Collaboration"/>
    <s v="IT"/>
    <s v="Partner"/>
    <s v="Pierre Roux"/>
    <s v="Adrien Colin"/>
    <s v="SaaS Vendor Mgmt"/>
    <n v="24"/>
    <d v="2020-12-14T00:00:00"/>
    <s v="Low use"/>
    <n v="3"/>
    <n v="3"/>
    <s v="SharePoint Online"/>
    <s v="SaaS"/>
    <s v="N/A (SaaS)"/>
    <n v="0"/>
    <s v="N/A"/>
    <s v="N/A"/>
    <s v="Vendor cloud (EU)"/>
    <d v="2025-08-31T00:00:00"/>
    <s v="Structured"/>
    <n v="860"/>
    <s v="N"/>
    <n v="1"/>
    <s v="N"/>
    <s v="None"/>
    <n v="3"/>
    <s v="Partial"/>
    <s v="Partial"/>
    <s v="Partial"/>
    <n v="37000"/>
    <d v="2034-11-30T00:00:00"/>
    <n v="60000"/>
    <n v="23000"/>
    <n v="31.304347826086957"/>
    <n v="2"/>
    <x v="0"/>
    <x v="2"/>
    <x v="2"/>
    <x v="30"/>
    <x v="4"/>
    <s v="Retention requirement to be confirmed"/>
  </r>
  <r>
    <n v="17264"/>
    <s v="Fleet Manager v4"/>
    <s v="Fleet"/>
    <s v="Operations"/>
    <s v="Internal"/>
    <s v="Camille Fontaine"/>
    <s v="Tara Khanna"/>
    <s v="Infra Ops US"/>
    <n v="130"/>
    <d v="2021-03-28T00:00:00"/>
    <s v="Active"/>
    <n v="3"/>
    <n v="3"/>
    <s v="Intelex (planned)"/>
    <s v="On-prem DC"/>
    <s v="fmvapp01"/>
    <n v="1"/>
    <s v="Windows Server 2008 R2"/>
    <s v="TBD"/>
    <s v="EU DC-2"/>
    <d v="2020-01-14T00:00:00"/>
    <s v="Structured"/>
    <n v="43"/>
    <s v="N"/>
    <n v="2"/>
    <s v="N"/>
    <s v="None"/>
    <n v="4"/>
    <s v="N"/>
    <s v="N"/>
    <s v="Partial"/>
    <n v="31500"/>
    <d v="2028-04-30T00:00:00"/>
    <n v="30500"/>
    <n v="25000"/>
    <n v="14.64"/>
    <n v="2"/>
    <x v="0"/>
    <x v="2"/>
    <x v="2"/>
    <x v="28"/>
    <x v="4"/>
    <s v="Retention requirement to be confirmed_x000a_Blocker: Legal sign-off on retention_x000a_Q: Who owns the retention decision for archived records?"/>
  </r>
  <r>
    <n v="103752"/>
    <s v="Departmental Demand Planner Classic"/>
    <s v="Demand Planning"/>
    <s v="Supply Chain"/>
    <s v="External"/>
    <s v="Isabelle Singh"/>
    <s v="Adrien Colin"/>
    <s v="Cloud Platform Team"/>
    <n v="15"/>
    <d v="2021-02-08T00:00:00"/>
    <s v="Low use"/>
    <n v="2"/>
    <n v="4"/>
    <m/>
    <s v="IaaS"/>
    <s v="ddpapp01"/>
    <n v="1"/>
    <s v="HP-UX 11i v3"/>
    <s v="Sybase ASE 15.7"/>
    <s v="Azure West Europe"/>
    <d v="2021-12-31T00:00:00"/>
    <s v="Structured"/>
    <n v="710"/>
    <s v="N"/>
    <n v="3"/>
    <s v="N"/>
    <s v="None"/>
    <n v="0"/>
    <s v="Y"/>
    <s v="N"/>
    <s v="Y"/>
    <n v="12000"/>
    <d v="2032-08-31T00:00:00"/>
    <n v="12000"/>
    <n v="12000"/>
    <n v="12"/>
    <n v="3"/>
    <x v="2"/>
    <x v="2"/>
    <x v="2"/>
    <x v="32"/>
    <x v="4"/>
    <s v="Retention requirement to be confirmed_x000a_Blocker: Regulatory retention requirement_x000a_Q: Can the archive move to the enterprise archive, or must it stay vendor-hosted?"/>
  </r>
  <r>
    <n v="13744"/>
    <s v="Custom Tax Compliance Tool (FR)"/>
    <s v="Tax"/>
    <s v="Finance"/>
    <s v="Partner"/>
    <s v="Pierre Roux"/>
    <s v="Tara Khanna"/>
    <s v="Cloud Platform Team"/>
    <n v="280"/>
    <d v="2021-04-15T00:00:00"/>
    <s v="Active"/>
    <n v="2"/>
    <n v="4"/>
    <s v="SAP Concur"/>
    <s v="On-prem DC"/>
    <s v="ctcapp01"/>
    <n v="1"/>
    <s v="SUSE Linux 11"/>
    <s v="Oracle 11g"/>
    <s v="Plant DC"/>
    <d v="2019-03-31T00:00:00"/>
    <s v="Unstructured"/>
    <n v="13"/>
    <s v="Y"/>
    <n v="7"/>
    <s v="N"/>
    <s v="None"/>
    <n v="1"/>
    <s v="Partial"/>
    <s v="Y"/>
    <s v="N"/>
    <n v="9000"/>
    <d v="2034-09-30T00:00:00"/>
    <n v="5500"/>
    <n v="8500"/>
    <n v="7.764705882352942"/>
    <n v="3"/>
    <x v="2"/>
    <x v="2"/>
    <x v="2"/>
    <x v="26"/>
    <x v="4"/>
    <s v="Awaiting dependency mapping"/>
  </r>
  <r>
    <n v="162363"/>
    <s v="Custom Contract Repository Classic"/>
    <s v="Contract Mgmt"/>
    <s v="Finance"/>
    <s v="Internal"/>
    <s v="Marc Laurent"/>
    <s v="Louis Faure"/>
    <s v="Wintel Platform Team"/>
    <n v="4"/>
    <d v="2021-04-01T00:00:00"/>
    <s v="Low use"/>
    <n v="4"/>
    <n v="2"/>
    <s v="SAP S/4HANA"/>
    <s v="On-prem DC"/>
    <s v="ccrapp01, ccrdb01"/>
    <n v="2"/>
    <s v="SUSE Linux 11"/>
    <s v="Oracle 11g"/>
    <s v="TBD"/>
    <d v="2019-03-31T00:00:00"/>
    <s v="Both"/>
    <n v="490"/>
    <s v="Y"/>
    <n v="5"/>
    <s v="Y"/>
    <s v="Read-only access"/>
    <n v="14"/>
    <s v="Partial"/>
    <s v="N"/>
    <s v="N"/>
    <n v="60000"/>
    <d v="2031-03-31T00:00:00"/>
    <n v="52000"/>
    <n v="47500"/>
    <n v="13.13684210526316"/>
    <n v="3"/>
    <x v="0"/>
    <x v="0"/>
    <x v="2"/>
    <x v="29"/>
    <x v="4"/>
    <s v="Retention requirement to be confirmed_x000a_Blocker: Month-end close dependency_x000a_Q: Can the cut-over avoid the quarter-end freeze?"/>
  </r>
  <r>
    <n v="116616"/>
    <s v="Regional Brand Asset Library (APAC)"/>
    <s v="Digital Assets"/>
    <s v="Marketing"/>
    <s v="Internal"/>
    <s v="Hannah Weber"/>
    <s v="Lena Fischer"/>
    <s v="SaaS Vendor Mgmt"/>
    <n v="554"/>
    <d v="2021-04-05T00:00:00"/>
    <s v="Active"/>
    <n v="3"/>
    <n v="2"/>
    <s v="HubSpot"/>
    <s v="SaaS"/>
    <s v="N/A (SaaS)"/>
    <n v="0"/>
    <s v="N/A"/>
    <s v="N/A"/>
    <s v="Vendor cloud (EU)"/>
    <m/>
    <s v="Structured"/>
    <n v="8840"/>
    <s v="Y"/>
    <n v="5"/>
    <s v="N"/>
    <s v="None"/>
    <n v="13"/>
    <s v="Partial"/>
    <s v="N"/>
    <s v="Partial"/>
    <n v="60000"/>
    <d v="2033-03-31T00:00:00"/>
    <n v="107500"/>
    <n v="36000"/>
    <n v="35.833333333333336"/>
    <n v="1"/>
    <x v="0"/>
    <x v="2"/>
    <x v="2"/>
    <x v="28"/>
    <x v="4"/>
    <s v="Awaiting dependency mapping"/>
  </r>
  <r>
    <n v="171674"/>
    <s v="Regional Recruitment Tracker"/>
    <s v="Recruitment"/>
    <s v="HR"/>
    <s v="Internal"/>
    <s v="Isabelle Singh"/>
    <s v="Kavya Reddy"/>
    <s v="Cloud Platform Team"/>
    <n v="0"/>
    <d v="2019-12-19T00:00:00"/>
    <s v="Not in use"/>
    <n v="2"/>
    <n v="3"/>
    <s v="Workday HCM"/>
    <s v="On-prem DC"/>
    <s v="rrtapp01, rrtdb01"/>
    <n v="2"/>
    <s v="Solaris 10"/>
    <s v="Oracle 11g"/>
    <s v="EU DC-1"/>
    <d v="2021-01-31T00:00:00"/>
    <s v="Structured"/>
    <n v="52"/>
    <s v="Y"/>
    <n v="5"/>
    <s v="Y"/>
    <s v="Archive + read-only"/>
    <n v="5"/>
    <s v="Partial"/>
    <s v="Partial"/>
    <s v="N"/>
    <n v="29500"/>
    <d v="2029-09-30T00:00:00"/>
    <n v="26000"/>
    <n v="25500"/>
    <n v="12.235294117647058"/>
    <n v="4"/>
    <x v="0"/>
    <x v="1"/>
    <x v="2"/>
    <x v="28"/>
    <x v="4"/>
    <s v="Business case under review with owner"/>
  </r>
  <r>
    <n v="11448"/>
    <s v="Legacy Order Entry Portal Lite"/>
    <s v="Order Entry"/>
    <s v="Sales"/>
    <s v="Internal"/>
    <s v="Karan Blanc"/>
    <s v="Omar Haddad"/>
    <s v="Cloud Platform Team"/>
    <n v="0"/>
    <d v="2020-12-10T00:00:00"/>
    <s v="Not in use"/>
    <n v="3"/>
    <n v="2"/>
    <m/>
    <s v="On-prem DC"/>
    <s v="loeapp01, loedb01"/>
    <n v="2"/>
    <s v="Windows Server 2012 R2"/>
    <s v="SQL Server 2012"/>
    <s v="TBD"/>
    <d v="2022-07-12T00:00:00"/>
    <s v="Structured"/>
    <n v="430"/>
    <s v="Y"/>
    <n v="10"/>
    <s v="Y"/>
    <s v="Archive + read-only"/>
    <n v="10"/>
    <s v="Partial"/>
    <s v="Y"/>
    <s v="Y"/>
    <n v="50000"/>
    <d v="2028-07-31T00:00:00"/>
    <n v="91000"/>
    <n v="26000"/>
    <n v="42"/>
    <n v="1"/>
    <x v="1"/>
    <x v="0"/>
    <x v="2"/>
    <x v="26"/>
    <x v="1"/>
    <s v="Read-only access needed for audit"/>
  </r>
  <r>
    <n v="184649"/>
    <s v="Safety Incident Tracker (Nordics)"/>
    <s v="Health &amp; Safety"/>
    <s v="Operations"/>
    <s v="Internal"/>
    <s v="Priya Sharma"/>
    <s v="Lena Fischer"/>
    <s v="Plant IT Services"/>
    <n v="183"/>
    <d v="2021-03-20T00:00:00"/>
    <s v="Active"/>
    <n v="1"/>
    <n v="3"/>
    <m/>
    <s v="On-prem DC"/>
    <s v="sitapp01, sitdb01, sitweb01, sitfs01"/>
    <n v="4"/>
    <s v="Solaris 10"/>
    <s v="Oracle 11g"/>
    <s v="Plant DC"/>
    <d v="2021-01-31T00:00:00"/>
    <s v="Structured"/>
    <n v="120"/>
    <s v="N"/>
    <n v="5"/>
    <s v="Y"/>
    <s v="Archive + read-only"/>
    <n v="6"/>
    <s v="Partial"/>
    <s v="N"/>
    <s v="N"/>
    <n v="80000"/>
    <d v="2028-05-31T00:00:00"/>
    <n v="74500"/>
    <n v="59500"/>
    <n v="15.025210084033613"/>
    <n v="2"/>
    <x v="1"/>
    <x v="0"/>
    <x v="2"/>
    <x v="33"/>
    <x v="4"/>
    <s v="Retention requirement to be confirmed_x000a_Blocker: Interface owners not yet identified_x000a_Q: Which teams consume the outbound feeds?"/>
  </r>
  <r>
    <n v="169487"/>
    <s v="Regional Intranet (SharePoint) (DE)"/>
    <s v="Collaboration"/>
    <s v="IT"/>
    <s v="External"/>
    <s v="Marc Laurent"/>
    <s v="Louis Faure"/>
    <s v="Infra Ops EMEA"/>
    <n v="4482"/>
    <d v="2021-03-16T00:00:00"/>
    <s v="Active"/>
    <n v="3"/>
    <n v="3"/>
    <m/>
    <s v="On-prem DC"/>
    <s v="risapp01"/>
    <n v="1"/>
    <s v="SUSE Linux 11"/>
    <s v="Oracle 11g"/>
    <s v="Plant DC"/>
    <d v="2019-03-31T00:00:00"/>
    <s v="Structured"/>
    <n v="210"/>
    <s v="Y"/>
    <n v="10"/>
    <s v="Y"/>
    <s v="Archive + read-only"/>
    <n v="6"/>
    <s v="Partial"/>
    <s v="N"/>
    <s v="N"/>
    <n v="34500"/>
    <d v="2029-06-30T00:00:00"/>
    <n v="30500"/>
    <n v="22500"/>
    <n v="16.266666666666666"/>
    <n v="1"/>
    <x v="1"/>
    <x v="0"/>
    <x v="2"/>
    <x v="26"/>
    <x v="4"/>
    <s v="Retention requirement to be confirmed"/>
  </r>
  <r>
    <n v="115441"/>
    <s v="Shared Shipment Tracker v4"/>
    <s v="Logistics"/>
    <s v="Supply Chain"/>
    <s v="Partner"/>
    <s v="Julia Rao"/>
    <s v="Lena Fischer"/>
    <s v="Infra Ops EMEA"/>
    <n v="738"/>
    <d v="2021-03-19T00:00:00"/>
    <s v="Active"/>
    <n v="5"/>
    <n v="2"/>
    <s v="SAP IBP"/>
    <s v="On-prem DC"/>
    <s v="sst-app01–07, sst-db01"/>
    <n v="8"/>
    <s v="HP-UX 11i v3"/>
    <s v="Sybase ASE 15.7"/>
    <s v="Plant DC"/>
    <d v="2021-12-31T00:00:00"/>
    <s v="Structured"/>
    <n v="360"/>
    <s v="N"/>
    <n v="1"/>
    <s v="N"/>
    <s v="None"/>
    <n v="22"/>
    <s v="N"/>
    <s v="Partial"/>
    <s v="N"/>
    <n v="125000"/>
    <d v="2034-09-30T00:00:00"/>
    <n v="76000"/>
    <n v="103500"/>
    <n v="8.8115942028985508"/>
    <n v="2"/>
    <x v="0"/>
    <x v="2"/>
    <x v="2"/>
    <x v="30"/>
    <x v="4"/>
    <s v="Replacement option being confirmed"/>
  </r>
  <r>
    <n v="146643"/>
    <s v="CMDB Lite (US)"/>
    <s v="Config Mgmt"/>
    <s v="IT"/>
    <s v="Internal"/>
    <s v="Thomas Moreau"/>
    <s v="Omar Haddad"/>
    <s v="SaaS Vendor Mgmt"/>
    <n v="5"/>
    <d v="2021-02-15T00:00:00"/>
    <s v="Low use"/>
    <n v="3"/>
    <n v="2"/>
    <m/>
    <s v="SaaS"/>
    <s v="N/A (SaaS)"/>
    <n v="0"/>
    <s v="N/A"/>
    <s v="N/A"/>
    <s v="Vendor cloud (EU)"/>
    <m/>
    <s v="Structured"/>
    <n v="39"/>
    <s v="Y"/>
    <n v="10"/>
    <s v="Y"/>
    <s v="Archive + read-only"/>
    <n v="23"/>
    <s v="Partial"/>
    <s v="N"/>
    <s v="Partial"/>
    <n v="110000"/>
    <d v="2034-11-30T00:00:00"/>
    <n v="284000"/>
    <n v="60000"/>
    <n v="56.8"/>
    <n v="1"/>
    <x v="1"/>
    <x v="0"/>
    <x v="2"/>
    <x v="34"/>
    <x v="1"/>
    <s v="Retention 10 yrs - archive slot booked"/>
  </r>
  <r>
    <n v="164311"/>
    <s v="Departmental AP Invoice Processor 2012"/>
    <s v="Accounts Payable"/>
    <s v="Finance"/>
    <s v="External"/>
    <s v="Nicolas Sharma"/>
    <s v="Ananya Pillai"/>
    <s v="Database Services"/>
    <n v="55"/>
    <d v="2021-04-21T00:00:00"/>
    <s v="Active"/>
    <n v="2"/>
    <n v="4"/>
    <s v="Anaplan"/>
    <s v="IaaS"/>
    <s v="daiapp01, daidb01"/>
    <n v="2"/>
    <s v="AIX 6.1"/>
    <s v="DB2 9.7"/>
    <s v="AWS eu-west-1"/>
    <d v="2017-04-30T00:00:00"/>
    <s v="Both"/>
    <n v="120"/>
    <s v="Y"/>
    <n v="7"/>
    <s v="Y"/>
    <s v="Archive + read-only"/>
    <n v="0"/>
    <s v="Partial"/>
    <s v="Partial"/>
    <s v="Partial"/>
    <n v="22500"/>
    <d v="2028-02-29T00:00:00"/>
    <n v="33000"/>
    <n v="15500"/>
    <n v="25.548387096774192"/>
    <n v="3"/>
    <x v="1"/>
    <x v="1"/>
    <x v="2"/>
    <x v="34"/>
    <x v="4"/>
    <s v="Awaiting dependency mapping"/>
  </r>
  <r>
    <n v="135747"/>
    <s v="Corporate Newsletter Mailer Lite"/>
    <s v="Email"/>
    <s v="Marketing"/>
    <s v="Internal"/>
    <s v="Sophie Dubois"/>
    <s v="Baptiste Henry"/>
    <s v="Unix Platform Team"/>
    <n v="0"/>
    <d v="2019-10-20T00:00:00"/>
    <s v="Not in use"/>
    <n v="3"/>
    <n v="4"/>
    <m/>
    <s v="On-prem DC"/>
    <s v="cnmapp01, cnmdb01"/>
    <n v="2"/>
    <s v="SUSE Linux 11"/>
    <s v="Oracle 11g"/>
    <s v="Plant DC"/>
    <d v="2019-03-31T00:00:00"/>
    <s v="Structured"/>
    <n v="1590"/>
    <s v="N"/>
    <n v="3"/>
    <s v="N"/>
    <s v="None"/>
    <n v="2"/>
    <s v="Partial"/>
    <s v="Partial"/>
    <s v="N"/>
    <n v="48000"/>
    <d v="2028-01-31T00:00:00"/>
    <n v="32000"/>
    <n v="46500"/>
    <n v="8.258064516129032"/>
    <n v="2"/>
    <x v="2"/>
    <x v="2"/>
    <x v="2"/>
    <x v="33"/>
    <x v="4"/>
    <s v="Awaiting dependency mapping"/>
  </r>
  <r>
    <n v="10949"/>
    <s v="Corporate Facilities Request Portal 2010"/>
    <s v="Facilities"/>
    <s v="Operations"/>
    <s v="Internal"/>
    <s v="Hannah Weber"/>
    <s v="Ananya Pillai"/>
    <s v="SaaS Vendor Mgmt"/>
    <n v="323"/>
    <d v="2021-03-19T00:00:00"/>
    <s v="Active"/>
    <n v="3"/>
    <n v="4"/>
    <s v="Fiix"/>
    <s v="SaaS"/>
    <s v="N/A (SaaS)"/>
    <n v="0"/>
    <s v="N/A"/>
    <s v="N/A"/>
    <s v="Vendor cloud (EU)"/>
    <d v="2026-01-31T00:00:00"/>
    <s v="Unstructured"/>
    <n v="700"/>
    <s v="N"/>
    <n v="5"/>
    <s v="Y"/>
    <s v="Data archive"/>
    <n v="3"/>
    <s v="Partial"/>
    <s v="N"/>
    <s v="Partial"/>
    <n v="7000"/>
    <d v="2029-07-31T00:00:00"/>
    <n v="10500"/>
    <n v="3500"/>
    <n v="36"/>
    <n v="1"/>
    <x v="0"/>
    <x v="1"/>
    <x v="2"/>
    <x v="24"/>
    <x v="1"/>
    <s v="5 feeds to re-point to Fiix"/>
  </r>
  <r>
    <n v="65417"/>
    <s v="Freight Booking Tool v3"/>
    <s v="Transport"/>
    <s v="Supply Chain"/>
    <s v="Internal"/>
    <s v="Pierre Roux"/>
    <s v="Manon Chevalier"/>
    <s v="Cloud Platform Team"/>
    <n v="17"/>
    <d v="2021-03-04T00:00:00"/>
    <s v="Low use"/>
    <n v="2"/>
    <n v="4"/>
    <s v="TBD"/>
    <s v="On-prem DC"/>
    <s v="fbtapp01, fbtdb01"/>
    <n v="2"/>
    <s v="Windows Server 2016"/>
    <s v="SQL Server 2016"/>
    <s v="Plant DC"/>
    <d v="2026-07-14T00:00:00"/>
    <s v="Structured"/>
    <n v="1430"/>
    <s v="N"/>
    <n v="3"/>
    <s v="Y"/>
    <s v="Archive + read-only"/>
    <n v="3"/>
    <s v="N"/>
    <s v="Partial"/>
    <s v="Partial"/>
    <n v="42000"/>
    <d v="2032-10-31T00:00:00"/>
    <n v="59500"/>
    <n v="28000"/>
    <n v="25.5"/>
    <n v="2"/>
    <x v="1"/>
    <x v="0"/>
    <x v="2"/>
    <x v="28"/>
    <x v="4"/>
    <s v="Business case under review with owner"/>
  </r>
  <r>
    <n v="26151"/>
    <s v="Regional Brand Asset Library 2010"/>
    <s v="Digital Assets"/>
    <s v="Marketing"/>
    <s v="Partner"/>
    <s v="Antoine Patel"/>
    <s v="Chloe Vidal"/>
    <s v="Wintel Platform Team"/>
    <n v="7"/>
    <d v="2020-12-28T00:00:00"/>
    <s v="Low use"/>
    <n v="2"/>
    <n v="4"/>
    <m/>
    <s v="On-prem DC"/>
    <s v="rbaapp01, rbadb01"/>
    <n v="2"/>
    <s v="Windows Server 2008 R2"/>
    <s v="SQL Server 2008 R2"/>
    <s v="US DC-1"/>
    <d v="2020-01-14T00:00:00"/>
    <s v="Structured"/>
    <n v="5"/>
    <s v="Y"/>
    <n v="7"/>
    <s v="N"/>
    <s v="None"/>
    <n v="1"/>
    <s v="Y"/>
    <s v="Partial"/>
    <s v="Y"/>
    <n v="50000"/>
    <d v="2025-12-31T00:00:00"/>
    <n v="30000"/>
    <n v="46000"/>
    <n v="7.8260869565217392"/>
    <n v="3"/>
    <x v="2"/>
    <x v="2"/>
    <x v="2"/>
    <x v="29"/>
    <x v="1"/>
    <s v="Owner sign-off received; switch-off scheduled"/>
  </r>
  <r>
    <n v="45270"/>
    <s v="Departmental Quote Manager (DE)"/>
    <s v="Quoting"/>
    <s v="Sales"/>
    <s v="Partner"/>
    <s v="Amelie Martin"/>
    <s v="Chloe Vidal"/>
    <s v="Cloud Platform Team"/>
    <n v="268"/>
    <d v="2021-04-08T00:00:00"/>
    <s v="Active"/>
    <n v="2"/>
    <n v="3"/>
    <s v="Salesforce"/>
    <s v="On-prem DC"/>
    <s v="fs-dqm02 (file share)"/>
    <n v="1"/>
    <s v="Windows Server 2012 R2"/>
    <s v="MS Access 2010"/>
    <s v="EU DC-2"/>
    <d v="2023-10-10T00:00:00"/>
    <s v="Structured"/>
    <n v="140"/>
    <s v="Y"/>
    <n v="7"/>
    <s v="N"/>
    <s v="None"/>
    <n v="7"/>
    <s v="Partial"/>
    <s v="Y"/>
    <s v="Partial"/>
    <n v="38500"/>
    <d v="2032-11-30T00:00:00"/>
    <n v="39000"/>
    <n v="26000"/>
    <n v="18"/>
    <n v="2"/>
    <x v="0"/>
    <x v="2"/>
    <x v="2"/>
    <x v="27"/>
    <x v="4"/>
    <s v="Replacement option being confirmed"/>
  </r>
  <r>
    <n v="150446"/>
    <s v="Departmental Order Entry Portal 2008"/>
    <s v="Order Entry"/>
    <s v="Sales"/>
    <s v="Internal"/>
    <s v="Arjun Lambert"/>
    <s v="Theo Lopez"/>
    <s v="Database Services"/>
    <n v="14"/>
    <d v="2021-01-16T00:00:00"/>
    <s v="Low use"/>
    <n v="1"/>
    <n v="3"/>
    <m/>
    <s v="On-prem DC"/>
    <s v="doeapp01, doedb01"/>
    <n v="2"/>
    <s v="RHEL 6"/>
    <s v="Oracle 11g"/>
    <s v="EU DC-1"/>
    <d v="2020-11-30T00:00:00"/>
    <s v="Structured"/>
    <n v="36"/>
    <s v="Y"/>
    <n v="10"/>
    <s v="N"/>
    <s v="None"/>
    <n v="1"/>
    <s v="Y"/>
    <s v="N"/>
    <s v="Y"/>
    <n v="33000"/>
    <d v="2026-01-31T00:00:00"/>
    <n v="19500"/>
    <n v="29000"/>
    <n v="8.068965517241379"/>
    <n v="3"/>
    <x v="2"/>
    <x v="2"/>
    <x v="2"/>
    <x v="28"/>
    <x v="4"/>
    <s v="Business case under review with owner"/>
  </r>
  <r>
    <n v="54545"/>
    <s v="Shared Licence Manager (US)"/>
    <s v="Licence Mgmt"/>
    <s v="IT"/>
    <s v="Internal"/>
    <s v="Laura Martin"/>
    <s v="Ananya Pillai"/>
    <s v="Infra Ops US"/>
    <n v="123"/>
    <d v="2021-04-02T00:00:00"/>
    <s v="Active"/>
    <n v="1"/>
    <n v="4"/>
    <s v="Splunk"/>
    <s v="On-prem DC"/>
    <s v="slmapp01, slmdb01"/>
    <n v="2"/>
    <s v="Ubuntu 16.04"/>
    <s v="MySQL 5.7"/>
    <s v="US DC-1"/>
    <d v="2021-04-30T00:00:00"/>
    <s v="Structured"/>
    <n v="330"/>
    <s v="N"/>
    <n v="2"/>
    <s v="Y"/>
    <s v="Reporting extract"/>
    <n v="3"/>
    <s v="Partial"/>
    <s v="Partial"/>
    <s v="N"/>
    <n v="47500"/>
    <d v="2025-11-30T00:00:00"/>
    <n v="57500"/>
    <n v="28500"/>
    <n v="24.210526315789473"/>
    <n v="3"/>
    <x v="0"/>
    <x v="1"/>
    <x v="2"/>
    <x v="24"/>
    <x v="1"/>
    <s v="Funding approved; migration to Splunk scheduled"/>
  </r>
  <r>
    <n v="146242"/>
    <s v="Legacy Timesheet Portal"/>
    <s v="Time &amp; Attendance"/>
    <s v="HR"/>
    <s v="Internal"/>
    <s v="Thomas Moreau"/>
    <s v="Baptiste Henry"/>
    <s v="SaaS Vendor Mgmt"/>
    <n v="0"/>
    <d v="2020-11-04T00:00:00"/>
    <s v="Not in use"/>
    <n v="3"/>
    <n v="2"/>
    <m/>
    <s v="SaaS"/>
    <s v="N/A (SaaS)"/>
    <n v="0"/>
    <s v="N/A"/>
    <s v="N/A"/>
    <s v="Vendor cloud (EU)"/>
    <m/>
    <s v="Both"/>
    <n v="52"/>
    <s v="Y"/>
    <n v="10"/>
    <s v="Y"/>
    <s v="Archive + read-only"/>
    <n v="23"/>
    <s v="N"/>
    <s v="N"/>
    <s v="Partial"/>
    <n v="23500"/>
    <d v="2033-12-31T00:00:00"/>
    <n v="46500"/>
    <n v="13500"/>
    <n v="41.333333333333336"/>
    <n v="1"/>
    <x v="1"/>
    <x v="0"/>
    <x v="2"/>
    <x v="27"/>
    <x v="4"/>
    <s v="Awaiting dependency mapping_x000a_Blocker: Regulatory retention requirement_x000a_Q: Can the archive move to the enterprise archive, or must it stay vendor-hosted?"/>
  </r>
  <r>
    <n v="47153"/>
    <s v="Regional Partner Portal (FR)"/>
    <s v="Partner Mgmt"/>
    <s v="Sales"/>
    <s v="Internal"/>
    <s v="Antoine Patel"/>
    <s v="Manon Chevalier"/>
    <s v="Database Services"/>
    <n v="17"/>
    <d v="2021-03-23T00:00:00"/>
    <s v="Low use"/>
    <n v="3"/>
    <n v="4"/>
    <s v="Xactly"/>
    <s v="On-prem DC"/>
    <s v="rppapp01, rppdb01, rppweb01, rppfs01"/>
    <n v="4"/>
    <s v="Windows Server 2008"/>
    <s v="SQL Server 2008"/>
    <s v="US DC-1"/>
    <d v="2019-07-09T00:00:00"/>
    <s v="Structured"/>
    <n v="190"/>
    <s v="Y"/>
    <n v="10"/>
    <s v="N"/>
    <s v="None"/>
    <n v="3"/>
    <s v="Partial"/>
    <s v="Y"/>
    <s v="N"/>
    <n v="70000"/>
    <d v="2029-01-31T00:00:00"/>
    <n v="90500"/>
    <n v="69000"/>
    <n v="15.739130434782609"/>
    <n v="3"/>
    <x v="2"/>
    <x v="2"/>
    <x v="2"/>
    <x v="24"/>
    <x v="4"/>
    <s v="Replacement option being confirmed_x000a_Blocker: Archive platform capacity not confirmed_x000a_Q: Can the enterprise archive take this volume this year?"/>
  </r>
  <r>
    <n v="165932"/>
    <s v="GL Consolidation Tool"/>
    <s v="General Ledger"/>
    <s v="Finance"/>
    <s v="Internal"/>
    <s v="Diego Alvarez"/>
    <s v="Sameer Joshi"/>
    <s v="Wintel Platform Team"/>
    <n v="6"/>
    <d v="2020-10-14T00:00:00"/>
    <s v="Not in use"/>
    <n v="2"/>
    <n v="3"/>
    <s v="Anaplan"/>
    <s v="On-prem DC"/>
    <s v="gctapp01, gctdb01"/>
    <n v="2"/>
    <s v="HP-UX 11i v3"/>
    <s v="Sybase ASE 15.7"/>
    <s v="US DC-1"/>
    <d v="2021-12-31T00:00:00"/>
    <s v="Structured"/>
    <n v="3880"/>
    <s v="Y"/>
    <n v="10"/>
    <s v="Y"/>
    <s v="Legal hold"/>
    <n v="6"/>
    <s v="Partial"/>
    <s v="Y"/>
    <s v="Partial"/>
    <n v="32000"/>
    <d v="2031-02-28T00:00:00"/>
    <n v="36500"/>
    <n v="25500"/>
    <n v="17.176470588235293"/>
    <n v="4"/>
    <x v="1"/>
    <x v="0"/>
    <x v="2"/>
    <x v="25"/>
    <x v="4"/>
    <s v="Retention requirement to be confirmed"/>
  </r>
  <r>
    <n v="126385"/>
    <s v="Custom Fleet Manager"/>
    <s v="Fleet"/>
    <s v="Operations"/>
    <s v="Internal"/>
    <s v="Marc Laurent"/>
    <s v="Tara Khanna"/>
    <s v="SaaS Vendor Mgmt"/>
    <n v="3"/>
    <d v="2020-10-13T00:00:00"/>
    <s v="Not in use"/>
    <n v="2"/>
    <n v="4"/>
    <s v="SAP EAM"/>
    <s v="SaaS"/>
    <s v="N/A (SaaS)"/>
    <n v="0"/>
    <s v="N/A"/>
    <s v="N/A"/>
    <s v="Vendor cloud (EU)"/>
    <m/>
    <s v="Unstructured"/>
    <n v="410"/>
    <s v="Y"/>
    <n v="7"/>
    <s v="N"/>
    <s v="None"/>
    <n v="0"/>
    <s v="N"/>
    <s v="N"/>
    <s v="Partial"/>
    <n v="120000"/>
    <d v="2029-09-30T00:00:00"/>
    <n v="85500"/>
    <n v="76500"/>
    <n v="13.411764705882353"/>
    <n v="3"/>
    <x v="2"/>
    <x v="2"/>
    <x v="2"/>
    <x v="32"/>
    <x v="1"/>
    <s v="No active users; switch-off confirmed with owner"/>
  </r>
  <r>
    <n v="57928"/>
    <s v="Corporate Batch Scheduler Classic"/>
    <s v="Batch Scheduling"/>
    <s v="IT"/>
    <s v="External"/>
    <s v="Meera Dubois"/>
    <s v="Ishaan Desai"/>
    <s v="Plant IT Services"/>
    <n v="621"/>
    <d v="2021-04-23T00:00:00"/>
    <s v="Active"/>
    <n v="4"/>
    <n v="1"/>
    <s v="Azure Monitor"/>
    <s v="PaaS"/>
    <s v="Azure App Service (PaaS)"/>
    <n v="0"/>
    <s v="N/A (PaaS)"/>
    <s v="Cosmos DB"/>
    <s v="Azure West Europe"/>
    <m/>
    <s v="Both"/>
    <n v="250"/>
    <s v="Y"/>
    <n v="10"/>
    <s v="N"/>
    <s v="None"/>
    <n v="89"/>
    <s v="Y"/>
    <s v="Partial"/>
    <s v="Y"/>
    <n v="47500"/>
    <d v="2026-07-31T00:00:00"/>
    <n v="163000"/>
    <n v="35000"/>
    <n v="55.885714285714286"/>
    <n v="1"/>
    <x v="0"/>
    <x v="2"/>
    <x v="2"/>
    <x v="33"/>
    <x v="4"/>
    <s v="Replacement option being confirmed"/>
  </r>
  <r>
    <n v="192487"/>
    <s v="CMDB Lite (Nordics)"/>
    <s v="Config Mgmt"/>
    <s v="IT"/>
    <s v="Internal"/>
    <s v="Claire Mehta"/>
    <s v="Chloe Vidal"/>
    <s v="Cloud Platform Team"/>
    <n v="24"/>
    <d v="2021-04-23T00:00:00"/>
    <s v="Low use"/>
    <n v="1"/>
    <n v="4"/>
    <m/>
    <s v="IaaS"/>
    <s v="clnapp01, clndb01"/>
    <n v="2"/>
    <s v="AIX 6.1"/>
    <s v="DB2 9.7"/>
    <s v="AWS us-east-1"/>
    <d v="2017-04-30T00:00:00"/>
    <s v="Both"/>
    <n v="280"/>
    <s v="N"/>
    <n v="3"/>
    <s v="N"/>
    <s v="None"/>
    <n v="1"/>
    <s v="Partial"/>
    <s v="Y"/>
    <s v="N"/>
    <n v="26000"/>
    <d v="2027-10-31T00:00:00"/>
    <n v="18000"/>
    <n v="25000"/>
    <n v="8.64"/>
    <n v="3"/>
    <x v="2"/>
    <x v="2"/>
    <x v="2"/>
    <x v="35"/>
    <x v="4"/>
    <s v="Business case under review with owner_x000a_Blocker: Legal sign-off on retention_x000a_Q: Who owns the retention decision for archived records?"/>
  </r>
  <r>
    <n v="141278"/>
    <s v="Global Fleet Manager Classic"/>
    <s v="Fleet"/>
    <s v="Operations"/>
    <s v="Internal"/>
    <s v="Karan Blanc"/>
    <s v="Adrien Colin"/>
    <s v="Plant IT Services"/>
    <n v="15"/>
    <d v="2021-02-03T00:00:00"/>
    <s v="Low use"/>
    <n v="1"/>
    <n v="4"/>
    <m/>
    <s v="On-prem DC"/>
    <s v="gfmapp01, gfmdb01, gfmweb01"/>
    <n v="3"/>
    <s v="SUSE Linux 11"/>
    <s v="Oracle 11g"/>
    <s v="TBD"/>
    <d v="2019-03-31T00:00:00"/>
    <s v="Structured"/>
    <n v="1670"/>
    <s v="Y"/>
    <n v="7"/>
    <s v="Y"/>
    <s v="Archive + read-only"/>
    <n v="3"/>
    <s v="Y"/>
    <s v="N"/>
    <s v="Y"/>
    <n v="47000"/>
    <d v="2031-11-30T00:00:00"/>
    <n v="70000"/>
    <n v="30000"/>
    <n v="28"/>
    <n v="3"/>
    <x v="1"/>
    <x v="0"/>
    <x v="2"/>
    <x v="35"/>
    <x v="4"/>
    <s v="Replacement option being confirmed"/>
  </r>
  <r>
    <n v="80341"/>
    <s v="Shared Timesheet Portal v3"/>
    <s v="Time &amp; Attendance"/>
    <s v="HR"/>
    <s v="Partner"/>
    <s v="Laura Martin"/>
    <s v="Kavya Reddy"/>
    <s v="Cloud Platform Team"/>
    <n v="0"/>
    <d v="2020-09-08T00:00:00"/>
    <s v="Not in use"/>
    <n v="2"/>
    <n v="4"/>
    <s v="TBD"/>
    <s v="IaaS"/>
    <s v="stpapp01, stpdb01"/>
    <n v="2"/>
    <s v="Solaris 10"/>
    <s v="Oracle 11g"/>
    <s v="AWS eu-west-1"/>
    <d v="2021-01-31T00:00:00"/>
    <s v="Both"/>
    <n v="50"/>
    <s v="Y"/>
    <n v="7"/>
    <s v="Y"/>
    <s v="Archive + read-only"/>
    <n v="3"/>
    <s v="Partial"/>
    <s v="N"/>
    <s v="Partial"/>
    <n v="16500"/>
    <d v="2033-05-31T00:00:00"/>
    <n v="24000"/>
    <n v="12000"/>
    <n v="24"/>
    <n v="3"/>
    <x v="1"/>
    <x v="1"/>
    <x v="2"/>
    <x v="33"/>
    <x v="4"/>
    <s v="Retention requirement to be confirmed_x000a_Blocker: Archive platform capacity not confirmed_x000a_Q: Can the enterprise archive take this volume this year?"/>
  </r>
  <r>
    <n v="148766"/>
    <s v="Custom Web Analytics Mart"/>
    <s v="Analytics"/>
    <s v="Marketing"/>
    <s v="External"/>
    <s v="Marc Laurent"/>
    <s v="Tara Khanna"/>
    <s v="Infra Ops US"/>
    <n v="14"/>
    <d v="2021-01-30T00:00:00"/>
    <s v="Low use"/>
    <n v="3"/>
    <n v="3"/>
    <s v="Eventbrite"/>
    <s v="IaaS"/>
    <s v="cwaapp01, cwadb01, cwaweb01"/>
    <n v="3"/>
    <s v="Windows Server 2016"/>
    <s v="SQL Server 2017"/>
    <s v="AWS us-east-1"/>
    <d v="2027-01-12T00:00:00"/>
    <s v="Unstructured"/>
    <n v="1080"/>
    <s v="Y"/>
    <n v="5"/>
    <s v="Y"/>
    <s v="Read-only access"/>
    <n v="8"/>
    <s v="Partial"/>
    <s v="N"/>
    <s v="N"/>
    <n v="23500"/>
    <d v="2025-07-31T00:00:00"/>
    <n v="53500"/>
    <n v="18500"/>
    <n v="34.702702702702709"/>
    <n v="2"/>
    <x v="0"/>
    <x v="0"/>
    <x v="2"/>
    <x v="31"/>
    <x v="4"/>
    <s v="Business case under review with owner"/>
  </r>
  <r>
    <n v="181546"/>
    <s v="Fleet Manager"/>
    <s v="Fleet"/>
    <s v="Operations"/>
    <s v="External"/>
    <s v="Hannah Weber"/>
    <s v="Sameer Joshi"/>
    <s v="Cloud Platform Team"/>
    <n v="4"/>
    <d v="2021-03-15T00:00:00"/>
    <s v="Low use"/>
    <n v="4"/>
    <n v="2"/>
    <s v="ServiceMax (planned)"/>
    <s v="On-prem DC"/>
    <s v="fmxapp01, fmxdb01, fmxweb01, fmxfs01"/>
    <n v="4"/>
    <s v="Ubuntu 16.04"/>
    <s v="MySQL 5.7"/>
    <s v="TBD"/>
    <d v="2021-04-30T00:00:00"/>
    <s v="Structured"/>
    <n v="210"/>
    <s v="N"/>
    <n v="3"/>
    <s v="N"/>
    <s v="None"/>
    <n v="16"/>
    <s v="Y"/>
    <s v="N"/>
    <s v="N"/>
    <n v="75000"/>
    <d v="2026-05-31T00:00:00"/>
    <n v="94000"/>
    <n v="69500"/>
    <n v="16.230215827338128"/>
    <n v="3"/>
    <x v="2"/>
    <x v="2"/>
    <x v="2"/>
    <x v="28"/>
    <x v="4"/>
    <s v="Awaiting dependency mapping_x000a_Blocker: Regulatory retention requirement_x000a_Q: Can the archive move to the enterprise archive, or must it stay vendor-hosted?"/>
  </r>
  <r>
    <n v="26048"/>
    <s v="Global Survey Tool Classic"/>
    <s v="Market Research"/>
    <s v="Marketing"/>
    <s v="Internal"/>
    <s v="Elena Garcia"/>
    <s v="Remi Masson"/>
    <s v="Cloud Platform Team"/>
    <n v="14"/>
    <d v="2021-04-13T00:00:00"/>
    <s v="Low use"/>
    <n v="2"/>
    <n v="3"/>
    <s v="Eventbrite"/>
    <s v="On-prem DC"/>
    <s v="gstapp01, gstdb01, gstweb01"/>
    <n v="3"/>
    <s v="TBD"/>
    <s v="Oracle 11g"/>
    <s v="TBD"/>
    <d v="2020-11-30T00:00:00"/>
    <s v="Structured"/>
    <n v="470"/>
    <s v="Y"/>
    <n v="5"/>
    <s v="N"/>
    <s v="None"/>
    <n v="4"/>
    <s v="Partial"/>
    <s v="Partial"/>
    <s v="N"/>
    <n v="23500"/>
    <d v="2030-12-31T00:00:00"/>
    <n v="24500"/>
    <n v="22500"/>
    <n v="13.066666666666666"/>
    <n v="4"/>
    <x v="2"/>
    <x v="2"/>
    <x v="2"/>
    <x v="30"/>
    <x v="4"/>
    <s v="Business case under review with owner"/>
  </r>
  <r>
    <n v="53405"/>
    <s v="Legacy Contract Repository"/>
    <s v="Contract Mgmt"/>
    <s v="Finance"/>
    <s v="Internal"/>
    <s v="Julien Petit"/>
    <s v="Remi Masson"/>
    <s v="Infra Ops US"/>
    <n v="636"/>
    <d v="2021-04-11T00:00:00"/>
    <s v="Active"/>
    <n v="4"/>
    <n v="2"/>
    <s v="Anaplan (planned)"/>
    <s v="On-prem DC"/>
    <s v="lcr-app01–04, lcr-db01"/>
    <n v="5"/>
    <s v="Ubuntu 18.04"/>
    <s v="PostgreSQL 10"/>
    <s v="US DC-1"/>
    <d v="2023-05-31T00:00:00"/>
    <s v="Structured"/>
    <n v="340"/>
    <s v="N"/>
    <n v="3"/>
    <s v="N"/>
    <s v="None"/>
    <n v="21"/>
    <s v="Y"/>
    <s v="Partial"/>
    <s v="Partial"/>
    <n v="70000"/>
    <d v="2025-06-30T00:00:00"/>
    <n v="81500"/>
    <n v="60500"/>
    <n v="16.165289256198346"/>
    <n v="1"/>
    <x v="0"/>
    <x v="2"/>
    <x v="2"/>
    <x v="31"/>
    <x v="4"/>
    <s v="Replacement option being confirmed"/>
  </r>
  <r>
    <n v="94558"/>
    <s v="Regional Supplier Portal v4"/>
    <s v="Supplier Mgmt"/>
    <s v="Supply Chain"/>
    <s v="Internal"/>
    <s v="Thomas Moreau"/>
    <s v="Sameer Joshi"/>
    <s v="SaaS Vendor Mgmt"/>
    <n v="0"/>
    <d v="2021-01-08T00:00:00"/>
    <s v="Not in use"/>
    <n v="1"/>
    <n v="4"/>
    <m/>
    <s v="SaaS"/>
    <s v="N/A (SaaS)"/>
    <n v="0"/>
    <s v="N/A"/>
    <s v="N/A"/>
    <s v="Vendor cloud (EU)"/>
    <m/>
    <s v="Structured"/>
    <n v="1390"/>
    <s v="Y"/>
    <n v="10"/>
    <s v="Y"/>
    <s v="Read-only access"/>
    <n v="3"/>
    <s v="Partial"/>
    <s v="N"/>
    <s v="Y"/>
    <n v="38500"/>
    <d v="2030-01-31T00:00:00"/>
    <n v="86000"/>
    <n v="20000"/>
    <n v="51.599999999999994"/>
    <n v="2"/>
    <x v="1"/>
    <x v="0"/>
    <x v="2"/>
    <x v="24"/>
    <x v="4"/>
    <s v="Business case under review with owner_x000a_Blocker: Replacement not yet funded_x000a_Q: Is budget confirmed in the next planning cycle?"/>
  </r>
  <r>
    <n v="66542"/>
    <s v="Regional Warehouse Mgmt System v3"/>
    <s v="Warehouse Mgmt"/>
    <s v="Supply Chain"/>
    <s v="Internal"/>
    <s v="Oscar Lindqvist"/>
    <s v="Varun Malhotra"/>
    <s v="Infra Ops EMEA"/>
    <n v="564"/>
    <d v="2021-03-29T00:00:00"/>
    <s v="Active"/>
    <n v="4"/>
    <n v="1"/>
    <s v="SAP EWM"/>
    <s v="On-prem DC"/>
    <s v="rwm-app01–05, rwm-db01"/>
    <n v="6"/>
    <s v="Ubuntu 18.04"/>
    <s v="PostgreSQL 10"/>
    <s v="Plant DC"/>
    <d v="2023-05-31T00:00:00"/>
    <s v="Both"/>
    <n v="180"/>
    <s v="N"/>
    <n v="7"/>
    <s v="Y"/>
    <s v="Data archive"/>
    <n v="90"/>
    <s v="N"/>
    <s v="N"/>
    <s v="Y"/>
    <n v="355000"/>
    <d v="2025-02-28T00:00:00"/>
    <n v="1206500"/>
    <n v="213500"/>
    <n v="67.81264637002343"/>
    <n v="1"/>
    <x v="0"/>
    <x v="0"/>
    <x v="2"/>
    <x v="29"/>
    <x v="4"/>
    <s v="Business case under review with owner"/>
  </r>
  <r>
    <n v="118544"/>
    <s v="Corporate Freight Booking Tool Lite"/>
    <s v="Transport"/>
    <s v="Supply Chain"/>
    <s v="External"/>
    <s v="Arjun Lambert"/>
    <s v="Chloe Vidal"/>
    <s v="Infra Ops EMEA"/>
    <n v="0"/>
    <d v="2021-03-27T00:00:00"/>
    <s v="Not in use"/>
    <n v="3"/>
    <n v="4"/>
    <m/>
    <s v="On-prem DC"/>
    <s v="cfbapp01, cfbdb01"/>
    <n v="2"/>
    <s v="SUSE Linux 11"/>
    <s v="Oracle 11g"/>
    <s v="EU DC-1"/>
    <s v="TBD"/>
    <s v="Structured"/>
    <n v="51"/>
    <s v="N"/>
    <n v="2"/>
    <s v="N"/>
    <s v="None"/>
    <n v="2"/>
    <s v="Y"/>
    <s v="Y"/>
    <s v="Partial"/>
    <n v="37500"/>
    <d v="2033-12-31T00:00:00"/>
    <n v="43000"/>
    <n v="34000"/>
    <n v="15.176470588235293"/>
    <n v="1"/>
    <x v="2"/>
    <x v="2"/>
    <x v="2"/>
    <x v="25"/>
    <x v="1"/>
    <s v="Functionality covered by existing tools_x000a_Blocker: Legal sign-off on retention_x000a_Q: Who owns the retention decision for archived records?"/>
  </r>
  <r>
    <n v="72379"/>
    <s v="Global Fleet Manager (US)"/>
    <s v="Fleet"/>
    <s v="Operations"/>
    <s v="Partner"/>
    <s v="Hannah Weber"/>
    <s v="Lena Fischer"/>
    <s v="Unix Platform Team"/>
    <n v="8"/>
    <d v="2021-04-26T00:00:00"/>
    <s v="Low use"/>
    <n v="3"/>
    <n v="2"/>
    <s v="Fiix"/>
    <s v="PaaS"/>
    <s v="Azure App Service (PaaS)"/>
    <n v="0"/>
    <s v="N/A (PaaS)"/>
    <s v="Cosmos DB"/>
    <s v="Azure West Europe"/>
    <m/>
    <s v="Structured"/>
    <n v="71"/>
    <s v="N"/>
    <n v="1"/>
    <s v="N"/>
    <s v="None"/>
    <n v="23"/>
    <s v="Partial"/>
    <s v="Y"/>
    <s v="Y"/>
    <n v="34500"/>
    <d v="2031-09-30T00:00:00"/>
    <n v="54000"/>
    <n v="29500"/>
    <n v="21.966101694915253"/>
    <n v="2"/>
    <x v="2"/>
    <x v="2"/>
    <x v="2"/>
    <x v="28"/>
    <x v="4"/>
    <s v="Replacement option being confirmed"/>
  </r>
  <r>
    <n v="195490"/>
    <s v="Monitoring Console v3"/>
    <s v="Monitoring"/>
    <s v="IT"/>
    <s v="Internal"/>
    <s v="Isabelle Singh"/>
    <s v="Sameer Joshi"/>
    <s v="Wintel Platform Team"/>
    <n v="336"/>
    <d v="2021-03-22T00:00:00"/>
    <s v="Active"/>
    <n v="2"/>
    <n v="4"/>
    <m/>
    <s v="IaaS"/>
    <s v="mcvapp01, mcvdb01"/>
    <n v="2"/>
    <s v="SUSE Linux 11"/>
    <s v="Oracle 11g"/>
    <s v="Azure West Europe"/>
    <d v="2019-03-31T00:00:00"/>
    <s v="Structured"/>
    <n v="110"/>
    <s v="Y"/>
    <n v="7"/>
    <s v="Y"/>
    <s v="Data archive"/>
    <n v="3"/>
    <s v="N"/>
    <s v="Y"/>
    <s v="N"/>
    <n v="14500"/>
    <d v="2033-05-31T00:00:00"/>
    <n v="16500"/>
    <n v="11500"/>
    <n v="17.217391304347824"/>
    <n v="2"/>
    <x v="1"/>
    <x v="1"/>
    <x v="2"/>
    <x v="30"/>
    <x v="4"/>
    <s v="Replacement option being confirmed_x000a_Blocker: Replacement not yet funded_x000a_Q: Is budget confirmed in the next planning cycle?"/>
  </r>
  <r>
    <n v="112173"/>
    <s v="Legacy Partner Portal v4"/>
    <s v="Partner Mgmt"/>
    <s v="Sales"/>
    <s v="External"/>
    <s v="Pierre Roux"/>
    <s v="Sameer Joshi"/>
    <s v="Unix Platform Team"/>
    <n v="4"/>
    <d v="2020-09-01T00:00:00"/>
    <s v="Not in use"/>
    <n v="1"/>
    <n v="4"/>
    <m/>
    <s v="On-prem DC"/>
    <s v="lppapp01, lppdb01, lppweb01, lppfs01"/>
    <n v="4"/>
    <s v="Ubuntu 16.04"/>
    <s v="MySQL 5.7"/>
    <s v="EU DC-2"/>
    <d v="2021-04-30T00:00:00"/>
    <s v="Unstructured"/>
    <n v="1230"/>
    <s v="Y"/>
    <n v="10"/>
    <s v="Y"/>
    <s v="Legal hold"/>
    <n v="0"/>
    <s v="N"/>
    <s v="Y"/>
    <s v="Partial"/>
    <n v="50000"/>
    <d v="2035-11-30T00:00:00"/>
    <n v="100000"/>
    <n v="32000"/>
    <n v="37.5"/>
    <n v="3"/>
    <x v="1"/>
    <x v="0"/>
    <x v="2"/>
    <x v="28"/>
    <x v="4"/>
    <s v="Business case under review with owner"/>
  </r>
  <r>
    <n v="141361"/>
    <s v="Legacy Production Scheduler (FR)"/>
    <s v="Production Planning"/>
    <s v="Operations"/>
    <s v="External"/>
    <s v="Camille Fontaine"/>
    <s v="Tara Khanna"/>
    <s v="Database Services"/>
    <n v="430"/>
    <d v="2021-04-27T00:00:00"/>
    <s v="Active"/>
    <n v="2"/>
    <n v="3"/>
    <m/>
    <s v="On-prem DC"/>
    <s v="lpsapp01"/>
    <n v="1"/>
    <s v="Windows Server 2008"/>
    <s v="SQL Server 2008"/>
    <s v="US DC-1"/>
    <d v="2019-07-09T00:00:00"/>
    <s v="Unstructured"/>
    <n v="8050"/>
    <s v="N"/>
    <n v="3"/>
    <s v="Y"/>
    <s v="Data archive"/>
    <n v="8"/>
    <s v="Partial"/>
    <s v="Partial"/>
    <s v="Partial"/>
    <n v="19000"/>
    <d v="2032-07-31T00:00:00"/>
    <n v="39500"/>
    <n v="10500"/>
    <n v="45.142857142857139"/>
    <n v="2"/>
    <x v="1"/>
    <x v="0"/>
    <x v="2"/>
    <x v="25"/>
    <x v="4"/>
    <s v="Business case under review with owner"/>
  </r>
  <r>
    <n v="83144"/>
    <s v="Custom Quality Incident Log (US)"/>
    <s v="Quality"/>
    <s v="Operations"/>
    <s v="Internal"/>
    <s v="Laura Martin"/>
    <s v="Manon Chevalier"/>
    <s v="SaaS Vendor Mgmt"/>
    <n v="5"/>
    <d v="2019-12-07T00:00:00"/>
    <s v="Not in use"/>
    <n v="1"/>
    <n v="4"/>
    <s v="Intelex"/>
    <s v="SaaS"/>
    <s v="N/A (SaaS)"/>
    <n v="0"/>
    <s v="N/A"/>
    <s v="N/A"/>
    <s v="Vendor cloud (EU)"/>
    <d v="2024-03-31T00:00:00"/>
    <s v="Unstructured"/>
    <n v="1630"/>
    <s v="Y"/>
    <n v="5"/>
    <s v="N"/>
    <s v="None"/>
    <n v="3"/>
    <s v="Y"/>
    <s v="N"/>
    <s v="N"/>
    <n v="60000"/>
    <d v="2034-07-31T00:00:00"/>
    <n v="89000"/>
    <n v="38500"/>
    <n v="27.740259740259742"/>
    <n v="3"/>
    <x v="2"/>
    <x v="2"/>
    <x v="2"/>
    <x v="30"/>
    <x v="4"/>
    <s v="Business case under review with owner_x000a_Blocker: Replacement not yet funded_x000a_Q: Is budget confirmed in the next planning cycle?"/>
  </r>
  <r>
    <n v="108832"/>
    <s v="Corporate Order Entry Portal 2008"/>
    <s v="Order Entry"/>
    <s v="Sales"/>
    <s v="Internal"/>
    <s v="Julien Petit"/>
    <s v="Ishaan Desai"/>
    <s v="Database Services"/>
    <n v="13"/>
    <d v="2020-12-27T00:00:00"/>
    <s v="Low use"/>
    <n v="1"/>
    <n v="4"/>
    <m/>
    <s v="On-prem DC"/>
    <s v="coeapp01, coedb01"/>
    <n v="2"/>
    <s v="Windows Server 2019"/>
    <s v="SQL Server 2019"/>
    <s v="EU DC-1"/>
    <d v="2029-01-09T00:00:00"/>
    <s v="Both"/>
    <n v="36"/>
    <s v="Y"/>
    <n v="5"/>
    <s v="N"/>
    <s v="None"/>
    <n v="1"/>
    <s v="Partial"/>
    <s v="Partial"/>
    <s v="Partial"/>
    <n v="39000"/>
    <d v="2033-06-30T00:00:00"/>
    <n v="40000"/>
    <n v="35000"/>
    <n v="13.714285714285714"/>
    <n v="2"/>
    <x v="2"/>
    <x v="2"/>
    <x v="2"/>
    <x v="25"/>
    <x v="4"/>
    <s v="Business case under review with owner_x000a_Blocker: Regulatory retention requirement_x000a_Q: Can the archive move to the enterprise archive, or must it stay vendor-hosted?"/>
  </r>
  <r>
    <n v="86416"/>
    <s v="Cash Position Reporter (UK)"/>
    <s v="Treasury"/>
    <s v="Finance"/>
    <s v="Internal"/>
    <s v="Arjun Lambert"/>
    <s v="Kavya Reddy"/>
    <s v="Infra Ops EMEA"/>
    <n v="9"/>
    <d v="2021-01-25T00:00:00"/>
    <s v="Low use"/>
    <n v="3"/>
    <n v="3"/>
    <s v="Icertis CLM (planned)"/>
    <s v="On-prem DC"/>
    <s v="cprapp01, cprdb01, cprweb01, cprfs01"/>
    <n v="4"/>
    <s v="RHEL 6"/>
    <s v="Oracle 11g"/>
    <s v="TBD"/>
    <d v="2020-11-30T00:00:00"/>
    <s v="Both"/>
    <n v="70"/>
    <s v="N"/>
    <n v="3"/>
    <s v="Y"/>
    <s v="Read-only access"/>
    <n v="1"/>
    <s v="Y"/>
    <s v="Partial"/>
    <s v="Y"/>
    <n v="70000"/>
    <d v="2035-04-30T00:00:00"/>
    <n v="52000"/>
    <n v="43000"/>
    <n v="14.511627906976743"/>
    <n v="3"/>
    <x v="1"/>
    <x v="1"/>
    <x v="2"/>
    <x v="24"/>
    <x v="4"/>
    <s v="Retention requirement to be confirmed"/>
  </r>
  <r>
    <n v="39498"/>
    <s v="Legacy Intranet (SharePoint) Lite"/>
    <s v="Collaboration"/>
    <s v="IT"/>
    <s v="Partner"/>
    <s v="Karan Blanc"/>
    <s v="Lena Fischer"/>
    <s v="Plant IT Services"/>
    <n v="4"/>
    <d v="2020-05-02T00:00:00"/>
    <s v="Not in use"/>
    <n v="2"/>
    <n v="4"/>
    <m/>
    <s v="On-prem DC"/>
    <s v="lisapp01, lisdb01, lisweb01, lisfs01"/>
    <n v="4"/>
    <s v="RHEL 6"/>
    <s v="Oracle 11g"/>
    <s v="EU DC-1"/>
    <d v="2020-11-30T00:00:00"/>
    <s v="Both"/>
    <n v="37"/>
    <s v="Y"/>
    <n v="7"/>
    <s v="Y"/>
    <s v="Reporting extract"/>
    <n v="2"/>
    <s v="Partial"/>
    <s v="N"/>
    <s v="Y"/>
    <n v="65000"/>
    <d v="2032-09-30T00:00:00"/>
    <n v="107500"/>
    <n v="46500"/>
    <n v="27.741935483870968"/>
    <n v="3"/>
    <x v="1"/>
    <x v="1"/>
    <x v="2"/>
    <x v="26"/>
    <x v="4"/>
    <s v="Retention requirement to be confirmed"/>
  </r>
  <r>
    <n v="72229"/>
    <s v="Legacy Licence Manager (DE)"/>
    <s v="Licence Mgmt"/>
    <s v="IT"/>
    <s v="Internal"/>
    <s v="Anika Patel"/>
    <s v="Ananya Pillai"/>
    <s v="Plant IT Services"/>
    <n v="0"/>
    <d v="2021-04-01T00:00:00"/>
    <s v="Not in use"/>
    <n v="2"/>
    <n v="3"/>
    <m/>
    <s v="PaaS"/>
    <s v="Azure App Service (PaaS)"/>
    <n v="0"/>
    <s v="N/A (PaaS)"/>
    <s v="Azure SQL"/>
    <s v="Azure West Europe"/>
    <m/>
    <s v="Both"/>
    <n v="310"/>
    <s v="N"/>
    <n v="7"/>
    <s v="N"/>
    <s v="None"/>
    <n v="4"/>
    <s v="N"/>
    <s v="Y"/>
    <s v="Partial"/>
    <n v="19500"/>
    <d v="2034-06-30T00:00:00"/>
    <n v="18500"/>
    <n v="19500"/>
    <n v="11.384615384615383"/>
    <n v="2"/>
    <x v="2"/>
    <x v="2"/>
    <x v="2"/>
    <x v="30"/>
    <x v="4"/>
    <s v="Retention requirement to be confirmed"/>
  </r>
  <r>
    <n v="136172"/>
    <s v="Shared Production Scheduler (UK)"/>
    <s v="Production Planning"/>
    <s v="Operations"/>
    <s v="Internal"/>
    <s v="Lucas Bernard"/>
    <s v="Chloe Vidal"/>
    <s v="Cloud Platform Team"/>
    <n v="24"/>
    <d v="2021-01-21T00:00:00"/>
    <s v="Low use"/>
    <n v="5"/>
    <n v="1"/>
    <s v="Fiix"/>
    <s v="On-prem DC"/>
    <s v="sps-app01–06, sps-db01"/>
    <n v="7"/>
    <s v="HP-UX 11i v3"/>
    <s v="Sybase ASE 15.7"/>
    <s v="EU DC-1"/>
    <d v="2021-12-31T00:00:00"/>
    <s v="Unstructured"/>
    <n v="220"/>
    <s v="N"/>
    <n v="2"/>
    <s v="Y"/>
    <s v="Data archive"/>
    <n v="58"/>
    <s v="N"/>
    <s v="N"/>
    <s v="N"/>
    <n v="315000"/>
    <d v="2029-01-31T00:00:00"/>
    <n v="661000"/>
    <n v="277000"/>
    <n v="28.635379061371843"/>
    <n v="3"/>
    <x v="0"/>
    <x v="0"/>
    <x v="2"/>
    <x v="26"/>
    <x v="4"/>
    <s v="Retention requirement to be confirmed"/>
  </r>
  <r>
    <n v="14679"/>
    <s v="Shared Price List Manager Plus"/>
    <s v="Pricing"/>
    <s v="Sales"/>
    <s v="Internal"/>
    <s v="Claire Mehta"/>
    <s v="Kavya Reddy"/>
    <s v="SaaS Vendor Mgmt"/>
    <n v="13"/>
    <d v="2021-03-23T00:00:00"/>
    <s v="Low use"/>
    <n v="1"/>
    <n v="4"/>
    <s v="TBD"/>
    <s v="SaaS"/>
    <s v="N/A (SaaS)"/>
    <n v="0"/>
    <s v="N/A"/>
    <s v="N/A"/>
    <s v="Vendor cloud (EU)"/>
    <m/>
    <s v="Unstructured"/>
    <n v="20"/>
    <s v="Y"/>
    <n v="7"/>
    <s v="Y"/>
    <s v="Archive + read-only"/>
    <n v="3"/>
    <s v="Partial"/>
    <s v="N"/>
    <s v="Partial"/>
    <n v="38000"/>
    <d v="2028-09-30T00:00:00"/>
    <n v="54500"/>
    <n v="15000"/>
    <n v="43.6"/>
    <n v="2"/>
    <x v="1"/>
    <x v="1"/>
    <x v="2"/>
    <x v="32"/>
    <x v="1"/>
    <s v="Retention 7 yrs - archive slot booked"/>
  </r>
  <r>
    <n v="137145"/>
    <s v="Event Registration Tool"/>
    <s v="Events"/>
    <s v="Marketing"/>
    <s v="External"/>
    <s v="Rahul Iyer"/>
    <s v="Baptiste Henry"/>
    <s v="Cloud Platform Team"/>
    <n v="16"/>
    <d v="2021-03-02T00:00:00"/>
    <s v="Low use"/>
    <n v="1"/>
    <n v="4"/>
    <m/>
    <s v="On-prem DC"/>
    <s v="ertapp01, ertdb01, ertweb01"/>
    <n v="3"/>
    <s v="Windows Server 2019"/>
    <s v="SQL Server 2019"/>
    <s v="US DC-1"/>
    <d v="2029-01-09T00:00:00"/>
    <s v="Structured"/>
    <n v="670"/>
    <s v="Y"/>
    <n v="10"/>
    <s v="N"/>
    <s v="None"/>
    <n v="0"/>
    <s v="Y"/>
    <s v="Partial"/>
    <s v="Partial"/>
    <n v="42000"/>
    <d v="2033-12-31T00:00:00"/>
    <n v="46500"/>
    <n v="41000"/>
    <n v="13.609756097560975"/>
    <n v="2"/>
    <x v="2"/>
    <x v="2"/>
    <x v="2"/>
    <x v="30"/>
    <x v="4"/>
    <s v="Replacement option being confirmed_x000a_Blocker: Month-end close dependency_x000a_Q: Can the cut-over avoid the quarter-end freeze?"/>
  </r>
  <r>
    <n v="32130"/>
    <s v="Old Expense Portal 2008"/>
    <s v="Expense Mgmt"/>
    <s v="Finance"/>
    <s v="Internal"/>
    <s v="Neha Nair"/>
    <s v="Kavya Reddy"/>
    <s v="SaaS Vendor Mgmt"/>
    <n v="13"/>
    <d v="2021-04-16T00:00:00"/>
    <s v="Low use"/>
    <n v="1"/>
    <n v="3"/>
    <m/>
    <s v="SaaS"/>
    <s v="N/A (SaaS)"/>
    <n v="0"/>
    <s v="N/A"/>
    <s v="N/A"/>
    <s v="Vendor cloud (EU)"/>
    <d v="2022-01-31T00:00:00"/>
    <s v="Structured"/>
    <n v="420"/>
    <s v="Y"/>
    <n v="7"/>
    <s v="Y"/>
    <s v="Read-only access"/>
    <n v="1"/>
    <s v="Partial"/>
    <s v="Y"/>
    <s v="N"/>
    <n v="47500"/>
    <d v="2034-06-30T00:00:00"/>
    <n v="36000"/>
    <n v="24500"/>
    <n v="17.632653061224492"/>
    <n v="3"/>
    <x v="1"/>
    <x v="1"/>
    <x v="2"/>
    <x v="33"/>
    <x v="4"/>
    <s v="Business case under review with owner"/>
  </r>
  <r>
    <n v="176955"/>
    <s v="Regional Contract Repository 2008"/>
    <s v="Contract Mgmt"/>
    <s v="Finance"/>
    <s v="Internal"/>
    <s v="Karan Blanc"/>
    <s v="Baptiste Henry"/>
    <s v="SaaS Vendor Mgmt"/>
    <n v="495"/>
    <d v="2021-04-05T00:00:00"/>
    <s v="Active"/>
    <n v="2"/>
    <n v="4"/>
    <s v="Anaplan"/>
    <s v="SaaS"/>
    <s v="N/A (SaaS)"/>
    <n v="0"/>
    <s v="N/A"/>
    <s v="N/A"/>
    <s v="Vendor cloud (EU)"/>
    <m/>
    <s v="Structured"/>
    <n v="200"/>
    <s v="Y"/>
    <n v="10"/>
    <s v="Y"/>
    <s v="Data archive"/>
    <n v="2"/>
    <s v="N"/>
    <s v="Y"/>
    <s v="N"/>
    <n v="44500"/>
    <d v="2032-11-30T00:00:00"/>
    <n v="51000"/>
    <n v="19000"/>
    <n v="32.210526315789473"/>
    <n v="2"/>
    <x v="1"/>
    <x v="1"/>
    <x v="2"/>
    <x v="27"/>
    <x v="4"/>
    <s v="Business case under review with owner"/>
  </r>
  <r>
    <n v="74066"/>
    <s v="Legacy Appraisal Tool Lite"/>
    <s v="Performance"/>
    <s v="HR"/>
    <s v="External"/>
    <s v="Julia Rao"/>
    <s v="Theo Lopez"/>
    <s v="Cloud Platform Team"/>
    <n v="264"/>
    <d v="2021-04-02T00:00:00"/>
    <s v="Active"/>
    <n v="3"/>
    <n v="2"/>
    <s v="Workday HCM"/>
    <s v="On-prem DC"/>
    <s v="lat-app01–06, lat-db01"/>
    <n v="7"/>
    <s v="TBD"/>
    <s v="SQL Server 2008 R2"/>
    <s v="US DC-1"/>
    <s v="TBD"/>
    <s v="Both"/>
    <n v="1620"/>
    <s v="Y"/>
    <n v="10"/>
    <s v="Y"/>
    <s v="Reporting extract"/>
    <n v="9"/>
    <s v="Partial"/>
    <s v="N"/>
    <s v="N"/>
    <n v="165000"/>
    <d v="2026-05-31T00:00:00"/>
    <n v="234000"/>
    <n v="120000"/>
    <n v="23.4"/>
    <n v="1"/>
    <x v="0"/>
    <x v="0"/>
    <x v="2"/>
    <x v="29"/>
    <x v="4"/>
    <s v="Awaiting dependency mapping_x000a_Blocker: Month-end close dependency_x000a_Q: Can the cut-over avoid the quarter-end freeze?"/>
  </r>
  <r>
    <n v="67215"/>
    <s v="Old Freight Booking Tool Plus"/>
    <s v="Transport"/>
    <s v="Supply Chain"/>
    <s v="Partner"/>
    <s v="Pierre Roux"/>
    <s v="Omar Haddad"/>
    <s v="Infra Ops US"/>
    <n v="0"/>
    <d v="2019-07-10T00:00:00"/>
    <s v="Not in use"/>
    <n v="2"/>
    <n v="3"/>
    <m/>
    <s v="On-prem DC"/>
    <s v="ofbapp01, ofbdb01, ofbweb01, ofbfs01"/>
    <n v="4"/>
    <s v="AIX 6.1"/>
    <s v="DB2 9.7"/>
    <s v="US DC-1"/>
    <d v="2017-04-30T00:00:00"/>
    <s v="Unstructured"/>
    <n v="89"/>
    <s v="Y"/>
    <n v="7"/>
    <s v="Y"/>
    <s v="Data archive"/>
    <n v="8"/>
    <s v="Y"/>
    <s v="Y"/>
    <s v="Partial"/>
    <n v="32500"/>
    <d v="2029-01-31T00:00:00"/>
    <n v="31500"/>
    <n v="17000"/>
    <n v="22.235294117647058"/>
    <n v="3"/>
    <x v="1"/>
    <x v="0"/>
    <x v="2"/>
    <x v="35"/>
    <x v="4"/>
    <s v="Replacement option being confirmed"/>
  </r>
  <r>
    <n v="74259"/>
    <s v="Regional Price List Manager 2012"/>
    <s v="Pricing"/>
    <s v="Sales"/>
    <s v="Internal"/>
    <s v="Sara Kapoor"/>
    <s v="Lena Fischer"/>
    <s v="SaaS Vendor Mgmt"/>
    <n v="34"/>
    <d v="2021-04-10T00:00:00"/>
    <s v="Active"/>
    <n v="5"/>
    <n v="1"/>
    <s v="Salesforce"/>
    <s v="SaaS"/>
    <s v="N/A (SaaS)"/>
    <n v="0"/>
    <s v="N/A"/>
    <s v="N/A"/>
    <s v="Vendor cloud (EU)"/>
    <m/>
    <s v="Unstructured"/>
    <n v="1860"/>
    <s v="N"/>
    <n v="3"/>
    <s v="Y"/>
    <s v="Legal hold"/>
    <n v="30"/>
    <s v="N"/>
    <s v="Partial"/>
    <s v="Y"/>
    <n v="130000"/>
    <d v="2033-04-30T00:00:00"/>
    <n v="292500"/>
    <n v="59500"/>
    <n v="58.991596638655466"/>
    <n v="1"/>
    <x v="0"/>
    <x v="0"/>
    <x v="2"/>
    <x v="32"/>
    <x v="4"/>
    <s v="Retention requirement to be confirmed"/>
  </r>
  <r>
    <n v="65492"/>
    <s v="Corporate Safety Incident Tracker v3"/>
    <s v="Health &amp; Safety"/>
    <s v="Operations"/>
    <s v="Internal"/>
    <s v="Hannah Weber"/>
    <s v="Ishaan Desai"/>
    <s v="Unix Platform Team"/>
    <n v="20"/>
    <d v="2021-04-25T00:00:00"/>
    <s v="Low use"/>
    <n v="2"/>
    <n v="3"/>
    <m/>
    <s v="On-prem DC"/>
    <s v="csiapp01"/>
    <n v="1"/>
    <s v="Ubuntu 16.04"/>
    <s v="MySQL 5.7"/>
    <s v="Plant DC"/>
    <d v="2021-04-30T00:00:00"/>
    <s v="Both"/>
    <n v="30"/>
    <s v="Y"/>
    <n v="7"/>
    <s v="N"/>
    <s v="None"/>
    <n v="3"/>
    <s v="Y"/>
    <s v="Partial"/>
    <s v="Y"/>
    <n v="34000"/>
    <d v="2033-03-31T00:00:00"/>
    <n v="25500"/>
    <n v="28500"/>
    <n v="10.736842105263158"/>
    <n v="3"/>
    <x v="2"/>
    <x v="2"/>
    <x v="2"/>
    <x v="33"/>
    <x v="4"/>
    <s v="Awaiting dependency mapping"/>
  </r>
  <r>
    <n v="63170"/>
    <s v="Departmental Maintenance Scheduler v3"/>
    <s v="Asset Maintenance"/>
    <s v="Operations"/>
    <s v="Partner"/>
    <s v="Meera Dubois"/>
    <s v="Manon Chevalier"/>
    <s v="Infra Ops EMEA"/>
    <n v="329"/>
    <d v="2021-03-22T00:00:00"/>
    <s v="Active"/>
    <n v="3"/>
    <n v="3"/>
    <s v="IBM Maximo"/>
    <s v="On-prem DC"/>
    <s v="dmsapp01, dmsdb01, dmsweb01, dmsfs01"/>
    <n v="4"/>
    <s v="Windows Server 2019"/>
    <s v="SQL Server 2019"/>
    <s v="EU DC-1"/>
    <d v="2029-01-09T00:00:00"/>
    <s v="Structured"/>
    <n v="5"/>
    <s v="Y"/>
    <n v="7"/>
    <s v="N"/>
    <s v="None"/>
    <n v="6"/>
    <s v="Partial"/>
    <s v="Y"/>
    <s v="Y"/>
    <n v="75000"/>
    <d v="2028-07-31T00:00:00"/>
    <n v="29000"/>
    <n v="52500"/>
    <n v="6.628571428571429"/>
    <n v="1"/>
    <x v="0"/>
    <x v="2"/>
    <x v="2"/>
    <x v="31"/>
    <x v="4"/>
    <s v="Retention requirement to be confirmed"/>
  </r>
  <r>
    <n v="85111"/>
    <s v="Global Maintenance Scheduler"/>
    <s v="Asset Maintenance"/>
    <s v="Operations"/>
    <s v="Internal"/>
    <s v="Rahul Iyer"/>
    <s v="Sameer Joshi"/>
    <s v="Plant IT Services"/>
    <n v="3"/>
    <d v="2020-12-29T00:00:00"/>
    <s v="Low use"/>
    <n v="4"/>
    <n v="2"/>
    <s v="SAP EAM"/>
    <s v="On-prem DC"/>
    <s v="gmsapp01, gmsdb01, gmsweb01, gmsfs01"/>
    <n v="4"/>
    <s v="RHEL 7"/>
    <s v="Oracle 12c"/>
    <s v="TBD"/>
    <d v="2024-06-30T00:00:00"/>
    <s v="Both"/>
    <n v="590"/>
    <s v="N"/>
    <n v="3"/>
    <s v="N"/>
    <s v="None"/>
    <n v="30"/>
    <s v="Partial"/>
    <s v="N"/>
    <s v="Partial"/>
    <n v="110000"/>
    <d v="2026-10-31T00:00:00"/>
    <n v="149500"/>
    <n v="76500"/>
    <n v="23.450980392156861"/>
    <n v="2"/>
    <x v="0"/>
    <x v="2"/>
    <x v="2"/>
    <x v="32"/>
    <x v="4"/>
    <s v="Business case under review with owner_x000a_Blocker: Regulatory retention requirement_x000a_Q: Can the archive move to the enterprise archive, or must it stay vendor-hosted?"/>
  </r>
  <r>
    <n v="15918"/>
    <s v="Global Purchase Order System Plus"/>
    <s v="Procurement"/>
    <s v="Supply Chain"/>
    <s v="Internal"/>
    <s v="Thomas Moreau"/>
    <s v="Aditi Menon"/>
    <s v="Infra Ops US"/>
    <n v="40"/>
    <d v="2021-04-03T00:00:00"/>
    <s v="Active"/>
    <n v="3"/>
    <n v="3"/>
    <s v="SAP EWM"/>
    <s v="IaaS"/>
    <s v="gpoapp01, gpodb01, gpoweb01, gpofs01"/>
    <n v="4"/>
    <s v="TBD"/>
    <s v="Sybase ASE 15.7"/>
    <s v="AWS us-east-1"/>
    <d v="2021-12-31T00:00:00"/>
    <s v="Structured"/>
    <n v="460"/>
    <s v="Y"/>
    <n v="10"/>
    <s v="N"/>
    <s v="None"/>
    <n v="3"/>
    <s v="Y"/>
    <s v="Partial"/>
    <s v="Partial"/>
    <n v="55000"/>
    <d v="2028-12-31T00:00:00"/>
    <n v="48000"/>
    <n v="33000"/>
    <n v="17.454545454545453"/>
    <n v="2"/>
    <x v="0"/>
    <x v="2"/>
    <x v="2"/>
    <x v="24"/>
    <x v="1"/>
    <s v="Cut-over planned for Aug-23; parallel run scheduled"/>
  </r>
  <r>
    <n v="95672"/>
    <s v="Legacy Ticket Desk 2008"/>
    <s v="Service Desk"/>
    <s v="IT"/>
    <s v="Internal"/>
    <s v="Laura Martin"/>
    <s v="Aditi Menon"/>
    <s v="Wintel Platform Team"/>
    <n v="599"/>
    <d v="2021-04-09T00:00:00"/>
    <s v="Active"/>
    <n v="1"/>
    <n v="3"/>
    <m/>
    <s v="On-prem DC"/>
    <s v="ltdapp01"/>
    <n v="1"/>
    <s v="RHEL 8"/>
    <s v="Oracle 19c"/>
    <s v="EU DC-2"/>
    <d v="2029-05-31T00:00:00"/>
    <s v="Unstructured"/>
    <n v="1220"/>
    <s v="Y"/>
    <n v="7"/>
    <s v="Y"/>
    <s v="Data archive"/>
    <n v="5"/>
    <s v="Partial"/>
    <s v="N"/>
    <s v="Y"/>
    <n v="35500"/>
    <d v="2029-03-31T00:00:00"/>
    <n v="53500"/>
    <n v="28500"/>
    <n v="22.526315789473685"/>
    <n v="1"/>
    <x v="1"/>
    <x v="0"/>
    <x v="2"/>
    <x v="34"/>
    <x v="4"/>
    <s v="Replacement option being confirmed_x000a_Blocker: Replacement rollout dependency_x000a_Q: What is the go-live date of the target platform?"/>
  </r>
  <r>
    <n v="122652"/>
    <s v="Cash Position Reporter 2008"/>
    <s v="Treasury"/>
    <s v="Finance"/>
    <s v="Internal"/>
    <s v="Laura Martin"/>
    <s v="Chloe Vidal"/>
    <s v="Infra Ops US"/>
    <n v="1"/>
    <d v="2019-06-07T00:00:00"/>
    <s v="Not in use"/>
    <n v="2"/>
    <n v="3"/>
    <s v="SAP Concur"/>
    <s v="On-prem DC"/>
    <s v="cprapp01"/>
    <n v="1"/>
    <s v="AIX 6.1"/>
    <s v="DB2 9.7"/>
    <s v="US DC-1"/>
    <d v="2017-04-30T00:00:00"/>
    <s v="Structured"/>
    <n v="53"/>
    <s v="Y"/>
    <n v="10"/>
    <s v="Y"/>
    <s v="Archive + read-only"/>
    <n v="5"/>
    <s v="Y"/>
    <s v="N"/>
    <s v="Partial"/>
    <n v="19500"/>
    <d v="2033-07-31T00:00:00"/>
    <n v="28500"/>
    <n v="13000"/>
    <n v="26.30769230769231"/>
    <n v="4"/>
    <x v="1"/>
    <x v="1"/>
    <x v="2"/>
    <x v="24"/>
    <x v="4"/>
    <s v="Replacement option being confirmed"/>
  </r>
  <r>
    <n v="168852"/>
    <s v="Departmental Facilities Request Portal (UK)"/>
    <s v="Facilities"/>
    <s v="Operations"/>
    <s v="Partner"/>
    <s v="Diego Alvarez"/>
    <s v="Kavya Reddy"/>
    <s v="SaaS Vendor Mgmt"/>
    <n v="153"/>
    <d v="2021-03-24T00:00:00"/>
    <s v="Active"/>
    <n v="2"/>
    <n v="4"/>
    <m/>
    <s v="SaaS"/>
    <s v="N/A (SaaS)"/>
    <n v="0"/>
    <s v="N/A"/>
    <s v="N/A"/>
    <s v="Vendor cloud (EU)"/>
    <d v="2023-04-30T00:00:00"/>
    <s v="Structured"/>
    <n v="1500"/>
    <s v="N"/>
    <n v="3"/>
    <s v="N"/>
    <s v="None"/>
    <n v="0"/>
    <s v="N"/>
    <s v="Partial"/>
    <s v="Partial"/>
    <n v="14500"/>
    <d v="2033-01-31T00:00:00"/>
    <n v="9000"/>
    <n v="8500"/>
    <n v="12.705882352941178"/>
    <n v="1"/>
    <x v="2"/>
    <x v="2"/>
    <x v="2"/>
    <x v="28"/>
    <x v="4"/>
    <s v="Replacement option being confirmed"/>
  </r>
  <r>
    <n v="126053"/>
    <s v="Custom Credit Check Portal 2010"/>
    <s v="Credit Mgmt"/>
    <s v="Finance"/>
    <s v="Internal"/>
    <s v="Pierre Roux"/>
    <s v="Kavya Reddy"/>
    <s v="SaaS Vendor Mgmt"/>
    <n v="2"/>
    <d v="2020-07-02T00:00:00"/>
    <s v="Not in use"/>
    <n v="5"/>
    <n v="1"/>
    <s v="Icertis CLM"/>
    <s v="SaaS"/>
    <s v="N/A (SaaS)"/>
    <n v="0"/>
    <s v="N/A"/>
    <s v="N/A"/>
    <s v="Vendor cloud (EU)"/>
    <m/>
    <s v="Structured"/>
    <n v="4690"/>
    <s v="Y"/>
    <n v="5"/>
    <s v="Y"/>
    <s v="Legal hold"/>
    <n v="87"/>
    <s v="N"/>
    <s v="Y"/>
    <s v="Y"/>
    <n v="420000"/>
    <d v="2033-11-30T00:00:00"/>
    <n v="2890500"/>
    <n v="193500"/>
    <n v="179.25581395348837"/>
    <n v="2"/>
    <x v="0"/>
    <x v="0"/>
    <x v="2"/>
    <x v="29"/>
    <x v="1"/>
    <s v="Funding approved; migration to Icertis CLM scheduled"/>
  </r>
  <r>
    <n v="102268"/>
    <s v="Old Training Records (UK)"/>
    <s v="Learning"/>
    <s v="HR"/>
    <s v="External"/>
    <s v="Anika Patel"/>
    <s v="Theo Lopez"/>
    <s v="Wintel Platform Team"/>
    <n v="93"/>
    <d v="2021-04-28T00:00:00"/>
    <s v="Active"/>
    <n v="3"/>
    <n v="3"/>
    <s v="Cornerstone"/>
    <s v="On-prem DC"/>
    <s v="otrapp01, otrdb01, otrweb01, otrfs01"/>
    <n v="4"/>
    <s v="Solaris 10"/>
    <s v="Oracle 11g"/>
    <s v="US DC-1"/>
    <d v="2021-01-31T00:00:00"/>
    <s v="Structured"/>
    <n v="750"/>
    <s v="Y"/>
    <n v="7"/>
    <s v="Y"/>
    <s v="Read-only access"/>
    <n v="1"/>
    <s v="Y"/>
    <s v="Partial"/>
    <s v="N"/>
    <n v="44500"/>
    <d v="2034-12-31T00:00:00"/>
    <n v="24000"/>
    <n v="26500"/>
    <n v="10.867924528301888"/>
    <n v="2"/>
    <x v="1"/>
    <x v="1"/>
    <x v="2"/>
    <x v="25"/>
    <x v="1"/>
    <s v="Archive format agreed; load scheduled before switch-off"/>
  </r>
  <r>
    <n v="136684"/>
    <s v="Safety Incident Tracker v2"/>
    <s v="Health &amp; Safety"/>
    <s v="Operations"/>
    <s v="Internal"/>
    <s v="Yuki Tanaka"/>
    <s v="Aditi Menon"/>
    <s v="Unix Platform Team"/>
    <n v="6"/>
    <d v="2021-01-01T00:00:00"/>
    <s v="Low use"/>
    <n v="2"/>
    <n v="3"/>
    <m/>
    <s v="On-prem DC"/>
    <s v="sitapp01, sitdb01"/>
    <n v="2"/>
    <s v="Windows Server 2008"/>
    <s v="SQL Server 2008"/>
    <s v="Plant DC"/>
    <d v="2019-07-09T00:00:00"/>
    <s v="Structured"/>
    <n v="10550"/>
    <s v="Y"/>
    <n v="7"/>
    <s v="Y"/>
    <s v="Reporting extract"/>
    <n v="7"/>
    <s v="Partial"/>
    <s v="Partial"/>
    <s v="N"/>
    <n v="18000"/>
    <d v="2025-06-30T00:00:00"/>
    <n v="110500"/>
    <n v="11500"/>
    <n v="115.30434782608694"/>
    <n v="3"/>
    <x v="1"/>
    <x v="0"/>
    <x v="2"/>
    <x v="35"/>
    <x v="4"/>
    <s v="Awaiting dependency mapping"/>
  </r>
  <r>
    <n v="161662"/>
    <s v="Corporate Freight Booking Tool Classic"/>
    <s v="Transport"/>
    <s v="Supply Chain"/>
    <s v="Internal"/>
    <s v="Antoine Patel"/>
    <s v="Chloe Vidal"/>
    <s v="Unix Platform Team"/>
    <n v="3"/>
    <d v="2020-04-03T00:00:00"/>
    <s v="Not in use"/>
    <n v="2"/>
    <n v="4"/>
    <s v="SAP IBP"/>
    <s v="On-prem DC"/>
    <s v="cfbapp01, cfbdb01"/>
    <n v="2"/>
    <s v="Windows Server 2016"/>
    <s v="SQL Server 2016"/>
    <s v="Plant DC"/>
    <d v="2026-07-14T00:00:00"/>
    <s v="Unstructured"/>
    <n v="110"/>
    <s v="N"/>
    <n v="3"/>
    <s v="N"/>
    <s v="None"/>
    <n v="1"/>
    <s v="Partial"/>
    <s v="N"/>
    <s v="Y"/>
    <n v="32500"/>
    <d v="2029-12-31T00:00:00"/>
    <n v="21000"/>
    <n v="27000"/>
    <n v="9.3333333333333339"/>
    <n v="3"/>
    <x v="2"/>
    <x v="2"/>
    <x v="2"/>
    <x v="34"/>
    <x v="4"/>
    <s v="Retention requirement to be confirmed"/>
  </r>
  <r>
    <n v="16674"/>
    <s v="Corporate Price List Manager"/>
    <s v="Pricing"/>
    <s v="Sales"/>
    <s v="Internal"/>
    <s v="Thomas Moreau"/>
    <s v="Hugo Perrin"/>
    <s v="Cloud Platform Team"/>
    <n v="117"/>
    <d v="2021-04-18T00:00:00"/>
    <s v="Active"/>
    <n v="3"/>
    <n v="3"/>
    <s v="Xactly"/>
    <s v="IaaS"/>
    <s v="cplapp01, cpldb01, cplweb01, cplfs01"/>
    <n v="4"/>
    <s v="HP-UX 11i v3"/>
    <s v="Sybase ASE 15.7"/>
    <s v="AWS us-east-1"/>
    <d v="2021-12-31T00:00:00"/>
    <s v="Unstructured"/>
    <n v="37"/>
    <s v="N"/>
    <n v="1"/>
    <s v="N"/>
    <s v="None"/>
    <n v="6"/>
    <s v="Partial"/>
    <s v="Partial"/>
    <s v="Partial"/>
    <n v="19000"/>
    <d v="2029-11-30T00:00:00"/>
    <n v="14500"/>
    <n v="15500"/>
    <n v="11.225806451612902"/>
    <n v="2"/>
    <x v="0"/>
    <x v="2"/>
    <x v="2"/>
    <x v="27"/>
    <x v="4"/>
    <s v="Business case under review with owner_x000a_Blocker: Replacement not yet funded_x000a_Q: Is budget confirmed in the next planning cycle?"/>
  </r>
  <r>
    <n v="14318"/>
    <s v="Departmental Field Service Dispatcher"/>
    <s v="Field Service"/>
    <s v="Operations"/>
    <s v="Internal"/>
    <s v="Pierre Roux"/>
    <s v="Rohan Bhatt"/>
    <s v="Cloud Platform Team"/>
    <n v="1077"/>
    <d v="2021-04-20T00:00:00"/>
    <s v="Active"/>
    <n v="1"/>
    <n v="4"/>
    <s v="TBD"/>
    <s v="IaaS"/>
    <s v="dfsapp01, dfsdb01"/>
    <n v="2"/>
    <s v="Windows Server 2008"/>
    <s v="SQL Server 2008"/>
    <s v="AWS us-east-1"/>
    <d v="2019-07-09T00:00:00"/>
    <s v="Structured"/>
    <n v="62"/>
    <s v="N"/>
    <n v="5"/>
    <s v="N"/>
    <s v="None"/>
    <n v="2"/>
    <s v="Partial"/>
    <s v="Partial"/>
    <s v="Y"/>
    <n v="20500"/>
    <d v="2034-09-30T00:00:00"/>
    <n v="13000"/>
    <n v="19500"/>
    <n v="8"/>
    <n v="2"/>
    <x v="2"/>
    <x v="2"/>
    <x v="2"/>
    <x v="33"/>
    <x v="4"/>
    <s v="Retention requirement to be confirmed_x000a_Blocker: Legal sign-off on retention_x000a_Q: Who owns the retention decision for archived records?"/>
  </r>
  <r>
    <n v="33115"/>
    <s v="Global Monitoring Console (Nordics)"/>
    <s v="Monitoring"/>
    <s v="IT"/>
    <s v="Internal"/>
    <s v="Diego Alvarez"/>
    <s v="Louis Faure"/>
    <s v="Infra Ops EMEA"/>
    <n v="4"/>
    <d v="2019-11-06T00:00:00"/>
    <s v="Not in use"/>
    <n v="4"/>
    <n v="1"/>
    <m/>
    <s v="IaaS"/>
    <s v="gmcapp01, gmcdb01, gmcweb01, gmcfs01"/>
    <n v="4"/>
    <s v="Ubuntu 18.04"/>
    <s v="PostgreSQL 10"/>
    <s v="AWS us-east-1"/>
    <d v="2023-05-31T00:00:00"/>
    <s v="Structured"/>
    <n v="260"/>
    <s v="N"/>
    <n v="1"/>
    <s v="N"/>
    <s v="None"/>
    <n v="44"/>
    <s v="Partial"/>
    <s v="Partial"/>
    <s v="N"/>
    <n v="150000"/>
    <d v="2025-07-31T00:00:00"/>
    <n v="176500"/>
    <n v="126000"/>
    <n v="16.80952380952381"/>
    <n v="1"/>
    <x v="2"/>
    <x v="2"/>
    <x v="2"/>
    <x v="25"/>
    <x v="4"/>
    <s v="Business case under review with owner"/>
  </r>
  <r>
    <n v="193967"/>
    <s v="Corporate Production Scheduler (DE)"/>
    <s v="Production Planning"/>
    <s v="Operations"/>
    <s v="Internal"/>
    <s v="Mateo Girard"/>
    <s v="Varun Malhotra"/>
    <s v="Infra Ops US"/>
    <n v="154"/>
    <d v="2021-04-12T00:00:00"/>
    <s v="Active"/>
    <n v="2"/>
    <n v="4"/>
    <s v="Intelex"/>
    <s v="On-prem DC"/>
    <s v="cpsapp01, cpsdb01"/>
    <n v="2"/>
    <s v="Windows Server 2008 R2"/>
    <s v="SQL Server 2008 R2"/>
    <s v="TBD"/>
    <d v="2020-01-14T00:00:00"/>
    <s v="Structured"/>
    <n v="37"/>
    <s v="N"/>
    <n v="1"/>
    <s v="N"/>
    <s v="None"/>
    <n v="0"/>
    <s v="Partial"/>
    <s v="Partial"/>
    <s v="Partial"/>
    <n v="26000"/>
    <d v="2029-01-31T00:00:00"/>
    <n v="22000"/>
    <n v="25000"/>
    <n v="10.56"/>
    <n v="3"/>
    <x v="2"/>
    <x v="2"/>
    <x v="2"/>
    <x v="26"/>
    <x v="4"/>
    <s v="Awaiting dependency mapping_x000a_Blocker: Replacement not yet funded_x000a_Q: Is budget confirmed in the next planning cycle?"/>
  </r>
  <r>
    <n v="165625"/>
    <s v="Old Inventory Control v2"/>
    <s v="Inventory"/>
    <s v="Supply Chain"/>
    <s v="Partner"/>
    <s v="Lucas Bernard"/>
    <s v="Louis Faure"/>
    <s v="Infra Ops US"/>
    <n v="8"/>
    <d v="2021-04-27T00:00:00"/>
    <s v="Low use"/>
    <n v="3"/>
    <n v="3"/>
    <s v="SAP TM"/>
    <s v="On-prem DC"/>
    <s v="oicapp01, oicdb01, oicweb01"/>
    <n v="3"/>
    <s v="HP-UX 11i v3"/>
    <s v="Sybase ASE 15.7"/>
    <s v="Plant DC"/>
    <d v="2021-12-31T00:00:00"/>
    <s v="Structured"/>
    <n v="45"/>
    <s v="N"/>
    <n v="2"/>
    <s v="N"/>
    <s v="None"/>
    <n v="2"/>
    <s v="Partial"/>
    <s v="Partial"/>
    <s v="Y"/>
    <n v="65000"/>
    <d v="2035-11-30T00:00:00"/>
    <n v="77500"/>
    <n v="62500"/>
    <n v="14.879999999999999"/>
    <n v="3"/>
    <x v="2"/>
    <x v="2"/>
    <x v="2"/>
    <x v="34"/>
    <x v="4"/>
    <s v="Retention requirement to be confirmed_x000a_Blocker: Replacement not yet funded_x000a_Q: Is budget confirmed in the next planning cycle?"/>
  </r>
  <r>
    <n v="28973"/>
    <s v="Credit Check Portal 2008"/>
    <s v="Credit Mgmt"/>
    <s v="Finance"/>
    <s v="Internal"/>
    <s v="Vikram Rao"/>
    <s v="Louis Faure"/>
    <s v="Cloud Platform Team"/>
    <n v="25"/>
    <d v="2021-03-20T00:00:00"/>
    <s v="Active"/>
    <n v="5"/>
    <n v="1"/>
    <s v="TBD"/>
    <s v="On-prem DC"/>
    <s v="ccp-app01–07, ccp-db01"/>
    <n v="8"/>
    <s v="Windows Server 2016"/>
    <s v="SQL Server 2017"/>
    <s v="US DC-1"/>
    <d v="2027-01-12T00:00:00"/>
    <s v="Unstructured"/>
    <n v="2250"/>
    <s v="N"/>
    <n v="7"/>
    <s v="Y"/>
    <s v="Data archive"/>
    <n v="44"/>
    <s v="Partial"/>
    <s v="Partial"/>
    <s v="Y"/>
    <n v="170000"/>
    <d v="2027-06-30T00:00:00"/>
    <m/>
    <m/>
    <s v=""/>
    <n v="0"/>
    <x v="3"/>
    <x v="0"/>
    <x v="3"/>
    <x v="36"/>
    <x v="5"/>
    <s v="Active user base; no replacement planned"/>
  </r>
  <r>
    <n v="185677"/>
    <s v="Old Price List Manager Classic"/>
    <s v="Pricing"/>
    <s v="Sales"/>
    <s v="Internal"/>
    <s v="Karan Blanc"/>
    <s v="Kavya Reddy"/>
    <s v="Plant IT Services"/>
    <n v="117"/>
    <d v="2021-03-24T00:00:00"/>
    <s v="Active"/>
    <n v="3"/>
    <n v="4"/>
    <s v="TBD"/>
    <s v="On-prem DC"/>
    <s v="oplapp01, opldb01, oplweb01, oplfs01"/>
    <n v="4"/>
    <s v="Windows Server 2008"/>
    <s v="SQL Server 2008"/>
    <s v="Plant DC"/>
    <d v="2019-07-09T00:00:00"/>
    <s v="Both"/>
    <n v="48"/>
    <s v="N"/>
    <n v="3"/>
    <s v="N"/>
    <s v="None"/>
    <n v="3"/>
    <s v="N"/>
    <s v="N"/>
    <s v="Partial"/>
    <n v="80000"/>
    <d v="2031-04-30T00:00:00"/>
    <m/>
    <m/>
    <s v=""/>
    <n v="1"/>
    <x v="4"/>
    <x v="2"/>
    <x v="3"/>
    <x v="36"/>
    <x v="4"/>
    <s v="Dependencies to be mapped"/>
  </r>
  <r>
    <n v="172450"/>
    <s v="Old Survey Tool 2010"/>
    <s v="Market Research"/>
    <s v="Marketing"/>
    <s v="Internal"/>
    <s v="Julia Rao"/>
    <s v="Theo Lopez"/>
    <s v="Database Services"/>
    <n v="68"/>
    <d v="2021-03-15T00:00:00"/>
    <s v="Active"/>
    <n v="5"/>
    <n v="2"/>
    <s v="Adobe Experience Manager (planned)"/>
    <s v="On-prem DC"/>
    <s v="ost-app01–04, ost-db01"/>
    <n v="5"/>
    <s v="Windows Server 2016"/>
    <s v="SQL Server 2016"/>
    <s v="EU DC-2"/>
    <d v="2026-07-14T00:00:00"/>
    <s v="Unstructured"/>
    <n v="500"/>
    <s v="N"/>
    <n v="1"/>
    <s v="Y"/>
    <s v="Reporting extract"/>
    <n v="30"/>
    <s v="Partial"/>
    <s v="Y"/>
    <s v="Partial"/>
    <n v="65000"/>
    <d v="2035-01-31T00:00:00"/>
    <m/>
    <m/>
    <s v=""/>
    <n v="1"/>
    <x v="4"/>
    <x v="0"/>
    <x v="3"/>
    <x v="36"/>
    <x v="4"/>
    <s v="Low business value; validate with owner"/>
  </r>
  <r>
    <n v="45792"/>
    <s v="Legacy Warehouse Mgmt System"/>
    <s v="Warehouse Mgmt"/>
    <s v="Supply Chain"/>
    <s v="Internal"/>
    <s v="Hannah Weber"/>
    <s v="Baptiste Henry"/>
    <s v="Plant IT Services"/>
    <n v="436"/>
    <d v="2021-04-19T00:00:00"/>
    <s v="Active"/>
    <n v="3"/>
    <n v="3"/>
    <m/>
    <s v="On-prem DC"/>
    <s v="lwmapp01, lwmdb01"/>
    <n v="2"/>
    <s v="Solaris 10"/>
    <s v="Oracle 11g"/>
    <s v="Plant DC"/>
    <d v="2021-01-31T00:00:00"/>
    <s v="Structured"/>
    <n v="200"/>
    <s v="N"/>
    <n v="5"/>
    <s v="Y"/>
    <s v="Reporting extract"/>
    <n v="6"/>
    <s v="Partial"/>
    <s v="N"/>
    <s v="N"/>
    <n v="38500"/>
    <d v="2032-08-31T00:00:00"/>
    <n v="72500"/>
    <n v="24500"/>
    <n v="35.510204081632651"/>
    <n v="1"/>
    <x v="4"/>
    <x v="0"/>
    <x v="3"/>
    <x v="36"/>
    <x v="4"/>
    <s v="Owner to confirm usage before decision"/>
  </r>
  <r>
    <n v="21820"/>
    <s v="Regional Batch Scheduler 2010"/>
    <s v="Batch Scheduling"/>
    <s v="IT"/>
    <s v="Internal"/>
    <s v="Antoine Patel"/>
    <s v="Hugo Perrin"/>
    <s v="Wintel Platform Team"/>
    <n v="0"/>
    <d v="2021-01-27T00:00:00"/>
    <s v="Not in use"/>
    <n v="4"/>
    <n v="2"/>
    <s v="ServiceNow (planned)"/>
    <s v="On-prem DC"/>
    <s v="rbs-app01–06, rbs-db01"/>
    <n v="7"/>
    <s v="Windows Server 2008"/>
    <s v="SQL Server 2008"/>
    <s v="TBD"/>
    <d v="2019-07-09T00:00:00"/>
    <s v="Unstructured"/>
    <n v="180"/>
    <s v="N"/>
    <n v="7"/>
    <s v="N"/>
    <s v="None"/>
    <n v="10"/>
    <s v="Y"/>
    <s v="Partial"/>
    <s v="N"/>
    <n v="85000"/>
    <d v="2026-04-30T00:00:00"/>
    <n v="92000"/>
    <n v="74500"/>
    <n v="14.818791946308725"/>
    <n v="3"/>
    <x v="4"/>
    <x v="2"/>
    <x v="3"/>
    <x v="36"/>
    <x v="4"/>
    <s v="Owner to confirm usage before decision"/>
  </r>
  <r>
    <n v="90472"/>
    <s v="Corporate Safety Incident Tracker (FR)"/>
    <s v="Health &amp; Safety"/>
    <s v="Operations"/>
    <s v="Internal"/>
    <s v="Oscar Lindqvist"/>
    <s v="Remi Masson"/>
    <s v="Database Services"/>
    <n v="142"/>
    <d v="2021-04-10T00:00:00"/>
    <s v="Active"/>
    <n v="5"/>
    <n v="1"/>
    <s v="IBM Maximo"/>
    <s v="On-prem DC"/>
    <s v="csi-app01–07, csi-db01"/>
    <n v="8"/>
    <s v="AIX 6.1"/>
    <s v="DB2 9.7"/>
    <s v="EU DC-1"/>
    <d v="2017-04-30T00:00:00"/>
    <s v="Unstructured"/>
    <n v="1980"/>
    <s v="N"/>
    <n v="5"/>
    <s v="Y"/>
    <s v="Read-only access"/>
    <n v="24"/>
    <s v="Y"/>
    <s v="Partial"/>
    <s v="Y"/>
    <n v="315000"/>
    <d v="2028-04-30T00:00:00"/>
    <m/>
    <m/>
    <s v=""/>
    <n v="2"/>
    <x v="4"/>
    <x v="0"/>
    <x v="3"/>
    <x v="36"/>
    <x v="4"/>
    <s v="Low business value; validate with owner"/>
  </r>
  <r>
    <n v="102168"/>
    <s v="Web Analytics Mart (UK)"/>
    <s v="Analytics"/>
    <s v="Marketing"/>
    <s v="Internal"/>
    <s v="Fatima Khan"/>
    <s v="Kavya Reddy"/>
    <s v="Wintel Platform Team"/>
    <n v="53"/>
    <d v="2021-03-15T00:00:00"/>
    <s v="Active"/>
    <n v="3"/>
    <n v="3"/>
    <m/>
    <s v="On-prem DC"/>
    <s v="wamapp01, wamdb01, wamweb01, wamfs01"/>
    <n v="4"/>
    <s v="RHEL 8"/>
    <s v="Oracle 19c"/>
    <s v="Plant DC"/>
    <d v="2029-05-31T00:00:00"/>
    <s v="Unstructured"/>
    <n v="13"/>
    <s v="N"/>
    <n v="2"/>
    <s v="Y"/>
    <s v="Archive + read-only"/>
    <n v="2"/>
    <s v="Y"/>
    <s v="N"/>
    <s v="Y"/>
    <n v="65000"/>
    <d v="2028-01-31T00:00:00"/>
    <m/>
    <m/>
    <s v=""/>
    <n v="0"/>
    <x v="3"/>
    <x v="1"/>
    <x v="3"/>
    <x v="36"/>
    <x v="5"/>
    <s v="Strategic platform; refresh planned"/>
  </r>
  <r>
    <n v="83576"/>
    <s v="Demand Planner Plus"/>
    <s v="Demand Planning"/>
    <s v="Supply Chain"/>
    <s v="Internal"/>
    <s v="Camille Fontaine"/>
    <s v="Baptiste Henry"/>
    <s v="Cloud Platform Team"/>
    <n v="245"/>
    <d v="2021-03-31T00:00:00"/>
    <s v="Active"/>
    <n v="4"/>
    <n v="2"/>
    <s v="Ariba"/>
    <s v="On-prem DC"/>
    <s v="dpp-app01–06, dpp-db01"/>
    <n v="7"/>
    <s v="HP-UX 11i v3"/>
    <s v="Sybase ASE 15.7"/>
    <s v="EU DC-1"/>
    <d v="2021-12-31T00:00:00"/>
    <s v="Structured"/>
    <n v="170"/>
    <s v="N"/>
    <n v="3"/>
    <s v="Y"/>
    <s v="Read-only access"/>
    <n v="14"/>
    <s v="Partial"/>
    <s v="N"/>
    <s v="Y"/>
    <n v="120000"/>
    <d v="2031-11-30T00:00:00"/>
    <n v="246500"/>
    <n v="115500"/>
    <n v="25.61038961038961"/>
    <n v="2"/>
    <x v="4"/>
    <x v="0"/>
    <x v="3"/>
    <x v="36"/>
    <x v="4"/>
    <s v="Awaiting assessment workshop"/>
  </r>
  <r>
    <n v="199946"/>
    <s v="Custom Order Entry Portal v4"/>
    <s v="Order Entry"/>
    <s v="Sales"/>
    <s v="Internal"/>
    <s v="Julien Petit"/>
    <s v="Theo Lopez"/>
    <s v="SaaS Vendor Mgmt"/>
    <n v="13"/>
    <d v="2021-01-05T00:00:00"/>
    <s v="Low use"/>
    <n v="5"/>
    <n v="2"/>
    <m/>
    <s v="SaaS"/>
    <s v="N/A (SaaS)"/>
    <n v="0"/>
    <s v="N/A"/>
    <s v="N/A"/>
    <s v="Vendor cloud (EU)"/>
    <m/>
    <s v="Unstructured"/>
    <n v="3"/>
    <s v="N"/>
    <n v="2"/>
    <s v="N"/>
    <s v="None"/>
    <n v="23"/>
    <s v="N"/>
    <s v="Partial"/>
    <s v="Partial"/>
    <n v="95000"/>
    <d v="2025-01-31T00:00:00"/>
    <n v="119000"/>
    <n v="39500"/>
    <n v="36.151898734177216"/>
    <n v="1"/>
    <x v="4"/>
    <x v="2"/>
    <x v="3"/>
    <x v="36"/>
    <x v="4"/>
    <s v="Awaiting assessment workshop"/>
  </r>
  <r>
    <n v="25781"/>
    <s v="Asset Register (FR)"/>
    <s v="Fixed Assets"/>
    <s v="Finance"/>
    <s v="Internal"/>
    <s v="Thomas Moreau"/>
    <s v="Lena Fischer"/>
    <s v="Unix Platform Team"/>
    <n v="4962"/>
    <d v="2021-03-19T00:00:00"/>
    <s v="Active"/>
    <n v="2"/>
    <n v="3"/>
    <s v="TBD"/>
    <s v="IaaS"/>
    <s v="arfapp01, arfdb01, arfweb01, arffs01"/>
    <n v="4"/>
    <s v="Ubuntu 16.04"/>
    <s v="MySQL 5.7"/>
    <s v="AWS eu-west-1"/>
    <d v="2021-04-30T00:00:00"/>
    <s v="Unstructured"/>
    <n v="1380"/>
    <s v="N"/>
    <n v="3"/>
    <s v="N"/>
    <s v="None"/>
    <n v="6"/>
    <s v="Partial"/>
    <s v="Partial"/>
    <s v="Partial"/>
    <n v="31000"/>
    <d v="2034-09-30T00:00:00"/>
    <n v="37500"/>
    <n v="27500"/>
    <n v="16.363636363636363"/>
    <n v="2"/>
    <x v="4"/>
    <x v="2"/>
    <x v="3"/>
    <x v="36"/>
    <x v="4"/>
    <s v="Awaiting assessment workshop"/>
  </r>
  <r>
    <n v="57641"/>
    <s v="Regional Newsletter Mailer (FR)"/>
    <s v="Email"/>
    <s v="Marketing"/>
    <s v="Internal"/>
    <s v="Claire Mehta"/>
    <s v="Louis Faure"/>
    <s v="Infra Ops US"/>
    <n v="1105"/>
    <d v="2021-03-15T00:00:00"/>
    <s v="Active"/>
    <n v="4"/>
    <n v="2"/>
    <m/>
    <s v="On-prem DC"/>
    <s v="rnmapp01, rnmdb01"/>
    <n v="2"/>
    <s v="Ubuntu 20.04"/>
    <s v="MySQL 8.0"/>
    <s v="US DC-1"/>
    <d v="2025-04-30T00:00:00"/>
    <s v="Unstructured"/>
    <n v="460"/>
    <s v="N"/>
    <n v="1"/>
    <s v="Y"/>
    <s v="Legal hold"/>
    <n v="17"/>
    <s v="Partial"/>
    <s v="N"/>
    <s v="N"/>
    <n v="80000"/>
    <d v="2025-06-30T00:00:00"/>
    <m/>
    <m/>
    <s v=""/>
    <n v="0"/>
    <x v="3"/>
    <x v="0"/>
    <x v="3"/>
    <x v="36"/>
    <x v="4"/>
    <s v="Retain - revisit at next portfolio review"/>
  </r>
  <r>
    <n v="45610"/>
    <s v="Price List Manager 2010"/>
    <s v="Pricing"/>
    <s v="Sales"/>
    <s v="Internal"/>
    <s v="Yuki Tanaka"/>
    <s v="Ananya Pillai"/>
    <s v="Database Services"/>
    <n v="9"/>
    <d v="2021-01-23T00:00:00"/>
    <s v="Low use"/>
    <n v="4"/>
    <n v="3"/>
    <s v="Salesforce Partner Community"/>
    <s v="On-prem DC"/>
    <s v="plmapp01, plmdb01, plmweb01, plmfs01"/>
    <n v="4"/>
    <s v="Ubuntu 18.04"/>
    <s v="PostgreSQL 10"/>
    <s v="US DC-1"/>
    <s v="TBD"/>
    <s v="Structured"/>
    <n v="360"/>
    <s v="Y"/>
    <n v="7"/>
    <s v="Y"/>
    <s v="Reporting extract"/>
    <n v="4"/>
    <s v="N"/>
    <s v="N"/>
    <s v="N"/>
    <n v="50000"/>
    <d v="2026-06-30T00:00:00"/>
    <n v="28000"/>
    <n v="43000"/>
    <n v="7.8139534883720936"/>
    <n v="2"/>
    <x v="4"/>
    <x v="1"/>
    <x v="3"/>
    <x v="36"/>
    <x v="4"/>
    <s v="Awaiting assessment workshop"/>
  </r>
  <r>
    <n v="135671"/>
    <s v="Corporate Expense Portal (UK)"/>
    <s v="Expense Mgmt"/>
    <s v="Finance"/>
    <s v="Internal"/>
    <s v="Julia Rao"/>
    <s v="Baptiste Henry"/>
    <s v="Wintel Platform Team"/>
    <n v="98"/>
    <d v="2021-04-07T00:00:00"/>
    <s v="Active"/>
    <n v="3"/>
    <n v="2"/>
    <s v="TBD"/>
    <s v="On-prem DC"/>
    <s v="cepapp01, cepdb01, cepweb01, cepfs01"/>
    <n v="4"/>
    <s v="Ubuntu 16.04"/>
    <s v="MySQL 5.7"/>
    <s v="EU DC-1"/>
    <d v="2021-04-30T00:00:00"/>
    <s v="Structured"/>
    <n v="210"/>
    <s v="Y"/>
    <n v="7"/>
    <s v="N"/>
    <s v="None"/>
    <n v="13"/>
    <s v="Y"/>
    <s v="Partial"/>
    <s v="Partial"/>
    <n v="150000"/>
    <d v="2034-01-31T00:00:00"/>
    <n v="210000"/>
    <n v="90500"/>
    <n v="27.845303867403313"/>
    <n v="1"/>
    <x v="4"/>
    <x v="2"/>
    <x v="3"/>
    <x v="36"/>
    <x v="4"/>
    <s v="Dependencies to be mapped"/>
  </r>
  <r>
    <n v="77834"/>
    <s v="Custom AP Invoice Processor 2008"/>
    <s v="Accounts Payable"/>
    <s v="Finance"/>
    <s v="Internal"/>
    <s v="Priya Sharma"/>
    <s v="Hugo Perrin"/>
    <s v="SaaS Vendor Mgmt"/>
    <n v="329"/>
    <d v="2021-03-30T00:00:00"/>
    <s v="Active"/>
    <n v="4"/>
    <n v="2"/>
    <m/>
    <s v="SaaS"/>
    <s v="N/A (SaaS)"/>
    <n v="0"/>
    <s v="N/A"/>
    <s v="N/A"/>
    <s v="Vendor cloud (EU)"/>
    <m/>
    <s v="Structured"/>
    <n v="40"/>
    <s v="Y"/>
    <n v="10"/>
    <s v="Y"/>
    <s v="Reporting extract"/>
    <n v="14"/>
    <s v="Partial"/>
    <s v="Partial"/>
    <s v="N"/>
    <n v="245000"/>
    <d v="2026-05-31T00:00:00"/>
    <m/>
    <m/>
    <s v=""/>
    <n v="0"/>
    <x v="3"/>
    <x v="0"/>
    <x v="3"/>
    <x v="36"/>
    <x v="5"/>
    <s v="Active user base; no replacement planned"/>
  </r>
  <r>
    <n v="186446"/>
    <s v="Shared Shipment Tracker Plus"/>
    <s v="Logistics"/>
    <s v="Supply Chain"/>
    <s v="Internal"/>
    <s v="Fatima Khan"/>
    <s v="Ishaan Desai"/>
    <s v="Infra Ops US"/>
    <n v="8237"/>
    <d v="2021-04-13T00:00:00"/>
    <s v="Active"/>
    <n v="5"/>
    <n v="1"/>
    <m/>
    <s v="On-prem DC"/>
    <s v="sst-app01–05, sst-db01"/>
    <n v="6"/>
    <s v="Windows Server 2016"/>
    <s v="SQL Server 2016"/>
    <s v="TBD"/>
    <d v="2026-07-14T00:00:00"/>
    <s v="Structured"/>
    <n v="48"/>
    <s v="Y"/>
    <n v="10"/>
    <s v="Y"/>
    <s v="Data archive"/>
    <n v="78"/>
    <s v="Partial"/>
    <s v="Y"/>
    <s v="N"/>
    <n v="200000"/>
    <d v="2028-07-31T00:00:00"/>
    <m/>
    <m/>
    <s v=""/>
    <n v="0"/>
    <x v="3"/>
    <x v="0"/>
    <x v="3"/>
    <x v="36"/>
    <x v="4"/>
    <s v="Business-critical, well supported"/>
  </r>
  <r>
    <n v="148815"/>
    <s v="Corporate Shipment Tracker (US)"/>
    <s v="Logistics"/>
    <s v="Supply Chain"/>
    <s v="Internal"/>
    <s v="Nicolas Sharma"/>
    <s v="Remi Masson"/>
    <s v="Cloud Platform Team"/>
    <n v="7"/>
    <d v="2021-04-01T00:00:00"/>
    <s v="Low use"/>
    <n v="4"/>
    <n v="3"/>
    <m/>
    <s v="On-prem DC"/>
    <s v="cstapp01"/>
    <n v="1"/>
    <s v="RHEL 8"/>
    <s v="Oracle 19c"/>
    <s v="Plant DC"/>
    <d v="2029-05-31T00:00:00"/>
    <s v="Both"/>
    <n v="4590"/>
    <s v="N"/>
    <n v="1"/>
    <s v="Y"/>
    <s v="Read-only access"/>
    <n v="8"/>
    <s v="N"/>
    <s v="Partial"/>
    <s v="Partial"/>
    <n v="13500"/>
    <d v="2026-04-30T00:00:00"/>
    <m/>
    <m/>
    <s v=""/>
    <n v="1"/>
    <x v="3"/>
    <x v="0"/>
    <x v="3"/>
    <x v="36"/>
    <x v="5"/>
    <s v="Retain - revisit at next portfolio review"/>
  </r>
  <r>
    <n v="103129"/>
    <s v="Legacy Licence Manager"/>
    <s v="Licence Mgmt"/>
    <s v="IT"/>
    <s v="Internal"/>
    <s v="Mateo Girard"/>
    <s v="Remi Masson"/>
    <s v="Cloud Platform Team"/>
    <n v="238"/>
    <d v="2021-03-19T00:00:00"/>
    <s v="Active"/>
    <n v="5"/>
    <n v="2"/>
    <s v="Microsoft 365"/>
    <s v="On-prem DC"/>
    <s v="llm-app01–04, llm-db01"/>
    <n v="5"/>
    <s v="Solaris 10"/>
    <s v="Oracle 11g"/>
    <s v="TBD"/>
    <d v="2021-01-31T00:00:00"/>
    <s v="Structured"/>
    <n v="130"/>
    <s v="N"/>
    <n v="1"/>
    <s v="Y"/>
    <s v="Read-only access"/>
    <n v="13"/>
    <s v="Partial"/>
    <s v="Partial"/>
    <s v="Partial"/>
    <n v="42000"/>
    <d v="2029-05-31T00:00:00"/>
    <m/>
    <m/>
    <s v=""/>
    <n v="2"/>
    <x v="4"/>
    <x v="0"/>
    <x v="3"/>
    <x v="36"/>
    <x v="4"/>
    <s v="Owner to confirm usage before decision_x000a_Blocker: Legal sign-off on retention_x000a_Q: Who owns the retention decision for archived records?"/>
  </r>
  <r>
    <n v="82440"/>
    <s v="Old Ticket Desk v3"/>
    <s v="Service Desk"/>
    <s v="IT"/>
    <s v="Internal"/>
    <s v="Julia Rao"/>
    <s v="Varun Malhotra"/>
    <s v="Infra Ops US"/>
    <n v="68"/>
    <d v="2021-03-26T00:00:00"/>
    <s v="Active"/>
    <n v="3"/>
    <n v="4"/>
    <m/>
    <s v="IaaS"/>
    <s v="otdapp01, otddb01, otdweb01, otdfs01"/>
    <n v="4"/>
    <s v="AIX 6.1"/>
    <s v="DB2 9.7"/>
    <s v="AWS eu-west-1"/>
    <d v="2017-04-30T00:00:00"/>
    <s v="Both"/>
    <n v="39"/>
    <s v="Y"/>
    <n v="10"/>
    <s v="Y"/>
    <s v="Data archive"/>
    <n v="0"/>
    <s v="Partial"/>
    <s v="Partial"/>
    <s v="Partial"/>
    <n v="36000"/>
    <d v="2029-03-31T00:00:00"/>
    <n v="29000"/>
    <n v="29000"/>
    <n v="12"/>
    <n v="1"/>
    <x v="4"/>
    <x v="1"/>
    <x v="3"/>
    <x v="36"/>
    <x v="4"/>
    <s v="Awaiting assessment workshop"/>
  </r>
  <r>
    <n v="177157"/>
    <s v="Legacy Travel Booking Tool 2008"/>
    <s v="Travel"/>
    <s v="HR"/>
    <s v="External"/>
    <s v="Neha Nair"/>
    <s v="Ishaan Desai"/>
    <s v="SaaS Vendor Mgmt"/>
    <n v="27"/>
    <d v="2021-04-03T00:00:00"/>
    <s v="Active"/>
    <n v="5"/>
    <n v="1"/>
    <m/>
    <s v="SaaS"/>
    <s v="N/A (SaaS)"/>
    <n v="0"/>
    <s v="N/A"/>
    <s v="N/A"/>
    <s v="Vendor cloud (EU)"/>
    <m/>
    <s v="Structured"/>
    <n v="650"/>
    <s v="N"/>
    <n v="5"/>
    <s v="Y"/>
    <s v="Reporting extract"/>
    <n v="69"/>
    <s v="N"/>
    <s v="N"/>
    <s v="N"/>
    <n v="70000"/>
    <d v="2028-06-30T00:00:00"/>
    <m/>
    <m/>
    <s v=""/>
    <n v="0"/>
    <x v="4"/>
    <x v="0"/>
    <x v="3"/>
    <x v="36"/>
    <x v="4"/>
    <s v="Dependencies to be mapped"/>
  </r>
  <r>
    <n v="169784"/>
    <s v="Monitoring Console 2010"/>
    <s v="Monitoring"/>
    <s v="IT"/>
    <s v="Internal"/>
    <s v="Rahul Iyer"/>
    <s v="Theo Lopez"/>
    <s v="Wintel Platform Team"/>
    <n v="248"/>
    <d v="2021-04-23T00:00:00"/>
    <s v="Active"/>
    <n v="4"/>
    <n v="3"/>
    <m/>
    <s v="On-prem DC"/>
    <s v="mcxapp01"/>
    <n v="1"/>
    <s v="Ubuntu 20.04"/>
    <s v="MySQL 8.0"/>
    <s v="US DC-1"/>
    <d v="2025-04-30T00:00:00"/>
    <s v="Unstructured"/>
    <n v="9050"/>
    <s v="N"/>
    <n v="1"/>
    <s v="Y"/>
    <s v="Archive + read-only"/>
    <n v="3"/>
    <s v="Partial"/>
    <s v="Y"/>
    <s v="N"/>
    <n v="13000"/>
    <d v="2026-11-30T00:00:00"/>
    <m/>
    <m/>
    <s v=""/>
    <n v="0"/>
    <x v="3"/>
    <x v="0"/>
    <x v="3"/>
    <x v="36"/>
    <x v="5"/>
    <s v="Retain - revisit at next portfolio review"/>
  </r>
  <r>
    <n v="128335"/>
    <s v="Regional Purchase Order System (US)"/>
    <s v="Procurement"/>
    <s v="Supply Chain"/>
    <s v="Partner"/>
    <s v="Elena Garcia"/>
    <s v="Theo Lopez"/>
    <s v="Database Services"/>
    <n v="117"/>
    <d v="2021-04-19T00:00:00"/>
    <s v="Active"/>
    <n v="3"/>
    <n v="3"/>
    <m/>
    <s v="On-prem DC"/>
    <s v="rpoapp01, rpodb01"/>
    <n v="2"/>
    <s v="Ubuntu 18.04"/>
    <s v="PostgreSQL 10"/>
    <s v="Plant DC"/>
    <d v="2023-05-31T00:00:00"/>
    <s v="Structured"/>
    <n v="450"/>
    <s v="Y"/>
    <n v="5"/>
    <s v="N"/>
    <s v="None"/>
    <n v="3"/>
    <s v="Y"/>
    <s v="N"/>
    <s v="N"/>
    <n v="38000"/>
    <d v="2029-01-31T00:00:00"/>
    <m/>
    <m/>
    <s v=""/>
    <n v="0"/>
    <x v="3"/>
    <x v="2"/>
    <x v="3"/>
    <x v="36"/>
    <x v="5"/>
    <s v="Cheap &amp; healthy - retain"/>
  </r>
  <r>
    <n v="125865"/>
    <s v="Legacy Web Analytics Mart (UK)"/>
    <s v="Analytics"/>
    <s v="Marketing"/>
    <s v="External"/>
    <s v="Thomas Moreau"/>
    <s v="Sameer Joshi"/>
    <s v="Cloud Platform Team"/>
    <n v="16"/>
    <d v="2020-12-09T00:00:00"/>
    <s v="Low use"/>
    <n v="4"/>
    <n v="2"/>
    <m/>
    <s v="On-prem DC"/>
    <s v="lwa-app01–04, lwa-db01"/>
    <n v="5"/>
    <s v="AIX 7.1"/>
    <s v="DB2 10.5"/>
    <s v="Plant DC"/>
    <d v="2023-04-30T00:00:00"/>
    <s v="Structured"/>
    <n v="2"/>
    <s v="Y"/>
    <n v="7"/>
    <s v="Y"/>
    <s v="Archive + read-only"/>
    <n v="26"/>
    <s v="Partial"/>
    <s v="Partial"/>
    <s v="Partial"/>
    <n v="95000"/>
    <d v="2032-04-30T00:00:00"/>
    <n v="239500"/>
    <n v="70000"/>
    <n v="41.057142857142857"/>
    <n v="1"/>
    <x v="4"/>
    <x v="0"/>
    <x v="3"/>
    <x v="36"/>
    <x v="4"/>
    <s v="Dependencies to be mapped"/>
  </r>
  <r>
    <n v="13946"/>
    <s v="Inventory Control"/>
    <s v="Inventory"/>
    <s v="Supply Chain"/>
    <s v="Internal"/>
    <s v="Pierre Roux"/>
    <s v="Ishaan Desai"/>
    <s v="Cloud Platform Team"/>
    <n v="364"/>
    <d v="2021-04-04T00:00:00"/>
    <s v="Active"/>
    <n v="4"/>
    <n v="1"/>
    <m/>
    <s v="On-prem DC"/>
    <s v="icxapp01, icxdb01, icxweb01, icxfs01"/>
    <n v="4"/>
    <s v="Ubuntu 20.04"/>
    <s v="MySQL 8.0"/>
    <s v="US DC-1"/>
    <d v="2025-04-30T00:00:00"/>
    <s v="Structured"/>
    <n v="65"/>
    <s v="N"/>
    <n v="2"/>
    <s v="Y"/>
    <s v="Data archive"/>
    <n v="87"/>
    <s v="N"/>
    <s v="Partial"/>
    <s v="N"/>
    <n v="175000"/>
    <d v="2026-07-31T00:00:00"/>
    <m/>
    <m/>
    <s v=""/>
    <n v="0"/>
    <x v="4"/>
    <x v="0"/>
    <x v="3"/>
    <x v="36"/>
    <x v="4"/>
    <s v="Owner to confirm usage before decision"/>
  </r>
  <r>
    <n v="48528"/>
    <s v="Old Quote Manager v4"/>
    <s v="Quoting"/>
    <s v="Sales"/>
    <s v="Partner"/>
    <s v="Diego Alvarez"/>
    <s v="Tara Khanna"/>
    <s v="Database Services"/>
    <n v="18"/>
    <d v="2021-01-30T00:00:00"/>
    <s v="Low use"/>
    <n v="3"/>
    <n v="3"/>
    <m/>
    <s v="On-prem DC"/>
    <s v="oqmapp01, oqmdb01, oqmweb01"/>
    <n v="3"/>
    <s v="Windows Server 2016"/>
    <s v="SQL Server 2017"/>
    <s v="US DC-1"/>
    <d v="2027-01-12T00:00:00"/>
    <s v="Unstructured"/>
    <n v="86"/>
    <s v="Y"/>
    <n v="10"/>
    <s v="Y"/>
    <s v="Legal hold"/>
    <n v="2"/>
    <s v="Y"/>
    <s v="Partial"/>
    <s v="Y"/>
    <n v="42000"/>
    <d v="2030-12-31T00:00:00"/>
    <m/>
    <m/>
    <s v=""/>
    <n v="1"/>
    <x v="3"/>
    <x v="1"/>
    <x v="3"/>
    <x v="36"/>
    <x v="5"/>
    <s v="Cheap &amp; healthy - retain"/>
  </r>
  <r>
    <n v="131855"/>
    <s v="Old Sales Forecast Tool v4"/>
    <s v="Sales Planning"/>
    <s v="Sales"/>
    <s v="External"/>
    <s v="Camille Fontaine"/>
    <s v="Hugo Perrin"/>
    <s v="Wintel Platform Team"/>
    <n v="27"/>
    <d v="2021-04-06T00:00:00"/>
    <s v="Active"/>
    <n v="3"/>
    <n v="2"/>
    <m/>
    <s v="On-prem DC"/>
    <s v="osfapp01, osfdb01, osfweb01"/>
    <n v="3"/>
    <s v="AIX 6.1"/>
    <s v="DB2 9.7"/>
    <s v="EU DC-2"/>
    <d v="2017-04-30T00:00:00"/>
    <s v="Both"/>
    <n v="29"/>
    <s v="Y"/>
    <n v="7"/>
    <s v="Y"/>
    <s v="Reporting extract"/>
    <n v="18"/>
    <s v="Partial"/>
    <s v="N"/>
    <s v="Partial"/>
    <n v="55000"/>
    <d v="2028-08-31T00:00:00"/>
    <m/>
    <m/>
    <s v=""/>
    <n v="1"/>
    <x v="4"/>
    <x v="0"/>
    <x v="3"/>
    <x v="36"/>
    <x v="4"/>
    <s v="Low business value; validate with owner"/>
  </r>
  <r>
    <n v="13014"/>
    <s v="Corporate Ticket Desk (US)"/>
    <s v="Service Desk"/>
    <s v="IT"/>
    <s v="Internal"/>
    <s v="Amelie Martin"/>
    <s v="Tara Khanna"/>
    <s v="Unix Platform Team"/>
    <n v="24"/>
    <d v="2021-02-13T00:00:00"/>
    <s v="Low use"/>
    <n v="5"/>
    <n v="2"/>
    <m/>
    <s v="PaaS"/>
    <s v="Azure App Service (PaaS)"/>
    <n v="0"/>
    <s v="N/A (PaaS)"/>
    <s v="Azure SQL"/>
    <s v="Azure West Europe"/>
    <m/>
    <s v="Both"/>
    <n v="26"/>
    <s v="N"/>
    <n v="3"/>
    <s v="Y"/>
    <s v="Read-only access"/>
    <n v="18"/>
    <s v="Partial"/>
    <s v="N"/>
    <s v="Partial"/>
    <n v="43000"/>
    <d v="2028-05-31T00:00:00"/>
    <m/>
    <m/>
    <s v=""/>
    <n v="1"/>
    <x v="3"/>
    <x v="0"/>
    <x v="3"/>
    <x v="36"/>
    <x v="4"/>
    <s v="Business-critical, well supported"/>
  </r>
  <r>
    <n v="164654"/>
    <s v="Shipment Tracker"/>
    <s v="Logistics"/>
    <s v="Supply Chain"/>
    <s v="Partner"/>
    <s v="Pierre Roux"/>
    <s v="Ishaan Desai"/>
    <s v="Infra Ops EMEA"/>
    <n v="174"/>
    <d v="2021-04-20T00:00:00"/>
    <s v="Active"/>
    <n v="5"/>
    <n v="1"/>
    <m/>
    <s v="On-prem DC"/>
    <s v="stx-app01–04, stx-db01"/>
    <n v="5"/>
    <s v="TBD"/>
    <s v="MySQL 5.7"/>
    <s v="Plant DC"/>
    <d v="2021-04-30T00:00:00"/>
    <s v="Structured"/>
    <n v="5"/>
    <s v="N"/>
    <n v="2"/>
    <s v="Y"/>
    <s v="Read-only access"/>
    <n v="79"/>
    <s v="Y"/>
    <s v="N"/>
    <s v="Partial"/>
    <n v="275000"/>
    <d v="2035-06-30T00:00:00"/>
    <m/>
    <m/>
    <s v=""/>
    <n v="1"/>
    <x v="3"/>
    <x v="0"/>
    <x v="3"/>
    <x v="36"/>
    <x v="5"/>
    <s v="Retain - revisit at next portfolio review"/>
  </r>
  <r>
    <n v="93870"/>
    <s v="Departmental Batch Scheduler (FR)"/>
    <s v="Batch Scheduling"/>
    <s v="IT"/>
    <s v="External"/>
    <s v="Yuki Tanaka"/>
    <s v="Aditi Menon"/>
    <s v="Database Services"/>
    <n v="7"/>
    <d v="2021-03-13T00:00:00"/>
    <s v="Low use"/>
    <n v="3"/>
    <n v="4"/>
    <m/>
    <s v="On-prem DC"/>
    <s v="dbsapp01, dbsdb01"/>
    <n v="2"/>
    <s v="AIX 6.1"/>
    <s v="DB2 9.7"/>
    <s v="TBD"/>
    <d v="2017-04-30T00:00:00"/>
    <s v="Structured"/>
    <n v="480"/>
    <s v="N"/>
    <n v="7"/>
    <s v="Y"/>
    <s v="Archive + read-only"/>
    <n v="0"/>
    <s v="Partial"/>
    <s v="N"/>
    <s v="Y"/>
    <n v="30000"/>
    <d v="2035-05-31T00:00:00"/>
    <m/>
    <m/>
    <s v=""/>
    <n v="2"/>
    <x v="4"/>
    <x v="1"/>
    <x v="3"/>
    <x v="36"/>
    <x v="4"/>
    <s v="Owner to confirm usage before decision"/>
  </r>
  <r>
    <n v="186564"/>
    <s v="Inventory Control (Nordics)"/>
    <s v="Inventory"/>
    <s v="Supply Chain"/>
    <s v="Internal"/>
    <s v="Nicolas Sharma"/>
    <s v="Hugo Perrin"/>
    <s v="Infra Ops EMEA"/>
    <n v="1578"/>
    <d v="2021-04-19T00:00:00"/>
    <s v="Active"/>
    <n v="4"/>
    <n v="1"/>
    <s v="Manhattan WMS"/>
    <s v="On-prem DC"/>
    <s v="icnapp01"/>
    <n v="1"/>
    <s v="Windows Server 2008"/>
    <s v="SQL Server 2008"/>
    <s v="EU DC-1"/>
    <d v="2019-07-09T00:00:00"/>
    <s v="Structured"/>
    <n v="1200"/>
    <s v="N"/>
    <n v="1"/>
    <s v="N"/>
    <s v="None"/>
    <n v="32"/>
    <s v="N"/>
    <s v="Partial"/>
    <s v="N"/>
    <n v="65000"/>
    <d v="2031-11-30T00:00:00"/>
    <m/>
    <m/>
    <s v=""/>
    <n v="2"/>
    <x v="4"/>
    <x v="2"/>
    <x v="3"/>
    <x v="36"/>
    <x v="4"/>
    <s v="Dependencies to be mapped_x000a_Blocker: Vendor notice period of 12 months_x000a_Q: Can the contract end be brought forward?"/>
  </r>
  <r>
    <n v="86183"/>
    <s v="Document Repository (US)"/>
    <s v="Document Mgmt"/>
    <s v="IT"/>
    <s v="Partner"/>
    <s v="Claire Mehta"/>
    <s v="Adrien Colin"/>
    <s v="Wintel Platform Team"/>
    <n v="0"/>
    <d v="2020-09-08T00:00:00"/>
    <s v="Not in use"/>
    <n v="4"/>
    <n v="2"/>
    <s v="TBD"/>
    <s v="PaaS"/>
    <s v="Azure App Service (PaaS)"/>
    <n v="0"/>
    <s v="N/A (PaaS)"/>
    <s v="Cosmos DB"/>
    <s v="Azure West Europe"/>
    <m/>
    <s v="Structured"/>
    <n v="1270"/>
    <s v="N"/>
    <n v="2"/>
    <s v="Y"/>
    <s v="Read-only access"/>
    <n v="30"/>
    <s v="Y"/>
    <s v="Y"/>
    <s v="Y"/>
    <n v="9000"/>
    <d v="2034-07-31T00:00:00"/>
    <n v="11000"/>
    <n v="8500"/>
    <n v="15.529411764705884"/>
    <n v="1"/>
    <x v="4"/>
    <x v="0"/>
    <x v="3"/>
    <x v="36"/>
    <x v="4"/>
    <s v="Owner to confirm usage before decision"/>
  </r>
  <r>
    <n v="50513"/>
    <s v="Legacy Purchase Order System (US)"/>
    <s v="Procurement"/>
    <s v="Supply Chain"/>
    <s v="External"/>
    <s v="Camille Fontaine"/>
    <s v="Chloe Vidal"/>
    <s v="SaaS Vendor Mgmt"/>
    <n v="0"/>
    <d v="2019-12-04T00:00:00"/>
    <s v="Not in use"/>
    <n v="4"/>
    <n v="3"/>
    <s v="TBD"/>
    <s v="SaaS"/>
    <s v="N/A (SaaS)"/>
    <n v="0"/>
    <s v="N/A"/>
    <s v="N/A"/>
    <s v="Vendor cloud (EU)"/>
    <d v="2026-09-30T00:00:00"/>
    <s v="Structured"/>
    <n v="34"/>
    <s v="N"/>
    <n v="3"/>
    <s v="N"/>
    <s v="None"/>
    <n v="6"/>
    <s v="Partial"/>
    <s v="Y"/>
    <s v="N"/>
    <n v="105000"/>
    <d v="2033-06-30T00:00:00"/>
    <n v="93500"/>
    <n v="72000"/>
    <n v="15.583333333333334"/>
    <n v="1"/>
    <x v="4"/>
    <x v="2"/>
    <x v="3"/>
    <x v="36"/>
    <x v="4"/>
    <s v="Low business value; validate with owner"/>
  </r>
  <r>
    <n v="158493"/>
    <s v="Old Contract Repository v2"/>
    <s v="Contract Mgmt"/>
    <s v="Finance"/>
    <s v="Internal"/>
    <s v="Laura Martin"/>
    <s v="Ananya Pillai"/>
    <s v="SaaS Vendor Mgmt"/>
    <n v="137"/>
    <d v="2021-04-28T00:00:00"/>
    <s v="Active"/>
    <n v="5"/>
    <n v="1"/>
    <m/>
    <s v="SaaS"/>
    <s v="N/A (SaaS)"/>
    <n v="0"/>
    <s v="N/A"/>
    <s v="N/A"/>
    <s v="Vendor cloud (EU)"/>
    <m/>
    <s v="Both"/>
    <n v="160"/>
    <s v="Y"/>
    <n v="5"/>
    <s v="N"/>
    <s v="None"/>
    <n v="85"/>
    <s v="N"/>
    <s v="Y"/>
    <s v="N"/>
    <n v="200000"/>
    <d v="2029-06-30T00:00:00"/>
    <n v="847500"/>
    <n v="134000"/>
    <n v="75.895522388059703"/>
    <n v="0"/>
    <x v="4"/>
    <x v="2"/>
    <x v="3"/>
    <x v="36"/>
    <x v="4"/>
    <s v="Low business value; validate with owner"/>
  </r>
  <r>
    <n v="87167"/>
    <s v="Departmental Brand Asset Library (Nordics)"/>
    <s v="Digital Assets"/>
    <s v="Marketing"/>
    <s v="Internal"/>
    <s v="Lucas Bernard"/>
    <s v="Kavya Reddy"/>
    <s v="Unix Platform Team"/>
    <n v="161"/>
    <d v="2021-04-09T00:00:00"/>
    <s v="Active"/>
    <n v="3"/>
    <n v="3"/>
    <m/>
    <s v="IaaS"/>
    <s v="dbaapp01"/>
    <n v="1"/>
    <s v="Windows Server 2019"/>
    <s v="SQL Server 2019"/>
    <s v="Azure West Europe"/>
    <d v="2029-01-09T00:00:00"/>
    <s v="Both"/>
    <n v="190"/>
    <s v="N"/>
    <n v="3"/>
    <s v="N"/>
    <s v="None"/>
    <n v="8"/>
    <s v="Y"/>
    <s v="Partial"/>
    <s v="Partial"/>
    <n v="10000"/>
    <d v="2027-03-31T00:00:00"/>
    <m/>
    <m/>
    <s v=""/>
    <n v="0"/>
    <x v="3"/>
    <x v="2"/>
    <x v="3"/>
    <x v="36"/>
    <x v="4"/>
    <s v="Business-critical, well supported"/>
  </r>
  <r>
    <n v="167107"/>
    <s v="Old Quality Incident Log (US)"/>
    <s v="Quality"/>
    <s v="Operations"/>
    <s v="Internal"/>
    <s v="Yuki Tanaka"/>
    <s v="Theo Lopez"/>
    <s v="Database Services"/>
    <n v="180"/>
    <d v="2021-04-17T00:00:00"/>
    <s v="Active"/>
    <n v="5"/>
    <n v="1"/>
    <m/>
    <s v="On-prem DC"/>
    <s v="oqi-app01–06, oqi-db01"/>
    <n v="7"/>
    <s v="Solaris 10"/>
    <s v="Oracle 11g"/>
    <s v="EU DC-2"/>
    <d v="2021-01-31T00:00:00"/>
    <s v="Unstructured"/>
    <n v="130"/>
    <s v="N"/>
    <n v="7"/>
    <s v="Y"/>
    <s v="Data archive"/>
    <n v="74"/>
    <s v="N"/>
    <s v="Partial"/>
    <s v="Y"/>
    <n v="365000"/>
    <d v="2034-07-31T00:00:00"/>
    <m/>
    <m/>
    <s v=""/>
    <n v="1"/>
    <x v="3"/>
    <x v="0"/>
    <x v="3"/>
    <x v="36"/>
    <x v="5"/>
    <s v="Retain - revisit at next portfolio review"/>
  </r>
  <r>
    <n v="186523"/>
    <s v="Global Campaign DB (APAC)"/>
    <s v="Campaign Mgmt"/>
    <s v="Marketing"/>
    <s v="Internal"/>
    <s v="Neha Nair"/>
    <s v="Theo Lopez"/>
    <s v="Cloud Platform Team"/>
    <n v="1563"/>
    <d v="2021-04-16T00:00:00"/>
    <s v="Active"/>
    <n v="5"/>
    <n v="2"/>
    <s v="TBD"/>
    <s v="On-prem DC"/>
    <s v="fs-gcd02 (file share)"/>
    <n v="1"/>
    <s v="Windows Server 2012 R2"/>
    <s v="MS Access 2010"/>
    <s v="EU DC-2"/>
    <d v="2023-10-10T00:00:00"/>
    <s v="Structured"/>
    <n v="8"/>
    <s v="Y"/>
    <n v="7"/>
    <s v="Y"/>
    <s v="Read-only access"/>
    <n v="24"/>
    <s v="N"/>
    <s v="Partial"/>
    <s v="N"/>
    <n v="45500"/>
    <d v="2029-03-31T00:00:00"/>
    <m/>
    <m/>
    <s v=""/>
    <n v="0"/>
    <x v="3"/>
    <x v="0"/>
    <x v="3"/>
    <x v="36"/>
    <x v="5"/>
    <s v="Business-critical, well supported"/>
  </r>
  <r>
    <n v="50897"/>
    <s v="Regional Field Service Dispatcher 2012"/>
    <s v="Field Service"/>
    <s v="Operations"/>
    <s v="External"/>
    <s v="Sophie Dubois"/>
    <s v="Adrien Colin"/>
    <s v="Cloud Platform Team"/>
    <n v="40"/>
    <d v="2021-03-23T00:00:00"/>
    <s v="Active"/>
    <n v="4"/>
    <n v="3"/>
    <m/>
    <s v="PaaS"/>
    <s v="Azure App Service (PaaS)"/>
    <n v="0"/>
    <s v="N/A (PaaS)"/>
    <s v="Azure SQL"/>
    <s v="Azure West Europe"/>
    <d v="2022-06-30T00:00:00"/>
    <s v="Structured"/>
    <n v="84"/>
    <s v="N"/>
    <n v="2"/>
    <s v="Y"/>
    <s v="Archive + read-only"/>
    <n v="5"/>
    <s v="Partial"/>
    <s v="Y"/>
    <s v="Partial"/>
    <n v="12500"/>
    <d v="2029-06-30T00:00:00"/>
    <n v="22500"/>
    <n v="12000"/>
    <n v="22.5"/>
    <n v="0"/>
    <x v="4"/>
    <x v="1"/>
    <x v="3"/>
    <x v="36"/>
    <x v="4"/>
    <s v="Owner to confirm usage before decision"/>
  </r>
  <r>
    <n v="190657"/>
    <s v="Custom Warehouse Mgmt System v2"/>
    <s v="Warehouse Mgmt"/>
    <s v="Supply Chain"/>
    <s v="Internal"/>
    <s v="Sara Kapoor"/>
    <s v="Theo Lopez"/>
    <s v="Infra Ops US"/>
    <n v="4"/>
    <d v="2021-01-13T00:00:00"/>
    <s v="Low use"/>
    <n v="5"/>
    <n v="2"/>
    <m/>
    <s v="PaaS"/>
    <s v="Azure App Service (PaaS)"/>
    <n v="0"/>
    <s v="N/A (PaaS)"/>
    <s v="Azure SQL"/>
    <s v="Azure West Europe"/>
    <m/>
    <s v="Both"/>
    <n v="650"/>
    <s v="N"/>
    <n v="3"/>
    <s v="Y"/>
    <s v="Reporting extract"/>
    <n v="30"/>
    <s v="Y"/>
    <s v="Y"/>
    <s v="Y"/>
    <n v="47000"/>
    <d v="2035-06-30T00:00:00"/>
    <m/>
    <m/>
    <s v=""/>
    <n v="1"/>
    <x v="3"/>
    <x v="0"/>
    <x v="3"/>
    <x v="36"/>
    <x v="5"/>
    <s v="Strategic platform; refresh planned"/>
  </r>
  <r>
    <n v="21468"/>
    <s v="Corporate Website CMS (UK)"/>
    <s v="Web"/>
    <s v="Marketing"/>
    <s v="External"/>
    <s v="Karan Blanc"/>
    <s v="Remi Masson"/>
    <s v="Cloud Platform Team"/>
    <n v="91"/>
    <d v="2021-04-23T00:00:00"/>
    <s v="Active"/>
    <n v="4"/>
    <n v="3"/>
    <m/>
    <s v="On-prem DC"/>
    <s v="cwcapp01, cwcdb01, cwcweb01, cwcfs01"/>
    <n v="4"/>
    <s v="TBD"/>
    <s v="Oracle 11g"/>
    <s v="TBD"/>
    <d v="2020-11-30T00:00:00"/>
    <s v="Both"/>
    <n v="35"/>
    <s v="N"/>
    <n v="3"/>
    <s v="Y"/>
    <s v="Reporting extract"/>
    <n v="7"/>
    <s v="Partial"/>
    <s v="Y"/>
    <s v="N"/>
    <n v="70000"/>
    <d v="2031-10-31T00:00:00"/>
    <n v="56000"/>
    <n v="50500"/>
    <n v="13.306930693069308"/>
    <n v="1"/>
    <x v="4"/>
    <x v="0"/>
    <x v="3"/>
    <x v="36"/>
    <x v="4"/>
    <s v="Awaiting assessment workshop"/>
  </r>
  <r>
    <n v="184659"/>
    <s v="Departmental Cash Position Reporter v2"/>
    <s v="Treasury"/>
    <s v="Finance"/>
    <s v="Internal"/>
    <s v="Thomas Moreau"/>
    <s v="Lena Fischer"/>
    <s v="Infra Ops EMEA"/>
    <n v="11"/>
    <d v="2021-01-10T00:00:00"/>
    <s v="Low use"/>
    <n v="4"/>
    <n v="3"/>
    <m/>
    <s v="IaaS"/>
    <s v="dcpapp01, dcpdb01, dcpweb01"/>
    <n v="3"/>
    <s v="Ubuntu 16.04"/>
    <s v="MySQL 5.7"/>
    <s v="Azure West Europe"/>
    <d v="2021-04-30T00:00:00"/>
    <s v="Both"/>
    <n v="150"/>
    <s v="Y"/>
    <n v="7"/>
    <s v="Y"/>
    <s v="Archive + read-only"/>
    <n v="5"/>
    <s v="N"/>
    <s v="Partial"/>
    <s v="N"/>
    <n v="34000"/>
    <d v="2027-03-31T00:00:00"/>
    <m/>
    <m/>
    <s v=""/>
    <n v="2"/>
    <x v="3"/>
    <x v="1"/>
    <x v="3"/>
    <x v="36"/>
    <x v="4"/>
    <s v="Cheap &amp; healthy - retain"/>
  </r>
  <r>
    <n v="101614"/>
    <s v="Old Tax Compliance Tool (Nordics)"/>
    <s v="Tax"/>
    <s v="Finance"/>
    <s v="Internal"/>
    <s v="Julia Rao"/>
    <s v="Rohan Bhatt"/>
    <s v="Wintel Platform Team"/>
    <n v="5"/>
    <d v="2020-09-16T00:00:00"/>
    <s v="Not in use"/>
    <n v="4"/>
    <n v="3"/>
    <s v="TBD"/>
    <s v="PaaS"/>
    <s v="Azure App Service (PaaS)"/>
    <n v="0"/>
    <s v="N/A (PaaS)"/>
    <s v="Cosmos DB"/>
    <s v="Azure West Europe"/>
    <m/>
    <s v="Structured"/>
    <n v="1380"/>
    <s v="Y"/>
    <n v="10"/>
    <s v="Y"/>
    <s v="Read-only access"/>
    <n v="7"/>
    <s v="Partial"/>
    <s v="N"/>
    <s v="Y"/>
    <n v="20000"/>
    <d v="2027-10-31T00:00:00"/>
    <m/>
    <m/>
    <s v=""/>
    <n v="1"/>
    <x v="4"/>
    <x v="0"/>
    <x v="3"/>
    <x v="36"/>
    <x v="4"/>
    <s v="Owner to confirm usage before decision"/>
  </r>
  <r>
    <n v="121883"/>
    <s v="Shared Order Entry Portal 2008"/>
    <s v="Order Entry"/>
    <s v="Sales"/>
    <s v="Partner"/>
    <s v="Yuki Tanaka"/>
    <s v="Rohan Bhatt"/>
    <s v="Infra Ops EMEA"/>
    <m/>
    <m/>
    <s v="Unknown"/>
    <n v="4"/>
    <n v="2"/>
    <m/>
    <s v="On-prem DC"/>
    <s v="soe-app01–06, soe-db01"/>
    <n v="7"/>
    <s v="AIX 6.1"/>
    <s v="DB2 9.7"/>
    <s v="US DC-1"/>
    <s v="TBD"/>
    <s v="Both"/>
    <n v="1100"/>
    <s v="Y"/>
    <n v="5"/>
    <s v="Y"/>
    <s v="Archive + read-only"/>
    <n v="26"/>
    <s v="Y"/>
    <s v="N"/>
    <s v="Y"/>
    <n v="100000"/>
    <d v="2029-12-31T00:00:00"/>
    <m/>
    <m/>
    <s v=""/>
    <n v="0"/>
    <x v="4"/>
    <x v="0"/>
    <x v="3"/>
    <x v="36"/>
    <x v="4"/>
    <s v="Awaiting assessment workshop"/>
  </r>
  <r>
    <n v="189283"/>
    <s v="Quality Incident Log Classic"/>
    <s v="Quality"/>
    <s v="Operations"/>
    <s v="Internal"/>
    <s v="Vikram Rao"/>
    <s v="Tara Khanna"/>
    <s v="Infra Ops EMEA"/>
    <n v="14"/>
    <d v="2021-02-15T00:00:00"/>
    <s v="Low use"/>
    <n v="4"/>
    <n v="2"/>
    <m/>
    <s v="On-prem DC"/>
    <s v="qilapp01"/>
    <n v="1"/>
    <s v="RHEL 6"/>
    <s v="Oracle 11g"/>
    <s v="Plant DC"/>
    <d v="2020-11-30T00:00:00"/>
    <s v="Both"/>
    <n v="69"/>
    <s v="N"/>
    <n v="3"/>
    <s v="Y"/>
    <s v="Data archive"/>
    <n v="25"/>
    <s v="Partial"/>
    <s v="Y"/>
    <s v="N"/>
    <n v="45500"/>
    <d v="2025-08-31T00:00:00"/>
    <m/>
    <m/>
    <s v=""/>
    <n v="2"/>
    <x v="4"/>
    <x v="0"/>
    <x v="3"/>
    <x v="36"/>
    <x v="4"/>
    <s v="Awaiting assessment workshop"/>
  </r>
  <r>
    <n v="94910"/>
    <s v="Shared Intranet (SharePoint) Classic"/>
    <s v="Collaboration"/>
    <s v="IT"/>
    <s v="Internal"/>
    <s v="Elena Garcia"/>
    <s v="Louis Faure"/>
    <s v="Unix Platform Team"/>
    <n v="185"/>
    <d v="2021-03-16T00:00:00"/>
    <s v="Active"/>
    <n v="4"/>
    <n v="2"/>
    <m/>
    <s v="On-prem DC"/>
    <s v="fs-sis02 (file share)"/>
    <n v="1"/>
    <s v="Windows Server 2012 R2"/>
    <s v="MS Access 2010"/>
    <s v="EU DC-1"/>
    <d v="2023-10-10T00:00:00"/>
    <s v="Structured"/>
    <n v="18490"/>
    <s v="N"/>
    <n v="3"/>
    <s v="Y"/>
    <s v="Archive + read-only"/>
    <n v="5"/>
    <s v="N"/>
    <s v="Partial"/>
    <s v="Partial"/>
    <n v="25500"/>
    <d v="2032-08-31T00:00:00"/>
    <n v="105000"/>
    <n v="15500"/>
    <n v="81.290322580645167"/>
    <n v="0"/>
    <x v="4"/>
    <x v="0"/>
    <x v="3"/>
    <x v="36"/>
    <x v="4"/>
    <s v="Awaiting assessment workshop"/>
  </r>
  <r>
    <n v="76979"/>
    <s v="Old Commission Calculator (UK)"/>
    <s v="Commissions"/>
    <s v="Sales"/>
    <s v="External"/>
    <s v="Isabelle Singh"/>
    <s v="Omar Haddad"/>
    <s v="SaaS Vendor Mgmt"/>
    <n v="25"/>
    <d v="2021-03-23T00:00:00"/>
    <s v="Active"/>
    <n v="3"/>
    <n v="3"/>
    <m/>
    <s v="SaaS"/>
    <s v="N/A (SaaS)"/>
    <n v="0"/>
    <s v="N/A"/>
    <s v="N/A"/>
    <s v="Vendor cloud (EU)"/>
    <m/>
    <s v="Both"/>
    <n v="210"/>
    <s v="N"/>
    <n v="1"/>
    <s v="Y"/>
    <s v="Archive + read-only"/>
    <n v="6"/>
    <s v="Y"/>
    <s v="N"/>
    <s v="N"/>
    <n v="75000"/>
    <d v="2034-05-31T00:00:00"/>
    <m/>
    <m/>
    <s v=""/>
    <n v="0"/>
    <x v="3"/>
    <x v="0"/>
    <x v="3"/>
    <x v="36"/>
    <x v="5"/>
    <s v="Business-critical, well supported"/>
  </r>
  <r>
    <n v="177780"/>
    <s v="Custom Licence Manager (FR)"/>
    <s v="Licence Mgmt"/>
    <s v="IT"/>
    <s v="Internal"/>
    <s v="Elena Garcia"/>
    <s v="Omar Haddad"/>
    <s v="Cloud Platform Team"/>
    <n v="3"/>
    <d v="2021-04-09T00:00:00"/>
    <s v="Low use"/>
    <n v="5"/>
    <n v="2"/>
    <s v="Microsoft 365"/>
    <s v="On-prem DC"/>
    <s v="clmapp01, clmdb01"/>
    <n v="2"/>
    <s v="Windows Server 2016"/>
    <s v="SQL Server 2016"/>
    <s v="US DC-1"/>
    <d v="2026-07-14T00:00:00"/>
    <s v="Structured"/>
    <n v="750"/>
    <s v="Y"/>
    <n v="7"/>
    <s v="Y"/>
    <s v="Archive + read-only"/>
    <n v="23"/>
    <s v="Y"/>
    <s v="N"/>
    <s v="Partial"/>
    <n v="75000"/>
    <d v="2030-05-31T00:00:00"/>
    <n v="124000"/>
    <n v="63500"/>
    <n v="23.433070866141733"/>
    <n v="2"/>
    <x v="4"/>
    <x v="0"/>
    <x v="3"/>
    <x v="36"/>
    <x v="4"/>
    <s v="Awaiting assessment workshop"/>
  </r>
  <r>
    <n v="171890"/>
    <s v="Regional Billing Engine (APAC)"/>
    <s v="Billing"/>
    <s v="Finance"/>
    <s v="Internal"/>
    <s v="Neha Nair"/>
    <s v="Theo Lopez"/>
    <s v="Plant IT Services"/>
    <n v="322"/>
    <d v="2021-04-26T00:00:00"/>
    <s v="Active"/>
    <n v="2"/>
    <n v="4"/>
    <m/>
    <s v="On-prem DC"/>
    <s v="rbeapp01, rbedb01, rbeweb01"/>
    <n v="3"/>
    <s v="HP-UX 11i v3"/>
    <s v="Sybase ASE 15.7"/>
    <s v="EU DC-1"/>
    <d v="2021-12-31T00:00:00"/>
    <s v="Unstructured"/>
    <n v="100"/>
    <s v="Y"/>
    <n v="10"/>
    <s v="N"/>
    <s v="None"/>
    <n v="2"/>
    <s v="N"/>
    <s v="Y"/>
    <s v="N"/>
    <n v="37500"/>
    <d v="2030-03-31T00:00:00"/>
    <n v="19000"/>
    <n v="24500"/>
    <n v="9.3061224489795915"/>
    <n v="2"/>
    <x v="4"/>
    <x v="2"/>
    <x v="3"/>
    <x v="36"/>
    <x v="4"/>
    <s v="Low business value; validate with owner"/>
  </r>
  <r>
    <n v="147133"/>
    <s v="Corporate Travel Booking Tool (UK)"/>
    <s v="Travel"/>
    <s v="HR"/>
    <s v="Partner"/>
    <s v="Camille Fontaine"/>
    <s v="Theo Lopez"/>
    <s v="SaaS Vendor Mgmt"/>
    <n v="111"/>
    <d v="2021-03-31T00:00:00"/>
    <s v="Active"/>
    <n v="5"/>
    <n v="1"/>
    <m/>
    <s v="SaaS"/>
    <s v="N/A (SaaS)"/>
    <n v="0"/>
    <s v="N/A"/>
    <s v="N/A"/>
    <s v="Vendor cloud (EU)"/>
    <d v="2024-11-30T00:00:00"/>
    <s v="Both"/>
    <n v="320"/>
    <s v="Y"/>
    <n v="5"/>
    <s v="N"/>
    <s v="None"/>
    <n v="19"/>
    <s v="Y"/>
    <s v="Y"/>
    <s v="Partial"/>
    <n v="150000"/>
    <d v="2030-12-31T00:00:00"/>
    <m/>
    <m/>
    <s v=""/>
    <n v="0"/>
    <x v="3"/>
    <x v="2"/>
    <x v="3"/>
    <x v="36"/>
    <x v="5"/>
    <s v="Cheap &amp; healthy - retain"/>
  </r>
  <r>
    <n v="161960"/>
    <s v="Departmental Shipment Tracker"/>
    <s v="Logistics"/>
    <s v="Supply Chain"/>
    <s v="Internal"/>
    <s v="Lucas Bernard"/>
    <s v="Tara Khanna"/>
    <s v="Plant IT Services"/>
    <n v="1039"/>
    <d v="2021-04-07T00:00:00"/>
    <s v="Active"/>
    <n v="4"/>
    <n v="3"/>
    <m/>
    <s v="PaaS"/>
    <s v="Azure App Service (PaaS)"/>
    <n v="0"/>
    <s v="N/A (PaaS)"/>
    <s v="Azure SQL"/>
    <s v="Azure West Europe"/>
    <m/>
    <s v="Structured"/>
    <n v="230"/>
    <s v="N"/>
    <n v="5"/>
    <s v="Y"/>
    <s v="Reporting extract"/>
    <n v="5"/>
    <s v="Y"/>
    <s v="Partial"/>
    <s v="Y"/>
    <n v="6500"/>
    <d v="2034-12-31T00:00:00"/>
    <m/>
    <m/>
    <s v=""/>
    <n v="0"/>
    <x v="3"/>
    <x v="1"/>
    <x v="3"/>
    <x v="36"/>
    <x v="5"/>
    <s v="Strategic platform; refresh planned"/>
  </r>
  <r>
    <n v="95342"/>
    <s v="Sales Forecast Tool 2010"/>
    <s v="Sales Planning"/>
    <s v="Sales"/>
    <s v="External"/>
    <s v="Pierre Roux"/>
    <s v="Remi Masson"/>
    <s v="Infra Ops US"/>
    <n v="71"/>
    <d v="2021-03-29T00:00:00"/>
    <s v="Active"/>
    <n v="4"/>
    <n v="1"/>
    <s v="TBD"/>
    <s v="On-prem DC"/>
    <s v="sft-app01–04, sft-db01"/>
    <n v="5"/>
    <s v="AIX 6.1"/>
    <s v="DB2 9.7"/>
    <s v="TBD"/>
    <d v="2017-04-30T00:00:00"/>
    <s v="Structured"/>
    <n v="24"/>
    <s v="N"/>
    <n v="3"/>
    <s v="N"/>
    <s v="None"/>
    <n v="32"/>
    <s v="N"/>
    <s v="N"/>
    <s v="N"/>
    <n v="265000"/>
    <d v="2027-01-31T00:00:00"/>
    <m/>
    <m/>
    <s v=""/>
    <n v="1"/>
    <x v="4"/>
    <x v="2"/>
    <x v="3"/>
    <x v="36"/>
    <x v="4"/>
    <s v="Awaiting assessment workshop"/>
  </r>
  <r>
    <n v="90659"/>
    <s v="Intranet (SharePoint) Plus"/>
    <s v="Collaboration"/>
    <s v="IT"/>
    <s v="Internal"/>
    <s v="Oscar Lindqvist"/>
    <s v="Ananya Pillai"/>
    <s v="Infra Ops EMEA"/>
    <n v="189"/>
    <d v="2021-03-28T00:00:00"/>
    <s v="Active"/>
    <n v="4"/>
    <n v="2"/>
    <m/>
    <s v="IaaS"/>
    <s v="ispapp01"/>
    <n v="1"/>
    <s v="Windows Server 2019"/>
    <s v="SQL Server 2019"/>
    <s v="AWS us-east-1"/>
    <d v="2029-01-09T00:00:00"/>
    <s v="Both"/>
    <n v="840"/>
    <s v="N"/>
    <n v="1"/>
    <s v="Y"/>
    <s v="Data archive"/>
    <n v="18"/>
    <s v="Partial"/>
    <s v="Partial"/>
    <s v="N"/>
    <n v="14500"/>
    <d v="2031-03-31T00:00:00"/>
    <m/>
    <m/>
    <s v=""/>
    <n v="0"/>
    <x v="3"/>
    <x v="0"/>
    <x v="3"/>
    <x v="36"/>
    <x v="5"/>
    <s v="Retain - revisit at next portfolio review"/>
  </r>
  <r>
    <n v="152565"/>
    <s v="Legacy GL Consolidation Tool 2010"/>
    <s v="General Ledger"/>
    <s v="Finance"/>
    <s v="Internal"/>
    <s v="Yuki Tanaka"/>
    <s v="Baptiste Henry"/>
    <s v="Unix Platform Team"/>
    <m/>
    <m/>
    <s v="Unknown"/>
    <n v="3"/>
    <n v="3"/>
    <s v="SAP S/4HANA (planned)"/>
    <s v="IaaS"/>
    <s v="lgcapp01, lgcdb01, lgcweb01, lgcfs01"/>
    <n v="4"/>
    <s v="HP-UX 11i v3"/>
    <s v="Sybase ASE 15.7"/>
    <s v="Azure West Europe"/>
    <d v="2021-12-31T00:00:00"/>
    <s v="Structured"/>
    <n v="68"/>
    <s v="Y"/>
    <n v="10"/>
    <s v="N"/>
    <s v="None"/>
    <n v="5"/>
    <s v="N"/>
    <s v="Y"/>
    <s v="Partial"/>
    <n v="25000"/>
    <d v="2034-04-30T00:00:00"/>
    <n v="25500"/>
    <n v="24500"/>
    <n v="12.489795918367347"/>
    <n v="2"/>
    <x v="4"/>
    <x v="2"/>
    <x v="3"/>
    <x v="36"/>
    <x v="4"/>
    <s v="Awaiting assessment workshop_x000a_Blocker: Replacement rollout dependency_x000a_Q: What is the go-live date of the target platform?"/>
  </r>
  <r>
    <n v="179962"/>
    <s v="Shared Freight Booking Tool v2"/>
    <s v="Transport"/>
    <s v="Supply Chain"/>
    <s v="External"/>
    <s v="Elena Garcia"/>
    <s v="Manon Chevalier"/>
    <s v="Unix Platform Team"/>
    <n v="22"/>
    <d v="2020-12-25T00:00:00"/>
    <s v="Low use"/>
    <n v="4"/>
    <n v="2"/>
    <s v="TBD"/>
    <s v="IaaS"/>
    <s v="sfbapp01, sfbdb01"/>
    <n v="2"/>
    <s v="Windows Server 2016"/>
    <s v="SQL Server 2017"/>
    <s v="AWS us-east-1"/>
    <d v="2027-01-12T00:00:00"/>
    <s v="Both"/>
    <n v="210"/>
    <s v="Y"/>
    <n v="10"/>
    <s v="N"/>
    <s v="None"/>
    <n v="18"/>
    <s v="Y"/>
    <s v="N"/>
    <s v="Y"/>
    <n v="48000"/>
    <d v="2028-03-31T00:00:00"/>
    <m/>
    <m/>
    <s v=""/>
    <n v="1"/>
    <x v="3"/>
    <x v="2"/>
    <x v="3"/>
    <x v="36"/>
    <x v="5"/>
    <s v="Cheap &amp; healthy - retain"/>
  </r>
  <r>
    <n v="167629"/>
    <s v="Legacy Training Records (DE)"/>
    <s v="Learning"/>
    <s v="HR"/>
    <s v="Internal"/>
    <s v="Anika Patel"/>
    <s v="Adrien Colin"/>
    <s v="Cloud Platform Team"/>
    <n v="98"/>
    <d v="2021-04-16T00:00:00"/>
    <s v="Active"/>
    <n v="3"/>
    <n v="2"/>
    <m/>
    <s v="On-prem DC"/>
    <s v="ltrapp01, ltrdb01"/>
    <n v="2"/>
    <s v="Windows Server 2019"/>
    <s v="SQL Server 2019"/>
    <s v="US DC-1"/>
    <d v="2029-01-09T00:00:00"/>
    <s v="Structured"/>
    <n v="790"/>
    <s v="Y"/>
    <n v="10"/>
    <s v="Y"/>
    <s v="Read-only access"/>
    <n v="11"/>
    <s v="N"/>
    <s v="Partial"/>
    <s v="Y"/>
    <n v="65000"/>
    <d v="2030-08-31T00:00:00"/>
    <n v="44000"/>
    <n v="60500"/>
    <n v="8.7272727272727266"/>
    <n v="0"/>
    <x v="4"/>
    <x v="0"/>
    <x v="3"/>
    <x v="36"/>
    <x v="4"/>
    <s v="Awaiting assessment workshop"/>
  </r>
  <r>
    <n v="150090"/>
    <s v="Shared Shipment Tracker"/>
    <s v="Logistics"/>
    <s v="Supply Chain"/>
    <s v="Internal"/>
    <s v="Mateo Girard"/>
    <s v="Ananya Pillai"/>
    <s v="Database Services"/>
    <n v="602"/>
    <d v="2021-04-02T00:00:00"/>
    <s v="Active"/>
    <n v="2"/>
    <n v="4"/>
    <s v="SAP EWM (planned)"/>
    <s v="IaaS"/>
    <s v="sstapp01"/>
    <n v="1"/>
    <s v="AIX 6.1"/>
    <s v="DB2 9.7"/>
    <s v="AWS us-east-1"/>
    <d v="2017-04-30T00:00:00"/>
    <s v="Structured"/>
    <n v="87"/>
    <s v="N"/>
    <n v="7"/>
    <s v="N"/>
    <s v="None"/>
    <n v="0"/>
    <s v="Y"/>
    <s v="N"/>
    <s v="N"/>
    <n v="16500"/>
    <d v="2027-01-31T00:00:00"/>
    <n v="12000"/>
    <n v="16000"/>
    <n v="9"/>
    <n v="3"/>
    <x v="4"/>
    <x v="2"/>
    <x v="3"/>
    <x v="36"/>
    <x v="4"/>
    <s v="Dependencies to be mapped"/>
  </r>
  <r>
    <n v="73991"/>
    <s v="Corporate Fleet Manager Lite"/>
    <s v="Fleet"/>
    <s v="Operations"/>
    <s v="Internal"/>
    <s v="Karan Blanc"/>
    <s v="Baptiste Henry"/>
    <s v="SaaS Vendor Mgmt"/>
    <n v="38"/>
    <d v="2021-03-23T00:00:00"/>
    <s v="Active"/>
    <n v="5"/>
    <n v="1"/>
    <m/>
    <s v="SaaS"/>
    <s v="N/A (SaaS)"/>
    <n v="0"/>
    <s v="N/A"/>
    <s v="N/A"/>
    <s v="Vendor cloud (EU)"/>
    <d v="2023-05-31T00:00:00"/>
    <s v="Both"/>
    <n v="420"/>
    <s v="Y"/>
    <n v="7"/>
    <s v="Y"/>
    <s v="Data archive"/>
    <n v="37"/>
    <s v="Y"/>
    <s v="N"/>
    <s v="N"/>
    <n v="180000"/>
    <d v="2032-06-30T00:00:00"/>
    <m/>
    <m/>
    <s v=""/>
    <n v="0"/>
    <x v="3"/>
    <x v="0"/>
    <x v="3"/>
    <x v="36"/>
    <x v="4"/>
    <s v="Retain - revisit at next portfolio review"/>
  </r>
  <r>
    <n v="108793"/>
    <s v="Custom Fleet Manager (APAC)"/>
    <s v="Fleet"/>
    <s v="Operations"/>
    <s v="Internal"/>
    <s v="Marc Laurent"/>
    <s v="Aditi Menon"/>
    <s v="SaaS Vendor Mgmt"/>
    <n v="520"/>
    <d v="2021-04-24T00:00:00"/>
    <s v="Active"/>
    <n v="4"/>
    <n v="1"/>
    <m/>
    <s v="SaaS"/>
    <s v="N/A (SaaS)"/>
    <n v="0"/>
    <s v="N/A"/>
    <s v="N/A"/>
    <s v="Vendor cloud (EU)"/>
    <m/>
    <s v="Structured"/>
    <n v="940"/>
    <s v="N"/>
    <n v="3"/>
    <s v="Y"/>
    <s v="Archive + read-only"/>
    <n v="64"/>
    <s v="N"/>
    <s v="N"/>
    <s v="Partial"/>
    <n v="155000"/>
    <d v="2026-01-31T00:00:00"/>
    <m/>
    <m/>
    <s v=""/>
    <n v="0"/>
    <x v="3"/>
    <x v="0"/>
    <x v="3"/>
    <x v="36"/>
    <x v="5"/>
    <s v="Strategic platform; refresh planned"/>
  </r>
  <r>
    <n v="15528"/>
    <s v="Old Training Records (US)"/>
    <s v="Learning"/>
    <s v="HR"/>
    <s v="Partner"/>
    <s v="Fatima Khan"/>
    <s v="Rohan Bhatt"/>
    <s v="Infra Ops EMEA"/>
    <n v="0"/>
    <d v="2020-01-12T00:00:00"/>
    <s v="Not in use"/>
    <n v="3"/>
    <n v="2"/>
    <m/>
    <s v="On-prem DC"/>
    <s v="otrapp01, otrdb01"/>
    <n v="2"/>
    <s v="Ubuntu 18.04"/>
    <s v="PostgreSQL 10"/>
    <s v="Plant DC"/>
    <d v="2023-05-31T00:00:00"/>
    <s v="Both"/>
    <n v="2410"/>
    <s v="Y"/>
    <n v="7"/>
    <s v="Y"/>
    <s v="Read-only access"/>
    <n v="15"/>
    <s v="Partial"/>
    <s v="Y"/>
    <s v="Y"/>
    <n v="24000"/>
    <d v="2031-06-30T00:00:00"/>
    <m/>
    <m/>
    <s v=""/>
    <n v="1"/>
    <x v="4"/>
    <x v="0"/>
    <x v="3"/>
    <x v="36"/>
    <x v="4"/>
    <s v="Dependencies to be mapped"/>
  </r>
  <r>
    <n v="171780"/>
    <s v="Legacy Inventory Control 2010"/>
    <s v="Inventory"/>
    <s v="Supply Chain"/>
    <s v="Internal"/>
    <s v="Mateo Girard"/>
    <s v="Ishaan Desai"/>
    <s v="SaaS Vendor Mgmt"/>
    <n v="43"/>
    <d v="2021-03-30T00:00:00"/>
    <s v="Active"/>
    <n v="4"/>
    <n v="2"/>
    <m/>
    <s v="SaaS"/>
    <s v="N/A (SaaS)"/>
    <n v="0"/>
    <s v="N/A"/>
    <s v="N/A"/>
    <s v="Vendor cloud (EU)"/>
    <m/>
    <s v="Both"/>
    <n v="73"/>
    <s v="Y"/>
    <n v="10"/>
    <s v="N"/>
    <s v="None"/>
    <n v="8"/>
    <s v="N"/>
    <s v="N"/>
    <s v="Y"/>
    <n v="85000"/>
    <d v="2029-10-31T00:00:00"/>
    <m/>
    <m/>
    <s v=""/>
    <n v="0"/>
    <x v="3"/>
    <x v="2"/>
    <x v="3"/>
    <x v="36"/>
    <x v="5"/>
    <s v="Retain - revisit at next portfolio review"/>
  </r>
  <r>
    <n v="189560"/>
    <s v="Corporate Price List Manager 2012"/>
    <s v="Pricing"/>
    <s v="Sales"/>
    <s v="Internal"/>
    <s v="Claire Mehta"/>
    <s v="Varun Malhotra"/>
    <s v="Wintel Platform Team"/>
    <n v="61"/>
    <d v="2021-03-15T00:00:00"/>
    <s v="Active"/>
    <n v="4"/>
    <n v="3"/>
    <m/>
    <s v="IaaS"/>
    <s v="cplapp01"/>
    <n v="1"/>
    <s v="RHEL 8"/>
    <s v="PostgreSQL 12"/>
    <s v="AWS eu-west-1"/>
    <d v="2029-05-31T00:00:00"/>
    <s v="Unstructured"/>
    <n v="72"/>
    <s v="N"/>
    <n v="3"/>
    <s v="Y"/>
    <s v="Data archive"/>
    <n v="6"/>
    <s v="Y"/>
    <s v="Y"/>
    <s v="Partial"/>
    <n v="20000"/>
    <d v="2033-03-31T00:00:00"/>
    <m/>
    <m/>
    <s v=""/>
    <n v="0"/>
    <x v="3"/>
    <x v="0"/>
    <x v="3"/>
    <x v="36"/>
    <x v="5"/>
    <s v="Cheap &amp; healthy - retain"/>
  </r>
  <r>
    <n v="142036"/>
    <s v="Cash Position Reporter (DE)"/>
    <s v="Treasury"/>
    <s v="Finance"/>
    <s v="Internal"/>
    <s v="Karan Blanc"/>
    <s v="Theo Lopez"/>
    <s v="Plant IT Services"/>
    <n v="924"/>
    <d v="2021-04-26T00:00:00"/>
    <s v="Active"/>
    <n v="5"/>
    <n v="1"/>
    <m/>
    <s v="On-prem DC"/>
    <s v="cprapp01"/>
    <n v="1"/>
    <s v="AIX 7.1"/>
    <s v="DB2 10.5"/>
    <s v="EU DC-2"/>
    <d v="2023-04-30T00:00:00"/>
    <s v="Structured"/>
    <n v="39"/>
    <s v="N"/>
    <n v="3"/>
    <s v="Y"/>
    <s v="Reporting extract"/>
    <n v="23"/>
    <s v="N"/>
    <s v="Partial"/>
    <s v="Y"/>
    <n v="60000"/>
    <d v="2025-06-30T00:00:00"/>
    <m/>
    <m/>
    <s v=""/>
    <n v="0"/>
    <x v="3"/>
    <x v="0"/>
    <x v="3"/>
    <x v="36"/>
    <x v="5"/>
    <s v="Business-critical, well supported"/>
  </r>
  <r>
    <n v="12586"/>
    <s v="Shared Partner Portal Lite"/>
    <s v="Partner Mgmt"/>
    <s v="Sales"/>
    <s v="Internal"/>
    <s v="Thomas Moreau"/>
    <s v="Remi Masson"/>
    <s v="Database Services"/>
    <n v="78"/>
    <d v="2021-04-03T00:00:00"/>
    <s v="Active"/>
    <n v="4"/>
    <n v="1"/>
    <m/>
    <s v="IaaS"/>
    <s v="sppapp01"/>
    <n v="1"/>
    <s v="SUSE Linux 11"/>
    <s v="Oracle 11g"/>
    <s v="AWS eu-west-1"/>
    <d v="2019-03-31T00:00:00"/>
    <s v="Structured"/>
    <n v="450"/>
    <s v="Y"/>
    <n v="5"/>
    <s v="N"/>
    <s v="None"/>
    <n v="16"/>
    <s v="Y"/>
    <s v="N"/>
    <s v="Y"/>
    <n v="100000"/>
    <d v="2030-02-28T00:00:00"/>
    <m/>
    <m/>
    <s v=""/>
    <n v="1"/>
    <x v="4"/>
    <x v="2"/>
    <x v="3"/>
    <x v="36"/>
    <x v="4"/>
    <s v="Owner to confirm usage before decision"/>
  </r>
  <r>
    <n v="44884"/>
    <s v="Document Repository (DE)"/>
    <s v="Document Mgmt"/>
    <s v="IT"/>
    <s v="Internal"/>
    <s v="Thomas Moreau"/>
    <s v="Varun Malhotra"/>
    <s v="Cloud Platform Team"/>
    <n v="222"/>
    <d v="2021-04-28T00:00:00"/>
    <s v="Active"/>
    <n v="3"/>
    <n v="3"/>
    <m/>
    <s v="On-prem DC"/>
    <s v="drdapp01, drddb01, drdweb01, drdfs01"/>
    <n v="4"/>
    <s v="Ubuntu 20.04"/>
    <s v="MySQL 8.0"/>
    <s v="EU DC-1"/>
    <d v="2025-04-30T00:00:00"/>
    <s v="Unstructured"/>
    <n v="290"/>
    <s v="N"/>
    <n v="3"/>
    <s v="N"/>
    <s v="None"/>
    <n v="5"/>
    <s v="N"/>
    <s v="Partial"/>
    <s v="N"/>
    <n v="44500"/>
    <d v="2025-07-31T00:00:00"/>
    <m/>
    <m/>
    <s v=""/>
    <n v="0"/>
    <x v="3"/>
    <x v="2"/>
    <x v="3"/>
    <x v="36"/>
    <x v="5"/>
    <s v="Strategic platform; refresh planned"/>
  </r>
  <r>
    <n v="63686"/>
    <s v="Regional Org Chart Publisher"/>
    <s v="Org Mgmt"/>
    <s v="HR"/>
    <s v="Internal"/>
    <s v="Nicolas Sharma"/>
    <s v="Aditi Menon"/>
    <s v="Cloud Platform Team"/>
    <n v="113"/>
    <d v="2021-03-25T00:00:00"/>
    <s v="Active"/>
    <n v="4"/>
    <n v="2"/>
    <m/>
    <s v="On-prem DC"/>
    <s v="rocapp01"/>
    <n v="1"/>
    <s v="Windows Server 2016"/>
    <s v="SQL Server 2017"/>
    <s v="EU DC-1"/>
    <d v="2027-01-12T00:00:00"/>
    <s v="Structured"/>
    <n v="110"/>
    <s v="N"/>
    <n v="2"/>
    <s v="N"/>
    <s v="None"/>
    <n v="22"/>
    <s v="Partial"/>
    <s v="Partial"/>
    <s v="N"/>
    <n v="20000"/>
    <d v="2032-12-31T00:00:00"/>
    <m/>
    <m/>
    <s v=""/>
    <n v="0"/>
    <x v="3"/>
    <x v="2"/>
    <x v="3"/>
    <x v="36"/>
    <x v="5"/>
    <s v="Cheap &amp; healthy - retain"/>
  </r>
  <r>
    <n v="196599"/>
    <s v="Departmental Licence Manager Plus"/>
    <s v="Licence Mgmt"/>
    <s v="IT"/>
    <s v="Internal"/>
    <s v="Rahul Iyer"/>
    <s v="Hugo Perrin"/>
    <s v="Infra Ops EMEA"/>
    <n v="474"/>
    <d v="2021-04-22T00:00:00"/>
    <s v="Active"/>
    <n v="3"/>
    <n v="4"/>
    <s v="SharePoint Online"/>
    <s v="IaaS"/>
    <s v="dlmapp01, dlmdb01, dlmweb01"/>
    <n v="3"/>
    <s v="RHEL 8"/>
    <s v="Oracle 19c"/>
    <s v="AWS eu-west-1"/>
    <d v="2029-05-31T00:00:00"/>
    <s v="Structured"/>
    <n v="35"/>
    <s v="Y"/>
    <n v="10"/>
    <s v="Y"/>
    <s v="Archive + read-only"/>
    <n v="2"/>
    <s v="Y"/>
    <s v="Y"/>
    <s v="Partial"/>
    <n v="24000"/>
    <d v="2034-07-31T00:00:00"/>
    <n v="34000"/>
    <n v="20000"/>
    <n v="20.399999999999999"/>
    <n v="1"/>
    <x v="4"/>
    <x v="1"/>
    <x v="3"/>
    <x v="36"/>
    <x v="4"/>
    <s v="Awaiting assessment workshop"/>
  </r>
  <r>
    <n v="113031"/>
    <s v="Legacy Quality Incident Log Plus"/>
    <s v="Quality"/>
    <s v="Operations"/>
    <s v="Internal"/>
    <s v="Claire Mehta"/>
    <s v="Omar Haddad"/>
    <s v="Plant IT Services"/>
    <n v="184"/>
    <d v="2021-03-30T00:00:00"/>
    <s v="Active"/>
    <n v="5"/>
    <n v="2"/>
    <s v="IBM Maximo"/>
    <s v="On-prem DC"/>
    <s v="lqiapp01, lqidb01, lqiweb01, lqifs01"/>
    <n v="4"/>
    <s v="Ubuntu 16.04"/>
    <s v="MySQL 5.7"/>
    <s v="TBD"/>
    <d v="2021-04-30T00:00:00"/>
    <s v="Structured"/>
    <n v="15"/>
    <s v="N"/>
    <n v="7"/>
    <s v="Y"/>
    <s v="Read-only access"/>
    <n v="27"/>
    <s v="Partial"/>
    <s v="N"/>
    <s v="Partial"/>
    <n v="100000"/>
    <d v="2033-05-31T00:00:00"/>
    <n v="172000"/>
    <n v="80000"/>
    <n v="25.799999999999997"/>
    <n v="2"/>
    <x v="4"/>
    <x v="0"/>
    <x v="3"/>
    <x v="36"/>
    <x v="4"/>
    <s v="Low business value; validate with owner"/>
  </r>
  <r>
    <n v="162610"/>
    <s v="Legacy Batch Scheduler Classic"/>
    <s v="Batch Scheduling"/>
    <s v="IT"/>
    <s v="Internal"/>
    <s v="Laura Martin"/>
    <s v="Tara Khanna"/>
    <s v="SaaS Vendor Mgmt"/>
    <n v="225"/>
    <d v="2021-04-22T00:00:00"/>
    <s v="Active"/>
    <n v="4"/>
    <n v="3"/>
    <m/>
    <s v="SaaS"/>
    <s v="N/A (SaaS)"/>
    <n v="0"/>
    <s v="N/A"/>
    <s v="N/A"/>
    <s v="Vendor cloud (EU)"/>
    <d v="2025-06-30T00:00:00"/>
    <s v="Both"/>
    <n v="410"/>
    <s v="N"/>
    <n v="3"/>
    <s v="Y"/>
    <s v="Archive + read-only"/>
    <n v="3"/>
    <s v="Y"/>
    <s v="Y"/>
    <s v="N"/>
    <n v="47000"/>
    <d v="2029-08-31T00:00:00"/>
    <m/>
    <m/>
    <s v=""/>
    <n v="0"/>
    <x v="3"/>
    <x v="1"/>
    <x v="3"/>
    <x v="36"/>
    <x v="5"/>
    <s v="Business-critical, well supported"/>
  </r>
  <r>
    <n v="12673"/>
    <s v="Corporate Timesheet Portal 2010"/>
    <s v="Time &amp; Attendance"/>
    <s v="HR"/>
    <s v="Internal"/>
    <s v="Pierre Roux"/>
    <s v="Remi Masson"/>
    <s v="SaaS Vendor Mgmt"/>
    <n v="593"/>
    <d v="2021-04-15T00:00:00"/>
    <s v="Active"/>
    <n v="5"/>
    <n v="1"/>
    <m/>
    <s v="SaaS"/>
    <s v="N/A (SaaS)"/>
    <n v="0"/>
    <s v="N/A"/>
    <s v="N/A"/>
    <s v="Vendor cloud (EU)"/>
    <m/>
    <s v="Structured"/>
    <n v="560"/>
    <s v="Y"/>
    <n v="5"/>
    <s v="N"/>
    <s v="None"/>
    <n v="88"/>
    <s v="N"/>
    <s v="N"/>
    <s v="Y"/>
    <n v="215000"/>
    <d v="2031-09-30T00:00:00"/>
    <m/>
    <m/>
    <s v=""/>
    <n v="0"/>
    <x v="3"/>
    <x v="2"/>
    <x v="3"/>
    <x v="36"/>
    <x v="4"/>
    <s v="Active user base; no replacement planned"/>
  </r>
  <r>
    <n v="138900"/>
    <s v="Old GL Consolidation Tool 2010"/>
    <s v="General Ledger"/>
    <s v="Finance"/>
    <s v="External"/>
    <s v="Anika Patel"/>
    <s v="Adrien Colin"/>
    <s v="Cloud Platform Team"/>
    <n v="60"/>
    <d v="2021-04-28T00:00:00"/>
    <s v="Active"/>
    <n v="5"/>
    <n v="1"/>
    <m/>
    <s v="IaaS"/>
    <s v="ogcapp01, ogcdb01, ogcweb01"/>
    <n v="3"/>
    <s v="Windows Server 2016"/>
    <s v="SQL Server 2016"/>
    <s v="AWS us-east-1"/>
    <d v="2026-07-14T00:00:00"/>
    <s v="Structured"/>
    <n v="1610"/>
    <s v="N"/>
    <n v="7"/>
    <s v="N"/>
    <s v="None"/>
    <n v="37"/>
    <s v="Partial"/>
    <s v="Partial"/>
    <s v="Y"/>
    <n v="80000"/>
    <d v="2027-11-30T00:00:00"/>
    <m/>
    <m/>
    <s v=""/>
    <n v="0"/>
    <x v="3"/>
    <x v="2"/>
    <x v="3"/>
    <x v="36"/>
    <x v="5"/>
    <s v="Cheap &amp; healthy - retain"/>
  </r>
  <r>
    <n v="131022"/>
    <s v="Old Campaign DB (Nordics)"/>
    <s v="Campaign Mgmt"/>
    <s v="Marketing"/>
    <s v="Partner"/>
    <s v="Thomas Moreau"/>
    <s v="Lena Fischer"/>
    <s v="Unix Platform Team"/>
    <n v="416"/>
    <d v="2021-03-21T00:00:00"/>
    <s v="Active"/>
    <n v="4"/>
    <n v="3"/>
    <s v="Marketo"/>
    <s v="On-prem DC"/>
    <s v="ocdapp01, ocddb01"/>
    <n v="2"/>
    <s v="HP-UX 11i v3"/>
    <s v="Sybase ASE 15.7"/>
    <s v="Plant DC"/>
    <d v="2021-12-31T00:00:00"/>
    <s v="Structured"/>
    <n v="650"/>
    <s v="Y"/>
    <n v="10"/>
    <s v="N"/>
    <s v="None"/>
    <n v="2"/>
    <s v="N"/>
    <s v="Partial"/>
    <s v="Y"/>
    <n v="50000"/>
    <d v="2033-02-28T00:00:00"/>
    <m/>
    <m/>
    <s v=""/>
    <n v="2"/>
    <x v="4"/>
    <x v="2"/>
    <x v="3"/>
    <x v="36"/>
    <x v="4"/>
    <s v="Dependencies to be mapped"/>
  </r>
  <r>
    <n v="58965"/>
    <s v="Custom Org Chart Publisher (UK)"/>
    <s v="Org Mgmt"/>
    <s v="HR"/>
    <s v="Internal"/>
    <s v="Neha Nair"/>
    <s v="Theo Lopez"/>
    <s v="SaaS Vendor Mgmt"/>
    <n v="261"/>
    <d v="2021-04-11T00:00:00"/>
    <s v="Active"/>
    <n v="2"/>
    <n v="4"/>
    <m/>
    <s v="SaaS"/>
    <s v="N/A (SaaS)"/>
    <n v="0"/>
    <s v="N/A"/>
    <s v="N/A"/>
    <s v="Vendor cloud (EU)"/>
    <m/>
    <s v="Both"/>
    <n v="30"/>
    <s v="Y"/>
    <n v="10"/>
    <s v="N"/>
    <s v="None"/>
    <n v="3"/>
    <s v="N"/>
    <s v="N"/>
    <s v="N"/>
    <n v="70000"/>
    <d v="2027-02-28T00:00:00"/>
    <n v="78500"/>
    <n v="46000"/>
    <n v="20.478260869565219"/>
    <n v="1"/>
    <x v="4"/>
    <x v="2"/>
    <x v="3"/>
    <x v="36"/>
    <x v="4"/>
    <s v="Awaiting assessment workshop_x000a_Blocker: Interface owners not yet identified_x000a_Q: Which teams consume the outbound feeds?"/>
  </r>
  <r>
    <n v="188582"/>
    <s v="Commission Calculator (US)"/>
    <s v="Commissions"/>
    <s v="Sales"/>
    <s v="Internal"/>
    <s v="Vikram Rao"/>
    <s v="Varun Malhotra"/>
    <s v="Wintel Platform Team"/>
    <n v="972"/>
    <d v="2021-04-24T00:00:00"/>
    <s v="Active"/>
    <n v="2"/>
    <n v="4"/>
    <m/>
    <s v="On-prem DC"/>
    <s v="ccuapp01"/>
    <n v="1"/>
    <s v="Solaris 10"/>
    <s v="Oracle 11g"/>
    <s v="Plant DC"/>
    <d v="2021-01-31T00:00:00"/>
    <s v="Structured"/>
    <n v="98"/>
    <s v="N"/>
    <n v="3"/>
    <s v="N"/>
    <s v="None"/>
    <n v="0"/>
    <s v="Y"/>
    <s v="N"/>
    <s v="Y"/>
    <n v="32000"/>
    <d v="2034-12-31T00:00:00"/>
    <n v="18000"/>
    <n v="24000"/>
    <n v="9"/>
    <n v="2"/>
    <x v="4"/>
    <x v="2"/>
    <x v="3"/>
    <x v="36"/>
    <x v="4"/>
    <s v="Owner to confirm usage before decision"/>
  </r>
  <r>
    <n v="119469"/>
    <s v="Shared Appraisal Tool"/>
    <s v="Performance"/>
    <s v="HR"/>
    <s v="Internal"/>
    <s v="Anika Patel"/>
    <s v="Louis Faure"/>
    <s v="Database Services"/>
    <n v="120"/>
    <d v="2021-04-13T00:00:00"/>
    <s v="Active"/>
    <n v="3"/>
    <n v="2"/>
    <s v="TBD"/>
    <s v="PaaS"/>
    <s v="Azure App Service (PaaS)"/>
    <n v="0"/>
    <s v="N/A (PaaS)"/>
    <s v="Azure SQL"/>
    <s v="Azure West Europe"/>
    <m/>
    <s v="Both"/>
    <n v="1010"/>
    <s v="Y"/>
    <n v="7"/>
    <s v="Y"/>
    <s v="Reporting extract"/>
    <n v="27"/>
    <s v="N"/>
    <s v="Partial"/>
    <s v="Partial"/>
    <n v="39000"/>
    <d v="2028-05-31T00:00:00"/>
    <m/>
    <m/>
    <s v=""/>
    <n v="0"/>
    <x v="3"/>
    <x v="0"/>
    <x v="3"/>
    <x v="36"/>
    <x v="5"/>
    <s v="Strategic platform; refresh planned"/>
  </r>
  <r>
    <n v="189855"/>
    <s v="Shared Licence Manager v4"/>
    <s v="Licence Mgmt"/>
    <s v="IT"/>
    <s v="External"/>
    <s v="Priya Sharma"/>
    <s v="Remi Masson"/>
    <s v="Infra Ops US"/>
    <n v="424"/>
    <d v="2021-04-17T00:00:00"/>
    <s v="Active"/>
    <n v="3"/>
    <n v="3"/>
    <m/>
    <s v="PaaS"/>
    <s v="Azure App Service (PaaS)"/>
    <n v="0"/>
    <s v="N/A (PaaS)"/>
    <s v="Azure SQL"/>
    <s v="Azure West Europe"/>
    <d v="2022-06-30T00:00:00"/>
    <s v="Structured"/>
    <n v="11"/>
    <s v="N"/>
    <n v="5"/>
    <s v="Y"/>
    <s v="Archive + read-only"/>
    <n v="4"/>
    <s v="Partial"/>
    <s v="Y"/>
    <s v="N"/>
    <n v="15500"/>
    <d v="2035-08-31T00:00:00"/>
    <m/>
    <m/>
    <s v=""/>
    <n v="0"/>
    <x v="3"/>
    <x v="1"/>
    <x v="3"/>
    <x v="36"/>
    <x v="4"/>
    <s v="Retain - revisit at next portfolio review"/>
  </r>
  <r>
    <n v="57765"/>
    <s v="Regional Web Analytics Mart"/>
    <s v="Analytics"/>
    <s v="Marketing"/>
    <s v="Partner"/>
    <s v="Meera Dubois"/>
    <s v="Kavya Reddy"/>
    <s v="Wintel Platform Team"/>
    <n v="0"/>
    <d v="2019-11-18T00:00:00"/>
    <s v="Not in use"/>
    <n v="4"/>
    <n v="2"/>
    <s v="Adobe Experience Manager (planned)"/>
    <s v="On-prem DC"/>
    <s v="rwa-app01–05, rwa-db01"/>
    <n v="6"/>
    <s v="AIX 6.1"/>
    <s v="DB2 9.7"/>
    <s v="US DC-1"/>
    <d v="2017-04-30T00:00:00"/>
    <s v="Structured"/>
    <n v="36"/>
    <s v="Y"/>
    <n v="7"/>
    <s v="Y"/>
    <s v="Reporting extract"/>
    <n v="13"/>
    <s v="N"/>
    <s v="Partial"/>
    <s v="Y"/>
    <n v="125000"/>
    <d v="2031-04-30T00:00:00"/>
    <n v="107500"/>
    <n v="121000"/>
    <n v="10.66115702479339"/>
    <n v="3"/>
    <x v="4"/>
    <x v="0"/>
    <x v="3"/>
    <x v="36"/>
    <x v="4"/>
    <s v="Owner to confirm usage before decision"/>
  </r>
  <r>
    <n v="137857"/>
    <s v="Old Customer Contact Manager (US)"/>
    <s v="CRM"/>
    <s v="Sales"/>
    <s v="Internal"/>
    <s v="Priya Sharma"/>
    <s v="Tara Khanna"/>
    <s v="Wintel Platform Team"/>
    <n v="5395"/>
    <d v="2021-04-25T00:00:00"/>
    <s v="Active"/>
    <n v="4"/>
    <n v="2"/>
    <m/>
    <s v="On-prem DC"/>
    <s v="occapp01, occdb01, occweb01, occfs01"/>
    <n v="4"/>
    <s v="Windows Server 2012 R2"/>
    <s v="SQL Server 2012"/>
    <s v="EU DC-2"/>
    <d v="2022-07-12T00:00:00"/>
    <s v="Both"/>
    <n v="88"/>
    <s v="N"/>
    <n v="7"/>
    <s v="N"/>
    <s v="None"/>
    <n v="16"/>
    <s v="Partial"/>
    <s v="Partial"/>
    <s v="Partial"/>
    <n v="85000"/>
    <d v="2027-11-30T00:00:00"/>
    <n v="119500"/>
    <n v="84000"/>
    <n v="17.071428571428573"/>
    <n v="0"/>
    <x v="4"/>
    <x v="2"/>
    <x v="3"/>
    <x v="36"/>
    <x v="4"/>
    <s v="Dependencies to be mapped"/>
  </r>
  <r>
    <n v="169734"/>
    <s v="Licence Manager v3"/>
    <s v="Licence Mgmt"/>
    <s v="IT"/>
    <s v="Internal"/>
    <s v="Oscar Lindqvist"/>
    <s v="Varun Malhotra"/>
    <s v="Plant IT Services"/>
    <n v="23"/>
    <d v="2021-03-24T00:00:00"/>
    <s v="Low use"/>
    <n v="5"/>
    <n v="1"/>
    <m/>
    <s v="On-prem DC"/>
    <s v="lmvapp01, lmvdb01, lmvweb01"/>
    <n v="3"/>
    <s v="AIX 7.1"/>
    <s v="DB2 10.5"/>
    <s v="TBD"/>
    <d v="2023-04-30T00:00:00"/>
    <s v="Structured"/>
    <n v="2510"/>
    <s v="N"/>
    <n v="2"/>
    <s v="Y"/>
    <s v="Reporting extract"/>
    <n v="86"/>
    <s v="Partial"/>
    <s v="Partial"/>
    <s v="Y"/>
    <n v="155000"/>
    <d v="2030-03-31T00:00:00"/>
    <n v="1009500"/>
    <n v="103500"/>
    <n v="117.04347826086956"/>
    <n v="1"/>
    <x v="4"/>
    <x v="0"/>
    <x v="3"/>
    <x v="36"/>
    <x v="4"/>
    <s v="Low business value; validate with owner"/>
  </r>
  <r>
    <n v="96367"/>
    <s v="Global Inventory Control Lite"/>
    <s v="Inventory"/>
    <s v="Supply Chain"/>
    <s v="Internal"/>
    <s v="Neha Nair"/>
    <s v="Louis Faure"/>
    <s v="Plant IT Services"/>
    <n v="6"/>
    <d v="2020-08-30T00:00:00"/>
    <s v="Not in use"/>
    <n v="3"/>
    <n v="3"/>
    <m/>
    <s v="On-prem DC"/>
    <s v="gicapp01, gicdb01, gicweb01, gicfs01"/>
    <n v="4"/>
    <s v="Windows Server 2008 R2"/>
    <s v="SQL Server 2008 R2"/>
    <s v="TBD"/>
    <d v="2020-01-14T00:00:00"/>
    <s v="Structured"/>
    <n v="100"/>
    <s v="N"/>
    <n v="3"/>
    <s v="Y"/>
    <s v="Archive + read-only"/>
    <n v="8"/>
    <s v="N"/>
    <s v="Y"/>
    <s v="N"/>
    <n v="55000"/>
    <d v="2028-11-30T00:00:00"/>
    <m/>
    <m/>
    <s v=""/>
    <n v="2"/>
    <x v="4"/>
    <x v="0"/>
    <x v="3"/>
    <x v="36"/>
    <x v="4"/>
    <s v="Awaiting assessment workshop"/>
  </r>
  <r>
    <n v="166141"/>
    <s v="Corporate Asset Register (APAC)"/>
    <s v="Fixed Assets"/>
    <s v="Finance"/>
    <s v="Internal"/>
    <s v="Julia Rao"/>
    <s v="Ishaan Desai"/>
    <s v="Wintel Platform Team"/>
    <n v="1632"/>
    <d v="2021-04-17T00:00:00"/>
    <s v="Active"/>
    <n v="5"/>
    <n v="1"/>
    <m/>
    <s v="IaaS"/>
    <s v="carapp01"/>
    <n v="1"/>
    <s v="Ubuntu 20.04"/>
    <s v="MySQL 8.0"/>
    <s v="AWS us-east-1"/>
    <d v="2025-04-30T00:00:00"/>
    <s v="Structured"/>
    <n v="32"/>
    <s v="N"/>
    <n v="1"/>
    <s v="Y"/>
    <s v="Archive + read-only"/>
    <n v="56"/>
    <s v="Partial"/>
    <s v="Partial"/>
    <s v="N"/>
    <n v="55000"/>
    <d v="2031-01-31T00:00:00"/>
    <m/>
    <m/>
    <s v=""/>
    <n v="0"/>
    <x v="3"/>
    <x v="0"/>
    <x v="3"/>
    <x v="36"/>
    <x v="5"/>
    <s v="Business-critical, well supported"/>
  </r>
  <r>
    <n v="17133"/>
    <s v="Legacy Monitoring Console (UK)"/>
    <s v="Monitoring"/>
    <s v="IT"/>
    <s v="Internal"/>
    <s v="Antoine Patel"/>
    <s v="Adrien Colin"/>
    <s v="SaaS Vendor Mgmt"/>
    <n v="2403"/>
    <d v="2021-04-12T00:00:00"/>
    <s v="Active"/>
    <n v="3"/>
    <n v="3"/>
    <m/>
    <s v="SaaS"/>
    <s v="N/A (SaaS)"/>
    <n v="0"/>
    <s v="N/A"/>
    <s v="N/A"/>
    <s v="Vendor cloud (EU)"/>
    <m/>
    <s v="Structured"/>
    <n v="50"/>
    <s v="N"/>
    <n v="5"/>
    <s v="N"/>
    <s v="None"/>
    <n v="1"/>
    <s v="Y"/>
    <s v="N"/>
    <s v="N"/>
    <n v="110000"/>
    <d v="2033-09-30T00:00:00"/>
    <m/>
    <m/>
    <s v=""/>
    <n v="0"/>
    <x v="3"/>
    <x v="2"/>
    <x v="3"/>
    <x v="36"/>
    <x v="4"/>
    <s v="Business-critical, well supported"/>
  </r>
  <r>
    <n v="11057"/>
    <s v="Legacy CMDB Lite Plus"/>
    <s v="Config Mgmt"/>
    <s v="IT"/>
    <s v="Internal"/>
    <s v="Claire Mehta"/>
    <s v="Kavya Reddy"/>
    <s v="Database Services"/>
    <n v="3183"/>
    <d v="2021-04-09T00:00:00"/>
    <s v="Active"/>
    <n v="2"/>
    <n v="4"/>
    <m/>
    <s v="On-prem DC"/>
    <s v="lclapp01, lcldb01, lclweb01, lclfs01"/>
    <n v="4"/>
    <s v="Windows Server 2019"/>
    <s v="SQL Server 2019"/>
    <s v="TBD"/>
    <d v="2029-01-09T00:00:00"/>
    <s v="Structured"/>
    <n v="470"/>
    <s v="N"/>
    <n v="7"/>
    <s v="Y"/>
    <s v="Archive + read-only"/>
    <n v="0"/>
    <s v="Partial"/>
    <s v="Partial"/>
    <s v="Y"/>
    <n v="41500"/>
    <d v="2035-06-30T00:00:00"/>
    <n v="24500"/>
    <n v="41000"/>
    <n v="7.1707317073170724"/>
    <n v="1"/>
    <x v="4"/>
    <x v="1"/>
    <x v="3"/>
    <x v="36"/>
    <x v="4"/>
    <s v="Low business value; validate with owner"/>
  </r>
  <r>
    <n v="98726"/>
    <s v="Custom Tax Compliance Tool 2012"/>
    <s v="Tax"/>
    <s v="Finance"/>
    <s v="External"/>
    <s v="Camille Fontaine"/>
    <s v="Hugo Perrin"/>
    <s v="Cloud Platform Team"/>
    <n v="91"/>
    <d v="2021-03-19T00:00:00"/>
    <s v="Active"/>
    <n v="5"/>
    <n v="1"/>
    <m/>
    <s v="IaaS"/>
    <s v="ctcapp01"/>
    <n v="1"/>
    <s v="AIX 7.1"/>
    <s v="DB2 10.5"/>
    <s v="Azure West Europe"/>
    <d v="2023-04-30T00:00:00"/>
    <s v="Unstructured"/>
    <n v="290"/>
    <s v="Y"/>
    <n v="10"/>
    <s v="Y"/>
    <s v="Read-only access"/>
    <n v="71"/>
    <s v="N"/>
    <s v="Partial"/>
    <s v="Partial"/>
    <n v="24000"/>
    <d v="2025-12-31T00:00:00"/>
    <m/>
    <m/>
    <s v=""/>
    <n v="0"/>
    <x v="4"/>
    <x v="0"/>
    <x v="3"/>
    <x v="36"/>
    <x v="4"/>
    <s v="Owner to confirm usage before decision"/>
  </r>
  <r>
    <n v="112470"/>
    <s v="Custom Campaign DB 2008"/>
    <s v="Campaign Mgmt"/>
    <s v="Marketing"/>
    <s v="Internal"/>
    <s v="Laura Martin"/>
    <s v="Baptiste Henry"/>
    <s v="Database Services"/>
    <n v="483"/>
    <d v="2021-03-26T00:00:00"/>
    <s v="Active"/>
    <n v="3"/>
    <n v="2"/>
    <s v="TBD"/>
    <s v="On-prem DC"/>
    <s v="ccdapp01, ccddb01, ccdweb01"/>
    <n v="3"/>
    <s v="Ubuntu 16.04"/>
    <s v="MySQL 5.7"/>
    <s v="TBD"/>
    <d v="2021-04-30T00:00:00"/>
    <s v="Unstructured"/>
    <n v="28"/>
    <s v="Y"/>
    <n v="10"/>
    <s v="Y"/>
    <s v="Read-only access"/>
    <n v="18"/>
    <s v="Partial"/>
    <s v="N"/>
    <s v="N"/>
    <n v="60000"/>
    <d v="2029-04-30T00:00:00"/>
    <n v="94000"/>
    <n v="55500"/>
    <n v="20.324324324324323"/>
    <n v="1"/>
    <x v="4"/>
    <x v="0"/>
    <x v="3"/>
    <x v="36"/>
    <x v="4"/>
    <s v="Low business value; validate with owner"/>
  </r>
  <r>
    <n v="96052"/>
    <s v="Corporate Sales Forecast Tool 2010"/>
    <s v="Sales Planning"/>
    <s v="Sales"/>
    <s v="Internal"/>
    <s v="Rahul Iyer"/>
    <s v="Manon Chevalier"/>
    <s v="SaaS Vendor Mgmt"/>
    <n v="202"/>
    <d v="2021-03-26T00:00:00"/>
    <s v="Active"/>
    <n v="3"/>
    <n v="4"/>
    <m/>
    <s v="SaaS"/>
    <s v="N/A (SaaS)"/>
    <n v="0"/>
    <s v="N/A"/>
    <s v="N/A"/>
    <s v="Vendor cloud (EU)"/>
    <d v="2022-06-30T00:00:00"/>
    <s v="Both"/>
    <n v="260"/>
    <s v="Y"/>
    <n v="7"/>
    <s v="N"/>
    <s v="None"/>
    <n v="1"/>
    <s v="N"/>
    <s v="Y"/>
    <s v="Y"/>
    <n v="55000"/>
    <d v="2026-10-31T00:00:00"/>
    <m/>
    <m/>
    <s v=""/>
    <n v="0"/>
    <x v="4"/>
    <x v="2"/>
    <x v="3"/>
    <x v="36"/>
    <x v="4"/>
    <s v="Awaiting assessment workshop_x000a_Blocker: Archive platform capacity not confirmed_x000a_Q: Can the enterprise archive take this volume this year?"/>
  </r>
  <r>
    <n v="153595"/>
    <s v="Monitoring Console 2012"/>
    <s v="Monitoring"/>
    <s v="IT"/>
    <s v="Partner"/>
    <s v="Camille Fontaine"/>
    <s v="Kavya Reddy"/>
    <s v="SaaS Vendor Mgmt"/>
    <n v="245"/>
    <d v="2021-04-29T00:00:00"/>
    <s v="Active"/>
    <n v="4"/>
    <n v="2"/>
    <m/>
    <s v="SaaS"/>
    <s v="N/A (SaaS)"/>
    <n v="0"/>
    <s v="N/A"/>
    <s v="N/A"/>
    <s v="Vendor cloud (EU)"/>
    <m/>
    <s v="Unstructured"/>
    <n v="380"/>
    <s v="N"/>
    <n v="5"/>
    <s v="Y"/>
    <s v="Reporting extract"/>
    <n v="6"/>
    <s v="Y"/>
    <s v="Partial"/>
    <s v="Partial"/>
    <n v="35000"/>
    <d v="2028-09-30T00:00:00"/>
    <m/>
    <m/>
    <s v=""/>
    <n v="0"/>
    <x v="4"/>
    <x v="0"/>
    <x v="3"/>
    <x v="36"/>
    <x v="4"/>
    <s v="Dependencies to be mapped"/>
  </r>
  <r>
    <n v="13905"/>
    <s v="Departmental Field Service Dispatcher Classic"/>
    <s v="Field Service"/>
    <s v="Operations"/>
    <s v="Internal"/>
    <s v="Neha Nair"/>
    <s v="Tara Khanna"/>
    <s v="SaaS Vendor Mgmt"/>
    <n v="145"/>
    <d v="2021-04-14T00:00:00"/>
    <s v="Active"/>
    <n v="3"/>
    <n v="4"/>
    <m/>
    <s v="SaaS"/>
    <s v="N/A (SaaS)"/>
    <n v="0"/>
    <s v="N/A"/>
    <s v="N/A"/>
    <s v="Vendor cloud (EU)"/>
    <m/>
    <s v="Structured"/>
    <n v="2730"/>
    <s v="N"/>
    <n v="1"/>
    <s v="N"/>
    <s v="None"/>
    <n v="2"/>
    <s v="Partial"/>
    <s v="N"/>
    <s v="N"/>
    <n v="75000"/>
    <d v="2028-07-31T00:00:00"/>
    <m/>
    <m/>
    <s v=""/>
    <n v="0"/>
    <x v="3"/>
    <x v="2"/>
    <x v="3"/>
    <x v="36"/>
    <x v="5"/>
    <s v="Cheap &amp; healthy - retain"/>
  </r>
  <r>
    <n v="164098"/>
    <s v="Regional Shipment Tracker Lite"/>
    <s v="Logistics"/>
    <s v="Supply Chain"/>
    <s v="Internal"/>
    <s v="Yuki Tanaka"/>
    <s v="Varun Malhotra"/>
    <s v="SaaS Vendor Mgmt"/>
    <n v="821"/>
    <d v="2021-04-03T00:00:00"/>
    <s v="Active"/>
    <n v="4"/>
    <n v="2"/>
    <m/>
    <s v="SaaS"/>
    <s v="N/A (SaaS)"/>
    <n v="0"/>
    <s v="N/A"/>
    <s v="N/A"/>
    <s v="Vendor cloud (EU)"/>
    <m/>
    <s v="Structured"/>
    <n v="120"/>
    <s v="N"/>
    <n v="2"/>
    <s v="N"/>
    <s v="None"/>
    <n v="5"/>
    <s v="Partial"/>
    <s v="Partial"/>
    <s v="Partial"/>
    <n v="24000"/>
    <d v="2025-08-31T00:00:00"/>
    <m/>
    <m/>
    <s v=""/>
    <n v="0"/>
    <x v="3"/>
    <x v="2"/>
    <x v="3"/>
    <x v="36"/>
    <x v="5"/>
    <s v="Strategic platform; refresh planned"/>
  </r>
  <r>
    <n v="140182"/>
    <s v="Corporate Budget Planner (DE)"/>
    <s v="Budgeting"/>
    <s v="Finance"/>
    <s v="Internal"/>
    <s v="Julien Petit"/>
    <s v="Baptiste Henry"/>
    <s v="Cloud Platform Team"/>
    <n v="103"/>
    <d v="2021-04-16T00:00:00"/>
    <s v="Active"/>
    <n v="4"/>
    <n v="2"/>
    <m/>
    <s v="On-prem DC"/>
    <s v="cbpapp01, cbpdb01, cbpweb01, cbpfs01"/>
    <n v="4"/>
    <s v="Windows Server 2008 R2"/>
    <s v="SQL Server 2008 R2"/>
    <s v="Plant DC"/>
    <d v="2020-01-14T00:00:00"/>
    <s v="Unstructured"/>
    <n v="59"/>
    <s v="Y"/>
    <n v="10"/>
    <s v="N"/>
    <s v="None"/>
    <n v="19"/>
    <s v="Partial"/>
    <s v="Partial"/>
    <s v="Y"/>
    <n v="90000"/>
    <d v="2031-09-30T00:00:00"/>
    <m/>
    <m/>
    <s v=""/>
    <n v="1"/>
    <x v="4"/>
    <x v="2"/>
    <x v="3"/>
    <x v="36"/>
    <x v="4"/>
    <s v="Awaiting assessment workshop"/>
  </r>
  <r>
    <n v="125964"/>
    <s v="Departmental Batch Scheduler v3"/>
    <s v="Batch Scheduling"/>
    <s v="IT"/>
    <s v="Internal"/>
    <s v="Hannah Weber"/>
    <s v="Theo Lopez"/>
    <s v="Plant IT Services"/>
    <n v="922"/>
    <d v="2021-04-18T00:00:00"/>
    <s v="Active"/>
    <n v="3"/>
    <n v="3"/>
    <m/>
    <s v="On-prem DC"/>
    <s v="dbsapp01, dbsdb01, dbsweb01, dbsfs01"/>
    <n v="4"/>
    <s v="HP-UX 11i v3"/>
    <s v="Sybase ASE 15.7"/>
    <s v="TBD"/>
    <d v="2021-12-31T00:00:00"/>
    <s v="Structured"/>
    <n v="190"/>
    <s v="N"/>
    <n v="7"/>
    <s v="Y"/>
    <s v="Reporting extract"/>
    <n v="8"/>
    <s v="Partial"/>
    <s v="N"/>
    <s v="N"/>
    <n v="39000"/>
    <d v="2031-01-31T00:00:00"/>
    <m/>
    <m/>
    <s v=""/>
    <n v="1"/>
    <x v="4"/>
    <x v="0"/>
    <x v="3"/>
    <x v="36"/>
    <x v="4"/>
    <s v="Low business value; validate with owner_x000a_Blocker: Archive platform capacity not confirmed_x000a_Q: Can the enterprise archive take this volume this year?"/>
  </r>
  <r>
    <n v="29189"/>
    <s v="Departmental Quote Manager Classic"/>
    <s v="Quoting"/>
    <s v="Sales"/>
    <s v="Internal"/>
    <s v="Anika Patel"/>
    <s v="Rohan Bhatt"/>
    <s v="Cloud Platform Team"/>
    <n v="25"/>
    <d v="2021-04-01T00:00:00"/>
    <s v="Active"/>
    <n v="4"/>
    <n v="2"/>
    <m/>
    <s v="PaaS"/>
    <s v="Azure App Service (PaaS)"/>
    <n v="0"/>
    <s v="N/A (PaaS)"/>
    <s v="Azure SQL"/>
    <s v="Azure West Europe"/>
    <m/>
    <s v="Both"/>
    <n v="63"/>
    <s v="N"/>
    <n v="1"/>
    <s v="Y"/>
    <s v="Reporting extract"/>
    <n v="21"/>
    <s v="N"/>
    <s v="Y"/>
    <s v="Y"/>
    <n v="42000"/>
    <d v="2026-06-30T00:00:00"/>
    <m/>
    <m/>
    <s v=""/>
    <n v="0"/>
    <x v="3"/>
    <x v="0"/>
    <x v="3"/>
    <x v="36"/>
    <x v="5"/>
    <s v="Active user base; no replacement planned"/>
  </r>
  <r>
    <n v="141308"/>
    <s v="Regional Travel Booking Tool Plus"/>
    <s v="Travel"/>
    <s v="HR"/>
    <s v="Internal"/>
    <s v="Karan Blanc"/>
    <s v="Aditi Menon"/>
    <s v="Plant IT Services"/>
    <n v="2054"/>
    <d v="2021-04-05T00:00:00"/>
    <s v="Active"/>
    <n v="5"/>
    <n v="2"/>
    <m/>
    <s v="On-prem DC"/>
    <s v="rtb-app01–07, rtb-db01"/>
    <n v="8"/>
    <s v="RHEL 6"/>
    <s v="Oracle 11g"/>
    <s v="EU DC-1"/>
    <d v="2020-11-30T00:00:00"/>
    <s v="Structured"/>
    <n v="60"/>
    <s v="Y"/>
    <n v="7"/>
    <s v="Y"/>
    <s v="Reporting extract"/>
    <n v="26"/>
    <s v="Y"/>
    <s v="Y"/>
    <s v="Y"/>
    <n v="150000"/>
    <d v="2033-07-31T00:00:00"/>
    <n v="123000"/>
    <n v="128000"/>
    <n v="11.53125"/>
    <n v="1"/>
    <x v="4"/>
    <x v="0"/>
    <x v="3"/>
    <x v="36"/>
    <x v="4"/>
    <s v="Low business value; validate with owner"/>
  </r>
  <r>
    <n v="25749"/>
    <s v="Global Billing Engine (FR)"/>
    <s v="Billing"/>
    <s v="Finance"/>
    <s v="Internal"/>
    <s v="Antoine Patel"/>
    <s v="Ishaan Desai"/>
    <s v="Unix Platform Team"/>
    <n v="37"/>
    <d v="2021-03-30T00:00:00"/>
    <s v="Active"/>
    <n v="3"/>
    <n v="3"/>
    <m/>
    <s v="On-prem DC"/>
    <s v="fs-gbe02 (file share)"/>
    <n v="1"/>
    <s v="Windows Server 2012 R2"/>
    <s v="MS Access 2010"/>
    <s v="TBD"/>
    <d v="2023-10-10T00:00:00"/>
    <s v="Structured"/>
    <n v="390"/>
    <s v="Y"/>
    <n v="7"/>
    <s v="N"/>
    <s v="None"/>
    <n v="2"/>
    <s v="Y"/>
    <s v="Y"/>
    <s v="Partial"/>
    <n v="23000"/>
    <d v="2032-12-31T00:00:00"/>
    <m/>
    <m/>
    <s v=""/>
    <n v="0"/>
    <x v="3"/>
    <x v="2"/>
    <x v="3"/>
    <x v="36"/>
    <x v="5"/>
    <s v="Business-critical, well supported"/>
  </r>
  <r>
    <n v="148460"/>
    <s v="Global Warehouse Mgmt System"/>
    <s v="Warehouse Mgmt"/>
    <s v="Supply Chain"/>
    <s v="Internal"/>
    <s v="Elena Garcia"/>
    <s v="Ananya Pillai"/>
    <s v="Database Services"/>
    <n v="405"/>
    <d v="2021-03-24T00:00:00"/>
    <s v="Active"/>
    <n v="4"/>
    <n v="1"/>
    <m/>
    <s v="IaaS"/>
    <s v="gwmapp01, gwmdb01"/>
    <n v="2"/>
    <s v="RHEL 8"/>
    <s v="PostgreSQL 12"/>
    <s v="AWS eu-west-1"/>
    <d v="2029-05-31T00:00:00"/>
    <s v="Both"/>
    <n v="110"/>
    <s v="N"/>
    <n v="5"/>
    <s v="Y"/>
    <s v="Archive + read-only"/>
    <n v="40"/>
    <s v="Partial"/>
    <s v="Y"/>
    <s v="Partial"/>
    <n v="42000"/>
    <d v="2027-12-31T00:00:00"/>
    <m/>
    <m/>
    <s v=""/>
    <n v="0"/>
    <x v="3"/>
    <x v="0"/>
    <x v="3"/>
    <x v="36"/>
    <x v="5"/>
    <s v="Retain - revisit at next portfolio review"/>
  </r>
  <r>
    <n v="170020"/>
    <s v="Legacy Expense Portal (APAC)"/>
    <s v="Expense Mgmt"/>
    <s v="Finance"/>
    <s v="Partner"/>
    <s v="Rahul Iyer"/>
    <s v="Chloe Vidal"/>
    <s v="Plant IT Services"/>
    <n v="7"/>
    <d v="2021-03-19T00:00:00"/>
    <s v="Low use"/>
    <n v="2"/>
    <n v="3"/>
    <s v="TBD"/>
    <s v="On-prem DC"/>
    <s v="lepapp01, lepdb01"/>
    <n v="2"/>
    <s v="Solaris 10"/>
    <s v="Oracle 11g"/>
    <s v="US DC-1"/>
    <d v="2021-01-31T00:00:00"/>
    <s v="Both"/>
    <n v="120"/>
    <s v="Y"/>
    <n v="10"/>
    <s v="N"/>
    <s v="None"/>
    <n v="4"/>
    <s v="Y"/>
    <s v="Y"/>
    <s v="Y"/>
    <n v="24000"/>
    <d v="2026-09-30T00:00:00"/>
    <m/>
    <m/>
    <s v=""/>
    <n v="3"/>
    <x v="4"/>
    <x v="2"/>
    <x v="3"/>
    <x v="36"/>
    <x v="4"/>
    <s v="Low business value; validate with owner"/>
  </r>
  <r>
    <n v="50780"/>
    <s v="Custom Ticket Desk"/>
    <s v="Service Desk"/>
    <s v="IT"/>
    <s v="External"/>
    <s v="Laura Martin"/>
    <s v="Louis Faure"/>
    <s v="Unix Platform Team"/>
    <n v="0"/>
    <d v="2019-09-15T00:00:00"/>
    <s v="Not in use"/>
    <n v="3"/>
    <n v="3"/>
    <s v="SharePoint Online"/>
    <s v="On-prem DC"/>
    <s v="ctdapp01"/>
    <n v="1"/>
    <s v="Ubuntu 20.04"/>
    <s v="MySQL 8.0"/>
    <s v="EU DC-2"/>
    <d v="2025-04-30T00:00:00"/>
    <s v="Unstructured"/>
    <n v="2350"/>
    <s v="N"/>
    <n v="7"/>
    <s v="N"/>
    <s v="None"/>
    <n v="6"/>
    <s v="Partial"/>
    <s v="N"/>
    <s v="N"/>
    <n v="16000"/>
    <d v="2025-05-31T00:00:00"/>
    <n v="28000"/>
    <n v="10000"/>
    <n v="33.599999999999994"/>
    <n v="2"/>
    <x v="4"/>
    <x v="2"/>
    <x v="3"/>
    <x v="36"/>
    <x v="4"/>
    <s v="Awaiting assessment workshop"/>
  </r>
  <r>
    <n v="183796"/>
    <s v="Corporate Licence Manager"/>
    <s v="Licence Mgmt"/>
    <s v="IT"/>
    <s v="Internal"/>
    <s v="Camille Fontaine"/>
    <s v="Tara Khanna"/>
    <s v="Unix Platform Team"/>
    <n v="7"/>
    <d v="2021-01-26T00:00:00"/>
    <s v="Low use"/>
    <n v="3"/>
    <n v="3"/>
    <s v="TBD"/>
    <s v="On-prem DC"/>
    <s v="clmapp01"/>
    <n v="1"/>
    <s v="Windows Server 2008"/>
    <s v="SQL Server 2008"/>
    <s v="Plant DC"/>
    <d v="2019-07-09T00:00:00"/>
    <s v="Unstructured"/>
    <n v="210"/>
    <s v="N"/>
    <n v="1"/>
    <s v="N"/>
    <s v="None"/>
    <n v="7"/>
    <s v="N"/>
    <s v="N"/>
    <s v="N"/>
    <n v="38000"/>
    <d v="2031-09-30T00:00:00"/>
    <m/>
    <m/>
    <s v=""/>
    <n v="2"/>
    <x v="4"/>
    <x v="2"/>
    <x v="3"/>
    <x v="36"/>
    <x v="4"/>
    <s v="Awaiting assessment workshop"/>
  </r>
  <r>
    <n v="21595"/>
    <s v="Regional GL Consolidation Tool 2010"/>
    <s v="General Ledger"/>
    <s v="Finance"/>
    <s v="Internal"/>
    <s v="Sara Kapoor"/>
    <s v="Theo Lopez"/>
    <s v="Unix Platform Team"/>
    <n v="78"/>
    <d v="2021-04-09T00:00:00"/>
    <s v="Active"/>
    <n v="3"/>
    <n v="3"/>
    <m/>
    <s v="On-prem DC"/>
    <s v="rgcapp01, rgcdb01, rgcweb01, rgcfs01"/>
    <n v="4"/>
    <s v="Windows Server 2008"/>
    <s v="SQL Server 2008"/>
    <s v="EU DC-1"/>
    <s v="TBD"/>
    <s v="Structured"/>
    <n v="8"/>
    <s v="N"/>
    <n v="3"/>
    <s v="Y"/>
    <s v="Archive + read-only"/>
    <n v="1"/>
    <s v="Partial"/>
    <s v="N"/>
    <s v="N"/>
    <n v="34500"/>
    <d v="2025-02-28T00:00:00"/>
    <n v="28500"/>
    <n v="25500"/>
    <n v="13.411764705882353"/>
    <n v="0"/>
    <x v="4"/>
    <x v="1"/>
    <x v="3"/>
    <x v="36"/>
    <x v="4"/>
    <s v="Dependencies to be mapped"/>
  </r>
  <r>
    <n v="179092"/>
    <s v="Custom Sales Forecast Tool Plus"/>
    <s v="Sales Planning"/>
    <s v="Sales"/>
    <s v="External"/>
    <s v="Diego Alvarez"/>
    <s v="Aditi Menon"/>
    <s v="Cloud Platform Team"/>
    <n v="228"/>
    <d v="2021-03-22T00:00:00"/>
    <s v="Active"/>
    <n v="3"/>
    <n v="2"/>
    <m/>
    <s v="On-prem DC"/>
    <s v="csfapp01, csfdb01"/>
    <n v="2"/>
    <s v="AIX 7.1"/>
    <s v="DB2 10.5"/>
    <s v="US DC-1"/>
    <d v="2023-04-30T00:00:00"/>
    <s v="Structured"/>
    <n v="140"/>
    <s v="N"/>
    <n v="2"/>
    <s v="Y"/>
    <s v="Data archive"/>
    <n v="15"/>
    <s v="N"/>
    <s v="N"/>
    <s v="Partial"/>
    <n v="65000"/>
    <d v="2029-08-31T00:00:00"/>
    <n v="146500"/>
    <n v="53500"/>
    <n v="32.859813084112147"/>
    <n v="0"/>
    <x v="4"/>
    <x v="0"/>
    <x v="3"/>
    <x v="36"/>
    <x v="4"/>
    <s v="Dependencies to be mapped"/>
  </r>
  <r>
    <n v="14550"/>
    <s v="Departmental Newsletter Mailer (FR)"/>
    <s v="Email"/>
    <s v="Marketing"/>
    <s v="Internal"/>
    <s v="Vikram Rao"/>
    <s v="Aditi Menon"/>
    <s v="Infra Ops EMEA"/>
    <n v="94"/>
    <d v="2021-03-31T00:00:00"/>
    <s v="Active"/>
    <n v="5"/>
    <n v="1"/>
    <m/>
    <s v="PaaS"/>
    <s v="Azure App Service (PaaS)"/>
    <n v="0"/>
    <s v="N/A (PaaS)"/>
    <s v="Azure SQL"/>
    <s v="Azure West Europe"/>
    <m/>
    <s v="Unstructured"/>
    <n v="4240"/>
    <s v="Y"/>
    <n v="10"/>
    <s v="N"/>
    <s v="None"/>
    <n v="72"/>
    <s v="Y"/>
    <s v="Partial"/>
    <s v="N"/>
    <n v="130000"/>
    <d v="2029-05-31T00:00:00"/>
    <m/>
    <m/>
    <s v=""/>
    <n v="0"/>
    <x v="3"/>
    <x v="2"/>
    <x v="3"/>
    <x v="36"/>
    <x v="5"/>
    <s v="Cheap &amp; healthy - retain"/>
  </r>
  <r>
    <n v="99357"/>
    <s v="Legacy Document Repository"/>
    <s v="Document Mgmt"/>
    <s v="IT"/>
    <s v="Internal"/>
    <s v="Neha Nair"/>
    <s v="Sameer Joshi"/>
    <s v="Infra Ops US"/>
    <n v="547"/>
    <d v="2021-04-02T00:00:00"/>
    <s v="Active"/>
    <n v="1"/>
    <n v="3"/>
    <m/>
    <s v="IaaS"/>
    <s v="ldrapp01, ldrdb01"/>
    <n v="2"/>
    <s v="AIX 6.1"/>
    <s v="DB2 9.7"/>
    <s v="AWS us-east-1"/>
    <d v="2017-04-30T00:00:00"/>
    <s v="Both"/>
    <n v="7740"/>
    <s v="N"/>
    <n v="3"/>
    <s v="Y"/>
    <s v="Read-only access"/>
    <n v="2"/>
    <s v="Y"/>
    <s v="Y"/>
    <s v="Partial"/>
    <n v="18500"/>
    <d v="2031-08-31T00:00:00"/>
    <m/>
    <m/>
    <s v=""/>
    <n v="2"/>
    <x v="4"/>
    <x v="0"/>
    <x v="3"/>
    <x v="36"/>
    <x v="4"/>
    <s v="Owner to confirm usage before decision"/>
  </r>
  <r>
    <n v="56395"/>
    <s v="Old Credit Check Portal (APAC)"/>
    <s v="Credit Mgmt"/>
    <s v="Finance"/>
    <s v="Internal"/>
    <s v="Vikram Rao"/>
    <s v="Ananya Pillai"/>
    <s v="Database Services"/>
    <n v="22"/>
    <d v="2020-12-06T00:00:00"/>
    <s v="Low use"/>
    <n v="3"/>
    <n v="4"/>
    <s v="Anaplan"/>
    <s v="On-prem DC"/>
    <s v="occapp01, occdb01, occweb01, occfs01"/>
    <n v="4"/>
    <s v="AIX 6.1"/>
    <s v="DB2 9.7"/>
    <s v="EU DC-2"/>
    <d v="2017-04-30T00:00:00"/>
    <s v="Both"/>
    <n v="32"/>
    <s v="Y"/>
    <n v="10"/>
    <s v="N"/>
    <s v="None"/>
    <n v="3"/>
    <s v="Partial"/>
    <s v="Partial"/>
    <s v="Partial"/>
    <n v="70000"/>
    <d v="2028-02-29T00:00:00"/>
    <m/>
    <m/>
    <s v=""/>
    <n v="3"/>
    <x v="4"/>
    <x v="2"/>
    <x v="3"/>
    <x v="36"/>
    <x v="4"/>
    <s v="Low business value; validate with owner"/>
  </r>
  <r>
    <n v="165672"/>
    <s v="Shared Travel Booking Tool (UK)"/>
    <s v="Travel"/>
    <s v="HR"/>
    <s v="Internal"/>
    <s v="Sophie Dubois"/>
    <s v="Manon Chevalier"/>
    <s v="Plant IT Services"/>
    <n v="493"/>
    <d v="2021-03-28T00:00:00"/>
    <s v="Active"/>
    <n v="4"/>
    <n v="2"/>
    <m/>
    <s v="IaaS"/>
    <s v="stbapp01"/>
    <n v="1"/>
    <s v="Windows Server 2012 R2"/>
    <s v="SQL Server 2012"/>
    <s v="Azure West Europe"/>
    <d v="2022-07-12T00:00:00"/>
    <s v="Structured"/>
    <n v="2020"/>
    <s v="Y"/>
    <n v="7"/>
    <s v="N"/>
    <s v="None"/>
    <n v="20"/>
    <s v="Partial"/>
    <s v="Y"/>
    <s v="Partial"/>
    <n v="36500"/>
    <d v="2032-01-31T00:00:00"/>
    <m/>
    <m/>
    <s v=""/>
    <n v="0"/>
    <x v="3"/>
    <x v="2"/>
    <x v="3"/>
    <x v="36"/>
    <x v="5"/>
    <s v="Strategic platform; refresh planned"/>
  </r>
  <r>
    <n v="117592"/>
    <s v="Old Inventory Control (DE)"/>
    <s v="Inventory"/>
    <s v="Supply Chain"/>
    <s v="Internal"/>
    <s v="Amelie Martin"/>
    <s v="Remi Masson"/>
    <s v="SaaS Vendor Mgmt"/>
    <n v="124"/>
    <d v="2021-04-27T00:00:00"/>
    <s v="Active"/>
    <n v="3"/>
    <n v="3"/>
    <m/>
    <s v="SaaS"/>
    <s v="N/A (SaaS)"/>
    <n v="0"/>
    <s v="N/A"/>
    <s v="N/A"/>
    <s v="Vendor cloud (EU)"/>
    <d v="2026-01-31T00:00:00"/>
    <s v="Structured"/>
    <n v="180"/>
    <s v="N"/>
    <n v="1"/>
    <s v="Y"/>
    <s v="Data archive"/>
    <n v="7"/>
    <s v="Partial"/>
    <s v="N"/>
    <s v="Partial"/>
    <n v="95000"/>
    <d v="2025-12-31T00:00:00"/>
    <m/>
    <m/>
    <s v=""/>
    <n v="0"/>
    <x v="4"/>
    <x v="0"/>
    <x v="3"/>
    <x v="36"/>
    <x v="4"/>
    <s v="Awaiting assessment workshop"/>
  </r>
  <r>
    <n v="105271"/>
    <s v="Shared Budget Planner (DE)"/>
    <s v="Budgeting"/>
    <s v="Finance"/>
    <s v="Internal"/>
    <s v="Lucas Bernard"/>
    <s v="Manon Chevalier"/>
    <s v="Wintel Platform Team"/>
    <n v="75"/>
    <d v="2021-04-01T00:00:00"/>
    <s v="Active"/>
    <n v="2"/>
    <n v="3"/>
    <m/>
    <s v="On-prem DC"/>
    <s v="sbpapp01, sbpdb01, sbpweb01, sbpfs01"/>
    <n v="4"/>
    <s v="Windows Server 2008"/>
    <s v="SQL Server 2008"/>
    <s v="EU DC-2"/>
    <d v="2019-07-09T00:00:00"/>
    <s v="Both"/>
    <n v="2450"/>
    <s v="N"/>
    <n v="3"/>
    <s v="Y"/>
    <s v="Data archive"/>
    <n v="3"/>
    <s v="Y"/>
    <s v="N"/>
    <s v="N"/>
    <n v="80000"/>
    <d v="2030-12-31T00:00:00"/>
    <n v="192000"/>
    <n v="58000"/>
    <n v="39.724137931034484"/>
    <n v="2"/>
    <x v="4"/>
    <x v="0"/>
    <x v="3"/>
    <x v="36"/>
    <x v="4"/>
    <s v="Dependencies to be mapped"/>
  </r>
  <r>
    <n v="140328"/>
    <s v="Shared Asset Register"/>
    <s v="Fixed Assets"/>
    <s v="Finance"/>
    <s v="Internal"/>
    <s v="Diego Alvarez"/>
    <s v="Ananya Pillai"/>
    <s v="Unix Platform Team"/>
    <n v="1643"/>
    <d v="2021-04-29T00:00:00"/>
    <s v="Active"/>
    <n v="5"/>
    <n v="1"/>
    <m/>
    <s v="PaaS"/>
    <s v="Azure App Service (PaaS)"/>
    <n v="0"/>
    <s v="N/A (PaaS)"/>
    <s v="Cosmos DB"/>
    <s v="Azure West Europe"/>
    <m/>
    <s v="Structured"/>
    <n v="720"/>
    <s v="Y"/>
    <n v="7"/>
    <s v="N"/>
    <s v="None"/>
    <n v="31"/>
    <s v="Partial"/>
    <s v="Partial"/>
    <s v="Partial"/>
    <n v="55000"/>
    <d v="2034-07-31T00:00:00"/>
    <m/>
    <m/>
    <s v=""/>
    <n v="0"/>
    <x v="3"/>
    <x v="2"/>
    <x v="3"/>
    <x v="36"/>
    <x v="5"/>
    <s v="Strategic platform; refresh planned"/>
  </r>
  <r>
    <n v="189795"/>
    <s v="Customer Contact Manager Classic"/>
    <s v="CRM"/>
    <s v="Sales"/>
    <s v="Internal"/>
    <s v="Rahul Iyer"/>
    <s v="Kavya Reddy"/>
    <s v="Unix Platform Team"/>
    <n v="144"/>
    <d v="2021-04-22T00:00:00"/>
    <s v="Active"/>
    <n v="4"/>
    <n v="2"/>
    <s v="Salesforce Partner Community"/>
    <s v="IaaS"/>
    <s v="ccmapp01, ccmdb01, ccmweb01"/>
    <n v="3"/>
    <s v="Ubuntu 16.04"/>
    <s v="MySQL 5.7"/>
    <s v="AWS eu-west-1"/>
    <d v="2021-04-30T00:00:00"/>
    <s v="Structured"/>
    <n v="2950"/>
    <s v="Y"/>
    <n v="7"/>
    <s v="N"/>
    <s v="None"/>
    <n v="12"/>
    <s v="Y"/>
    <s v="N"/>
    <s v="N"/>
    <n v="30000"/>
    <d v="2033-01-31T00:00:00"/>
    <n v="75000"/>
    <n v="26000"/>
    <n v="34.615384615384613"/>
    <n v="2"/>
    <x v="4"/>
    <x v="2"/>
    <x v="3"/>
    <x v="36"/>
    <x v="4"/>
    <s v="Awaiting assessment workshop"/>
  </r>
  <r>
    <n v="87756"/>
    <s v="Legacy Newsletter Mailer 2010"/>
    <s v="Email"/>
    <s v="Marketing"/>
    <s v="Internal"/>
    <s v="Marc Laurent"/>
    <s v="Varun Malhotra"/>
    <s v="Database Services"/>
    <n v="24"/>
    <d v="2021-01-15T00:00:00"/>
    <s v="Low use"/>
    <n v="2"/>
    <n v="3"/>
    <m/>
    <s v="On-prem DC"/>
    <s v="lnmapp01, lnmdb01, lnmweb01, lnmfs01"/>
    <n v="4"/>
    <s v="RHEL 7"/>
    <s v="Oracle 12c"/>
    <s v="TBD"/>
    <d v="2024-06-30T00:00:00"/>
    <s v="Structured"/>
    <n v="91"/>
    <s v="Y"/>
    <n v="7"/>
    <s v="Y"/>
    <s v="Archive + read-only"/>
    <n v="2"/>
    <s v="N"/>
    <s v="N"/>
    <s v="Y"/>
    <n v="49500"/>
    <d v="2025-09-30T00:00:00"/>
    <n v="81500"/>
    <n v="28500"/>
    <n v="34.315789473684212"/>
    <n v="2"/>
    <x v="4"/>
    <x v="1"/>
    <x v="3"/>
    <x v="36"/>
    <x v="4"/>
    <s v="Dependencies to be mapped"/>
  </r>
  <r>
    <n v="16087"/>
    <s v="Contract Repository 2012"/>
    <s v="Contract Mgmt"/>
    <s v="Finance"/>
    <s v="Internal"/>
    <s v="Sara Kapoor"/>
    <s v="Chloe Vidal"/>
    <s v="SaaS Vendor Mgmt"/>
    <n v="438"/>
    <d v="2021-04-05T00:00:00"/>
    <s v="Active"/>
    <n v="5"/>
    <n v="1"/>
    <m/>
    <s v="SaaS"/>
    <s v="N/A (SaaS)"/>
    <n v="0"/>
    <s v="N/A"/>
    <s v="N/A"/>
    <s v="Vendor cloud (EU)"/>
    <m/>
    <s v="Unstructured"/>
    <n v="75"/>
    <s v="Y"/>
    <n v="7"/>
    <s v="N"/>
    <s v="None"/>
    <n v="59"/>
    <s v="N"/>
    <s v="Partial"/>
    <s v="N"/>
    <n v="110000"/>
    <d v="2031-09-30T00:00:00"/>
    <m/>
    <m/>
    <s v=""/>
    <n v="0"/>
    <x v="3"/>
    <x v="2"/>
    <x v="3"/>
    <x v="36"/>
    <x v="5"/>
    <s v="Active user base; no replacement planned"/>
  </r>
  <r>
    <n v="76727"/>
    <s v="Facilities Request Portal (Nordics)"/>
    <s v="Facilities"/>
    <s v="Operations"/>
    <s v="Internal"/>
    <s v="Meera Dubois"/>
    <s v="Ananya Pillai"/>
    <s v="Cloud Platform Team"/>
    <n v="71"/>
    <d v="2021-03-26T00:00:00"/>
    <s v="Active"/>
    <n v="3"/>
    <n v="4"/>
    <m/>
    <s v="IaaS"/>
    <s v="frpapp01, frpdb01"/>
    <n v="2"/>
    <s v="RHEL 8"/>
    <s v="PostgreSQL 12"/>
    <s v="AWS eu-west-1"/>
    <d v="2029-05-31T00:00:00"/>
    <s v="Both"/>
    <n v="1310"/>
    <s v="N"/>
    <n v="3"/>
    <s v="N"/>
    <s v="None"/>
    <n v="1"/>
    <s v="N"/>
    <s v="N"/>
    <s v="Partial"/>
    <n v="18500"/>
    <d v="2035-05-31T00:00:00"/>
    <m/>
    <m/>
    <s v=""/>
    <n v="0"/>
    <x v="3"/>
    <x v="2"/>
    <x v="3"/>
    <x v="36"/>
    <x v="5"/>
    <s v="Business-critical, well supported"/>
  </r>
  <r>
    <n v="90284"/>
    <s v="Old Access Request Tool 2008"/>
    <s v="Identity"/>
    <s v="IT"/>
    <s v="Internal"/>
    <s v="Isabelle Singh"/>
    <s v="Varun Malhotra"/>
    <s v="Unix Platform Team"/>
    <n v="60"/>
    <d v="2021-04-29T00:00:00"/>
    <s v="Active"/>
    <n v="5"/>
    <n v="2"/>
    <s v="SailPoint"/>
    <s v="PaaS"/>
    <s v="Azure App Service (PaaS)"/>
    <n v="0"/>
    <s v="N/A (PaaS)"/>
    <s v="Azure SQL"/>
    <s v="Azure West Europe"/>
    <m/>
    <s v="Unstructured"/>
    <n v="7"/>
    <s v="N"/>
    <n v="3"/>
    <s v="Y"/>
    <s v="Data archive"/>
    <n v="21"/>
    <s v="Partial"/>
    <s v="Y"/>
    <s v="N"/>
    <n v="28500"/>
    <d v="2026-12-31T00:00:00"/>
    <n v="50500"/>
    <n v="17000"/>
    <n v="35.647058823529413"/>
    <n v="1"/>
    <x v="4"/>
    <x v="0"/>
    <x v="3"/>
    <x v="36"/>
    <x v="4"/>
    <s v="Owner to confirm usage before decision"/>
  </r>
  <r>
    <n v="80390"/>
    <s v="Corporate Safety Incident Tracker"/>
    <s v="Health &amp; Safety"/>
    <s v="Operations"/>
    <s v="Partner"/>
    <s v="Karan Blanc"/>
    <s v="Sameer Joshi"/>
    <s v="Unix Platform Team"/>
    <n v="6"/>
    <d v="2021-03-30T00:00:00"/>
    <s v="Low use"/>
    <n v="4"/>
    <n v="3"/>
    <s v="TBD"/>
    <s v="On-prem DC"/>
    <s v="csiapp01, csidb01"/>
    <n v="2"/>
    <s v="RHEL 8"/>
    <s v="PostgreSQL 12"/>
    <s v="EU DC-1"/>
    <d v="2029-05-31T00:00:00"/>
    <s v="Both"/>
    <n v="29"/>
    <s v="N"/>
    <n v="5"/>
    <s v="Y"/>
    <s v="Data archive"/>
    <n v="2"/>
    <s v="N"/>
    <s v="Partial"/>
    <s v="Partial"/>
    <n v="50000"/>
    <d v="2033-11-30T00:00:00"/>
    <n v="61500"/>
    <n v="29000"/>
    <n v="25.448275862068964"/>
    <n v="1"/>
    <x v="4"/>
    <x v="1"/>
    <x v="3"/>
    <x v="36"/>
    <x v="4"/>
    <s v="Dependencies to be mapped"/>
  </r>
  <r>
    <n v="131650"/>
    <s v="Regional Benefits Enrolment v2"/>
    <s v="Benefits"/>
    <s v="HR"/>
    <s v="Partner"/>
    <s v="Priya Sharma"/>
    <s v="Omar Haddad"/>
    <s v="Unix Platform Team"/>
    <n v="11"/>
    <d v="2021-02-15T00:00:00"/>
    <s v="Low use"/>
    <n v="3"/>
    <n v="3"/>
    <s v="Workday Payroll"/>
    <s v="IaaS"/>
    <s v="rbeapp01"/>
    <n v="1"/>
    <s v="Solaris 10"/>
    <s v="Oracle 11g"/>
    <s v="AWS us-east-1"/>
    <d v="2021-01-31T00:00:00"/>
    <s v="Both"/>
    <n v="960"/>
    <s v="Y"/>
    <n v="7"/>
    <s v="Y"/>
    <s v="Archive + read-only"/>
    <n v="8"/>
    <s v="Y"/>
    <s v="N"/>
    <s v="Y"/>
    <n v="15500"/>
    <d v="2028-11-30T00:00:00"/>
    <n v="34000"/>
    <n v="10500"/>
    <n v="38.857142857142861"/>
    <n v="3"/>
    <x v="4"/>
    <x v="0"/>
    <x v="3"/>
    <x v="36"/>
    <x v="4"/>
    <s v="Owner to confirm usage before decision"/>
  </r>
  <r>
    <n v="79052"/>
    <s v="Custom Intranet (SharePoint) 2012"/>
    <s v="Collaboration"/>
    <s v="IT"/>
    <s v="External"/>
    <s v="Mateo Girard"/>
    <s v="Hugo Perrin"/>
    <s v="SaaS Vendor Mgmt"/>
    <n v="87"/>
    <d v="2021-04-25T00:00:00"/>
    <s v="Active"/>
    <n v="4"/>
    <n v="2"/>
    <s v="ServiceNow"/>
    <s v="SaaS"/>
    <s v="N/A (SaaS)"/>
    <n v="0"/>
    <s v="N/A"/>
    <s v="N/A"/>
    <s v="Vendor cloud (EU)"/>
    <m/>
    <s v="Unstructured"/>
    <n v="24"/>
    <s v="N"/>
    <n v="7"/>
    <s v="N"/>
    <s v="None"/>
    <n v="29"/>
    <s v="Partial"/>
    <s v="N"/>
    <s v="Y"/>
    <n v="145000"/>
    <d v="2032-03-31T00:00:00"/>
    <n v="195500"/>
    <n v="76000"/>
    <n v="30.868421052631575"/>
    <n v="1"/>
    <x v="4"/>
    <x v="2"/>
    <x v="3"/>
    <x v="36"/>
    <x v="4"/>
    <s v="Low business value; validate with owner"/>
  </r>
  <r>
    <n v="158680"/>
    <s v="Departmental Web Analytics Mart Lite"/>
    <s v="Analytics"/>
    <s v="Marketing"/>
    <s v="Internal"/>
    <s v="Antoine Patel"/>
    <s v="Omar Haddad"/>
    <s v="SaaS Vendor Mgmt"/>
    <n v="0"/>
    <d v="2019-06-23T00:00:00"/>
    <s v="Not in use"/>
    <n v="4"/>
    <n v="1"/>
    <m/>
    <s v="SaaS"/>
    <s v="N/A (SaaS)"/>
    <n v="0"/>
    <s v="N/A"/>
    <s v="N/A"/>
    <s v="Vendor cloud (EU)"/>
    <d v="2025-01-31T00:00:00"/>
    <s v="Structured"/>
    <n v="360"/>
    <s v="N"/>
    <n v="3"/>
    <s v="Y"/>
    <s v="Archive + read-only"/>
    <n v="74"/>
    <s v="Partial"/>
    <s v="Y"/>
    <s v="N"/>
    <n v="70000"/>
    <d v="2031-12-31T00:00:00"/>
    <n v="206000"/>
    <n v="35000"/>
    <n v="70.628571428571433"/>
    <n v="1"/>
    <x v="4"/>
    <x v="0"/>
    <x v="3"/>
    <x v="36"/>
    <x v="4"/>
    <s v="Low business value; validate with owner"/>
  </r>
  <r>
    <n v="92414"/>
    <s v="Regional Freight Booking Tool Classic"/>
    <s v="Transport"/>
    <s v="Supply Chain"/>
    <s v="Internal"/>
    <s v="Elena Garcia"/>
    <s v="Kavya Reddy"/>
    <s v="Unix Platform Team"/>
    <n v="45"/>
    <d v="2021-04-19T00:00:00"/>
    <s v="Active"/>
    <n v="4"/>
    <n v="2"/>
    <m/>
    <s v="On-prem DC"/>
    <s v="rfbapp01, rfbdb01"/>
    <n v="2"/>
    <s v="AIX 6.1"/>
    <s v="DB2 9.7"/>
    <s v="EU DC-1"/>
    <d v="2017-04-30T00:00:00"/>
    <s v="Structured"/>
    <n v="470"/>
    <s v="N"/>
    <n v="5"/>
    <s v="Y"/>
    <s v="Archive + read-only"/>
    <n v="8"/>
    <s v="N"/>
    <s v="Partial"/>
    <s v="Y"/>
    <n v="70000"/>
    <d v="2032-03-31T00:00:00"/>
    <m/>
    <m/>
    <s v=""/>
    <n v="1"/>
    <x v="4"/>
    <x v="0"/>
    <x v="3"/>
    <x v="36"/>
    <x v="4"/>
    <s v="Owner to confirm usage before decision"/>
  </r>
  <r>
    <n v="79668"/>
    <s v="Maintenance Scheduler (Nordics)"/>
    <s v="Asset Maintenance"/>
    <s v="Operations"/>
    <s v="Internal"/>
    <s v="Anika Patel"/>
    <s v="Rohan Bhatt"/>
    <s v="Infra Ops EMEA"/>
    <n v="766"/>
    <d v="2021-04-27T00:00:00"/>
    <s v="Active"/>
    <n v="3"/>
    <n v="3"/>
    <s v="TBD"/>
    <s v="PaaS"/>
    <s v="Azure App Service (PaaS)"/>
    <n v="0"/>
    <s v="N/A (PaaS)"/>
    <s v="Cosmos DB"/>
    <s v="Azure West Europe"/>
    <m/>
    <s v="Structured"/>
    <n v="420"/>
    <s v="N"/>
    <n v="3"/>
    <s v="Y"/>
    <s v="Reporting extract"/>
    <n v="3"/>
    <s v="Y"/>
    <s v="N"/>
    <s v="N"/>
    <n v="17000"/>
    <d v="2030-10-31T00:00:00"/>
    <m/>
    <m/>
    <s v=""/>
    <n v="0"/>
    <x v="4"/>
    <x v="1"/>
    <x v="3"/>
    <x v="36"/>
    <x v="4"/>
    <s v="Owner to confirm usage before decision"/>
  </r>
  <r>
    <n v="147357"/>
    <s v="AP Invoice Processor (APAC)"/>
    <s v="Accounts Payable"/>
    <s v="Finance"/>
    <s v="Partner"/>
    <s v="Meera Dubois"/>
    <s v="Manon Chevalier"/>
    <s v="Database Services"/>
    <n v="277"/>
    <d v="2021-04-10T00:00:00"/>
    <s v="Active"/>
    <n v="3"/>
    <n v="4"/>
    <s v="BlackLine"/>
    <s v="IaaS"/>
    <s v="aipapp01, aipdb01, aipweb01, aipfs01"/>
    <n v="4"/>
    <s v="RHEL 8"/>
    <s v="Oracle 19c"/>
    <s v="AWS us-east-1"/>
    <d v="2029-05-31T00:00:00"/>
    <s v="Structured"/>
    <n v="180"/>
    <s v="Y"/>
    <n v="7"/>
    <s v="Y"/>
    <s v="Data archive"/>
    <n v="3"/>
    <s v="Partial"/>
    <s v="Y"/>
    <s v="N"/>
    <n v="34000"/>
    <d v="2031-09-30T00:00:00"/>
    <n v="47500"/>
    <n v="25500"/>
    <n v="22.352941176470587"/>
    <n v="1"/>
    <x v="4"/>
    <x v="1"/>
    <x v="3"/>
    <x v="36"/>
    <x v="4"/>
    <s v="Low business value; validate with owner"/>
  </r>
  <r>
    <n v="117755"/>
    <s v="Credit Check Portal (FR)"/>
    <s v="Credit Mgmt"/>
    <s v="Finance"/>
    <s v="Internal"/>
    <s v="Amelie Martin"/>
    <s v="Adrien Colin"/>
    <s v="Plant IT Services"/>
    <n v="28"/>
    <d v="2021-04-10T00:00:00"/>
    <s v="Active"/>
    <n v="2"/>
    <n v="4"/>
    <m/>
    <s v="On-prem DC"/>
    <s v="ccpapp01, ccpdb01, ccpweb01, ccpfs01"/>
    <n v="4"/>
    <s v="HP-UX 11i v3"/>
    <s v="Sybase ASE 15.7"/>
    <s v="EU DC-1"/>
    <d v="2021-12-31T00:00:00"/>
    <s v="Both"/>
    <n v="160"/>
    <s v="N"/>
    <n v="5"/>
    <s v="N"/>
    <s v="None"/>
    <n v="3"/>
    <s v="Partial"/>
    <s v="N"/>
    <s v="N"/>
    <n v="65000"/>
    <d v="2035-02-28T00:00:00"/>
    <m/>
    <m/>
    <s v=""/>
    <n v="2"/>
    <x v="4"/>
    <x v="2"/>
    <x v="3"/>
    <x v="36"/>
    <x v="4"/>
    <s v="Owner to confirm usage before decision_x000a_Blocker: Replacement rollout dependency_x000a_Q: What is the go-live date of the target platform?"/>
  </r>
  <r>
    <n v="162163"/>
    <s v="Recruitment Tracker 2012"/>
    <s v="Recruitment"/>
    <s v="HR"/>
    <s v="Internal"/>
    <s v="Rahul Iyer"/>
    <s v="Louis Faure"/>
    <s v="Database Services"/>
    <n v="25"/>
    <d v="2021-04-19T00:00:00"/>
    <s v="Active"/>
    <n v="3"/>
    <n v="3"/>
    <m/>
    <s v="PaaS"/>
    <s v="Azure App Service (PaaS)"/>
    <n v="0"/>
    <s v="N/A (PaaS)"/>
    <s v="Azure SQL"/>
    <s v="Azure West Europe"/>
    <d v="2022-06-30T00:00:00"/>
    <s v="Both"/>
    <n v="61"/>
    <s v="Y"/>
    <n v="10"/>
    <s v="Y"/>
    <s v="Reporting extract"/>
    <n v="4"/>
    <s v="Y"/>
    <s v="Partial"/>
    <s v="N"/>
    <n v="21500"/>
    <d v="2033-10-31T00:00:00"/>
    <m/>
    <m/>
    <s v=""/>
    <n v="0"/>
    <x v="3"/>
    <x v="1"/>
    <x v="3"/>
    <x v="36"/>
    <x v="5"/>
    <s v="Active user base; no replacement planned"/>
  </r>
  <r>
    <n v="110312"/>
    <s v="Corporate Website CMS v2"/>
    <s v="Web"/>
    <s v="Marketing"/>
    <s v="Internal"/>
    <s v="Karan Blanc"/>
    <s v="Chloe Vidal"/>
    <s v="Plant IT Services"/>
    <n v="644"/>
    <d v="2021-03-31T00:00:00"/>
    <s v="Active"/>
    <n v="5"/>
    <n v="1"/>
    <m/>
    <s v="PaaS"/>
    <s v="Azure App Service (PaaS)"/>
    <n v="0"/>
    <s v="N/A (PaaS)"/>
    <s v="Cosmos DB"/>
    <s v="Azure West Europe"/>
    <m/>
    <s v="Both"/>
    <n v="610"/>
    <s v="Y"/>
    <n v="5"/>
    <s v="Y"/>
    <s v="Archive + read-only"/>
    <n v="18"/>
    <s v="N"/>
    <s v="N"/>
    <s v="N"/>
    <n v="37500"/>
    <d v="2031-09-30T00:00:00"/>
    <m/>
    <m/>
    <s v=""/>
    <n v="0"/>
    <x v="3"/>
    <x v="0"/>
    <x v="3"/>
    <x v="36"/>
    <x v="4"/>
    <s v="Active user base; no replacement planned"/>
  </r>
  <r>
    <n v="96328"/>
    <s v="Global Appraisal Tool 2010"/>
    <s v="Performance"/>
    <s v="HR"/>
    <s v="Internal"/>
    <s v="Lucas Bernard"/>
    <s v="Theo Lopez"/>
    <s v="SaaS Vendor Mgmt"/>
    <n v="326"/>
    <d v="2021-04-17T00:00:00"/>
    <s v="Active"/>
    <n v="5"/>
    <n v="2"/>
    <s v="Workday HCM"/>
    <s v="SaaS"/>
    <s v="N/A (SaaS)"/>
    <n v="0"/>
    <s v="N/A"/>
    <s v="N/A"/>
    <s v="Vendor cloud (EU)"/>
    <m/>
    <s v="Structured"/>
    <n v="130"/>
    <s v="Y"/>
    <n v="10"/>
    <s v="N"/>
    <s v="None"/>
    <n v="12"/>
    <s v="Partial"/>
    <s v="N"/>
    <s v="Partial"/>
    <n v="26500"/>
    <d v="2030-09-30T00:00:00"/>
    <m/>
    <m/>
    <s v=""/>
    <n v="1"/>
    <x v="4"/>
    <x v="2"/>
    <x v="3"/>
    <x v="36"/>
    <x v="4"/>
    <s v="Owner to confirm usage before decision"/>
  </r>
  <r>
    <n v="19334"/>
    <s v="Survey Tool 2010"/>
    <s v="Market Research"/>
    <s v="Marketing"/>
    <s v="Partner"/>
    <s v="Karan Blanc"/>
    <s v="Theo Lopez"/>
    <s v="Wintel Platform Team"/>
    <n v="2914"/>
    <d v="2021-03-20T00:00:00"/>
    <s v="Active"/>
    <n v="5"/>
    <n v="1"/>
    <s v="Qualtrics"/>
    <s v="On-prem DC"/>
    <s v="stx-app01–05, stx-db01"/>
    <n v="6"/>
    <s v="Ubuntu 18.04"/>
    <s v="PostgreSQL 10"/>
    <s v="Plant DC"/>
    <d v="2023-05-31T00:00:00"/>
    <s v="Structured"/>
    <n v="130"/>
    <s v="N"/>
    <n v="2"/>
    <s v="Y"/>
    <s v="Read-only access"/>
    <n v="43"/>
    <s v="Partial"/>
    <s v="Y"/>
    <s v="N"/>
    <n v="120000"/>
    <d v="2025-08-31T00:00:00"/>
    <m/>
    <m/>
    <s v=""/>
    <n v="1"/>
    <x v="4"/>
    <x v="0"/>
    <x v="3"/>
    <x v="36"/>
    <x v="4"/>
    <s v="Owner to confirm usage before decision"/>
  </r>
  <r>
    <n v="100347"/>
    <s v="Regional Field Service Dispatcher Classic"/>
    <s v="Field Service"/>
    <s v="Operations"/>
    <s v="Internal"/>
    <s v="Lucas Bernard"/>
    <s v="Rohan Bhatt"/>
    <s v="Database Services"/>
    <n v="335"/>
    <d v="2021-03-22T00:00:00"/>
    <s v="Active"/>
    <n v="5"/>
    <n v="1"/>
    <m/>
    <s v="On-prem DC"/>
    <s v="rfs-app01–07, rfs-db01"/>
    <n v="8"/>
    <s v="RHEL 8"/>
    <s v="PostgreSQL 12"/>
    <s v="TBD"/>
    <d v="2029-05-31T00:00:00"/>
    <s v="Unstructured"/>
    <n v="19"/>
    <s v="N"/>
    <n v="1"/>
    <s v="Y"/>
    <s v="Data archive"/>
    <n v="86"/>
    <s v="Y"/>
    <s v="N"/>
    <s v="N"/>
    <n v="245000"/>
    <d v="2033-06-30T00:00:00"/>
    <m/>
    <m/>
    <s v=""/>
    <n v="0"/>
    <x v="3"/>
    <x v="0"/>
    <x v="3"/>
    <x v="36"/>
    <x v="5"/>
    <s v="Cheap &amp; healthy - retain"/>
  </r>
  <r>
    <n v="191634"/>
    <s v="Batch Scheduler v4"/>
    <s v="Batch Scheduling"/>
    <s v="IT"/>
    <s v="Partner"/>
    <s v="Oscar Lindqvist"/>
    <s v="Hugo Perrin"/>
    <s v="Infra Ops EMEA"/>
    <n v="513"/>
    <d v="2021-04-28T00:00:00"/>
    <s v="Active"/>
    <n v="4"/>
    <n v="2"/>
    <m/>
    <s v="On-prem DC"/>
    <s v="bsvapp01, bsvdb01"/>
    <n v="2"/>
    <s v="TBD"/>
    <s v="Oracle 11g"/>
    <s v="EU DC-1"/>
    <d v="2021-01-31T00:00:00"/>
    <s v="Unstructured"/>
    <n v="93"/>
    <s v="N"/>
    <n v="5"/>
    <s v="Y"/>
    <s v="Legal hold"/>
    <n v="25"/>
    <s v="Partial"/>
    <s v="Y"/>
    <s v="Partial"/>
    <n v="33500"/>
    <d v="2033-08-31T00:00:00"/>
    <m/>
    <m/>
    <s v=""/>
    <n v="1"/>
    <x v="3"/>
    <x v="0"/>
    <x v="3"/>
    <x v="36"/>
    <x v="5"/>
    <s v="Business-critical, well supported"/>
  </r>
  <r>
    <n v="162043"/>
    <s v="Survey Tool (DE)"/>
    <s v="Market Research"/>
    <s v="Marketing"/>
    <s v="Internal"/>
    <s v="Claire Mehta"/>
    <s v="Lena Fischer"/>
    <s v="SaaS Vendor Mgmt"/>
    <n v="223"/>
    <d v="2021-04-26T00:00:00"/>
    <s v="Active"/>
    <n v="3"/>
    <n v="3"/>
    <m/>
    <s v="SaaS"/>
    <s v="N/A (SaaS)"/>
    <n v="0"/>
    <s v="N/A"/>
    <s v="N/A"/>
    <s v="Vendor cloud (EU)"/>
    <m/>
    <s v="Both"/>
    <n v="130"/>
    <s v="N"/>
    <n v="1"/>
    <s v="Y"/>
    <s v="Data archive"/>
    <n v="4"/>
    <s v="Partial"/>
    <s v="N"/>
    <s v="N"/>
    <n v="55000"/>
    <d v="2031-11-30T00:00:00"/>
    <m/>
    <m/>
    <s v=""/>
    <n v="0"/>
    <x v="3"/>
    <x v="1"/>
    <x v="3"/>
    <x v="36"/>
    <x v="5"/>
    <s v="Business-critical, well supported"/>
  </r>
  <r>
    <n v="24334"/>
    <s v="Regional Event Registration Tool v3"/>
    <s v="Events"/>
    <s v="Marketing"/>
    <s v="Internal"/>
    <s v="Claire Mehta"/>
    <s v="Sameer Joshi"/>
    <s v="Plant IT Services"/>
    <n v="465"/>
    <d v="2021-04-22T00:00:00"/>
    <s v="Active"/>
    <n v="5"/>
    <n v="2"/>
    <m/>
    <s v="PaaS"/>
    <s v="Azure App Service (PaaS)"/>
    <n v="0"/>
    <s v="N/A (PaaS)"/>
    <s v="Azure SQL"/>
    <s v="Azure West Europe"/>
    <m/>
    <s v="Both"/>
    <n v="69"/>
    <s v="Y"/>
    <n v="10"/>
    <s v="N"/>
    <s v="None"/>
    <n v="10"/>
    <s v="N"/>
    <s v="Partial"/>
    <s v="N"/>
    <n v="24000"/>
    <d v="2032-08-31T00:00:00"/>
    <m/>
    <m/>
    <s v=""/>
    <n v="0"/>
    <x v="3"/>
    <x v="2"/>
    <x v="3"/>
    <x v="36"/>
    <x v="5"/>
    <s v="Strategic platform; refresh planned"/>
  </r>
  <r>
    <n v="74838"/>
    <s v="Legacy Supplier Portal (APAC)"/>
    <s v="Supplier Mgmt"/>
    <s v="Supply Chain"/>
    <s v="Internal"/>
    <s v="Yuki Tanaka"/>
    <s v="Varun Malhotra"/>
    <s v="Database Services"/>
    <n v="150"/>
    <d v="2021-04-18T00:00:00"/>
    <s v="Active"/>
    <n v="5"/>
    <n v="2"/>
    <m/>
    <s v="On-prem DC"/>
    <s v="lspapp01, lspdb01, lspweb01, lspfs01"/>
    <n v="4"/>
    <s v="RHEL 6"/>
    <s v="Oracle 11g"/>
    <s v="US DC-1"/>
    <d v="2020-11-30T00:00:00"/>
    <s v="Both"/>
    <n v="1120"/>
    <s v="N"/>
    <n v="2"/>
    <s v="N"/>
    <s v="None"/>
    <n v="6"/>
    <s v="N"/>
    <s v="Y"/>
    <s v="Partial"/>
    <n v="120000"/>
    <d v="2025-11-30T00:00:00"/>
    <m/>
    <m/>
    <s v=""/>
    <n v="1"/>
    <x v="3"/>
    <x v="2"/>
    <x v="3"/>
    <x v="36"/>
    <x v="5"/>
    <s v="Retain - revisit at next portfolio review"/>
  </r>
  <r>
    <n v="100565"/>
    <s v="Custom Leave Manager (APAC)"/>
    <s v="Leave Mgmt"/>
    <s v="HR"/>
    <s v="Internal"/>
    <s v="Yuki Tanaka"/>
    <s v="Baptiste Henry"/>
    <s v="Wintel Platform Team"/>
    <n v="40"/>
    <d v="2021-03-31T00:00:00"/>
    <s v="Active"/>
    <n v="4"/>
    <n v="3"/>
    <s v="Workday HCM"/>
    <s v="On-prem DC"/>
    <s v="clmapp01, clmdb01"/>
    <n v="2"/>
    <s v="Windows Server 2008"/>
    <s v="SQL Server 2008"/>
    <s v="Plant DC"/>
    <d v="2019-07-09T00:00:00"/>
    <s v="Structured"/>
    <n v="7"/>
    <s v="Y"/>
    <n v="7"/>
    <s v="Y"/>
    <s v="Read-only access"/>
    <n v="7"/>
    <s v="Partial"/>
    <s v="Y"/>
    <s v="Y"/>
    <n v="18500"/>
    <d v="2027-04-30T00:00:00"/>
    <n v="24500"/>
    <n v="15000"/>
    <n v="19.600000000000001"/>
    <n v="2"/>
    <x v="4"/>
    <x v="0"/>
    <x v="3"/>
    <x v="36"/>
    <x v="4"/>
    <s v="Low business value; validate with owner"/>
  </r>
  <r>
    <n v="183956"/>
    <s v="Departmental Travel Booking Tool"/>
    <s v="Travel"/>
    <s v="HR"/>
    <s v="Internal"/>
    <s v="Elena Garcia"/>
    <s v="Chloe Vidal"/>
    <s v="SaaS Vendor Mgmt"/>
    <n v="216"/>
    <d v="2021-03-24T00:00:00"/>
    <s v="Active"/>
    <n v="3"/>
    <n v="3"/>
    <m/>
    <s v="SaaS"/>
    <s v="N/A (SaaS)"/>
    <n v="0"/>
    <s v="N/A"/>
    <s v="N/A"/>
    <s v="Vendor cloud (EU)"/>
    <m/>
    <s v="Both"/>
    <n v="18"/>
    <s v="Y"/>
    <n v="7"/>
    <s v="N"/>
    <s v="None"/>
    <n v="8"/>
    <s v="Partial"/>
    <s v="Partial"/>
    <s v="Partial"/>
    <n v="55000"/>
    <d v="2034-04-30T00:00:00"/>
    <n v="74500"/>
    <n v="31000"/>
    <n v="28.838709677419356"/>
    <n v="0"/>
    <x v="4"/>
    <x v="2"/>
    <x v="3"/>
    <x v="36"/>
    <x v="4"/>
    <s v="Owner to confirm usage before decision"/>
  </r>
  <r>
    <n v="125067"/>
    <s v="Departmental Web Analytics Mart Classic"/>
    <s v="Analytics"/>
    <s v="Marketing"/>
    <s v="Internal"/>
    <s v="Rahul Iyer"/>
    <s v="Manon Chevalier"/>
    <s v="Database Services"/>
    <n v="272"/>
    <d v="2021-04-25T00:00:00"/>
    <s v="Active"/>
    <n v="4"/>
    <n v="1"/>
    <m/>
    <s v="PaaS"/>
    <s v="Azure App Service (PaaS)"/>
    <n v="0"/>
    <s v="N/A (PaaS)"/>
    <s v="Cosmos DB"/>
    <s v="Azure West Europe"/>
    <m/>
    <s v="Structured"/>
    <n v="220"/>
    <s v="N"/>
    <n v="3"/>
    <s v="N"/>
    <s v="None"/>
    <n v="53"/>
    <s v="Partial"/>
    <s v="Y"/>
    <s v="Partial"/>
    <n v="65000"/>
    <d v="2029-02-28T00:00:00"/>
    <m/>
    <m/>
    <s v=""/>
    <n v="0"/>
    <x v="3"/>
    <x v="2"/>
    <x v="3"/>
    <x v="36"/>
    <x v="5"/>
    <s v="Business-critical, well supported"/>
  </r>
  <r>
    <n v="73836"/>
    <s v="Legacy Access Request Tool Lite"/>
    <s v="Identity"/>
    <s v="IT"/>
    <s v="Internal"/>
    <s v="Oscar Lindqvist"/>
    <s v="Kavya Reddy"/>
    <s v="Cloud Platform Team"/>
    <n v="0"/>
    <d v="2020-04-27T00:00:00"/>
    <s v="Not in use"/>
    <n v="4"/>
    <n v="1"/>
    <m/>
    <s v="On-prem DC"/>
    <s v="larapp01, lardb01"/>
    <n v="2"/>
    <s v="SUSE Linux 11"/>
    <s v="Oracle 11g"/>
    <s v="US DC-1"/>
    <d v="2019-03-31T00:00:00"/>
    <s v="Structured"/>
    <n v="560"/>
    <s v="N"/>
    <n v="3"/>
    <s v="N"/>
    <s v="None"/>
    <n v="30"/>
    <s v="N"/>
    <s v="Partial"/>
    <s v="Y"/>
    <n v="180000"/>
    <d v="2031-11-30T00:00:00"/>
    <n v="295000"/>
    <n v="107500"/>
    <n v="32.930232558139537"/>
    <n v="2"/>
    <x v="4"/>
    <x v="2"/>
    <x v="3"/>
    <x v="36"/>
    <x v="4"/>
    <s v="Awaiting assessment workshop"/>
  </r>
  <r>
    <n v="123143"/>
    <s v="Old Partner Portal (UK)"/>
    <s v="Partner Mgmt"/>
    <s v="Sales"/>
    <s v="Internal"/>
    <s v="Marc Laurent"/>
    <s v="Tara Khanna"/>
    <s v="Cloud Platform Team"/>
    <n v="868"/>
    <d v="2021-04-15T00:00:00"/>
    <s v="Active"/>
    <n v="3"/>
    <n v="2"/>
    <s v="Salesforce CPQ"/>
    <s v="On-prem DC"/>
    <s v="oppapp01"/>
    <n v="1"/>
    <s v="AIX 7.1"/>
    <s v="DB2 10.5"/>
    <s v="TBD"/>
    <s v="TBD"/>
    <s v="Structured"/>
    <n v="410"/>
    <s v="Y"/>
    <n v="10"/>
    <s v="Y"/>
    <s v="Data archive"/>
    <n v="10"/>
    <s v="Y"/>
    <s v="Y"/>
    <s v="Partial"/>
    <n v="30500"/>
    <d v="2025-02-28T00:00:00"/>
    <m/>
    <m/>
    <s v=""/>
    <n v="1"/>
    <x v="4"/>
    <x v="0"/>
    <x v="3"/>
    <x v="36"/>
    <x v="4"/>
    <s v="Dependencies to be mapped"/>
  </r>
  <r>
    <n v="84582"/>
    <s v="Corporate AP Invoice Processor (APAC)"/>
    <s v="Accounts Payable"/>
    <s v="Finance"/>
    <s v="Internal"/>
    <s v="Neha Nair"/>
    <s v="Ananya Pillai"/>
    <s v="Unix Platform Team"/>
    <n v="23"/>
    <d v="2021-03-02T00:00:00"/>
    <s v="Low use"/>
    <n v="3"/>
    <n v="3"/>
    <m/>
    <s v="On-prem DC"/>
    <s v="caiapp01, caidb01"/>
    <n v="2"/>
    <s v="Solaris 10"/>
    <s v="TBD"/>
    <s v="EU DC-2"/>
    <d v="2021-01-31T00:00:00"/>
    <s v="Structured"/>
    <n v="45"/>
    <s v="N"/>
    <n v="3"/>
    <s v="Y"/>
    <s v="Archive + read-only"/>
    <n v="2"/>
    <s v="Partial"/>
    <s v="N"/>
    <s v="Y"/>
    <n v="23000"/>
    <d v="2027-06-30T00:00:00"/>
    <n v="14500"/>
    <n v="19500"/>
    <n v="8.9230769230769234"/>
    <n v="2"/>
    <x v="4"/>
    <x v="1"/>
    <x v="3"/>
    <x v="36"/>
    <x v="4"/>
    <s v="Awaiting assessment workshop_x000a_Blocker: Interface owners not yet identified_x000a_Q: Which teams consume the outbound feeds?"/>
  </r>
  <r>
    <n v="71233"/>
    <s v="Billing Engine Classic"/>
    <s v="Billing"/>
    <s v="Finance"/>
    <s v="External"/>
    <s v="Elena Garcia"/>
    <s v="Kavya Reddy"/>
    <s v="Infra Ops EMEA"/>
    <n v="857"/>
    <d v="2021-04-09T00:00:00"/>
    <s v="Active"/>
    <n v="4"/>
    <n v="2"/>
    <m/>
    <s v="On-prem DC"/>
    <s v="bec-app01–04, bec-db01"/>
    <n v="5"/>
    <s v="SUSE Linux 11"/>
    <s v="Oracle 11g"/>
    <s v="EU DC-2"/>
    <d v="2019-03-31T00:00:00"/>
    <s v="Unstructured"/>
    <n v="400"/>
    <s v="Y"/>
    <n v="10"/>
    <s v="Y"/>
    <s v="Data archive"/>
    <n v="24"/>
    <s v="Partial"/>
    <s v="N"/>
    <s v="N"/>
    <n v="160000"/>
    <d v="2026-12-31T00:00:00"/>
    <n v="423000"/>
    <n v="111500"/>
    <n v="45.524663677130043"/>
    <n v="1"/>
    <x v="4"/>
    <x v="0"/>
    <x v="3"/>
    <x v="36"/>
    <x v="4"/>
    <s v="Awaiting assessment workshop"/>
  </r>
  <r>
    <n v="103445"/>
    <s v="Benefits Enrolment (FR)"/>
    <s v="Benefits"/>
    <s v="HR"/>
    <s v="Internal"/>
    <s v="Amelie Martin"/>
    <s v="Baptiste Henry"/>
    <s v="Wintel Platform Team"/>
    <n v="0"/>
    <d v="2019-08-01T00:00:00"/>
    <s v="Not in use"/>
    <n v="2"/>
    <n v="3"/>
    <m/>
    <s v="On-prem DC"/>
    <s v="befapp01, befdb01, befweb01, beffs01"/>
    <n v="4"/>
    <s v="RHEL 8"/>
    <s v="Oracle 19c"/>
    <s v="US DC-1"/>
    <d v="2029-05-31T00:00:00"/>
    <s v="Unstructured"/>
    <n v="92"/>
    <s v="Y"/>
    <n v="10"/>
    <s v="Y"/>
    <s v="Legal hold"/>
    <n v="3"/>
    <s v="Y"/>
    <s v="N"/>
    <s v="Y"/>
    <n v="75000"/>
    <d v="2027-07-31T00:00:00"/>
    <m/>
    <m/>
    <s v=""/>
    <n v="2"/>
    <x v="4"/>
    <x v="1"/>
    <x v="3"/>
    <x v="36"/>
    <x v="4"/>
    <s v="Dependencies to be mapped"/>
  </r>
  <r>
    <n v="187863"/>
    <s v="Customer Contact Manager v2"/>
    <s v="CRM"/>
    <s v="Sales"/>
    <s v="Partner"/>
    <s v="Lucas Bernard"/>
    <s v="Tara Khanna"/>
    <s v="Unix Platform Team"/>
    <n v="11"/>
    <d v="2021-03-20T00:00:00"/>
    <s v="Low use"/>
    <n v="4"/>
    <n v="2"/>
    <s v="Salesforce CPQ"/>
    <s v="On-prem DC"/>
    <s v="ccmapp01, ccmdb01, ccmweb01, ccmfs01"/>
    <n v="4"/>
    <s v="HP-UX 11i v3"/>
    <s v="Sybase ASE 15.7"/>
    <s v="US DC-1"/>
    <d v="2021-12-31T00:00:00"/>
    <s v="Structured"/>
    <n v="240"/>
    <s v="N"/>
    <n v="5"/>
    <s v="Y"/>
    <s v="Reporting extract"/>
    <n v="7"/>
    <s v="Y"/>
    <s v="Partial"/>
    <s v="Partial"/>
    <n v="70000"/>
    <d v="2035-10-31T00:00:00"/>
    <n v="110000"/>
    <n v="40500"/>
    <n v="32.592592592592595"/>
    <n v="3"/>
    <x v="4"/>
    <x v="0"/>
    <x v="3"/>
    <x v="36"/>
    <x v="4"/>
    <s v="Low business value; validate with owner_x000a_Blocker: Interface owners not yet identified_x000a_Q: Which teams consume the outbound feeds?"/>
  </r>
  <r>
    <n v="164955"/>
    <s v="Timesheet Portal (FR)"/>
    <s v="Time &amp; Attendance"/>
    <s v="HR"/>
    <s v="Internal"/>
    <s v="Hannah Weber"/>
    <s v="Tara Khanna"/>
    <s v="Infra Ops US"/>
    <n v="801"/>
    <d v="2021-04-15T00:00:00"/>
    <s v="Active"/>
    <n v="5"/>
    <n v="2"/>
    <m/>
    <s v="PaaS"/>
    <s v="Azure App Service (PaaS)"/>
    <n v="0"/>
    <s v="N/A (PaaS)"/>
    <s v="Cosmos DB"/>
    <s v="Azure West Europe"/>
    <m/>
    <s v="Structured"/>
    <n v="40"/>
    <s v="N"/>
    <n v="5"/>
    <s v="Y"/>
    <s v="Reporting extract"/>
    <n v="5"/>
    <s v="Y"/>
    <s v="Y"/>
    <s v="Partial"/>
    <n v="43500"/>
    <d v="2035-05-31T00:00:00"/>
    <n v="48500"/>
    <n v="33000"/>
    <n v="17.636363636363637"/>
    <n v="0"/>
    <x v="4"/>
    <x v="0"/>
    <x v="3"/>
    <x v="36"/>
    <x v="4"/>
    <s v="Low business value; validate with owner"/>
  </r>
  <r>
    <n v="183550"/>
    <s v="Custom Document Repository v2"/>
    <s v="Document Mgmt"/>
    <s v="IT"/>
    <s v="Partner"/>
    <s v="Thomas Moreau"/>
    <s v="Rohan Bhatt"/>
    <s v="Wintel Platform Team"/>
    <n v="419"/>
    <d v="2021-04-22T00:00:00"/>
    <s v="Active"/>
    <n v="4"/>
    <n v="2"/>
    <s v="TBD"/>
    <s v="On-prem DC"/>
    <s v="cdr-app01–05, cdr-db01"/>
    <n v="6"/>
    <s v="Ubuntu 18.04"/>
    <s v="PostgreSQL 10"/>
    <s v="EU DC-1"/>
    <d v="2023-05-31T00:00:00"/>
    <s v="Structured"/>
    <n v="96"/>
    <s v="N"/>
    <n v="3"/>
    <s v="Y"/>
    <s v="Legal hold"/>
    <n v="13"/>
    <s v="Y"/>
    <s v="N"/>
    <s v="N"/>
    <n v="130000"/>
    <d v="2031-01-31T00:00:00"/>
    <m/>
    <m/>
    <s v=""/>
    <n v="0"/>
    <x v="3"/>
    <x v="0"/>
    <x v="3"/>
    <x v="36"/>
    <x v="5"/>
    <s v="Business-critical, well supported"/>
  </r>
  <r>
    <n v="75863"/>
    <s v="Licence Manager 2008"/>
    <s v="Licence Mgmt"/>
    <s v="IT"/>
    <s v="Internal"/>
    <s v="Claire Mehta"/>
    <s v="Ishaan Desai"/>
    <s v="Plant IT Services"/>
    <n v="25"/>
    <d v="2021-04-14T00:00:00"/>
    <s v="Active"/>
    <n v="5"/>
    <n v="2"/>
    <s v="Azure Monitor"/>
    <s v="On-prem DC"/>
    <s v="lmx-app01–06, lmx-db01"/>
    <n v="7"/>
    <s v="Windows Server 2016"/>
    <s v="SQL Server 2016"/>
    <s v="EU DC-1"/>
    <d v="2026-07-14T00:00:00"/>
    <s v="Structured"/>
    <n v="21"/>
    <s v="Y"/>
    <n v="10"/>
    <s v="N"/>
    <s v="None"/>
    <n v="16"/>
    <s v="Y"/>
    <s v="N"/>
    <s v="Y"/>
    <n v="160000"/>
    <d v="2028-08-31T00:00:00"/>
    <m/>
    <m/>
    <s v=""/>
    <n v="1"/>
    <x v="4"/>
    <x v="2"/>
    <x v="3"/>
    <x v="36"/>
    <x v="4"/>
    <s v="Low business value; validate with owner"/>
  </r>
  <r>
    <n v="93630"/>
    <s v="Old Intranet (SharePoint) v2"/>
    <s v="Collaboration"/>
    <s v="IT"/>
    <s v="Internal"/>
    <s v="Priya Sharma"/>
    <s v="Ishaan Desai"/>
    <s v="Plant IT Services"/>
    <n v="165"/>
    <d v="2021-04-07T00:00:00"/>
    <s v="Active"/>
    <n v="5"/>
    <n v="1"/>
    <s v="TBD"/>
    <s v="On-prem DC"/>
    <s v="oisapp01, oisdb01"/>
    <n v="2"/>
    <s v="Windows Server 2012 R2"/>
    <s v="SQL Server 2012"/>
    <s v="US DC-1"/>
    <d v="2022-07-12T00:00:00"/>
    <s v="Structured"/>
    <n v="1340"/>
    <s v="N"/>
    <n v="5"/>
    <s v="N"/>
    <s v="None"/>
    <n v="42"/>
    <s v="Partial"/>
    <s v="N"/>
    <s v="N"/>
    <n v="115000"/>
    <d v="2027-02-28T00:00:00"/>
    <m/>
    <m/>
    <s v=""/>
    <n v="0"/>
    <x v="3"/>
    <x v="2"/>
    <x v="3"/>
    <x v="36"/>
    <x v="5"/>
    <s v="Business-critical, well supported"/>
  </r>
  <r>
    <n v="35710"/>
    <s v="Old Leave Manager (APAC)"/>
    <s v="Leave Mgmt"/>
    <s v="HR"/>
    <s v="Internal"/>
    <s v="Hannah Weber"/>
    <s v="Ishaan Desai"/>
    <s v="SaaS Vendor Mgmt"/>
    <n v="3"/>
    <d v="2021-04-03T00:00:00"/>
    <s v="Low use"/>
    <n v="5"/>
    <n v="2"/>
    <s v="Cornerstone"/>
    <s v="SaaS"/>
    <s v="N/A (SaaS)"/>
    <n v="0"/>
    <s v="N/A"/>
    <s v="N/A"/>
    <s v="Vendor cloud (EU)"/>
    <m/>
    <s v="Structured"/>
    <n v="200"/>
    <s v="N"/>
    <n v="1"/>
    <s v="N"/>
    <s v="None"/>
    <n v="7"/>
    <s v="N"/>
    <s v="Partial"/>
    <s v="Partial"/>
    <n v="230000"/>
    <d v="2031-09-30T00:00:00"/>
    <m/>
    <m/>
    <s v=""/>
    <n v="2"/>
    <x v="4"/>
    <x v="2"/>
    <x v="3"/>
    <x v="36"/>
    <x v="4"/>
    <s v="Low business value; validate with owner"/>
  </r>
  <r>
    <n v="28492"/>
    <s v="Old Survey Tool Classic"/>
    <s v="Market Research"/>
    <s v="Marketing"/>
    <s v="Internal"/>
    <s v="Antoine Patel"/>
    <s v="Ishaan Desai"/>
    <s v="Cloud Platform Team"/>
    <n v="25"/>
    <d v="2021-03-19T00:00:00"/>
    <s v="Active"/>
    <n v="5"/>
    <n v="1"/>
    <m/>
    <s v="IaaS"/>
    <s v="ostapp01, ostdb01"/>
    <n v="2"/>
    <s v="RHEL 7"/>
    <s v="Oracle 12c"/>
    <s v="AWS us-east-1"/>
    <d v="2024-06-30T00:00:00"/>
    <s v="Unstructured"/>
    <n v="1970"/>
    <s v="Y"/>
    <n v="10"/>
    <s v="N"/>
    <s v="None"/>
    <n v="56"/>
    <s v="Partial"/>
    <s v="N"/>
    <s v="Partial"/>
    <n v="50000"/>
    <d v="2033-10-31T00:00:00"/>
    <m/>
    <m/>
    <s v=""/>
    <n v="0"/>
    <x v="3"/>
    <x v="2"/>
    <x v="3"/>
    <x v="36"/>
    <x v="5"/>
    <s v="Retain - revisit at next portfolio review"/>
  </r>
  <r>
    <n v="195711"/>
    <s v="Payroll Interface (DE)"/>
    <s v="Payroll"/>
    <s v="HR"/>
    <s v="Internal"/>
    <s v="Mateo Girard"/>
    <s v="Theo Lopez"/>
    <s v="Infra Ops EMEA"/>
    <n v="135"/>
    <d v="2021-03-29T00:00:00"/>
    <s v="Active"/>
    <n v="5"/>
    <n v="1"/>
    <s v="Cornerstone"/>
    <s v="On-prem DC"/>
    <s v="pidapp01"/>
    <n v="1"/>
    <s v="Solaris 10"/>
    <s v="Oracle 11g"/>
    <s v="Plant DC"/>
    <s v="TBD"/>
    <s v="Unstructured"/>
    <n v="210"/>
    <s v="Y"/>
    <n v="5"/>
    <s v="N"/>
    <s v="None"/>
    <n v="34"/>
    <s v="N"/>
    <s v="N"/>
    <s v="N"/>
    <n v="90000"/>
    <d v="2028-12-31T00:00:00"/>
    <n v="152000"/>
    <n v="71500"/>
    <n v="25.51048951048951"/>
    <n v="1"/>
    <x v="4"/>
    <x v="2"/>
    <x v="3"/>
    <x v="36"/>
    <x v="4"/>
    <s v="Low business value; validate with owner"/>
  </r>
  <r>
    <n v="188475"/>
    <s v="Departmental Demand Planner (APAC)"/>
    <s v="Demand Planning"/>
    <s v="Supply Chain"/>
    <s v="Internal"/>
    <s v="Elena Garcia"/>
    <s v="Hugo Perrin"/>
    <s v="Database Services"/>
    <n v="0"/>
    <d v="2021-01-12T00:00:00"/>
    <s v="Not in use"/>
    <n v="2"/>
    <n v="3"/>
    <m/>
    <s v="On-prem DC"/>
    <s v="ddpapp01, ddpdb01, ddpweb01"/>
    <n v="3"/>
    <s v="SUSE Linux 11"/>
    <s v="Oracle 11g"/>
    <s v="EU DC-1"/>
    <d v="2019-03-31T00:00:00"/>
    <s v="Structured"/>
    <n v="81"/>
    <s v="N"/>
    <n v="7"/>
    <s v="N"/>
    <s v="None"/>
    <n v="2"/>
    <s v="Partial"/>
    <s v="N"/>
    <s v="Partial"/>
    <n v="32000"/>
    <d v="2030-05-31T00:00:00"/>
    <m/>
    <m/>
    <s v=""/>
    <n v="3"/>
    <x v="4"/>
    <x v="2"/>
    <x v="3"/>
    <x v="36"/>
    <x v="4"/>
    <s v="Owner to confirm usage before decision"/>
  </r>
  <r>
    <n v="59143"/>
    <s v="Custom Fleet Manager (FR)"/>
    <s v="Fleet"/>
    <s v="Operations"/>
    <s v="Internal"/>
    <s v="Sophie Dubois"/>
    <s v="Remi Masson"/>
    <s v="Infra Ops EMEA"/>
    <n v="33"/>
    <d v="2021-04-22T00:00:00"/>
    <s v="Active"/>
    <n v="3"/>
    <n v="2"/>
    <s v="TBD"/>
    <s v="On-prem DC"/>
    <s v="cfmapp01, cfmdb01, cfmweb01, cfmfs01"/>
    <n v="4"/>
    <s v="TBD"/>
    <s v="SQL Server 2008"/>
    <s v="EU DC-1"/>
    <d v="2019-07-09T00:00:00"/>
    <s v="Both"/>
    <n v="420"/>
    <s v="N"/>
    <n v="2"/>
    <s v="Y"/>
    <s v="Archive + read-only"/>
    <n v="11"/>
    <s v="N"/>
    <s v="N"/>
    <s v="N"/>
    <n v="115000"/>
    <d v="2031-03-31T00:00:00"/>
    <m/>
    <m/>
    <s v=""/>
    <n v="1"/>
    <x v="3"/>
    <x v="0"/>
    <x v="3"/>
    <x v="36"/>
    <x v="5"/>
    <s v="Retain - revisit at next portfolio review"/>
  </r>
  <r>
    <n v="50905"/>
    <s v="Corporate Access Request Tool (APAC)"/>
    <s v="Identity"/>
    <s v="IT"/>
    <s v="Partner"/>
    <s v="Fatima Khan"/>
    <s v="Ishaan Desai"/>
    <s v="Database Services"/>
    <n v="1229"/>
    <d v="2021-04-12T00:00:00"/>
    <s v="Active"/>
    <n v="5"/>
    <n v="1"/>
    <m/>
    <s v="IaaS"/>
    <s v="carapp01, cardb01, carweb01, carfs01"/>
    <n v="4"/>
    <s v="Windows Server 2012 R2"/>
    <s v="SQL Server 2014"/>
    <s v="Azure West Europe"/>
    <d v="2024-07-09T00:00:00"/>
    <s v="Structured"/>
    <n v="17"/>
    <s v="N"/>
    <n v="3"/>
    <s v="Y"/>
    <s v="Read-only access"/>
    <n v="45"/>
    <s v="Partial"/>
    <s v="Partial"/>
    <s v="Y"/>
    <n v="165000"/>
    <d v="2030-04-30T00:00:00"/>
    <m/>
    <m/>
    <s v=""/>
    <n v="0"/>
    <x v="3"/>
    <x v="0"/>
    <x v="3"/>
    <x v="36"/>
    <x v="4"/>
    <s v="Retain - revisit at next portfolio review"/>
  </r>
  <r>
    <n v="54151"/>
    <s v="Regional Access Request Tool v4"/>
    <s v="Identity"/>
    <s v="IT"/>
    <s v="Internal"/>
    <s v="Claire Mehta"/>
    <s v="Rohan Bhatt"/>
    <s v="Cloud Platform Team"/>
    <n v="0"/>
    <d v="2020-08-03T00:00:00"/>
    <s v="Not in use"/>
    <n v="5"/>
    <n v="2"/>
    <m/>
    <s v="On-prem DC"/>
    <s v="rar-app01–07, rar-db01"/>
    <n v="8"/>
    <s v="HP-UX 11i v3"/>
    <s v="Sybase ASE 15.7"/>
    <s v="Plant DC"/>
    <d v="2021-12-31T00:00:00"/>
    <s v="Unstructured"/>
    <n v="160"/>
    <s v="N"/>
    <n v="3"/>
    <s v="Y"/>
    <s v="Archive + read-only"/>
    <n v="21"/>
    <s v="N"/>
    <s v="N"/>
    <s v="N"/>
    <n v="245000"/>
    <d v="2031-10-31T00:00:00"/>
    <n v="185500"/>
    <n v="216500"/>
    <n v="10.28175519630485"/>
    <n v="2"/>
    <x v="4"/>
    <x v="0"/>
    <x v="3"/>
    <x v="36"/>
    <x v="4"/>
    <s v="Dependencies to be mapped"/>
  </r>
  <r>
    <n v="18552"/>
    <s v="Benefits Enrolment 2012"/>
    <s v="Benefits"/>
    <s v="HR"/>
    <s v="Internal"/>
    <s v="Pierre Roux"/>
    <s v="Aditi Menon"/>
    <s v="Infra Ops US"/>
    <n v="17"/>
    <d v="2021-02-19T00:00:00"/>
    <s v="Low use"/>
    <n v="5"/>
    <n v="1"/>
    <s v="Workday Payroll"/>
    <s v="PaaS"/>
    <s v="Azure App Service (PaaS)"/>
    <n v="0"/>
    <s v="N/A (PaaS)"/>
    <s v="Cosmos DB"/>
    <s v="Azure West Europe"/>
    <m/>
    <s v="Structured"/>
    <n v="95"/>
    <s v="Y"/>
    <n v="10"/>
    <s v="Y"/>
    <s v="Data archive"/>
    <n v="90"/>
    <s v="Y"/>
    <s v="N"/>
    <s v="N"/>
    <n v="75000"/>
    <d v="2034-11-30T00:00:00"/>
    <m/>
    <m/>
    <s v=""/>
    <n v="2"/>
    <x v="4"/>
    <x v="0"/>
    <x v="3"/>
    <x v="36"/>
    <x v="4"/>
    <s v="Low business value; validate with owner"/>
  </r>
  <r>
    <n v="28156"/>
    <s v="Global Warehouse Mgmt System (Nordics)"/>
    <s v="Warehouse Mgmt"/>
    <s v="Supply Chain"/>
    <s v="External"/>
    <s v="Priya Sharma"/>
    <s v="Varun Malhotra"/>
    <s v="Plant IT Services"/>
    <n v="328"/>
    <d v="2021-03-25T00:00:00"/>
    <s v="Active"/>
    <n v="5"/>
    <n v="2"/>
    <m/>
    <s v="On-prem DC"/>
    <s v="gwm-app01–07, gwm-db01"/>
    <n v="8"/>
    <s v="Ubuntu 16.04"/>
    <s v="MySQL 5.7"/>
    <s v="EU DC-2"/>
    <d v="2021-04-30T00:00:00"/>
    <s v="Both"/>
    <n v="16"/>
    <s v="Y"/>
    <n v="10"/>
    <s v="Y"/>
    <s v="Legal hold"/>
    <n v="6"/>
    <s v="N"/>
    <s v="Partial"/>
    <s v="Y"/>
    <n v="90000"/>
    <d v="2034-10-31T00:00:00"/>
    <m/>
    <m/>
    <s v=""/>
    <n v="1"/>
    <x v="3"/>
    <x v="0"/>
    <x v="3"/>
    <x v="36"/>
    <x v="5"/>
    <s v="Cheap &amp; healthy - retain"/>
  </r>
  <r>
    <n v="68377"/>
    <s v="Regional Inventory Control (UK)"/>
    <s v="Inventory"/>
    <s v="Supply Chain"/>
    <s v="Internal"/>
    <s v="Hannah Weber"/>
    <s v="Kavya Reddy"/>
    <s v="Plant IT Services"/>
    <n v="1377"/>
    <d v="2021-04-18T00:00:00"/>
    <s v="Active"/>
    <n v="5"/>
    <n v="1"/>
    <m/>
    <s v="IaaS"/>
    <s v="ricapp01, ricdb01, ricweb01"/>
    <n v="3"/>
    <s v="Ubuntu 20.04"/>
    <s v="MySQL 8.0"/>
    <s v="AWS us-east-1"/>
    <d v="2025-04-30T00:00:00"/>
    <s v="Structured"/>
    <n v="84"/>
    <s v="Y"/>
    <n v="5"/>
    <s v="Y"/>
    <s v="Read-only access"/>
    <n v="84"/>
    <s v="Y"/>
    <s v="N"/>
    <s v="Partial"/>
    <n v="80000"/>
    <d v="2025-06-30T00:00:00"/>
    <m/>
    <m/>
    <s v=""/>
    <n v="0"/>
    <x v="3"/>
    <x v="0"/>
    <x v="3"/>
    <x v="36"/>
    <x v="5"/>
    <s v="Retain - revisit at next portfolio review"/>
  </r>
  <r>
    <n v="46013"/>
    <s v="Corporate Sales Forecast Tool Lite"/>
    <s v="Sales Planning"/>
    <s v="Sales"/>
    <s v="Internal"/>
    <s v="Amelie Martin"/>
    <s v="Theo Lopez"/>
    <s v="Infra Ops US"/>
    <n v="1491"/>
    <d v="2021-03-18T00:00:00"/>
    <s v="Active"/>
    <n v="4"/>
    <n v="2"/>
    <m/>
    <s v="On-prem DC"/>
    <s v="csfapp01, csfdb01, csfweb01, csffs01"/>
    <n v="4"/>
    <s v="TBD"/>
    <s v="SQL Server 2014"/>
    <s v="TBD"/>
    <d v="2024-07-09T00:00:00"/>
    <s v="Structured"/>
    <n v="550"/>
    <s v="N"/>
    <n v="5"/>
    <s v="Y"/>
    <s v="Reporting extract"/>
    <n v="24"/>
    <s v="Y"/>
    <s v="Y"/>
    <s v="Y"/>
    <n v="80000"/>
    <d v="2026-06-30T00:00:00"/>
    <m/>
    <m/>
    <s v=""/>
    <n v="0"/>
    <x v="4"/>
    <x v="0"/>
    <x v="3"/>
    <x v="36"/>
    <x v="4"/>
    <s v="Dependencies to be mapped_x000a_Blocker: Vendor notice period of 12 months_x000a_Q: Can the contract end be brought forward?"/>
  </r>
  <r>
    <n v="58950"/>
    <s v="Legacy Facilities Request Portal Classic"/>
    <s v="Facilities"/>
    <s v="Operations"/>
    <s v="Internal"/>
    <s v="Marc Laurent"/>
    <s v="Ishaan Desai"/>
    <s v="Unix Platform Team"/>
    <n v="147"/>
    <d v="2021-04-23T00:00:00"/>
    <s v="Active"/>
    <n v="4"/>
    <n v="3"/>
    <m/>
    <s v="On-prem DC"/>
    <s v="lfrapp01, lfrdb01, lfrweb01"/>
    <n v="3"/>
    <s v="Ubuntu 16.04"/>
    <s v="MySQL 5.7"/>
    <s v="Plant DC"/>
    <d v="2021-04-30T00:00:00"/>
    <s v="Both"/>
    <n v="240"/>
    <s v="N"/>
    <n v="5"/>
    <s v="Y"/>
    <s v="Read-only access"/>
    <n v="4"/>
    <s v="Partial"/>
    <s v="Partial"/>
    <s v="N"/>
    <n v="49000"/>
    <d v="2028-04-30T00:00:00"/>
    <n v="86000"/>
    <n v="29500"/>
    <n v="34.983050847457626"/>
    <n v="1"/>
    <x v="4"/>
    <x v="1"/>
    <x v="3"/>
    <x v="36"/>
    <x v="4"/>
    <s v="Low business value; validate with owner"/>
  </r>
  <r>
    <n v="185018"/>
    <s v="Corporate Sales Forecast Tool (UK)"/>
    <s v="Sales Planning"/>
    <s v="Sales"/>
    <s v="Internal"/>
    <s v="Mateo Girard"/>
    <s v="Ishaan Desai"/>
    <s v="Infra Ops EMEA"/>
    <n v="903"/>
    <d v="2021-04-15T00:00:00"/>
    <s v="Active"/>
    <n v="2"/>
    <n v="4"/>
    <m/>
    <s v="IaaS"/>
    <s v="csfapp01"/>
    <n v="1"/>
    <s v="Ubuntu 20.04"/>
    <s v="MySQL 8.0"/>
    <s v="AWS eu-west-1"/>
    <d v="2025-04-30T00:00:00"/>
    <s v="Structured"/>
    <n v="10"/>
    <s v="Y"/>
    <n v="10"/>
    <s v="Y"/>
    <s v="Reporting extract"/>
    <n v="2"/>
    <s v="N"/>
    <s v="Y"/>
    <s v="Y"/>
    <n v="21000"/>
    <d v="2032-11-30T00:00:00"/>
    <n v="28000"/>
    <n v="12000"/>
    <n v="28"/>
    <n v="1"/>
    <x v="4"/>
    <x v="1"/>
    <x v="3"/>
    <x v="36"/>
    <x v="4"/>
    <s v="Dependencies to be mapped"/>
  </r>
  <r>
    <n v="160952"/>
    <s v="Old Brand Asset Library"/>
    <s v="Digital Assets"/>
    <s v="Marketing"/>
    <s v="Internal"/>
    <s v="Arjun Lambert"/>
    <s v="Ananya Pillai"/>
    <s v="Cloud Platform Team"/>
    <n v="15"/>
    <d v="2020-12-15T00:00:00"/>
    <s v="Low use"/>
    <n v="3"/>
    <n v="2"/>
    <m/>
    <s v="On-prem DC"/>
    <s v="oba-app01–07, oba-db01"/>
    <n v="8"/>
    <s v="SUSE Linux 11"/>
    <s v="Oracle 11g"/>
    <s v="US DC-1"/>
    <d v="2019-03-31T00:00:00"/>
    <s v="Both"/>
    <n v="59"/>
    <s v="Y"/>
    <n v="7"/>
    <s v="Y"/>
    <s v="Reporting extract"/>
    <n v="19"/>
    <s v="N"/>
    <s v="Partial"/>
    <s v="Partial"/>
    <n v="125000"/>
    <d v="2032-09-30T00:00:00"/>
    <m/>
    <m/>
    <s v=""/>
    <n v="2"/>
    <x v="4"/>
    <x v="0"/>
    <x v="3"/>
    <x v="36"/>
    <x v="4"/>
    <s v="Low business value; validate with owner"/>
  </r>
  <r>
    <n v="52546"/>
    <s v="Corporate Order Entry Portal"/>
    <s v="Order Entry"/>
    <s v="Sales"/>
    <s v="Internal"/>
    <s v="Marc Laurent"/>
    <s v="Remi Masson"/>
    <s v="SaaS Vendor Mgmt"/>
    <n v="116"/>
    <d v="2021-04-04T00:00:00"/>
    <s v="Active"/>
    <n v="5"/>
    <n v="2"/>
    <m/>
    <s v="SaaS"/>
    <s v="N/A (SaaS)"/>
    <n v="0"/>
    <s v="N/A"/>
    <s v="N/A"/>
    <s v="Vendor cloud (EU)"/>
    <m/>
    <s v="Unstructured"/>
    <n v="29"/>
    <s v="Y"/>
    <n v="10"/>
    <s v="N"/>
    <s v="None"/>
    <n v="10"/>
    <s v="N"/>
    <s v="Partial"/>
    <s v="Partial"/>
    <n v="33000"/>
    <d v="2033-07-31T00:00:00"/>
    <m/>
    <m/>
    <s v=""/>
    <n v="0"/>
    <x v="3"/>
    <x v="2"/>
    <x v="3"/>
    <x v="36"/>
    <x v="5"/>
    <s v="Retain - revisit at next portfolio review"/>
  </r>
  <r>
    <n v="33274"/>
    <s v="Custom Field Service Dispatcher 2008"/>
    <s v="Field Service"/>
    <s v="Operations"/>
    <s v="Internal"/>
    <s v="Oscar Lindqvist"/>
    <s v="Sameer Joshi"/>
    <s v="Wintel Platform Team"/>
    <n v="28"/>
    <d v="2021-04-16T00:00:00"/>
    <s v="Active"/>
    <n v="3"/>
    <n v="2"/>
    <m/>
    <s v="On-prem DC"/>
    <s v="cfs-app01–04, cfs-db01"/>
    <n v="5"/>
    <s v="RHEL 6"/>
    <s v="Oracle 11g"/>
    <s v="EU DC-1"/>
    <d v="2020-11-30T00:00:00"/>
    <s v="Structured"/>
    <n v="280"/>
    <s v="N"/>
    <n v="3"/>
    <s v="Y"/>
    <s v="Read-only access"/>
    <n v="10"/>
    <s v="Partial"/>
    <s v="Partial"/>
    <s v="N"/>
    <n v="105000"/>
    <d v="2035-11-30T00:00:00"/>
    <m/>
    <m/>
    <s v=""/>
    <n v="1"/>
    <x v="3"/>
    <x v="0"/>
    <x v="3"/>
    <x v="36"/>
    <x v="5"/>
    <s v="Retain - revisit at next portfolio review"/>
  </r>
  <r>
    <n v="112456"/>
    <s v="Regional Inventory Control Plus"/>
    <s v="Inventory"/>
    <s v="Supply Chain"/>
    <s v="Internal"/>
    <s v="Sophie Dubois"/>
    <s v="Tara Khanna"/>
    <s v="SaaS Vendor Mgmt"/>
    <n v="320"/>
    <d v="2021-04-12T00:00:00"/>
    <s v="Active"/>
    <n v="3"/>
    <n v="2"/>
    <m/>
    <s v="SaaS"/>
    <s v="N/A (SaaS)"/>
    <n v="0"/>
    <s v="N/A"/>
    <s v="N/A"/>
    <s v="Vendor cloud (EU)"/>
    <d v="2025-12-31T00:00:00"/>
    <s v="Unstructured"/>
    <n v="320"/>
    <s v="N"/>
    <n v="5"/>
    <s v="N"/>
    <s v="None"/>
    <n v="10"/>
    <s v="Y"/>
    <s v="N"/>
    <s v="Partial"/>
    <n v="225000"/>
    <d v="2029-11-30T00:00:00"/>
    <n v="283500"/>
    <n v="145500"/>
    <n v="23.381443298969071"/>
    <n v="0"/>
    <x v="4"/>
    <x v="2"/>
    <x v="3"/>
    <x v="36"/>
    <x v="4"/>
    <s v="Dependencies to be mapped"/>
  </r>
  <r>
    <n v="141752"/>
    <s v="Shared Budget Planner v2"/>
    <s v="Budgeting"/>
    <s v="Finance"/>
    <s v="Internal"/>
    <s v="Julien Petit"/>
    <s v="Louis Faure"/>
    <s v="Database Services"/>
    <n v="958"/>
    <d v="2021-04-24T00:00:00"/>
    <s v="Active"/>
    <n v="2"/>
    <n v="4"/>
    <m/>
    <s v="On-prem DC"/>
    <s v="sbpapp01, sbpdb01, sbpweb01"/>
    <n v="3"/>
    <s v="AIX 6.1"/>
    <s v="DB2 9.7"/>
    <s v="TBD"/>
    <d v="2017-04-30T00:00:00"/>
    <s v="Both"/>
    <n v="94"/>
    <s v="N"/>
    <n v="3"/>
    <s v="N"/>
    <s v="None"/>
    <n v="0"/>
    <s v="Partial"/>
    <s v="N"/>
    <s v="Partial"/>
    <n v="45000"/>
    <d v="2033-08-31T00:00:00"/>
    <m/>
    <m/>
    <s v=""/>
    <n v="2"/>
    <x v="4"/>
    <x v="2"/>
    <x v="3"/>
    <x v="36"/>
    <x v="4"/>
    <s v="Owner to confirm usage before decision"/>
  </r>
  <r>
    <n v="137368"/>
    <s v="Shared Ticket Desk Plus"/>
    <s v="Service Desk"/>
    <s v="IT"/>
    <s v="Internal"/>
    <s v="Hannah Weber"/>
    <s v="Rohan Bhatt"/>
    <s v="Infra Ops US"/>
    <n v="140"/>
    <d v="2021-04-04T00:00:00"/>
    <s v="Active"/>
    <n v="4"/>
    <n v="1"/>
    <m/>
    <s v="On-prem DC"/>
    <s v="std-app01–05, std-db01"/>
    <n v="6"/>
    <s v="Windows Server 2008 R2"/>
    <s v="SQL Server 2008 R2"/>
    <s v="TBD"/>
    <d v="2020-01-14T00:00:00"/>
    <s v="Unstructured"/>
    <n v="1790"/>
    <s v="N"/>
    <n v="2"/>
    <s v="Y"/>
    <s v="Archive + read-only"/>
    <n v="15"/>
    <s v="Y"/>
    <s v="Partial"/>
    <s v="N"/>
    <n v="335000"/>
    <d v="2025-06-30T00:00:00"/>
    <n v="611500"/>
    <n v="204500"/>
    <n v="35.882640586797066"/>
    <n v="1"/>
    <x v="4"/>
    <x v="0"/>
    <x v="3"/>
    <x v="36"/>
    <x v="4"/>
    <s v="Low business value; validate with owner"/>
  </r>
  <r>
    <n v="74238"/>
    <s v="Old Production Scheduler Plus"/>
    <s v="Production Planning"/>
    <s v="Operations"/>
    <s v="Internal"/>
    <s v="Laura Martin"/>
    <s v="Theo Lopez"/>
    <s v="Cloud Platform Team"/>
    <n v="66"/>
    <d v="2021-03-15T00:00:00"/>
    <s v="Active"/>
    <n v="2"/>
    <n v="4"/>
    <m/>
    <s v="IaaS"/>
    <s v="opsapp01"/>
    <n v="1"/>
    <s v="Windows Server 2008"/>
    <s v="SQL Server 2008"/>
    <s v="AWS eu-west-1"/>
    <d v="2019-07-09T00:00:00"/>
    <s v="Structured"/>
    <n v="220"/>
    <s v="N"/>
    <n v="7"/>
    <s v="Y"/>
    <s v="Archive + read-only"/>
    <n v="0"/>
    <s v="N"/>
    <s v="N"/>
    <s v="Partial"/>
    <n v="23000"/>
    <d v="2031-02-28T00:00:00"/>
    <n v="25000"/>
    <n v="22000"/>
    <n v="13.636363636363637"/>
    <n v="2"/>
    <x v="4"/>
    <x v="1"/>
    <x v="3"/>
    <x v="36"/>
    <x v="4"/>
    <s v="Dependencies to be mapped"/>
  </r>
  <r>
    <n v="45744"/>
    <s v="Quality Incident Log v2"/>
    <s v="Quality"/>
    <s v="Operations"/>
    <s v="External"/>
    <s v="Priya Sharma"/>
    <s v="Tara Khanna"/>
    <s v="Wintel Platform Team"/>
    <n v="57"/>
    <d v="2021-04-16T00:00:00"/>
    <s v="Active"/>
    <n v="5"/>
    <n v="1"/>
    <s v="Fiix"/>
    <s v="On-prem DC"/>
    <s v="qil-app01–07, qil-db01"/>
    <n v="8"/>
    <s v="RHEL 6"/>
    <s v="Oracle 11g"/>
    <s v="EU DC-2"/>
    <d v="2020-11-30T00:00:00"/>
    <s v="Unstructured"/>
    <n v="7"/>
    <s v="N"/>
    <n v="3"/>
    <s v="Y"/>
    <s v="Read-only access"/>
    <n v="53"/>
    <s v="Partial"/>
    <s v="Y"/>
    <s v="N"/>
    <n v="110000"/>
    <d v="2034-02-28T00:00:00"/>
    <n v="183500"/>
    <n v="110000"/>
    <n v="20.018181818181819"/>
    <n v="2"/>
    <x v="4"/>
    <x v="0"/>
    <x v="3"/>
    <x v="36"/>
    <x v="4"/>
    <s v="Awaiting assessment workshop_x000a_Blocker: Month-end close dependency_x000a_Q: Can the cut-over avoid the quarter-end freeze?"/>
  </r>
  <r>
    <n v="155625"/>
    <s v="Corporate Access Request Tool (Nordics)"/>
    <s v="Identity"/>
    <s v="IT"/>
    <s v="Internal"/>
    <s v="Rahul Iyer"/>
    <s v="Chloe Vidal"/>
    <s v="Wintel Platform Team"/>
    <n v="841"/>
    <d v="2021-04-16T00:00:00"/>
    <s v="Active"/>
    <n v="2"/>
    <n v="3"/>
    <s v="Microsoft 365"/>
    <s v="On-prem DC"/>
    <s v="carapp01, cardb01"/>
    <n v="2"/>
    <s v="Windows Server 2008 R2"/>
    <s v="SQL Server 2008 R2"/>
    <s v="EU DC-2"/>
    <d v="2020-01-14T00:00:00"/>
    <s v="Both"/>
    <n v="980"/>
    <s v="N"/>
    <n v="7"/>
    <s v="N"/>
    <s v="None"/>
    <n v="7"/>
    <s v="N"/>
    <s v="Partial"/>
    <s v="N"/>
    <n v="50000"/>
    <d v="2028-06-30T00:00:00"/>
    <n v="92000"/>
    <n v="30000"/>
    <n v="36.800000000000004"/>
    <n v="3"/>
    <x v="4"/>
    <x v="2"/>
    <x v="3"/>
    <x v="36"/>
    <x v="4"/>
    <s v="Dependencies to be mapped"/>
  </r>
  <r>
    <n v="190587"/>
    <s v="Asset Register Plus"/>
    <s v="Fixed Assets"/>
    <s v="Finance"/>
    <s v="Partner"/>
    <s v="Fatima Khan"/>
    <s v="Hugo Perrin"/>
    <s v="Plant IT Services"/>
    <n v="0"/>
    <d v="2020-09-01T00:00:00"/>
    <s v="Not in use"/>
    <n v="4"/>
    <n v="2"/>
    <s v="BlackLine (planned)"/>
    <s v="PaaS"/>
    <s v="Azure App Service (PaaS)"/>
    <n v="0"/>
    <s v="N/A (PaaS)"/>
    <s v="Cosmos DB"/>
    <s v="Azure West Europe"/>
    <m/>
    <s v="Both"/>
    <n v="4860"/>
    <s v="Y"/>
    <n v="7"/>
    <s v="Y"/>
    <s v="Data archive"/>
    <n v="22"/>
    <s v="Y"/>
    <s v="Y"/>
    <s v="N"/>
    <n v="35000"/>
    <d v="2035-12-31T00:00:00"/>
    <n v="109500"/>
    <n v="21500"/>
    <n v="61.116279069767444"/>
    <n v="2"/>
    <x v="4"/>
    <x v="0"/>
    <x v="3"/>
    <x v="36"/>
    <x v="4"/>
    <s v="Dependencies to be mapped_x000a_Blocker: Month-end close dependency_x000a_Q: Can the cut-over avoid the quarter-end freeze?"/>
  </r>
  <r>
    <n v="24754"/>
    <s v="Field Service Dispatcher (DE)"/>
    <s v="Field Service"/>
    <s v="Operations"/>
    <s v="Partner"/>
    <s v="Lucas Bernard"/>
    <s v="Kavya Reddy"/>
    <s v="Plant IT Services"/>
    <n v="898"/>
    <d v="2021-04-12T00:00:00"/>
    <s v="Active"/>
    <n v="5"/>
    <n v="1"/>
    <s v="TBD"/>
    <s v="On-prem DC"/>
    <s v="fsd-app01–04, fsd-db01"/>
    <n v="5"/>
    <s v="RHEL 8"/>
    <s v="Oracle 19c"/>
    <s v="US DC-1"/>
    <d v="2029-05-31T00:00:00"/>
    <s v="Structured"/>
    <n v="170"/>
    <s v="N"/>
    <n v="2"/>
    <s v="Y"/>
    <s v="Data archive"/>
    <n v="36"/>
    <s v="N"/>
    <s v="N"/>
    <s v="Y"/>
    <n v="140000"/>
    <d v="2035-09-30T00:00:00"/>
    <m/>
    <m/>
    <s v=""/>
    <n v="0"/>
    <x v="4"/>
    <x v="0"/>
    <x v="3"/>
    <x v="36"/>
    <x v="4"/>
    <s v="Owner to confirm usage before decision"/>
  </r>
  <r>
    <n v="149404"/>
    <s v="Contract Repository v3"/>
    <s v="Contract Mgmt"/>
    <s v="Finance"/>
    <s v="Internal"/>
    <s v="Vikram Rao"/>
    <s v="Kavya Reddy"/>
    <s v="Database Services"/>
    <n v="99"/>
    <d v="2021-03-28T00:00:00"/>
    <s v="Active"/>
    <n v="4"/>
    <n v="3"/>
    <m/>
    <s v="IaaS"/>
    <s v="crvapp01"/>
    <n v="1"/>
    <s v="RHEL 8"/>
    <s v="PostgreSQL 12"/>
    <s v="AWS eu-west-1"/>
    <d v="2029-05-31T00:00:00"/>
    <s v="Structured"/>
    <n v="1490"/>
    <s v="N"/>
    <n v="2"/>
    <s v="Y"/>
    <s v="Archive + read-only"/>
    <n v="3"/>
    <s v="Partial"/>
    <s v="Partial"/>
    <s v="Y"/>
    <n v="22500"/>
    <d v="2030-08-31T00:00:00"/>
    <m/>
    <m/>
    <s v=""/>
    <n v="0"/>
    <x v="3"/>
    <x v="0"/>
    <x v="3"/>
    <x v="36"/>
    <x v="5"/>
    <s v="Active user base; no replacement planned"/>
  </r>
  <r>
    <n v="53192"/>
    <s v="Web Analytics Mart Classic"/>
    <s v="Analytics"/>
    <s v="Marketing"/>
    <s v="Internal"/>
    <s v="Arjun Lambert"/>
    <s v="Chloe Vidal"/>
    <s v="Wintel Platform Team"/>
    <n v="3"/>
    <d v="2021-03-09T00:00:00"/>
    <s v="Low use"/>
    <n v="3"/>
    <n v="3"/>
    <s v="Adobe Experience Manager"/>
    <s v="IaaS"/>
    <s v="wamapp01"/>
    <n v="1"/>
    <s v="AIX 6.1"/>
    <s v="DB2 9.7"/>
    <s v="AWS us-east-1"/>
    <d v="2017-04-30T00:00:00"/>
    <s v="Both"/>
    <n v="120"/>
    <s v="Y"/>
    <n v="7"/>
    <s v="N"/>
    <s v="None"/>
    <n v="6"/>
    <s v="N"/>
    <s v="N"/>
    <s v="Partial"/>
    <n v="14000"/>
    <d v="2031-06-30T00:00:00"/>
    <n v="7000"/>
    <n v="10000"/>
    <n v="8.3999999999999986"/>
    <n v="3"/>
    <x v="4"/>
    <x v="2"/>
    <x v="3"/>
    <x v="36"/>
    <x v="4"/>
    <s v="Low business value; validate with owner"/>
  </r>
  <r>
    <n v="84211"/>
    <s v="AP Invoice Processor 2010"/>
    <s v="Accounts Payable"/>
    <s v="Finance"/>
    <s v="Internal"/>
    <s v="Lucas Bernard"/>
    <s v="Baptiste Henry"/>
    <s v="Cloud Platform Team"/>
    <n v="62"/>
    <d v="2021-04-29T00:00:00"/>
    <s v="Active"/>
    <n v="4"/>
    <n v="3"/>
    <m/>
    <s v="IaaS"/>
    <s v="aipapp01, aipdb01, aipweb01, aipfs01"/>
    <n v="4"/>
    <s v="AIX 7.1"/>
    <s v="DB2 10.5"/>
    <s v="AWS eu-west-1"/>
    <s v="TBD"/>
    <s v="Structured"/>
    <n v="440"/>
    <s v="Y"/>
    <n v="7"/>
    <s v="N"/>
    <s v="None"/>
    <n v="6"/>
    <s v="Partial"/>
    <s v="Y"/>
    <s v="N"/>
    <n v="49500"/>
    <d v="2025-09-30T00:00:00"/>
    <m/>
    <m/>
    <s v=""/>
    <n v="0"/>
    <x v="3"/>
    <x v="2"/>
    <x v="3"/>
    <x v="36"/>
    <x v="4"/>
    <s v="Strategic platform; refresh planned"/>
  </r>
  <r>
    <n v="169147"/>
    <s v="Newsletter Mailer (FR)"/>
    <s v="Email"/>
    <s v="Marketing"/>
    <s v="Internal"/>
    <s v="Julia Rao"/>
    <s v="Hugo Perrin"/>
    <s v="SaaS Vendor Mgmt"/>
    <n v="409"/>
    <d v="2021-04-10T00:00:00"/>
    <s v="Active"/>
    <n v="3"/>
    <n v="2"/>
    <m/>
    <s v="SaaS"/>
    <s v="N/A (SaaS)"/>
    <n v="0"/>
    <s v="N/A"/>
    <s v="N/A"/>
    <s v="Vendor cloud (EU)"/>
    <m/>
    <s v="Both"/>
    <n v="150"/>
    <s v="Y"/>
    <n v="7"/>
    <s v="Y"/>
    <s v="Reporting extract"/>
    <n v="7"/>
    <s v="N"/>
    <s v="Y"/>
    <s v="Y"/>
    <n v="70000"/>
    <d v="2029-12-31T00:00:00"/>
    <m/>
    <m/>
    <s v=""/>
    <n v="0"/>
    <x v="3"/>
    <x v="0"/>
    <x v="3"/>
    <x v="36"/>
    <x v="5"/>
    <s v="Strategic platform; refresh planned"/>
  </r>
  <r>
    <n v="102802"/>
    <s v="Access Request Tool (US)"/>
    <s v="Identity"/>
    <s v="IT"/>
    <s v="Partner"/>
    <s v="Karan Blanc"/>
    <s v="Sameer Joshi"/>
    <s v="Wintel Platform Team"/>
    <n v="438"/>
    <d v="2021-03-28T00:00:00"/>
    <s v="Active"/>
    <n v="5"/>
    <n v="2"/>
    <m/>
    <s v="PaaS"/>
    <s v="Azure App Service (PaaS)"/>
    <n v="0"/>
    <s v="N/A (PaaS)"/>
    <s v="Cosmos DB"/>
    <s v="Azure West Europe"/>
    <m/>
    <s v="Structured"/>
    <n v="280"/>
    <s v="N"/>
    <n v="5"/>
    <s v="Y"/>
    <s v="Archive + read-only"/>
    <n v="30"/>
    <s v="Partial"/>
    <s v="Partial"/>
    <s v="N"/>
    <n v="15000"/>
    <d v="2031-11-30T00:00:00"/>
    <m/>
    <m/>
    <s v=""/>
    <n v="0"/>
    <x v="3"/>
    <x v="0"/>
    <x v="3"/>
    <x v="36"/>
    <x v="5"/>
    <s v="Active user base; no replacement planned"/>
  </r>
  <r>
    <n v="138375"/>
    <s v="Departmental Shipment Tracker Lite"/>
    <s v="Logistics"/>
    <s v="Supply Chain"/>
    <s v="External"/>
    <s v="Claire Mehta"/>
    <s v="Varun Malhotra"/>
    <s v="SaaS Vendor Mgmt"/>
    <n v="334"/>
    <d v="2021-04-06T00:00:00"/>
    <s v="Active"/>
    <n v="5"/>
    <n v="1"/>
    <m/>
    <s v="SaaS"/>
    <s v="N/A (SaaS)"/>
    <n v="0"/>
    <s v="N/A"/>
    <s v="N/A"/>
    <s v="Vendor cloud (EU)"/>
    <m/>
    <s v="Structured"/>
    <n v="680"/>
    <s v="N"/>
    <n v="2"/>
    <s v="Y"/>
    <s v="Legal hold"/>
    <n v="22"/>
    <s v="Partial"/>
    <s v="N"/>
    <s v="Partial"/>
    <n v="230000"/>
    <d v="2030-09-30T00:00:00"/>
    <m/>
    <m/>
    <s v=""/>
    <n v="0"/>
    <x v="3"/>
    <x v="0"/>
    <x v="3"/>
    <x v="36"/>
    <x v="5"/>
    <s v="Business-critical, well supported"/>
  </r>
  <r>
    <n v="161816"/>
    <s v="Departmental Demand Planner 2012"/>
    <s v="Demand Planning"/>
    <s v="Supply Chain"/>
    <s v="Internal"/>
    <s v="Sara Kapoor"/>
    <s v="Tara Khanna"/>
    <s v="Plant IT Services"/>
    <n v="973"/>
    <d v="2021-04-17T00:00:00"/>
    <s v="Active"/>
    <n v="5"/>
    <n v="1"/>
    <m/>
    <s v="On-prem DC"/>
    <s v="ddpapp01, ddpdb01"/>
    <n v="2"/>
    <s v="AIX 7.1"/>
    <s v="DB2 10.5"/>
    <s v="EU DC-2"/>
    <d v="2023-04-30T00:00:00"/>
    <s v="Structured"/>
    <n v="300"/>
    <s v="N"/>
    <n v="2"/>
    <s v="Y"/>
    <s v="Read-only access"/>
    <n v="16"/>
    <s v="N"/>
    <s v="Y"/>
    <s v="Partial"/>
    <n v="140000"/>
    <d v="2032-01-31T00:00:00"/>
    <n v="213500"/>
    <n v="86000"/>
    <n v="29.790697674418603"/>
    <n v="0"/>
    <x v="4"/>
    <x v="0"/>
    <x v="3"/>
    <x v="36"/>
    <x v="4"/>
    <s v="Dependencies to be mapped"/>
  </r>
  <r>
    <n v="184950"/>
    <s v="Shared Demand Planner (UK)"/>
    <s v="Demand Planning"/>
    <s v="Supply Chain"/>
    <s v="Internal"/>
    <s v="Amelie Martin"/>
    <s v="Theo Lopez"/>
    <s v="Wintel Platform Team"/>
    <n v="83"/>
    <d v="2021-04-29T00:00:00"/>
    <s v="Active"/>
    <n v="3"/>
    <n v="2"/>
    <s v="SAP IBP"/>
    <s v="IaaS"/>
    <s v="sdpapp01, sdpdb01, sdpweb01"/>
    <n v="3"/>
    <s v="RHEL 6"/>
    <s v="Oracle 11g"/>
    <s v="Azure West Europe"/>
    <d v="2020-11-30T00:00:00"/>
    <s v="Structured"/>
    <n v="310"/>
    <s v="N"/>
    <n v="3"/>
    <s v="N"/>
    <s v="None"/>
    <n v="15"/>
    <s v="Y"/>
    <s v="N"/>
    <s v="Y"/>
    <n v="31500"/>
    <d v="2034-06-30T00:00:00"/>
    <n v="41500"/>
    <n v="30500"/>
    <n v="16.327868852459016"/>
    <n v="2"/>
    <x v="4"/>
    <x v="2"/>
    <x v="3"/>
    <x v="36"/>
    <x v="4"/>
    <s v="Dependencies to be mapped"/>
  </r>
  <r>
    <n v="143992"/>
    <s v="Global Event Registration Tool Lite"/>
    <s v="Events"/>
    <s v="Marketing"/>
    <s v="Partner"/>
    <s v="Vikram Rao"/>
    <s v="Manon Chevalier"/>
    <s v="Plant IT Services"/>
    <n v="4"/>
    <d v="2020-08-16T00:00:00"/>
    <s v="Not in use"/>
    <n v="4"/>
    <n v="3"/>
    <m/>
    <s v="On-prem DC"/>
    <s v="gerapp01, gerdb01, gerweb01, gerfs01"/>
    <n v="4"/>
    <s v="RHEL 6"/>
    <s v="Oracle 11g"/>
    <s v="EU DC-2"/>
    <d v="2020-11-30T00:00:00"/>
    <s v="Structured"/>
    <n v="280"/>
    <s v="Y"/>
    <n v="7"/>
    <s v="N"/>
    <s v="None"/>
    <n v="6"/>
    <s v="N"/>
    <s v="Y"/>
    <s v="N"/>
    <n v="80000"/>
    <d v="2030-08-31T00:00:00"/>
    <n v="117500"/>
    <n v="80000"/>
    <n v="17.625"/>
    <n v="2"/>
    <x v="4"/>
    <x v="2"/>
    <x v="3"/>
    <x v="36"/>
    <x v="4"/>
    <s v="Low business value; validate with owner"/>
  </r>
  <r>
    <n v="120572"/>
    <s v="Field Service Dispatcher (UK)"/>
    <s v="Field Service"/>
    <s v="Operations"/>
    <s v="Internal"/>
    <s v="Elena Garcia"/>
    <s v="Baptiste Henry"/>
    <s v="SaaS Vendor Mgmt"/>
    <n v="1"/>
    <d v="2019-11-03T00:00:00"/>
    <s v="Not in use"/>
    <n v="4"/>
    <n v="2"/>
    <s v="ServiceMax"/>
    <s v="SaaS"/>
    <s v="N/A (SaaS)"/>
    <n v="0"/>
    <s v="N/A"/>
    <s v="N/A"/>
    <s v="Vendor cloud (EU)"/>
    <m/>
    <s v="Both"/>
    <n v="7"/>
    <s v="N"/>
    <n v="2"/>
    <s v="Y"/>
    <s v="Reporting extract"/>
    <n v="10"/>
    <s v="N"/>
    <s v="Partial"/>
    <s v="N"/>
    <n v="85000"/>
    <d v="2027-10-31T00:00:00"/>
    <m/>
    <m/>
    <s v=""/>
    <n v="2"/>
    <x v="4"/>
    <x v="0"/>
    <x v="3"/>
    <x v="36"/>
    <x v="4"/>
    <s v="Awaiting assessment workshop"/>
  </r>
  <r>
    <n v="177529"/>
    <s v="Shared Appraisal Tool v2"/>
    <s v="Performance"/>
    <s v="HR"/>
    <s v="Internal"/>
    <s v="Julien Petit"/>
    <s v="Adrien Colin"/>
    <s v="Plant IT Services"/>
    <n v="68"/>
    <d v="2021-03-24T00:00:00"/>
    <s v="Active"/>
    <n v="4"/>
    <n v="2"/>
    <m/>
    <s v="On-prem DC"/>
    <s v="sat-app01–06, sat-db01"/>
    <n v="7"/>
    <s v="Ubuntu 16.04"/>
    <s v="MySQL 5.7"/>
    <s v="EU DC-1"/>
    <d v="2021-04-30T00:00:00"/>
    <s v="Structured"/>
    <n v="1410"/>
    <s v="Y"/>
    <n v="7"/>
    <s v="Y"/>
    <s v="Reporting extract"/>
    <n v="17"/>
    <s v="Y"/>
    <s v="Y"/>
    <s v="N"/>
    <n v="175000"/>
    <d v="2031-08-31T00:00:00"/>
    <n v="253000"/>
    <n v="144000"/>
    <n v="21.083333333333332"/>
    <n v="1"/>
    <x v="4"/>
    <x v="0"/>
    <x v="3"/>
    <x v="36"/>
    <x v="4"/>
    <s v="Awaiting assessment workshop"/>
  </r>
  <r>
    <n v="96830"/>
    <s v="Corporate Facilities Request Portal Classic"/>
    <s v="Facilities"/>
    <s v="Operations"/>
    <s v="Internal"/>
    <s v="Karan Blanc"/>
    <s v="Adrien Colin"/>
    <s v="SaaS Vendor Mgmt"/>
    <n v="856"/>
    <d v="2021-03-29T00:00:00"/>
    <s v="Active"/>
    <n v="3"/>
    <n v="3"/>
    <m/>
    <s v="SaaS"/>
    <s v="N/A (SaaS)"/>
    <n v="0"/>
    <s v="N/A"/>
    <s v="N/A"/>
    <s v="Vendor cloud (EU)"/>
    <m/>
    <s v="Both"/>
    <n v="5460"/>
    <s v="N"/>
    <n v="1"/>
    <s v="N"/>
    <s v="None"/>
    <n v="4"/>
    <s v="N"/>
    <s v="N"/>
    <s v="N"/>
    <n v="17000"/>
    <d v="2032-04-30T00:00:00"/>
    <m/>
    <m/>
    <s v=""/>
    <n v="0"/>
    <x v="4"/>
    <x v="2"/>
    <x v="3"/>
    <x v="36"/>
    <x v="4"/>
    <s v="Awaiting assessment workshop"/>
  </r>
  <r>
    <n v="84368"/>
    <s v="Legacy Price List Manager (US)"/>
    <s v="Pricing"/>
    <s v="Sales"/>
    <s v="Internal"/>
    <s v="Oscar Lindqvist"/>
    <s v="Theo Lopez"/>
    <s v="Infra Ops EMEA"/>
    <n v="25"/>
    <d v="2021-03-21T00:00:00"/>
    <s v="Active"/>
    <n v="4"/>
    <n v="1"/>
    <s v="Xactly"/>
    <s v="On-prem DC"/>
    <s v="lplapp01, lpldb01"/>
    <n v="2"/>
    <s v="Windows Server 2008 R2"/>
    <s v="SQL Server 2008 R2"/>
    <s v="TBD"/>
    <d v="2020-01-14T00:00:00"/>
    <s v="Both"/>
    <n v="47"/>
    <s v="Y"/>
    <n v="10"/>
    <s v="Y"/>
    <s v="Archive + read-only"/>
    <n v="56"/>
    <s v="N"/>
    <s v="N"/>
    <s v="Partial"/>
    <n v="100000"/>
    <d v="2028-07-31T00:00:00"/>
    <n v="182000"/>
    <n v="80000"/>
    <n v="27.299999999999997"/>
    <n v="2"/>
    <x v="4"/>
    <x v="0"/>
    <x v="3"/>
    <x v="36"/>
    <x v="4"/>
    <s v="Low business value; validate with owner"/>
  </r>
  <r>
    <n v="145981"/>
    <s v="AP Invoice Processor"/>
    <s v="Accounts Payable"/>
    <s v="Finance"/>
    <s v="External"/>
    <s v="Isabelle Singh"/>
    <s v="Omar Haddad"/>
    <s v="Plant IT Services"/>
    <n v="18"/>
    <d v="2021-04-13T00:00:00"/>
    <s v="Low use"/>
    <n v="3"/>
    <n v="3"/>
    <m/>
    <s v="On-prem DC"/>
    <s v="aipapp01, aipdb01, aipweb01"/>
    <n v="3"/>
    <s v="RHEL 8"/>
    <s v="Oracle 19c"/>
    <s v="Plant DC"/>
    <d v="2029-05-31T00:00:00"/>
    <s v="Both"/>
    <n v="550"/>
    <s v="Y"/>
    <n v="7"/>
    <s v="Y"/>
    <s v="Legal hold"/>
    <n v="2"/>
    <s v="Y"/>
    <s v="Y"/>
    <s v="N"/>
    <n v="60000"/>
    <d v="2028-11-30T00:00:00"/>
    <n v="32000"/>
    <n v="56000"/>
    <n v="6.8571428571428568"/>
    <n v="1"/>
    <x v="4"/>
    <x v="1"/>
    <x v="3"/>
    <x v="36"/>
    <x v="4"/>
    <s v="Low business value; validate with owner"/>
  </r>
  <r>
    <n v="60584"/>
    <s v="Facilities Request Portal v4"/>
    <s v="Facilities"/>
    <s v="Operations"/>
    <s v="Internal"/>
    <s v="Yuki Tanaka"/>
    <s v="Ananya Pillai"/>
    <s v="SaaS Vendor Mgmt"/>
    <n v="20"/>
    <d v="2021-04-03T00:00:00"/>
    <s v="Low use"/>
    <n v="5"/>
    <n v="1"/>
    <m/>
    <s v="SaaS"/>
    <s v="N/A (SaaS)"/>
    <n v="0"/>
    <s v="N/A"/>
    <s v="N/A"/>
    <s v="Vendor cloud (EU)"/>
    <d v="2026-01-31T00:00:00"/>
    <s v="Unstructured"/>
    <n v="180"/>
    <s v="N"/>
    <n v="3"/>
    <s v="Y"/>
    <s v="Read-only access"/>
    <n v="47"/>
    <s v="Y"/>
    <s v="Y"/>
    <s v="Y"/>
    <n v="140000"/>
    <d v="2034-11-30T00:00:00"/>
    <n v="519500"/>
    <n v="84500"/>
    <n v="73.775147928994087"/>
    <n v="1"/>
    <x v="4"/>
    <x v="0"/>
    <x v="3"/>
    <x v="36"/>
    <x v="4"/>
    <s v="Low business value; validate with owner"/>
  </r>
  <r>
    <n v="98552"/>
    <s v="Regional Price List Manager 2010"/>
    <s v="Pricing"/>
    <s v="Sales"/>
    <s v="Internal"/>
    <s v="Thomas Moreau"/>
    <s v="Kavya Reddy"/>
    <s v="Wintel Platform Team"/>
    <n v="25"/>
    <d v="2021-04-25T00:00:00"/>
    <s v="Active"/>
    <n v="3"/>
    <n v="3"/>
    <m/>
    <s v="On-prem DC"/>
    <s v="rplapp01, rpldb01, rplweb01"/>
    <n v="3"/>
    <s v="Windows Server 2008 R2"/>
    <s v="SQL Server 2008 R2"/>
    <s v="EU DC-2"/>
    <d v="2020-01-14T00:00:00"/>
    <s v="Structured"/>
    <n v="110"/>
    <s v="Y"/>
    <n v="7"/>
    <s v="N"/>
    <s v="None"/>
    <n v="1"/>
    <s v="N"/>
    <s v="N"/>
    <s v="N"/>
    <n v="39500"/>
    <d v="2031-04-30T00:00:00"/>
    <n v="45000"/>
    <n v="32500"/>
    <n v="16.615384615384613"/>
    <n v="1"/>
    <x v="4"/>
    <x v="2"/>
    <x v="3"/>
    <x v="36"/>
    <x v="4"/>
    <s v="Owner to confirm usage before decision"/>
  </r>
  <r>
    <n v="110502"/>
    <s v="Departmental Quote Manager"/>
    <s v="Quoting"/>
    <s v="Sales"/>
    <s v="Internal"/>
    <s v="Thomas Moreau"/>
    <s v="Lena Fischer"/>
    <s v="Unix Platform Team"/>
    <n v="481"/>
    <d v="2021-04-13T00:00:00"/>
    <s v="Active"/>
    <n v="4"/>
    <n v="3"/>
    <m/>
    <s v="On-prem DC"/>
    <s v="dqmapp01, dqmdb01"/>
    <n v="2"/>
    <s v="RHEL 7"/>
    <s v="Oracle 12c"/>
    <s v="EU DC-2"/>
    <d v="2024-06-30T00:00:00"/>
    <s v="Both"/>
    <n v="96"/>
    <s v="Y"/>
    <n v="5"/>
    <s v="Y"/>
    <s v="Archive + read-only"/>
    <n v="5"/>
    <s v="Partial"/>
    <s v="N"/>
    <s v="Y"/>
    <n v="38500"/>
    <d v="2033-02-28T00:00:00"/>
    <m/>
    <m/>
    <s v=""/>
    <n v="0"/>
    <x v="3"/>
    <x v="1"/>
    <x v="3"/>
    <x v="36"/>
    <x v="5"/>
    <s v="Strategic platform; refresh planned"/>
  </r>
  <r>
    <n v="77621"/>
    <s v="Batch Scheduler Lite"/>
    <s v="Batch Scheduling"/>
    <s v="IT"/>
    <s v="Partner"/>
    <s v="Nicolas Sharma"/>
    <s v="Hugo Perrin"/>
    <s v="Cloud Platform Team"/>
    <n v="25"/>
    <d v="2021-04-03T00:00:00"/>
    <s v="Active"/>
    <n v="3"/>
    <n v="2"/>
    <s v="TBD"/>
    <s v="On-prem DC"/>
    <s v="bslapp01"/>
    <n v="1"/>
    <s v="Solaris 10"/>
    <s v="TBD"/>
    <s v="EU DC-1"/>
    <d v="2021-01-31T00:00:00"/>
    <s v="Structured"/>
    <n v="320"/>
    <s v="Y"/>
    <n v="5"/>
    <s v="N"/>
    <s v="None"/>
    <n v="20"/>
    <s v="Partial"/>
    <s v="Partial"/>
    <s v="N"/>
    <n v="32000"/>
    <d v="2030-02-28T00:00:00"/>
    <n v="55500"/>
    <n v="18500"/>
    <n v="36"/>
    <n v="1"/>
    <x v="4"/>
    <x v="2"/>
    <x v="3"/>
    <x v="36"/>
    <x v="4"/>
    <s v="Awaiting assessment workshop"/>
  </r>
  <r>
    <n v="43713"/>
    <s v="Quote Manager v4"/>
    <s v="Quoting"/>
    <s v="Sales"/>
    <s v="Internal"/>
    <s v="Fatima Khan"/>
    <s v="Manon Chevalier"/>
    <s v="Plant IT Services"/>
    <n v="190"/>
    <d v="2021-04-25T00:00:00"/>
    <s v="Active"/>
    <n v="2"/>
    <n v="4"/>
    <s v="Salesforce Partner Community"/>
    <s v="On-prem DC"/>
    <s v="qmvapp01, qmvdb01, qmvweb01"/>
    <n v="3"/>
    <s v="Windows Server 2016"/>
    <s v="SQL Server 2017"/>
    <s v="EU DC-1"/>
    <d v="2027-01-12T00:00:00"/>
    <s v="Unstructured"/>
    <n v="140"/>
    <s v="Y"/>
    <n v="10"/>
    <s v="Y"/>
    <s v="Archive + read-only"/>
    <n v="0"/>
    <s v="N"/>
    <s v="Y"/>
    <s v="N"/>
    <n v="50000"/>
    <d v="2030-06-30T00:00:00"/>
    <n v="46000"/>
    <n v="45000"/>
    <n v="12.266666666666666"/>
    <n v="2"/>
    <x v="4"/>
    <x v="1"/>
    <x v="3"/>
    <x v="36"/>
    <x v="4"/>
    <s v="Owner to confirm usage before decision"/>
  </r>
  <r>
    <n v="138332"/>
    <s v="Order Entry Portal 2008"/>
    <s v="Order Entry"/>
    <s v="Sales"/>
    <s v="Internal"/>
    <s v="Fatima Khan"/>
    <s v="Lena Fischer"/>
    <s v="Wintel Platform Team"/>
    <n v="515"/>
    <d v="2021-04-05T00:00:00"/>
    <s v="Active"/>
    <n v="5"/>
    <n v="1"/>
    <m/>
    <s v="PaaS"/>
    <s v="Azure App Service (PaaS)"/>
    <n v="0"/>
    <s v="N/A (PaaS)"/>
    <s v="Azure SQL"/>
    <s v="Azure West Europe"/>
    <d v="2022-06-30T00:00:00"/>
    <s v="Both"/>
    <n v="170"/>
    <s v="Y"/>
    <n v="5"/>
    <s v="Y"/>
    <s v="Archive + read-only"/>
    <n v="45"/>
    <s v="N"/>
    <s v="Partial"/>
    <s v="Partial"/>
    <n v="17000"/>
    <d v="2031-07-31T00:00:00"/>
    <m/>
    <m/>
    <s v=""/>
    <n v="0"/>
    <x v="3"/>
    <x v="0"/>
    <x v="3"/>
    <x v="36"/>
    <x v="5"/>
    <s v="Cheap &amp; healthy - retain"/>
  </r>
  <r>
    <n v="27578"/>
    <s v="Departmental Facilities Request Portal (APAC)"/>
    <s v="Facilities"/>
    <s v="Operations"/>
    <s v="Internal"/>
    <s v="Diego Alvarez"/>
    <s v="Ishaan Desai"/>
    <s v="Wintel Platform Team"/>
    <n v="93"/>
    <d v="2021-04-28T00:00:00"/>
    <s v="Active"/>
    <n v="4"/>
    <n v="2"/>
    <m/>
    <s v="IaaS"/>
    <s v="dfrapp01, dfrdb01"/>
    <n v="2"/>
    <s v="AIX 7.1"/>
    <s v="DB2 10.5"/>
    <s v="AWS eu-west-1"/>
    <d v="2023-04-30T00:00:00"/>
    <s v="Both"/>
    <n v="1070"/>
    <s v="N"/>
    <n v="1"/>
    <s v="Y"/>
    <s v="Reporting extract"/>
    <n v="7"/>
    <s v="N"/>
    <s v="Partial"/>
    <s v="Partial"/>
    <n v="25500"/>
    <d v="2029-10-31T00:00:00"/>
    <m/>
    <m/>
    <s v=""/>
    <n v="0"/>
    <x v="3"/>
    <x v="0"/>
    <x v="3"/>
    <x v="36"/>
    <x v="5"/>
    <s v="Cheap &amp; healthy - retain"/>
  </r>
  <r>
    <n v="135459"/>
    <s v="Shared Travel Booking Tool (Nordics)"/>
    <s v="Travel"/>
    <s v="HR"/>
    <s v="Partner"/>
    <s v="Camille Fontaine"/>
    <s v="Tara Khanna"/>
    <s v="Infra Ops EMEA"/>
    <n v="585"/>
    <d v="2021-03-19T00:00:00"/>
    <s v="Active"/>
    <n v="4"/>
    <n v="1"/>
    <m/>
    <s v="On-prem DC"/>
    <s v="stb-app01–06, stb-db01"/>
    <n v="7"/>
    <s v="Windows Server 2016"/>
    <s v="SQL Server 2016"/>
    <s v="US DC-1"/>
    <d v="2026-07-14T00:00:00"/>
    <s v="Structured"/>
    <n v="430"/>
    <s v="Y"/>
    <n v="10"/>
    <s v="N"/>
    <s v="None"/>
    <n v="26"/>
    <s v="N"/>
    <s v="Y"/>
    <s v="Y"/>
    <n v="280000"/>
    <d v="2030-06-30T00:00:00"/>
    <m/>
    <m/>
    <s v=""/>
    <n v="0"/>
    <x v="3"/>
    <x v="2"/>
    <x v="3"/>
    <x v="36"/>
    <x v="5"/>
    <s v="Active user base; no replacement planned"/>
  </r>
  <r>
    <n v="65560"/>
    <s v="Event Registration Tool Lite"/>
    <s v="Events"/>
    <s v="Marketing"/>
    <s v="Internal"/>
    <s v="Thomas Moreau"/>
    <s v="Manon Chevalier"/>
    <s v="SaaS Vendor Mgmt"/>
    <n v="1737"/>
    <d v="2021-04-29T00:00:00"/>
    <s v="Active"/>
    <n v="3"/>
    <n v="2"/>
    <m/>
    <s v="SaaS"/>
    <s v="N/A (SaaS)"/>
    <n v="0"/>
    <s v="N/A"/>
    <s v="N/A"/>
    <s v="Vendor cloud (EU)"/>
    <m/>
    <s v="Unstructured"/>
    <n v="960"/>
    <s v="N"/>
    <n v="3"/>
    <s v="Y"/>
    <s v="Archive + read-only"/>
    <n v="10"/>
    <s v="N"/>
    <s v="N"/>
    <s v="N"/>
    <n v="90000"/>
    <d v="2032-09-30T00:00:00"/>
    <m/>
    <m/>
    <s v=""/>
    <n v="0"/>
    <x v="3"/>
    <x v="0"/>
    <x v="3"/>
    <x v="36"/>
    <x v="5"/>
    <s v="Business-critical, well supported"/>
  </r>
  <r>
    <n v="127611"/>
    <s v="Regional Production Scheduler (APAC)"/>
    <s v="Production Planning"/>
    <s v="Operations"/>
    <s v="Internal"/>
    <s v="Oscar Lindqvist"/>
    <s v="Remi Masson"/>
    <s v="Cloud Platform Team"/>
    <n v="50"/>
    <d v="2021-03-26T00:00:00"/>
    <s v="Active"/>
    <n v="4"/>
    <n v="1"/>
    <m/>
    <s v="PaaS"/>
    <s v="Azure App Service (PaaS)"/>
    <n v="0"/>
    <s v="N/A (PaaS)"/>
    <s v="Azure SQL"/>
    <s v="Azure West Europe"/>
    <m/>
    <s v="Unstructured"/>
    <n v="190"/>
    <s v="Y"/>
    <n v="5"/>
    <s v="N"/>
    <s v="None"/>
    <n v="26"/>
    <s v="N"/>
    <s v="Partial"/>
    <s v="N"/>
    <n v="27000"/>
    <d v="2030-09-30T00:00:00"/>
    <n v="18500"/>
    <n v="15000"/>
    <n v="14.8"/>
    <n v="0"/>
    <x v="4"/>
    <x v="2"/>
    <x v="3"/>
    <x v="36"/>
    <x v="4"/>
    <s v="Low business value; validate with owner"/>
  </r>
  <r>
    <n v="16969"/>
    <s v="Warehouse Mgmt System (APAC)"/>
    <s v="Warehouse Mgmt"/>
    <s v="Supply Chain"/>
    <s v="Internal"/>
    <s v="Fatima Khan"/>
    <s v="Chloe Vidal"/>
    <s v="Wintel Platform Team"/>
    <n v="58"/>
    <d v="2021-03-19T00:00:00"/>
    <s v="Active"/>
    <n v="5"/>
    <n v="1"/>
    <s v="TBD"/>
    <s v="IaaS"/>
    <s v="wmsapp01"/>
    <n v="1"/>
    <s v="Windows Server 2008"/>
    <s v="SQL Server 2008"/>
    <s v="AWS eu-west-1"/>
    <d v="2019-07-09T00:00:00"/>
    <s v="Structured"/>
    <n v="200"/>
    <s v="Y"/>
    <n v="7"/>
    <s v="Y"/>
    <s v="Archive + read-only"/>
    <n v="32"/>
    <s v="Partial"/>
    <s v="Partial"/>
    <s v="N"/>
    <n v="60000"/>
    <d v="2032-09-30T00:00:00"/>
    <m/>
    <m/>
    <s v=""/>
    <n v="1"/>
    <x v="3"/>
    <x v="0"/>
    <x v="3"/>
    <x v="36"/>
    <x v="5"/>
    <s v="Cheap &amp; healthy - retain"/>
  </r>
  <r>
    <n v="94256"/>
    <s v="Regional Web Analytics Mart (UK)"/>
    <s v="Analytics"/>
    <s v="Marketing"/>
    <s v="Internal"/>
    <s v="Vikram Rao"/>
    <s v="Omar Haddad"/>
    <s v="Plant IT Services"/>
    <n v="229"/>
    <d v="2021-04-01T00:00:00"/>
    <s v="Active"/>
    <n v="1"/>
    <n v="4"/>
    <m/>
    <s v="On-prem DC"/>
    <s v="rwaapp01"/>
    <n v="1"/>
    <s v="SUSE Linux 11"/>
    <s v="Oracle 11g"/>
    <s v="EU DC-2"/>
    <d v="2019-03-31T00:00:00"/>
    <s v="Unstructured"/>
    <n v="130"/>
    <s v="Y"/>
    <n v="7"/>
    <s v="Y"/>
    <s v="Data archive"/>
    <n v="2"/>
    <s v="N"/>
    <s v="N"/>
    <s v="Y"/>
    <n v="32000"/>
    <d v="2027-04-30T00:00:00"/>
    <m/>
    <m/>
    <s v=""/>
    <n v="2"/>
    <x v="4"/>
    <x v="1"/>
    <x v="3"/>
    <x v="36"/>
    <x v="4"/>
    <s v="Owner to confirm usage before decision"/>
  </r>
  <r>
    <n v="23163"/>
    <s v="Shared Demand Planner (APAC)"/>
    <s v="Demand Planning"/>
    <s v="Supply Chain"/>
    <s v="Partner"/>
    <s v="Mateo Girard"/>
    <s v="Chloe Vidal"/>
    <s v="Unix Platform Team"/>
    <n v="85"/>
    <d v="2021-03-26T00:00:00"/>
    <s v="Active"/>
    <n v="3"/>
    <n v="2"/>
    <s v="SAP TM"/>
    <s v="IaaS"/>
    <s v="sdpapp01, sdpdb01, sdpweb01"/>
    <n v="3"/>
    <s v="Solaris 10"/>
    <s v="Oracle 11g"/>
    <s v="AWS eu-west-1"/>
    <d v="2021-01-31T00:00:00"/>
    <s v="Structured"/>
    <n v="47"/>
    <s v="N"/>
    <n v="3"/>
    <s v="N"/>
    <s v="None"/>
    <n v="6"/>
    <s v="N"/>
    <s v="N"/>
    <s v="Partial"/>
    <n v="37500"/>
    <d v="2031-09-30T00:00:00"/>
    <n v="39000"/>
    <n v="26000"/>
    <n v="18"/>
    <n v="2"/>
    <x v="4"/>
    <x v="2"/>
    <x v="3"/>
    <x v="36"/>
    <x v="4"/>
    <s v="Dependencies to be mapped"/>
  </r>
  <r>
    <n v="118885"/>
    <s v="Custom AP Invoice Processor Plus"/>
    <s v="Accounts Payable"/>
    <s v="Finance"/>
    <s v="Internal"/>
    <s v="Claire Mehta"/>
    <s v="Louis Faure"/>
    <s v="Wintel Platform Team"/>
    <n v="578"/>
    <d v="2021-04-06T00:00:00"/>
    <s v="Active"/>
    <n v="3"/>
    <n v="2"/>
    <m/>
    <s v="On-prem DC"/>
    <s v="cai-app01–06, cai-db01"/>
    <n v="7"/>
    <s v="AIX 6.1"/>
    <s v="DB2 9.7"/>
    <s v="Plant DC"/>
    <d v="2017-04-30T00:00:00"/>
    <s v="Both"/>
    <n v="300"/>
    <s v="Y"/>
    <n v="5"/>
    <s v="N"/>
    <s v="None"/>
    <n v="13"/>
    <s v="N"/>
    <s v="Y"/>
    <s v="Partial"/>
    <n v="140000"/>
    <d v="2029-06-30T00:00:00"/>
    <n v="157500"/>
    <n v="115500"/>
    <n v="16.363636363636363"/>
    <n v="1"/>
    <x v="4"/>
    <x v="2"/>
    <x v="3"/>
    <x v="36"/>
    <x v="4"/>
    <s v="Owner to confirm usage before decision_x000a_Blocker: Legal sign-off on retention_x000a_Q: Who owns the retention decision for archived records?"/>
  </r>
  <r>
    <n v="169916"/>
    <s v="Monitoring Console Plus"/>
    <s v="Monitoring"/>
    <s v="IT"/>
    <s v="Internal"/>
    <s v="Hannah Weber"/>
    <s v="Ananya Pillai"/>
    <s v="Infra Ops US"/>
    <m/>
    <m/>
    <s v="Unknown"/>
    <n v="3"/>
    <n v="4"/>
    <s v="Microsoft 365"/>
    <s v="On-prem DC"/>
    <s v="mcpapp01, mcpdb01, mcpweb01, mcpfs01"/>
    <n v="4"/>
    <s v="Solaris 10"/>
    <s v="Oracle 11g"/>
    <s v="Plant DC"/>
    <d v="2021-01-31T00:00:00"/>
    <s v="Unstructured"/>
    <n v="87"/>
    <s v="Y"/>
    <n v="7"/>
    <s v="Y"/>
    <s v="Read-only access"/>
    <n v="0"/>
    <s v="N"/>
    <s v="Y"/>
    <s v="N"/>
    <n v="40000"/>
    <d v="2033-03-31T00:00:00"/>
    <n v="46000"/>
    <n v="32000"/>
    <n v="17.25"/>
    <n v="2"/>
    <x v="4"/>
    <x v="1"/>
    <x v="3"/>
    <x v="36"/>
    <x v="4"/>
    <s v="Owner to confirm usage before decision"/>
  </r>
  <r>
    <n v="105161"/>
    <s v="Global Demand Planner 2008"/>
    <s v="Demand Planning"/>
    <s v="Supply Chain"/>
    <s v="Internal"/>
    <s v="Vikram Rao"/>
    <s v="Hugo Perrin"/>
    <s v="SaaS Vendor Mgmt"/>
    <n v="5"/>
    <d v="2019-11-09T00:00:00"/>
    <s v="Not in use"/>
    <n v="3"/>
    <n v="2"/>
    <s v="SAP EWM"/>
    <s v="SaaS"/>
    <s v="N/A (SaaS)"/>
    <n v="0"/>
    <s v="N/A"/>
    <s v="N/A"/>
    <s v="Vendor cloud (EU)"/>
    <m/>
    <s v="Structured"/>
    <n v="210"/>
    <s v="N"/>
    <n v="2"/>
    <s v="N"/>
    <s v="None"/>
    <n v="29"/>
    <s v="Y"/>
    <s v="Partial"/>
    <s v="N"/>
    <n v="60000"/>
    <d v="2026-03-31T00:00:00"/>
    <m/>
    <m/>
    <s v=""/>
    <n v="2"/>
    <x v="4"/>
    <x v="2"/>
    <x v="3"/>
    <x v="36"/>
    <x v="4"/>
    <s v="Awaiting assessment workshop"/>
  </r>
  <r>
    <n v="93441"/>
    <s v="Custom Supplier Portal v4"/>
    <s v="Supplier Mgmt"/>
    <s v="Supply Chain"/>
    <s v="Internal"/>
    <s v="Sophie Dubois"/>
    <s v="Omar Haddad"/>
    <s v="SaaS Vendor Mgmt"/>
    <n v="1195"/>
    <d v="2021-04-19T00:00:00"/>
    <s v="Active"/>
    <n v="3"/>
    <n v="3"/>
    <m/>
    <s v="SaaS"/>
    <s v="N/A (SaaS)"/>
    <n v="0"/>
    <s v="N/A"/>
    <s v="N/A"/>
    <s v="Vendor cloud (EU)"/>
    <m/>
    <s v="Both"/>
    <n v="560"/>
    <s v="N"/>
    <n v="3"/>
    <s v="N"/>
    <s v="None"/>
    <n v="4"/>
    <s v="N"/>
    <s v="Partial"/>
    <s v="N"/>
    <n v="95000"/>
    <d v="2026-08-31T00:00:00"/>
    <m/>
    <m/>
    <s v=""/>
    <n v="0"/>
    <x v="3"/>
    <x v="2"/>
    <x v="3"/>
    <x v="36"/>
    <x v="5"/>
    <s v="Retain - revisit at next portfolio review"/>
  </r>
  <r>
    <n v="12129"/>
    <s v="Departmental Customer Contact Manager Lite"/>
    <s v="CRM"/>
    <s v="Sales"/>
    <s v="Internal"/>
    <s v="Elena Garcia"/>
    <s v="Ananya Pillai"/>
    <s v="SaaS Vendor Mgmt"/>
    <n v="26"/>
    <d v="2021-04-21T00:00:00"/>
    <s v="Active"/>
    <n v="5"/>
    <n v="1"/>
    <m/>
    <s v="SaaS"/>
    <s v="N/A (SaaS)"/>
    <n v="0"/>
    <s v="N/A"/>
    <s v="N/A"/>
    <s v="Vendor cloud (EU)"/>
    <m/>
    <s v="Unstructured"/>
    <n v="56"/>
    <s v="Y"/>
    <n v="10"/>
    <s v="N"/>
    <s v="None"/>
    <n v="46"/>
    <s v="N"/>
    <s v="N"/>
    <s v="N"/>
    <n v="355000"/>
    <d v="2028-10-31T00:00:00"/>
    <m/>
    <m/>
    <s v=""/>
    <n v="0"/>
    <x v="3"/>
    <x v="2"/>
    <x v="3"/>
    <x v="36"/>
    <x v="5"/>
    <s v="Retain - revisit at next portfolio review"/>
  </r>
  <r>
    <n v="95197"/>
    <s v="Global Contract Repository 2012"/>
    <s v="Contract Mgmt"/>
    <s v="Finance"/>
    <s v="External"/>
    <s v="Meera Dubois"/>
    <s v="Adrien Colin"/>
    <s v="SaaS Vendor Mgmt"/>
    <n v="296"/>
    <d v="2021-04-24T00:00:00"/>
    <s v="Active"/>
    <n v="5"/>
    <n v="2"/>
    <s v="BlackLine"/>
    <s v="SaaS"/>
    <s v="N/A (SaaS)"/>
    <n v="0"/>
    <s v="N/A"/>
    <s v="N/A"/>
    <s v="Vendor cloud (EU)"/>
    <m/>
    <s v="Both"/>
    <n v="86"/>
    <s v="Y"/>
    <n v="10"/>
    <s v="Y"/>
    <s v="Archive + read-only"/>
    <n v="27"/>
    <s v="Partial"/>
    <s v="Partial"/>
    <s v="Y"/>
    <n v="105000"/>
    <d v="2033-04-30T00:00:00"/>
    <n v="101000"/>
    <n v="49000"/>
    <n v="24.734693877551017"/>
    <n v="1"/>
    <x v="4"/>
    <x v="0"/>
    <x v="3"/>
    <x v="36"/>
    <x v="4"/>
    <s v="Awaiting assessment workshop"/>
  </r>
  <r>
    <n v="122951"/>
    <s v="Global Sales Forecast Tool v4"/>
    <s v="Sales Planning"/>
    <s v="Sales"/>
    <s v="Internal"/>
    <s v="Diego Alvarez"/>
    <s v="Louis Faure"/>
    <s v="Plant IT Services"/>
    <n v="21"/>
    <d v="2020-12-01T00:00:00"/>
    <s v="Low use"/>
    <n v="2"/>
    <n v="3"/>
    <m/>
    <s v="On-prem DC"/>
    <s v="gsfapp01"/>
    <n v="1"/>
    <s v="RHEL 6"/>
    <s v="Oracle 11g"/>
    <s v="US DC-1"/>
    <d v="2020-11-30T00:00:00"/>
    <s v="Structured"/>
    <n v="640"/>
    <s v="Y"/>
    <n v="7"/>
    <s v="Y"/>
    <s v="Data archive"/>
    <n v="1"/>
    <s v="Partial"/>
    <s v="Partial"/>
    <s v="Partial"/>
    <n v="30000"/>
    <d v="2032-02-29T00:00:00"/>
    <n v="40500"/>
    <n v="16500"/>
    <n v="29.454545454545453"/>
    <n v="3"/>
    <x v="4"/>
    <x v="1"/>
    <x v="3"/>
    <x v="36"/>
    <x v="4"/>
    <s v="Low business value; validate with owner"/>
  </r>
  <r>
    <n v="70107"/>
    <s v="Global Campaign DB (UK)"/>
    <s v="Campaign Mgmt"/>
    <s v="Marketing"/>
    <s v="External"/>
    <s v="Antoine Patel"/>
    <s v="Ishaan Desai"/>
    <s v="SaaS Vendor Mgmt"/>
    <n v="80"/>
    <d v="2021-04-21T00:00:00"/>
    <s v="Active"/>
    <n v="5"/>
    <n v="2"/>
    <m/>
    <s v="SaaS"/>
    <s v="N/A (SaaS)"/>
    <n v="0"/>
    <s v="N/A"/>
    <s v="N/A"/>
    <s v="Vendor cloud (EU)"/>
    <m/>
    <s v="Structured"/>
    <n v="410"/>
    <s v="N"/>
    <n v="3"/>
    <s v="N"/>
    <s v="None"/>
    <n v="20"/>
    <s v="Partial"/>
    <s v="Y"/>
    <s v="N"/>
    <n v="25500"/>
    <d v="2035-03-31T00:00:00"/>
    <m/>
    <m/>
    <s v=""/>
    <n v="0"/>
    <x v="3"/>
    <x v="2"/>
    <x v="3"/>
    <x v="36"/>
    <x v="5"/>
    <s v="Active user base; no replacement planned"/>
  </r>
  <r>
    <n v="188286"/>
    <s v="Departmental Credit Check Portal (APAC)"/>
    <s v="Credit Mgmt"/>
    <s v="Finance"/>
    <s v="Internal"/>
    <s v="Oscar Lindqvist"/>
    <s v="Manon Chevalier"/>
    <s v="Plant IT Services"/>
    <n v="366"/>
    <d v="2021-03-30T00:00:00"/>
    <s v="Active"/>
    <n v="4"/>
    <n v="2"/>
    <s v="TBD"/>
    <s v="PaaS"/>
    <s v="Azure App Service (PaaS)"/>
    <n v="0"/>
    <s v="N/A (PaaS)"/>
    <s v="Cosmos DB"/>
    <s v="Azure West Europe"/>
    <m/>
    <s v="Structured"/>
    <n v="850"/>
    <s v="Y"/>
    <n v="7"/>
    <s v="Y"/>
    <s v="Data archive"/>
    <n v="28"/>
    <s v="N"/>
    <s v="Y"/>
    <s v="Partial"/>
    <n v="47000"/>
    <d v="2025-10-31T00:00:00"/>
    <n v="122500"/>
    <n v="28500"/>
    <n v="51.578947368421048"/>
    <n v="0"/>
    <x v="4"/>
    <x v="0"/>
    <x v="3"/>
    <x v="36"/>
    <x v="4"/>
    <s v="Low business value; validate with owner"/>
  </r>
  <r>
    <n v="42835"/>
    <s v="Newsletter Mailer Classic"/>
    <s v="Email"/>
    <s v="Marketing"/>
    <s v="Internal"/>
    <s v="Marc Laurent"/>
    <s v="Remi Masson"/>
    <s v="Database Services"/>
    <n v="142"/>
    <d v="2021-04-13T00:00:00"/>
    <s v="Active"/>
    <n v="5"/>
    <n v="2"/>
    <m/>
    <s v="IaaS"/>
    <s v="nmcapp01, nmcdb01"/>
    <n v="2"/>
    <s v="AIX 7.1"/>
    <s v="DB2 10.5"/>
    <s v="Azure West Europe"/>
    <d v="2023-04-30T00:00:00"/>
    <s v="Structured"/>
    <n v="160"/>
    <s v="N"/>
    <n v="2"/>
    <s v="Y"/>
    <s v="Read-only access"/>
    <n v="22"/>
    <s v="N"/>
    <s v="Partial"/>
    <s v="Y"/>
    <n v="60000"/>
    <d v="2030-07-31T00:00:00"/>
    <m/>
    <m/>
    <s v=""/>
    <n v="0"/>
    <x v="3"/>
    <x v="0"/>
    <x v="3"/>
    <x v="36"/>
    <x v="5"/>
    <s v="Active user base; no replacement planned"/>
  </r>
  <r>
    <n v="154205"/>
    <s v="Shared Document Repository 2012"/>
    <s v="Document Mgmt"/>
    <s v="IT"/>
    <s v="Internal"/>
    <s v="Antoine Patel"/>
    <s v="Aditi Menon"/>
    <s v="Plant IT Services"/>
    <n v="21"/>
    <d v="2021-04-26T00:00:00"/>
    <s v="Low use"/>
    <n v="5"/>
    <n v="2"/>
    <m/>
    <s v="On-prem DC"/>
    <s v="sdrapp01, sdrdb01, sdrweb01, sdrfs01"/>
    <n v="4"/>
    <s v="HP-UX 11i v3"/>
    <s v="Sybase ASE 15.7"/>
    <s v="EU DC-2"/>
    <d v="2021-12-31T00:00:00"/>
    <s v="Structured"/>
    <n v="240"/>
    <s v="N"/>
    <n v="3"/>
    <s v="Y"/>
    <s v="Read-only access"/>
    <n v="20"/>
    <s v="Partial"/>
    <s v="Y"/>
    <s v="Partial"/>
    <n v="115000"/>
    <d v="2026-06-30T00:00:00"/>
    <m/>
    <m/>
    <s v=""/>
    <n v="2"/>
    <x v="4"/>
    <x v="0"/>
    <x v="3"/>
    <x v="36"/>
    <x v="4"/>
    <s v="Dependencies to be mapped"/>
  </r>
  <r>
    <n v="25067"/>
    <s v="Corporate Fleet Manager (Nordics)"/>
    <s v="Fleet"/>
    <s v="Operations"/>
    <s v="Internal"/>
    <s v="Hannah Weber"/>
    <s v="Remi Masson"/>
    <s v="SaaS Vendor Mgmt"/>
    <m/>
    <m/>
    <s v="Unknown"/>
    <n v="3"/>
    <n v="4"/>
    <m/>
    <s v="SaaS"/>
    <s v="N/A (SaaS)"/>
    <n v="0"/>
    <s v="N/A"/>
    <s v="N/A"/>
    <s v="Vendor cloud (EU)"/>
    <m/>
    <s v="Structured"/>
    <n v="110"/>
    <s v="Y"/>
    <n v="5"/>
    <s v="Y"/>
    <s v="Read-only access"/>
    <n v="1"/>
    <s v="Y"/>
    <s v="N"/>
    <s v="Partial"/>
    <n v="95000"/>
    <d v="2032-07-31T00:00:00"/>
    <n v="150500"/>
    <n v="60000"/>
    <n v="30.1"/>
    <n v="0"/>
    <x v="4"/>
    <x v="1"/>
    <x v="3"/>
    <x v="36"/>
    <x v="4"/>
    <s v="Awaiting assessment workshop"/>
  </r>
  <r>
    <n v="35814"/>
    <s v="Corporate Intranet (SharePoint) (Nordics)"/>
    <s v="Collaboration"/>
    <s v="IT"/>
    <s v="Internal"/>
    <s v="Karan Blanc"/>
    <s v="Louis Faure"/>
    <s v="Plant IT Services"/>
    <n v="177"/>
    <d v="2021-04-06T00:00:00"/>
    <s v="Active"/>
    <n v="3"/>
    <n v="3"/>
    <m/>
    <s v="On-prem DC"/>
    <s v="cisapp01, cisdb01, cisweb01, cisfs01"/>
    <n v="4"/>
    <s v="Windows Server 2008"/>
    <s v="SQL Server 2008"/>
    <s v="EU DC-2"/>
    <d v="2019-07-09T00:00:00"/>
    <s v="Unstructured"/>
    <n v="59"/>
    <s v="N"/>
    <n v="7"/>
    <s v="N"/>
    <s v="None"/>
    <n v="3"/>
    <s v="Y"/>
    <s v="Y"/>
    <s v="Partial"/>
    <n v="60000"/>
    <d v="2027-05-31T00:00:00"/>
    <m/>
    <m/>
    <s v=""/>
    <n v="1"/>
    <x v="4"/>
    <x v="2"/>
    <x v="3"/>
    <x v="36"/>
    <x v="4"/>
    <s v="Awaiting assessment workshop"/>
  </r>
  <r>
    <n v="140281"/>
    <s v="Old Production Scheduler (FR)"/>
    <s v="Production Planning"/>
    <s v="Operations"/>
    <s v="Internal"/>
    <s v="Marc Laurent"/>
    <s v="Ananya Pillai"/>
    <s v="SaaS Vendor Mgmt"/>
    <n v="231"/>
    <d v="2021-03-31T00:00:00"/>
    <s v="Active"/>
    <n v="4"/>
    <n v="3"/>
    <s v="ServiceMax"/>
    <s v="SaaS"/>
    <s v="N/A (SaaS)"/>
    <n v="0"/>
    <s v="N/A"/>
    <s v="N/A"/>
    <s v="Vendor cloud (EU)"/>
    <m/>
    <s v="Structured"/>
    <n v="1280"/>
    <s v="N"/>
    <n v="1"/>
    <s v="Y"/>
    <s v="Read-only access"/>
    <n v="8"/>
    <s v="N"/>
    <s v="Partial"/>
    <s v="N"/>
    <n v="100000"/>
    <d v="2030-05-31T00:00:00"/>
    <n v="165000"/>
    <n v="66500"/>
    <n v="29.774436090225564"/>
    <n v="1"/>
    <x v="4"/>
    <x v="0"/>
    <x v="3"/>
    <x v="36"/>
    <x v="4"/>
    <s v="Low business value; validate with owner"/>
  </r>
  <r>
    <n v="113420"/>
    <s v="Departmental Maintenance Scheduler v4"/>
    <s v="Asset Maintenance"/>
    <s v="Operations"/>
    <s v="Internal"/>
    <s v="Camille Fontaine"/>
    <s v="Rohan Bhatt"/>
    <s v="SaaS Vendor Mgmt"/>
    <n v="43"/>
    <d v="2021-03-15T00:00:00"/>
    <s v="Active"/>
    <n v="5"/>
    <n v="2"/>
    <m/>
    <s v="SaaS"/>
    <s v="N/A (SaaS)"/>
    <n v="0"/>
    <s v="N/A"/>
    <s v="N/A"/>
    <s v="Vendor cloud (EU)"/>
    <m/>
    <s v="Unstructured"/>
    <n v="44"/>
    <s v="N"/>
    <n v="7"/>
    <s v="Y"/>
    <s v="Read-only access"/>
    <n v="14"/>
    <s v="Y"/>
    <s v="Partial"/>
    <s v="N"/>
    <n v="95000"/>
    <d v="2035-11-30T00:00:00"/>
    <m/>
    <m/>
    <s v=""/>
    <n v="0"/>
    <x v="3"/>
    <x v="0"/>
    <x v="3"/>
    <x v="36"/>
    <x v="5"/>
    <s v="Business-critical, well supported"/>
  </r>
  <r>
    <n v="20527"/>
    <s v="Custom Payroll Interface (UK)"/>
    <s v="Payroll"/>
    <s v="HR"/>
    <s v="Internal"/>
    <s v="Hannah Weber"/>
    <s v="Hugo Perrin"/>
    <s v="Infra Ops US"/>
    <n v="51"/>
    <d v="2021-04-14T00:00:00"/>
    <s v="Active"/>
    <n v="4"/>
    <n v="2"/>
    <m/>
    <s v="PaaS"/>
    <s v="Azure App Service (PaaS)"/>
    <n v="0"/>
    <s v="N/A (PaaS)"/>
    <s v="Azure SQL"/>
    <s v="Azure West Europe"/>
    <m/>
    <s v="Unstructured"/>
    <n v="130"/>
    <s v="Y"/>
    <n v="10"/>
    <s v="N"/>
    <s v="None"/>
    <n v="23"/>
    <s v="N"/>
    <s v="Partial"/>
    <s v="Partial"/>
    <n v="22000"/>
    <d v="2032-05-31T00:00:00"/>
    <m/>
    <m/>
    <s v=""/>
    <n v="0"/>
    <x v="3"/>
    <x v="2"/>
    <x v="3"/>
    <x v="36"/>
    <x v="5"/>
    <s v="Active user base; no replacement planned"/>
  </r>
  <r>
    <n v="84843"/>
    <s v="Custom Quote Manager (DE)"/>
    <s v="Quoting"/>
    <s v="Sales"/>
    <s v="Internal"/>
    <s v="Karan Blanc"/>
    <s v="Ananya Pillai"/>
    <s v="Cloud Platform Team"/>
    <n v="401"/>
    <d v="2021-04-10T00:00:00"/>
    <s v="Active"/>
    <n v="3"/>
    <n v="3"/>
    <s v="Salesforce"/>
    <s v="On-prem DC"/>
    <s v="cqmapp01, cqmdb01"/>
    <n v="2"/>
    <s v="RHEL 8"/>
    <s v="TBD"/>
    <s v="Plant DC"/>
    <d v="2029-05-31T00:00:00"/>
    <s v="Both"/>
    <n v="43"/>
    <s v="N"/>
    <n v="3"/>
    <s v="Y"/>
    <s v="Archive + read-only"/>
    <n v="2"/>
    <s v="Partial"/>
    <s v="N"/>
    <s v="N"/>
    <n v="11500"/>
    <d v="2031-08-31T00:00:00"/>
    <m/>
    <m/>
    <s v=""/>
    <n v="1"/>
    <x v="4"/>
    <x v="1"/>
    <x v="3"/>
    <x v="36"/>
    <x v="4"/>
    <s v="Dependencies to be mapped"/>
  </r>
  <r>
    <n v="95683"/>
    <s v="Billing Engine 2010"/>
    <s v="Billing"/>
    <s v="Finance"/>
    <s v="Internal"/>
    <s v="Marc Laurent"/>
    <s v="Adrien Colin"/>
    <s v="Wintel Platform Team"/>
    <n v="7"/>
    <d v="2021-01-20T00:00:00"/>
    <s v="Low use"/>
    <n v="2"/>
    <n v="3"/>
    <m/>
    <s v="On-prem DC"/>
    <s v="bexapp01"/>
    <n v="1"/>
    <s v="AIX 6.1"/>
    <s v="DB2 9.7"/>
    <s v="TBD"/>
    <d v="2017-04-30T00:00:00"/>
    <s v="Unstructured"/>
    <n v="8"/>
    <s v="N"/>
    <n v="3"/>
    <s v="N"/>
    <s v="None"/>
    <n v="6"/>
    <s v="N"/>
    <s v="Y"/>
    <s v="N"/>
    <n v="13000"/>
    <d v="2030-08-31T00:00:00"/>
    <m/>
    <m/>
    <s v=""/>
    <n v="3"/>
    <x v="4"/>
    <x v="2"/>
    <x v="3"/>
    <x v="36"/>
    <x v="4"/>
    <s v="Owner to confirm usage before decision"/>
  </r>
  <r>
    <n v="14397"/>
    <s v="Corporate Payroll Interface Classic"/>
    <s v="Payroll"/>
    <s v="HR"/>
    <s v="Internal"/>
    <s v="Laura Martin"/>
    <s v="Rohan Bhatt"/>
    <s v="Infra Ops EMEA"/>
    <n v="187"/>
    <d v="2021-04-14T00:00:00"/>
    <s v="Active"/>
    <n v="2"/>
    <n v="3"/>
    <m/>
    <s v="On-prem DC"/>
    <s v="cpiapp01"/>
    <n v="1"/>
    <s v="AIX 7.1"/>
    <s v="DB2 10.5"/>
    <s v="Plant DC"/>
    <d v="2023-04-30T00:00:00"/>
    <s v="Structured"/>
    <n v="66"/>
    <s v="Y"/>
    <n v="10"/>
    <s v="Y"/>
    <s v="Archive + read-only"/>
    <n v="6"/>
    <s v="Y"/>
    <s v="Partial"/>
    <s v="N"/>
    <n v="31000"/>
    <d v="2034-04-30T00:00:00"/>
    <m/>
    <m/>
    <s v=""/>
    <n v="1"/>
    <x v="4"/>
    <x v="0"/>
    <x v="3"/>
    <x v="36"/>
    <x v="4"/>
    <s v="Low business value; validate with owner"/>
  </r>
  <r>
    <n v="22551"/>
    <s v="Old Access Request Tool 2010"/>
    <s v="Identity"/>
    <s v="IT"/>
    <s v="Internal"/>
    <s v="Rahul Iyer"/>
    <s v="Hugo Perrin"/>
    <s v="SaaS Vendor Mgmt"/>
    <n v="20"/>
    <d v="2021-03-25T00:00:00"/>
    <s v="Low use"/>
    <n v="4"/>
    <n v="3"/>
    <m/>
    <s v="SaaS"/>
    <s v="N/A (SaaS)"/>
    <n v="0"/>
    <s v="N/A"/>
    <s v="N/A"/>
    <s v="Vendor cloud (EU)"/>
    <d v="2022-04-30T00:00:00"/>
    <s v="Structured"/>
    <n v="89"/>
    <s v="Y"/>
    <n v="10"/>
    <s v="N"/>
    <s v="None"/>
    <n v="7"/>
    <s v="Y"/>
    <s v="Y"/>
    <s v="Partial"/>
    <n v="55000"/>
    <d v="2027-01-31T00:00:00"/>
    <m/>
    <m/>
    <s v=""/>
    <n v="2"/>
    <x v="3"/>
    <x v="2"/>
    <x v="3"/>
    <x v="36"/>
    <x v="5"/>
    <s v="Active user base; no replacement planned"/>
  </r>
  <r>
    <n v="90023"/>
    <s v="Corporate Event Registration Tool 2010"/>
    <s v="Events"/>
    <s v="Marketing"/>
    <s v="Internal"/>
    <s v="Marc Laurent"/>
    <s v="Ananya Pillai"/>
    <s v="Cloud Platform Team"/>
    <n v="246"/>
    <d v="2021-04-28T00:00:00"/>
    <s v="Active"/>
    <n v="5"/>
    <n v="2"/>
    <m/>
    <s v="IaaS"/>
    <s v="cerapp01, cerdb01, cerweb01"/>
    <n v="3"/>
    <s v="Windows Server 2016"/>
    <s v="SQL Server 2017"/>
    <s v="AWS eu-west-1"/>
    <d v="2027-01-12T00:00:00"/>
    <s v="Structured"/>
    <n v="3"/>
    <s v="Y"/>
    <n v="7"/>
    <s v="Y"/>
    <s v="Legal hold"/>
    <n v="25"/>
    <s v="Partial"/>
    <s v="N"/>
    <s v="Partial"/>
    <n v="70000"/>
    <d v="2027-07-31T00:00:00"/>
    <m/>
    <m/>
    <s v=""/>
    <n v="0"/>
    <x v="3"/>
    <x v="0"/>
    <x v="3"/>
    <x v="36"/>
    <x v="5"/>
    <s v="Cheap &amp; healthy - retain"/>
  </r>
  <r>
    <n v="63953"/>
    <s v="Demand Planner (APAC)"/>
    <s v="Demand Planning"/>
    <s v="Supply Chain"/>
    <s v="Internal"/>
    <s v="Priya Sharma"/>
    <s v="Tara Khanna"/>
    <s v="Plant IT Services"/>
    <n v="735"/>
    <d v="2021-03-25T00:00:00"/>
    <s v="Active"/>
    <n v="5"/>
    <n v="1"/>
    <m/>
    <s v="IaaS"/>
    <s v="dpaapp01"/>
    <n v="1"/>
    <s v="RHEL 8"/>
    <s v="Oracle 19c"/>
    <s v="Azure West Europe"/>
    <d v="2029-05-31T00:00:00"/>
    <s v="Structured"/>
    <n v="240"/>
    <s v="Y"/>
    <n v="10"/>
    <s v="N"/>
    <s v="None"/>
    <n v="44"/>
    <s v="Partial"/>
    <s v="Y"/>
    <s v="Partial"/>
    <n v="42500"/>
    <d v="2028-11-30T00:00:00"/>
    <m/>
    <m/>
    <s v=""/>
    <n v="0"/>
    <x v="3"/>
    <x v="2"/>
    <x v="3"/>
    <x v="36"/>
    <x v="5"/>
    <s v="Cheap &amp; healthy - retain"/>
  </r>
  <r>
    <n v="176556"/>
    <s v="Event Registration Tool (FR)"/>
    <s v="Events"/>
    <s v="Marketing"/>
    <s v="Internal"/>
    <s v="Laura Martin"/>
    <s v="Sameer Joshi"/>
    <s v="Wintel Platform Team"/>
    <n v="14"/>
    <d v="2021-01-12T00:00:00"/>
    <s v="Low use"/>
    <n v="5"/>
    <n v="1"/>
    <m/>
    <s v="IaaS"/>
    <s v="ertapp01, ertdb01, ertweb01"/>
    <n v="3"/>
    <s v="HP-UX 11i v3"/>
    <s v="Sybase ASE 15.7"/>
    <s v="AWS us-east-1"/>
    <d v="2021-12-31T00:00:00"/>
    <s v="Both"/>
    <n v="34"/>
    <s v="N"/>
    <n v="2"/>
    <s v="Y"/>
    <s v="Archive + read-only"/>
    <n v="58"/>
    <s v="Y"/>
    <s v="Y"/>
    <s v="N"/>
    <n v="130000"/>
    <d v="2034-07-31T00:00:00"/>
    <m/>
    <m/>
    <s v=""/>
    <n v="2"/>
    <x v="4"/>
    <x v="0"/>
    <x v="3"/>
    <x v="36"/>
    <x v="4"/>
    <s v="Dependencies to be mapped"/>
  </r>
  <r>
    <n v="152316"/>
    <s v="Global Order Entry Portal v4"/>
    <s v="Order Entry"/>
    <s v="Sales"/>
    <s v="Internal"/>
    <s v="Lucas Bernard"/>
    <s v="Manon Chevalier"/>
    <s v="SaaS Vendor Mgmt"/>
    <n v="6"/>
    <d v="2021-04-09T00:00:00"/>
    <s v="Low use"/>
    <n v="5"/>
    <n v="1"/>
    <m/>
    <s v="SaaS"/>
    <s v="N/A (SaaS)"/>
    <n v="0"/>
    <s v="N/A"/>
    <s v="N/A"/>
    <s v="Vendor cloud (EU)"/>
    <d v="2023-12-31T00:00:00"/>
    <s v="Unstructured"/>
    <n v="79"/>
    <s v="Y"/>
    <n v="7"/>
    <s v="Y"/>
    <s v="Read-only access"/>
    <n v="50"/>
    <s v="N"/>
    <s v="N"/>
    <s v="Partial"/>
    <n v="435000"/>
    <d v="2025-11-30T00:00:00"/>
    <m/>
    <m/>
    <s v=""/>
    <n v="1"/>
    <x v="3"/>
    <x v="0"/>
    <x v="3"/>
    <x v="36"/>
    <x v="5"/>
    <s v="Cheap &amp; healthy - retain"/>
  </r>
  <r>
    <n v="34166"/>
    <s v="Corporate Batch Scheduler (FR)"/>
    <s v="Batch Scheduling"/>
    <s v="IT"/>
    <s v="Internal"/>
    <s v="Arjun Lambert"/>
    <s v="Adrien Colin"/>
    <s v="Plant IT Services"/>
    <n v="273"/>
    <d v="2021-03-18T00:00:00"/>
    <s v="Active"/>
    <n v="3"/>
    <n v="2"/>
    <s v="SharePoint Online"/>
    <s v="On-prem DC"/>
    <s v="cbsapp01"/>
    <n v="1"/>
    <s v="Ubuntu 20.04"/>
    <s v="MySQL 8.0"/>
    <s v="Plant DC"/>
    <d v="2025-04-30T00:00:00"/>
    <s v="Structured"/>
    <n v="180"/>
    <s v="N"/>
    <n v="7"/>
    <s v="N"/>
    <s v="None"/>
    <n v="25"/>
    <s v="Partial"/>
    <s v="N"/>
    <s v="Partial"/>
    <n v="48500"/>
    <d v="2029-01-31T00:00:00"/>
    <m/>
    <m/>
    <s v=""/>
    <n v="1"/>
    <x v="4"/>
    <x v="2"/>
    <x v="3"/>
    <x v="36"/>
    <x v="4"/>
    <s v="Dependencies to be mapped_x000a_Blocker: Month-end close dependency_x000a_Q: Can the cut-over avoid the quarter-end freeze?"/>
  </r>
  <r>
    <n v="124194"/>
    <s v="Legacy Quote Manager v3"/>
    <s v="Quoting"/>
    <s v="Sales"/>
    <s v="Internal"/>
    <s v="Yuki Tanaka"/>
    <s v="Sameer Joshi"/>
    <s v="SaaS Vendor Mgmt"/>
    <n v="282"/>
    <d v="2021-03-23T00:00:00"/>
    <s v="Active"/>
    <n v="2"/>
    <n v="4"/>
    <m/>
    <s v="SaaS"/>
    <s v="N/A (SaaS)"/>
    <n v="0"/>
    <s v="N/A"/>
    <s v="N/A"/>
    <s v="Vendor cloud (EU)"/>
    <m/>
    <s v="Structured"/>
    <n v="110"/>
    <s v="N"/>
    <n v="1"/>
    <s v="Y"/>
    <s v="Archive + read-only"/>
    <n v="1"/>
    <s v="N"/>
    <s v="Partial"/>
    <s v="Partial"/>
    <n v="25500"/>
    <d v="2025-05-31T00:00:00"/>
    <m/>
    <m/>
    <s v=""/>
    <n v="1"/>
    <x v="3"/>
    <x v="1"/>
    <x v="3"/>
    <x v="36"/>
    <x v="5"/>
    <s v="Retain - revisit at next portfolio review"/>
  </r>
  <r>
    <n v="91407"/>
    <s v="Recruitment Tracker (DE)"/>
    <s v="Recruitment"/>
    <s v="HR"/>
    <s v="External"/>
    <s v="Pierre Roux"/>
    <s v="Chloe Vidal"/>
    <s v="Cloud Platform Team"/>
    <n v="97"/>
    <d v="2021-04-25T00:00:00"/>
    <s v="Active"/>
    <n v="4"/>
    <n v="2"/>
    <m/>
    <s v="IaaS"/>
    <s v="rtdapp01, rtddb01, rtdweb01"/>
    <n v="3"/>
    <s v="Windows Server 2016"/>
    <s v="SQL Server 2016"/>
    <s v="Azure West Europe"/>
    <d v="2026-07-14T00:00:00"/>
    <s v="Both"/>
    <n v="200"/>
    <s v="N"/>
    <n v="3"/>
    <s v="Y"/>
    <s v="Archive + read-only"/>
    <n v="17"/>
    <s v="Partial"/>
    <s v="Partial"/>
    <s v="Partial"/>
    <n v="27000"/>
    <d v="2030-05-31T00:00:00"/>
    <m/>
    <m/>
    <s v=""/>
    <n v="0"/>
    <x v="3"/>
    <x v="0"/>
    <x v="3"/>
    <x v="36"/>
    <x v="5"/>
    <s v="Retain - revisit at next portfolio review"/>
  </r>
  <r>
    <n v="149447"/>
    <s v="Departmental Access Request Tool (DE)"/>
    <s v="Identity"/>
    <s v="IT"/>
    <s v="Internal"/>
    <s v="Thomas Moreau"/>
    <s v="Manon Chevalier"/>
    <s v="Wintel Platform Team"/>
    <n v="732"/>
    <d v="2021-04-17T00:00:00"/>
    <s v="Active"/>
    <n v="4"/>
    <n v="2"/>
    <m/>
    <s v="PaaS"/>
    <s v="Azure App Service (PaaS)"/>
    <n v="0"/>
    <s v="N/A (PaaS)"/>
    <s v="Azure SQL"/>
    <s v="Azure West Europe"/>
    <m/>
    <s v="Unstructured"/>
    <n v="46"/>
    <s v="N"/>
    <n v="5"/>
    <s v="N"/>
    <s v="None"/>
    <n v="15"/>
    <s v="Partial"/>
    <s v="Partial"/>
    <s v="Y"/>
    <n v="10000"/>
    <d v="2025-11-30T00:00:00"/>
    <n v="17500"/>
    <n v="10000"/>
    <n v="21"/>
    <n v="0"/>
    <x v="4"/>
    <x v="2"/>
    <x v="3"/>
    <x v="36"/>
    <x v="4"/>
    <s v="Low business value; validate with owner_x000a_Blocker: Regulatory retention requirement_x000a_Q: Can the archive move to the enterprise archive, or must it stay vendor-hosted?"/>
  </r>
  <r>
    <n v="107757"/>
    <s v="Regional Access Request Tool (US)"/>
    <s v="Identity"/>
    <s v="IT"/>
    <s v="Internal"/>
    <s v="Karan Blanc"/>
    <s v="Rohan Bhatt"/>
    <s v="SaaS Vendor Mgmt"/>
    <n v="53"/>
    <d v="2021-04-05T00:00:00"/>
    <s v="Active"/>
    <n v="4"/>
    <n v="2"/>
    <s v="TBD"/>
    <s v="SaaS"/>
    <s v="N/A (SaaS)"/>
    <n v="0"/>
    <s v="N/A"/>
    <s v="N/A"/>
    <s v="Vendor cloud (EU)"/>
    <m/>
    <s v="Structured"/>
    <n v="95"/>
    <s v="N"/>
    <n v="3"/>
    <s v="N"/>
    <s v="None"/>
    <n v="24"/>
    <s v="Partial"/>
    <s v="Y"/>
    <s v="Y"/>
    <n v="11500"/>
    <d v="2032-02-29T00:00:00"/>
    <m/>
    <m/>
    <s v=""/>
    <n v="0"/>
    <x v="3"/>
    <x v="2"/>
    <x v="3"/>
    <x v="36"/>
    <x v="5"/>
    <s v="Cheap &amp; healthy - retain"/>
  </r>
  <r>
    <n v="136615"/>
    <s v="Facilities Request Portal 2008"/>
    <s v="Facilities"/>
    <s v="Operations"/>
    <s v="Internal"/>
    <s v="Meera Dubois"/>
    <s v="Sameer Joshi"/>
    <s v="Infra Ops EMEA"/>
    <n v="3769"/>
    <d v="2021-03-22T00:00:00"/>
    <s v="Active"/>
    <n v="3"/>
    <n v="4"/>
    <s v="IBM Maximo"/>
    <s v="On-prem DC"/>
    <s v="frpapp01, frpdb01, frpweb01"/>
    <n v="3"/>
    <s v="RHEL 7"/>
    <s v="Oracle 12c"/>
    <s v="US DC-1"/>
    <d v="2024-06-30T00:00:00"/>
    <s v="Unstructured"/>
    <n v="8"/>
    <s v="Y"/>
    <n v="5"/>
    <s v="N"/>
    <s v="None"/>
    <n v="1"/>
    <s v="Y"/>
    <s v="N"/>
    <s v="Y"/>
    <n v="55000"/>
    <d v="2027-01-31T00:00:00"/>
    <n v="50500"/>
    <n v="37000"/>
    <n v="16.378378378378379"/>
    <n v="1"/>
    <x v="4"/>
    <x v="2"/>
    <x v="3"/>
    <x v="36"/>
    <x v="4"/>
    <s v="Dependencies to be mapped"/>
  </r>
  <r>
    <n v="143960"/>
    <s v="Old Shipment Tracker (DE)"/>
    <s v="Logistics"/>
    <s v="Supply Chain"/>
    <s v="Internal"/>
    <s v="Elena Garcia"/>
    <s v="Louis Faure"/>
    <s v="SaaS Vendor Mgmt"/>
    <n v="34"/>
    <d v="2021-04-16T00:00:00"/>
    <s v="Active"/>
    <n v="3"/>
    <n v="3"/>
    <m/>
    <s v="SaaS"/>
    <s v="N/A (SaaS)"/>
    <n v="0"/>
    <s v="N/A"/>
    <s v="N/A"/>
    <s v="Vendor cloud (EU)"/>
    <m/>
    <s v="Both"/>
    <n v="85"/>
    <s v="N"/>
    <n v="2"/>
    <s v="N"/>
    <s v="None"/>
    <n v="6"/>
    <s v="N"/>
    <s v="Partial"/>
    <s v="N"/>
    <n v="14000"/>
    <d v="2025-01-31T00:00:00"/>
    <m/>
    <m/>
    <s v=""/>
    <n v="0"/>
    <x v="3"/>
    <x v="2"/>
    <x v="3"/>
    <x v="36"/>
    <x v="5"/>
    <s v="Retain - revisit at next portfolio review"/>
  </r>
  <r>
    <n v="153000"/>
    <s v="Warehouse Mgmt System Plus"/>
    <s v="Warehouse Mgmt"/>
    <s v="Supply Chain"/>
    <s v="Internal"/>
    <s v="Hannah Weber"/>
    <s v="Aditi Menon"/>
    <s v="Database Services"/>
    <n v="399"/>
    <d v="2021-04-03T00:00:00"/>
    <s v="Active"/>
    <n v="3"/>
    <n v="4"/>
    <m/>
    <s v="PaaS"/>
    <s v="Azure App Service (PaaS)"/>
    <n v="0"/>
    <s v="N/A (PaaS)"/>
    <s v="Cosmos DB"/>
    <s v="Azure West Europe"/>
    <m/>
    <s v="Structured"/>
    <n v="440"/>
    <s v="N"/>
    <n v="1"/>
    <s v="Y"/>
    <s v="Data archive"/>
    <n v="1"/>
    <s v="Y"/>
    <s v="Partial"/>
    <s v="N"/>
    <n v="13500"/>
    <d v="2035-04-30T00:00:00"/>
    <m/>
    <m/>
    <s v=""/>
    <n v="0"/>
    <x v="3"/>
    <x v="1"/>
    <x v="3"/>
    <x v="36"/>
    <x v="5"/>
    <s v="Strategic platform; refresh planned"/>
  </r>
  <r>
    <n v="179587"/>
    <s v="Document Repository (FR)"/>
    <s v="Document Mgmt"/>
    <s v="IT"/>
    <s v="Internal"/>
    <s v="Anika Patel"/>
    <s v="Ishaan Desai"/>
    <s v="Wintel Platform Team"/>
    <n v="15"/>
    <d v="2021-01-24T00:00:00"/>
    <s v="Low use"/>
    <n v="5"/>
    <n v="1"/>
    <m/>
    <s v="On-prem DC"/>
    <s v="fs-drf02 (file share)"/>
    <n v="1"/>
    <s v="Windows Server 2012 R2"/>
    <s v="MS Access 2010"/>
    <s v="US DC-1"/>
    <d v="2023-10-10T00:00:00"/>
    <s v="Unstructured"/>
    <n v="120"/>
    <s v="N"/>
    <n v="1"/>
    <s v="Y"/>
    <s v="Archive + read-only"/>
    <n v="17"/>
    <s v="Partial"/>
    <s v="Partial"/>
    <s v="Partial"/>
    <n v="120000"/>
    <d v="2025-11-30T00:00:00"/>
    <m/>
    <m/>
    <s v=""/>
    <n v="1"/>
    <x v="3"/>
    <x v="0"/>
    <x v="3"/>
    <x v="36"/>
    <x v="4"/>
    <s v="Business-critical, well supported"/>
  </r>
  <r>
    <n v="87783"/>
    <s v="Regional Intranet (SharePoint) 2010"/>
    <s v="Collaboration"/>
    <s v="IT"/>
    <s v="External"/>
    <s v="Claire Mehta"/>
    <s v="Theo Lopez"/>
    <s v="Infra Ops EMEA"/>
    <m/>
    <m/>
    <s v="Unknown"/>
    <n v="3"/>
    <n v="4"/>
    <m/>
    <s v="On-prem DC"/>
    <s v="risapp01, risdb01, risweb01, risfs01"/>
    <n v="4"/>
    <s v="AIX 6.1"/>
    <s v="DB2 9.7"/>
    <s v="EU DC-1"/>
    <d v="2017-04-30T00:00:00"/>
    <s v="Unstructured"/>
    <n v="78"/>
    <s v="N"/>
    <n v="3"/>
    <s v="N"/>
    <s v="None"/>
    <n v="3"/>
    <s v="Partial"/>
    <s v="N"/>
    <s v="Y"/>
    <n v="37500"/>
    <d v="2032-08-31T00:00:00"/>
    <m/>
    <m/>
    <s v=""/>
    <n v="1"/>
    <x v="4"/>
    <x v="2"/>
    <x v="3"/>
    <x v="36"/>
    <x v="4"/>
    <s v="Dependencies to be mapped"/>
  </r>
  <r>
    <n v="67272"/>
    <s v="Order Entry Portal (Nordics)"/>
    <s v="Order Entry"/>
    <s v="Sales"/>
    <s v="Internal"/>
    <s v="Lucas Bernard"/>
    <s v="Ishaan Desai"/>
    <s v="Plant IT Services"/>
    <n v="933"/>
    <d v="2021-04-04T00:00:00"/>
    <s v="Active"/>
    <n v="3"/>
    <n v="3"/>
    <m/>
    <s v="IaaS"/>
    <s v="fs-oep02 (file share)"/>
    <n v="1"/>
    <s v="Windows Server 2012 R2"/>
    <s v="MS Access 2010"/>
    <s v="Azure West Europe"/>
    <d v="2023-10-10T00:00:00"/>
    <s v="Both"/>
    <n v="17"/>
    <s v="Y"/>
    <n v="7"/>
    <s v="Y"/>
    <s v="Read-only access"/>
    <n v="2"/>
    <s v="N"/>
    <s v="Partial"/>
    <s v="Y"/>
    <n v="23000"/>
    <d v="2029-10-31T00:00:00"/>
    <n v="31000"/>
    <n v="19500"/>
    <n v="19.076923076923077"/>
    <n v="0"/>
    <x v="4"/>
    <x v="1"/>
    <x v="3"/>
    <x v="36"/>
    <x v="4"/>
    <s v="Dependencies to be mapped"/>
  </r>
  <r>
    <n v="54211"/>
    <s v="Safety Incident Tracker (DE)"/>
    <s v="Health &amp; Safety"/>
    <s v="Operations"/>
    <s v="Internal"/>
    <s v="Diego Alvarez"/>
    <s v="Louis Faure"/>
    <s v="SaaS Vendor Mgmt"/>
    <n v="347"/>
    <d v="2021-03-27T00:00:00"/>
    <s v="Active"/>
    <n v="2"/>
    <n v="3"/>
    <s v="ServiceMax"/>
    <s v="SaaS"/>
    <s v="N/A (SaaS)"/>
    <n v="0"/>
    <s v="N/A"/>
    <s v="N/A"/>
    <s v="Vendor cloud (EU)"/>
    <m/>
    <s v="Structured"/>
    <n v="100"/>
    <s v="N"/>
    <n v="1"/>
    <s v="Y"/>
    <s v="Archive + read-only"/>
    <n v="5"/>
    <s v="Partial"/>
    <s v="N"/>
    <s v="N"/>
    <n v="65000"/>
    <d v="2031-02-28T00:00:00"/>
    <n v="46500"/>
    <n v="34500"/>
    <n v="16.173913043478262"/>
    <n v="2"/>
    <x v="4"/>
    <x v="1"/>
    <x v="3"/>
    <x v="36"/>
    <x v="4"/>
    <s v="Dependencies to be mapped"/>
  </r>
  <r>
    <n v="43346"/>
    <s v="Regional Access Request Tool (UK)"/>
    <s v="Identity"/>
    <s v="IT"/>
    <s v="Internal"/>
    <s v="Oscar Lindqvist"/>
    <s v="Theo Lopez"/>
    <s v="Infra Ops EMEA"/>
    <n v="8"/>
    <d v="2021-01-24T00:00:00"/>
    <s v="Low use"/>
    <n v="4"/>
    <n v="2"/>
    <m/>
    <s v="IaaS"/>
    <s v="rarapp01, rardb01, rarweb01, rarfs01"/>
    <n v="4"/>
    <s v="Windows Server 2008"/>
    <s v="SQL Server 2008"/>
    <s v="Azure West Europe"/>
    <d v="2019-07-09T00:00:00"/>
    <s v="Both"/>
    <n v="100"/>
    <s v="N"/>
    <n v="3"/>
    <s v="N"/>
    <s v="None"/>
    <n v="5"/>
    <s v="Partial"/>
    <s v="N"/>
    <s v="N"/>
    <n v="85000"/>
    <d v="2032-02-29T00:00:00"/>
    <n v="80500"/>
    <n v="63500"/>
    <n v="15.21259842519685"/>
    <n v="2"/>
    <x v="4"/>
    <x v="2"/>
    <x v="3"/>
    <x v="36"/>
    <x v="4"/>
    <s v="Low business value; validate with owner"/>
  </r>
  <r>
    <n v="53331"/>
    <s v="Corporate Batch Scheduler (UK)"/>
    <s v="Batch Scheduling"/>
    <s v="IT"/>
    <s v="Internal"/>
    <s v="Priya Sharma"/>
    <s v="Manon Chevalier"/>
    <s v="Database Services"/>
    <n v="140"/>
    <d v="2021-04-10T00:00:00"/>
    <s v="Active"/>
    <n v="5"/>
    <n v="1"/>
    <m/>
    <s v="PaaS"/>
    <s v="Azure App Service (PaaS)"/>
    <n v="0"/>
    <s v="N/A (PaaS)"/>
    <s v="Azure SQL"/>
    <s v="Azure West Europe"/>
    <d v="2022-06-30T00:00:00"/>
    <s v="Both"/>
    <n v="30"/>
    <s v="N"/>
    <n v="7"/>
    <s v="N"/>
    <s v="None"/>
    <n v="25"/>
    <s v="Partial"/>
    <s v="Y"/>
    <s v="N"/>
    <n v="115000"/>
    <d v="2025-08-31T00:00:00"/>
    <m/>
    <m/>
    <s v=""/>
    <n v="0"/>
    <x v="3"/>
    <x v="2"/>
    <x v="3"/>
    <x v="36"/>
    <x v="5"/>
    <s v="Business-critical, well supported"/>
  </r>
  <r>
    <n v="86600"/>
    <s v="Shared Tax Compliance Tool (UK)"/>
    <s v="Tax"/>
    <s v="Finance"/>
    <s v="Partner"/>
    <s v="Lucas Bernard"/>
    <s v="Ishaan Desai"/>
    <s v="SaaS Vendor Mgmt"/>
    <n v="1665"/>
    <d v="2021-04-07T00:00:00"/>
    <s v="Active"/>
    <n v="5"/>
    <n v="1"/>
    <s v="Oracle Cloud ERP"/>
    <s v="SaaS"/>
    <s v="N/A (SaaS)"/>
    <n v="0"/>
    <s v="N/A"/>
    <s v="N/A"/>
    <s v="Vendor cloud (EU)"/>
    <m/>
    <s v="Structured"/>
    <n v="170"/>
    <s v="Y"/>
    <n v="10"/>
    <s v="N"/>
    <s v="None"/>
    <n v="82"/>
    <s v="N"/>
    <s v="Partial"/>
    <s v="Y"/>
    <n v="165000"/>
    <d v="2029-09-30T00:00:00"/>
    <n v="693500"/>
    <n v="101500"/>
    <n v="81.990147783251231"/>
    <n v="1"/>
    <x v="4"/>
    <x v="2"/>
    <x v="3"/>
    <x v="36"/>
    <x v="4"/>
    <s v="Owner to confirm usage before decision"/>
  </r>
  <r>
    <n v="81480"/>
    <s v="Old Asset Register (APAC)"/>
    <s v="Fixed Assets"/>
    <s v="Finance"/>
    <s v="Partner"/>
    <s v="Oscar Lindqvist"/>
    <s v="Aditi Menon"/>
    <s v="SaaS Vendor Mgmt"/>
    <n v="297"/>
    <d v="2021-04-11T00:00:00"/>
    <s v="Active"/>
    <n v="5"/>
    <n v="1"/>
    <s v="TBD"/>
    <s v="SaaS"/>
    <s v="N/A (SaaS)"/>
    <n v="0"/>
    <s v="N/A"/>
    <s v="N/A"/>
    <s v="Vendor cloud (EU)"/>
    <m/>
    <s v="Unstructured"/>
    <n v="150"/>
    <s v="N"/>
    <n v="3"/>
    <s v="Y"/>
    <s v="Data archive"/>
    <n v="18"/>
    <s v="N"/>
    <s v="Partial"/>
    <s v="Partial"/>
    <n v="525000"/>
    <d v="2034-12-31T00:00:00"/>
    <m/>
    <m/>
    <s v=""/>
    <n v="0"/>
    <x v="3"/>
    <x v="0"/>
    <x v="3"/>
    <x v="36"/>
    <x v="5"/>
    <s v="Strategic platform; refresh planned"/>
  </r>
  <r>
    <n v="192999"/>
    <s v="Custom Order Entry Portal 2008"/>
    <s v="Order Entry"/>
    <s v="Sales"/>
    <s v="Internal"/>
    <s v="Yuki Tanaka"/>
    <s v="Baptiste Henry"/>
    <s v="Cloud Platform Team"/>
    <n v="368"/>
    <d v="2021-03-19T00:00:00"/>
    <s v="Active"/>
    <n v="2"/>
    <n v="4"/>
    <s v="TBD"/>
    <s v="On-prem DC"/>
    <s v="coeapp01, coedb01"/>
    <n v="2"/>
    <s v="Windows Server 2016"/>
    <s v="SQL Server 2016"/>
    <s v="US DC-1"/>
    <d v="2026-07-14T00:00:00"/>
    <s v="Structured"/>
    <n v="320"/>
    <s v="N"/>
    <n v="5"/>
    <s v="N"/>
    <s v="None"/>
    <n v="1"/>
    <s v="N"/>
    <s v="Y"/>
    <s v="N"/>
    <n v="36500"/>
    <d v="2031-09-30T00:00:00"/>
    <m/>
    <m/>
    <s v=""/>
    <n v="1"/>
    <x v="4"/>
    <x v="2"/>
    <x v="3"/>
    <x v="36"/>
    <x v="4"/>
    <s v="Awaiting assessment workshop"/>
  </r>
  <r>
    <n v="87063"/>
    <s v="Regional Newsletter Mailer"/>
    <s v="Email"/>
    <s v="Marketing"/>
    <s v="Internal"/>
    <s v="Sophie Dubois"/>
    <s v="Lena Fischer"/>
    <s v="Database Services"/>
    <n v="181"/>
    <d v="2021-04-18T00:00:00"/>
    <s v="Active"/>
    <n v="4"/>
    <n v="1"/>
    <m/>
    <s v="IaaS"/>
    <s v="rnmapp01, rnmdb01, rnmweb01"/>
    <n v="3"/>
    <s v="Windows Server 2012 R2"/>
    <s v="SQL Server 2012"/>
    <s v="AWS eu-west-1"/>
    <d v="2022-07-12T00:00:00"/>
    <s v="Structured"/>
    <n v="550"/>
    <s v="Y"/>
    <n v="10"/>
    <s v="N"/>
    <s v="None"/>
    <n v="60"/>
    <s v="Y"/>
    <s v="Partial"/>
    <s v="Partial"/>
    <n v="115000"/>
    <d v="2026-08-31T00:00:00"/>
    <m/>
    <m/>
    <s v=""/>
    <n v="0"/>
    <x v="3"/>
    <x v="2"/>
    <x v="3"/>
    <x v="36"/>
    <x v="5"/>
    <s v="Strategic platform; refresh planned"/>
  </r>
  <r>
    <n v="173729"/>
    <s v="Survey Tool (Nordics)"/>
    <s v="Market Research"/>
    <s v="Marketing"/>
    <s v="Internal"/>
    <s v="Laura Martin"/>
    <s v="Hugo Perrin"/>
    <s v="Unix Platform Team"/>
    <n v="0"/>
    <d v="2020-01-21T00:00:00"/>
    <s v="Not in use"/>
    <n v="4"/>
    <n v="2"/>
    <s v="Adobe Campaign"/>
    <s v="PaaS"/>
    <s v="Azure App Service (PaaS)"/>
    <n v="0"/>
    <s v="N/A (PaaS)"/>
    <s v="Cosmos DB"/>
    <s v="Azure West Europe"/>
    <m/>
    <s v="Structured"/>
    <n v="15"/>
    <s v="Y"/>
    <n v="7"/>
    <s v="N"/>
    <s v="None"/>
    <n v="7"/>
    <s v="N"/>
    <s v="Y"/>
    <s v="Partial"/>
    <n v="13000"/>
    <d v="2031-12-31T00:00:00"/>
    <n v="18500"/>
    <n v="11000"/>
    <n v="20.181818181818183"/>
    <n v="2"/>
    <x v="4"/>
    <x v="2"/>
    <x v="3"/>
    <x v="36"/>
    <x v="4"/>
    <s v="Awaiting assessment workshop"/>
  </r>
  <r>
    <n v="138786"/>
    <s v="Corporate Survey Tool"/>
    <s v="Market Research"/>
    <s v="Marketing"/>
    <s v="Partner"/>
    <s v="Camille Fontaine"/>
    <s v="Theo Lopez"/>
    <s v="SaaS Vendor Mgmt"/>
    <n v="1483"/>
    <d v="2021-03-16T00:00:00"/>
    <s v="Active"/>
    <n v="3"/>
    <n v="2"/>
    <s v="TBD"/>
    <s v="SaaS"/>
    <s v="N/A (SaaS)"/>
    <n v="0"/>
    <s v="N/A"/>
    <s v="N/A"/>
    <s v="Vendor cloud (EU)"/>
    <m/>
    <s v="Structured"/>
    <n v="220"/>
    <s v="N"/>
    <n v="5"/>
    <s v="Y"/>
    <s v="Reporting extract"/>
    <n v="29"/>
    <s v="N"/>
    <s v="Partial"/>
    <s v="Y"/>
    <n v="18500"/>
    <d v="2029-11-30T00:00:00"/>
    <m/>
    <m/>
    <s v=""/>
    <n v="0"/>
    <x v="3"/>
    <x v="0"/>
    <x v="3"/>
    <x v="36"/>
    <x v="5"/>
    <s v="Cheap &amp; healthy - retain"/>
  </r>
  <r>
    <n v="15861"/>
    <s v="Corporate Safety Incident Tracker 2008"/>
    <s v="Health &amp; Safety"/>
    <s v="Operations"/>
    <s v="External"/>
    <s v="Lucas Bernard"/>
    <s v="Tara Khanna"/>
    <s v="Plant IT Services"/>
    <n v="131"/>
    <d v="2021-04-05T00:00:00"/>
    <s v="Active"/>
    <n v="5"/>
    <n v="1"/>
    <m/>
    <s v="PaaS"/>
    <s v="Azure App Service (PaaS)"/>
    <n v="0"/>
    <s v="N/A (PaaS)"/>
    <s v="Azure SQL"/>
    <s v="Azure West Europe"/>
    <m/>
    <s v="Structured"/>
    <n v="42"/>
    <s v="N"/>
    <n v="1"/>
    <s v="N"/>
    <s v="None"/>
    <n v="32"/>
    <s v="N"/>
    <s v="N"/>
    <s v="Partial"/>
    <n v="75000"/>
    <d v="2032-07-31T00:00:00"/>
    <m/>
    <m/>
    <s v=""/>
    <n v="0"/>
    <x v="3"/>
    <x v="2"/>
    <x v="3"/>
    <x v="36"/>
    <x v="5"/>
    <s v="Strategic platform; refresh planned"/>
  </r>
  <r>
    <n v="174222"/>
    <s v="Old Intranet (SharePoint)"/>
    <s v="Collaboration"/>
    <s v="IT"/>
    <s v="Partner"/>
    <s v="Hannah Weber"/>
    <s v="Rohan Bhatt"/>
    <s v="Database Services"/>
    <n v="191"/>
    <d v="2021-04-04T00:00:00"/>
    <s v="Active"/>
    <n v="4"/>
    <n v="1"/>
    <m/>
    <s v="On-prem DC"/>
    <s v="oisapp01"/>
    <n v="1"/>
    <s v="RHEL 7"/>
    <s v="Oracle 12c"/>
    <s v="EU DC-2"/>
    <d v="2024-06-30T00:00:00"/>
    <s v="Structured"/>
    <n v="350"/>
    <s v="N"/>
    <n v="3"/>
    <s v="N"/>
    <s v="None"/>
    <n v="26"/>
    <s v="Partial"/>
    <s v="Partial"/>
    <s v="Partial"/>
    <n v="80000"/>
    <d v="2027-01-31T00:00:00"/>
    <m/>
    <m/>
    <s v=""/>
    <n v="0"/>
    <x v="3"/>
    <x v="2"/>
    <x v="3"/>
    <x v="36"/>
    <x v="5"/>
    <s v="Retain - revisit at next portfolio review"/>
  </r>
  <r>
    <n v="165053"/>
    <s v="Legacy Payroll Interface 2012"/>
    <s v="Payroll"/>
    <s v="HR"/>
    <s v="Internal"/>
    <s v="Fatima Khan"/>
    <s v="Tara Khanna"/>
    <s v="SaaS Vendor Mgmt"/>
    <n v="4"/>
    <d v="2020-03-04T00:00:00"/>
    <s v="Not in use"/>
    <n v="3"/>
    <n v="4"/>
    <s v="Workday HCM"/>
    <s v="SaaS"/>
    <s v="N/A (SaaS)"/>
    <n v="0"/>
    <s v="N/A"/>
    <s v="N/A"/>
    <s v="Vendor cloud (EU)"/>
    <m/>
    <s v="Both"/>
    <n v="7"/>
    <s v="Y"/>
    <n v="7"/>
    <s v="Y"/>
    <s v="Read-only access"/>
    <n v="1"/>
    <s v="N"/>
    <s v="N"/>
    <s v="Y"/>
    <n v="31500"/>
    <d v="2026-11-30T00:00:00"/>
    <m/>
    <m/>
    <s v=""/>
    <n v="2"/>
    <x v="4"/>
    <x v="1"/>
    <x v="3"/>
    <x v="36"/>
    <x v="4"/>
    <s v="Low business value; validate with owner"/>
  </r>
  <r>
    <n v="110439"/>
    <s v="Purchase Order System Classic"/>
    <s v="Procurement"/>
    <s v="Supply Chain"/>
    <s v="Internal"/>
    <s v="Antoine Patel"/>
    <s v="Manon Chevalier"/>
    <s v="Database Services"/>
    <n v="0"/>
    <d v="2020-12-13T00:00:00"/>
    <s v="Not in use"/>
    <n v="4"/>
    <n v="3"/>
    <s v="Manhattan WMS"/>
    <s v="IaaS"/>
    <s v="posapp01, posdb01, posweb01"/>
    <n v="3"/>
    <s v="TBD"/>
    <s v="Sybase ASE 15.7"/>
    <s v="AWS us-east-1"/>
    <d v="2021-12-31T00:00:00"/>
    <s v="Unstructured"/>
    <n v="52"/>
    <s v="N"/>
    <n v="5"/>
    <s v="Y"/>
    <s v="Data archive"/>
    <n v="4"/>
    <s v="Y"/>
    <s v="N"/>
    <s v="N"/>
    <n v="34000"/>
    <d v="2026-10-31T00:00:00"/>
    <m/>
    <m/>
    <s v=""/>
    <n v="3"/>
    <x v="4"/>
    <x v="1"/>
    <x v="3"/>
    <x v="36"/>
    <x v="4"/>
    <s v="Awaiting assessment workshop"/>
  </r>
  <r>
    <n v="13062"/>
    <s v="Shared Warehouse Mgmt System (FR)"/>
    <s v="Warehouse Mgmt"/>
    <s v="Supply Chain"/>
    <s v="Internal"/>
    <s v="Laura Martin"/>
    <s v="Ananya Pillai"/>
    <s v="Infra Ops EMEA"/>
    <n v="47"/>
    <d v="2021-04-08T00:00:00"/>
    <s v="Active"/>
    <n v="4"/>
    <n v="2"/>
    <m/>
    <s v="On-prem DC"/>
    <s v="swm-app01–06, swm-db01"/>
    <n v="7"/>
    <s v="Ubuntu 18.04"/>
    <s v="PostgreSQL 10"/>
    <s v="US DC-1"/>
    <s v="TBD"/>
    <s v="Both"/>
    <n v="180"/>
    <s v="N"/>
    <n v="1"/>
    <s v="Y"/>
    <s v="Read-only access"/>
    <n v="25"/>
    <s v="Partial"/>
    <s v="N"/>
    <s v="Y"/>
    <n v="145000"/>
    <d v="2025-02-28T00:00:00"/>
    <m/>
    <m/>
    <s v=""/>
    <n v="0"/>
    <x v="3"/>
    <x v="0"/>
    <x v="3"/>
    <x v="36"/>
    <x v="5"/>
    <s v="Retain - revisit at next portfolio review"/>
  </r>
  <r>
    <n v="189258"/>
    <s v="Corporate Customer Contact Manager v3"/>
    <s v="CRM"/>
    <s v="Sales"/>
    <s v="Internal"/>
    <s v="Elena Garcia"/>
    <s v="Adrien Colin"/>
    <s v="Infra Ops US"/>
    <n v="25"/>
    <d v="2021-04-16T00:00:00"/>
    <s v="Active"/>
    <n v="3"/>
    <n v="2"/>
    <m/>
    <s v="IaaS"/>
    <s v="cccapp01, cccdb01"/>
    <n v="2"/>
    <s v="Windows Server 2016"/>
    <s v="SQL Server 2016"/>
    <s v="Azure West Europe"/>
    <d v="2026-07-14T00:00:00"/>
    <s v="Structured"/>
    <n v="4700"/>
    <s v="N"/>
    <n v="3"/>
    <s v="Y"/>
    <s v="Data archive"/>
    <n v="21"/>
    <s v="N"/>
    <s v="Y"/>
    <s v="Y"/>
    <n v="42500"/>
    <d v="2029-03-31T00:00:00"/>
    <m/>
    <m/>
    <s v=""/>
    <n v="0"/>
    <x v="3"/>
    <x v="0"/>
    <x v="3"/>
    <x v="36"/>
    <x v="4"/>
    <s v="Active user base; no replacement planned"/>
  </r>
  <r>
    <n v="94956"/>
    <s v="Regional Budget Planner (Nordics)"/>
    <s v="Budgeting"/>
    <s v="Finance"/>
    <s v="Internal"/>
    <s v="Amelie Martin"/>
    <s v="Hugo Perrin"/>
    <s v="Plant IT Services"/>
    <n v="280"/>
    <d v="2021-03-16T00:00:00"/>
    <s v="Active"/>
    <n v="3"/>
    <n v="2"/>
    <s v="SAP Concur"/>
    <s v="IaaS"/>
    <s v="fs-rbp02 (file share)"/>
    <n v="1"/>
    <s v="Windows Server 2012 R2"/>
    <s v="MS Access 2010"/>
    <s v="AWS us-east-1"/>
    <d v="2023-10-10T00:00:00"/>
    <s v="Structured"/>
    <n v="190"/>
    <s v="Y"/>
    <n v="7"/>
    <s v="N"/>
    <s v="None"/>
    <n v="27"/>
    <s v="Y"/>
    <s v="Partial"/>
    <s v="N"/>
    <n v="38500"/>
    <d v="2030-06-30T00:00:00"/>
    <m/>
    <m/>
    <s v=""/>
    <n v="1"/>
    <x v="4"/>
    <x v="2"/>
    <x v="3"/>
    <x v="36"/>
    <x v="4"/>
    <s v="Dependencies to be mapped_x000a_Blocker: Archive platform capacity not confirmed_x000a_Q: Can the enterprise archive take this volume this year?"/>
  </r>
  <r>
    <n v="59480"/>
    <s v="Corporate Budget Planner"/>
    <s v="Budgeting"/>
    <s v="Finance"/>
    <s v="Internal"/>
    <s v="Sara Kapoor"/>
    <s v="Theo Lopez"/>
    <s v="Database Services"/>
    <n v="21"/>
    <d v="2021-01-21T00:00:00"/>
    <s v="Low use"/>
    <n v="3"/>
    <n v="3"/>
    <m/>
    <s v="On-prem DC"/>
    <s v="cbpapp01"/>
    <n v="1"/>
    <s v="Solaris 10"/>
    <s v="Oracle 11g"/>
    <s v="EU DC-2"/>
    <d v="2021-01-31T00:00:00"/>
    <s v="Unstructured"/>
    <n v="1450"/>
    <s v="N"/>
    <n v="7"/>
    <s v="N"/>
    <s v="None"/>
    <n v="8"/>
    <s v="Partial"/>
    <s v="N"/>
    <s v="Partial"/>
    <n v="15000"/>
    <d v="2027-12-31T00:00:00"/>
    <m/>
    <m/>
    <s v=""/>
    <n v="2"/>
    <x v="4"/>
    <x v="2"/>
    <x v="3"/>
    <x v="36"/>
    <x v="4"/>
    <s v="Dependencies to be mapped"/>
  </r>
  <r>
    <n v="60988"/>
    <s v="Legacy Customer Contact Manager Plus"/>
    <s v="CRM"/>
    <s v="Sales"/>
    <s v="Partner"/>
    <s v="Anika Patel"/>
    <s v="Manon Chevalier"/>
    <s v="Infra Ops US"/>
    <n v="146"/>
    <d v="2021-04-16T00:00:00"/>
    <s v="Active"/>
    <n v="4"/>
    <n v="3"/>
    <m/>
    <s v="On-prem DC"/>
    <s v="lccapp01, lccdb01, lccweb01"/>
    <n v="3"/>
    <s v="RHEL 8"/>
    <s v="PostgreSQL 12"/>
    <s v="Plant DC"/>
    <d v="2029-05-31T00:00:00"/>
    <s v="Structured"/>
    <n v="130"/>
    <s v="Y"/>
    <n v="7"/>
    <s v="N"/>
    <s v="None"/>
    <n v="6"/>
    <s v="N"/>
    <s v="N"/>
    <s v="Partial"/>
    <n v="45500"/>
    <d v="2025-02-28T00:00:00"/>
    <m/>
    <m/>
    <s v=""/>
    <n v="0"/>
    <x v="3"/>
    <x v="2"/>
    <x v="3"/>
    <x v="36"/>
    <x v="5"/>
    <s v="Retain - revisit at next portfolio review"/>
  </r>
  <r>
    <n v="12386"/>
    <s v="Custom Document Repository"/>
    <s v="Document Mgmt"/>
    <s v="IT"/>
    <s v="External"/>
    <s v="Nicolas Sharma"/>
    <s v="Ananya Pillai"/>
    <s v="Wintel Platform Team"/>
    <n v="717"/>
    <d v="2021-04-12T00:00:00"/>
    <s v="Active"/>
    <n v="5"/>
    <n v="1"/>
    <m/>
    <s v="On-prem DC"/>
    <s v="cdrapp01, cdrdb01, cdrweb01, cdrfs01"/>
    <n v="4"/>
    <s v="RHEL 8"/>
    <s v="PostgreSQL 12"/>
    <s v="EU DC-2"/>
    <d v="2029-05-31T00:00:00"/>
    <s v="Structured"/>
    <n v="68"/>
    <s v="Y"/>
    <n v="10"/>
    <s v="Y"/>
    <s v="Legal hold"/>
    <n v="24"/>
    <s v="Y"/>
    <s v="Y"/>
    <s v="N"/>
    <n v="325000"/>
    <d v="2035-10-31T00:00:00"/>
    <m/>
    <m/>
    <s v=""/>
    <n v="0"/>
    <x v="3"/>
    <x v="0"/>
    <x v="3"/>
    <x v="36"/>
    <x v="5"/>
    <s v="Retain - revisit at next portfolio review"/>
  </r>
  <r>
    <n v="128257"/>
    <s v="Global Ticket Desk (APAC)"/>
    <s v="Service Desk"/>
    <s v="IT"/>
    <s v="Internal"/>
    <s v="Fatima Khan"/>
    <s v="Louis Faure"/>
    <s v="Cloud Platform Team"/>
    <n v="4"/>
    <d v="2020-12-11T00:00:00"/>
    <s v="Low use"/>
    <n v="5"/>
    <n v="2"/>
    <m/>
    <s v="PaaS"/>
    <s v="Azure App Service (PaaS)"/>
    <n v="0"/>
    <s v="N/A (PaaS)"/>
    <s v="Azure SQL"/>
    <s v="Azure West Europe"/>
    <d v="2022-06-30T00:00:00"/>
    <s v="Both"/>
    <n v="1"/>
    <s v="N"/>
    <n v="2"/>
    <s v="Y"/>
    <s v="Legal hold"/>
    <n v="29"/>
    <s v="Y"/>
    <s v="Partial"/>
    <s v="Partial"/>
    <n v="38500"/>
    <d v="2033-05-31T00:00:00"/>
    <m/>
    <m/>
    <s v=""/>
    <n v="1"/>
    <x v="3"/>
    <x v="0"/>
    <x v="3"/>
    <x v="36"/>
    <x v="5"/>
    <s v="Retain - revisit at next portfolio review"/>
  </r>
  <r>
    <n v="146438"/>
    <s v="Corporate Website CMS 2010"/>
    <s v="Web"/>
    <s v="Marketing"/>
    <s v="Internal"/>
    <s v="Thomas Moreau"/>
    <s v="Varun Malhotra"/>
    <s v="Plant IT Services"/>
    <n v="0"/>
    <d v="2021-02-03T00:00:00"/>
    <s v="Not in use"/>
    <n v="5"/>
    <n v="1"/>
    <s v="Adobe Experience Manager"/>
    <s v="On-prem DC"/>
    <s v="cwc-app01–05, cwc-db01"/>
    <n v="6"/>
    <s v="HP-UX 11i v3"/>
    <s v="Sybase ASE 15.7"/>
    <s v="US DC-1"/>
    <d v="2021-12-31T00:00:00"/>
    <s v="Structured"/>
    <n v="7"/>
    <s v="Y"/>
    <n v="5"/>
    <s v="Y"/>
    <s v="Archive + read-only"/>
    <n v="25"/>
    <s v="Partial"/>
    <s v="Partial"/>
    <s v="Partial"/>
    <n v="100000"/>
    <d v="2029-01-31T00:00:00"/>
    <m/>
    <m/>
    <s v=""/>
    <n v="3"/>
    <x v="4"/>
    <x v="0"/>
    <x v="3"/>
    <x v="36"/>
    <x v="4"/>
    <s v="Low business value; validate with owner"/>
  </r>
  <r>
    <n v="83289"/>
    <s v="Regional CMDB Lite 2010"/>
    <s v="Config Mgmt"/>
    <s v="IT"/>
    <s v="External"/>
    <s v="Diego Alvarez"/>
    <s v="Omar Haddad"/>
    <s v="SaaS Vendor Mgmt"/>
    <m/>
    <m/>
    <s v="Unknown"/>
    <n v="5"/>
    <n v="1"/>
    <s v="TBD"/>
    <s v="SaaS"/>
    <s v="N/A (SaaS)"/>
    <n v="0"/>
    <s v="N/A"/>
    <s v="N/A"/>
    <s v="Vendor cloud (EU)"/>
    <m/>
    <s v="Structured"/>
    <n v="3750"/>
    <s v="Y"/>
    <n v="7"/>
    <s v="Y"/>
    <s v="Read-only access"/>
    <n v="40"/>
    <s v="Partial"/>
    <s v="Partial"/>
    <s v="N"/>
    <n v="215000"/>
    <d v="2029-03-31T00:00:00"/>
    <n v="484000"/>
    <n v="136500"/>
    <n v="42.549450549450547"/>
    <n v="0"/>
    <x v="4"/>
    <x v="0"/>
    <x v="3"/>
    <x v="36"/>
    <x v="4"/>
    <s v="Dependencies to be mapped_x000a_Blocker: Regulatory retention requirement_x000a_Q: Can the archive move to the enterprise archive, or must it stay vendor-hosted?"/>
  </r>
  <r>
    <n v="147054"/>
    <s v="Regional Quality Incident Log"/>
    <s v="Quality"/>
    <s v="Operations"/>
    <s v="Internal"/>
    <s v="Julien Petit"/>
    <s v="Chloe Vidal"/>
    <s v="Wintel Platform Team"/>
    <n v="207"/>
    <d v="2021-04-29T00:00:00"/>
    <s v="Active"/>
    <n v="2"/>
    <n v="3"/>
    <s v="IBM Maximo"/>
    <s v="On-prem DC"/>
    <s v="rqiapp01, rqidb01, rqiweb01, rqifs01"/>
    <n v="4"/>
    <s v="AIX 6.1"/>
    <s v="DB2 9.7"/>
    <s v="Plant DC"/>
    <d v="2017-04-30T00:00:00"/>
    <s v="Unstructured"/>
    <n v="37"/>
    <s v="N"/>
    <n v="3"/>
    <s v="Y"/>
    <s v="Archive + read-only"/>
    <n v="8"/>
    <s v="Partial"/>
    <s v="Y"/>
    <s v="Partial"/>
    <n v="60000"/>
    <d v="2025-07-31T00:00:00"/>
    <m/>
    <m/>
    <s v=""/>
    <n v="3"/>
    <x v="4"/>
    <x v="0"/>
    <x v="3"/>
    <x v="36"/>
    <x v="4"/>
    <s v="Owner to confirm usage before decision"/>
  </r>
  <r>
    <n v="92012"/>
    <s v="Shared Corporate Website CMS (FR)"/>
    <s v="Web"/>
    <s v="Marketing"/>
    <s v="Internal"/>
    <s v="Marc Laurent"/>
    <s v="Kavya Reddy"/>
    <s v="Database Services"/>
    <n v="25"/>
    <d v="2021-04-15T00:00:00"/>
    <s v="Active"/>
    <n v="5"/>
    <n v="2"/>
    <m/>
    <s v="IaaS"/>
    <s v="scwapp01, scwdb01, scwweb01, scwfs01"/>
    <n v="4"/>
    <s v="Ubuntu 16.04"/>
    <s v="MySQL 5.7"/>
    <s v="AWS us-east-1"/>
    <d v="2021-04-30T00:00:00"/>
    <s v="Unstructured"/>
    <n v="74"/>
    <s v="Y"/>
    <n v="5"/>
    <s v="Y"/>
    <s v="Reporting extract"/>
    <n v="13"/>
    <s v="N"/>
    <s v="N"/>
    <s v="Y"/>
    <n v="75000"/>
    <d v="2025-07-31T00:00:00"/>
    <n v="101500"/>
    <n v="48000"/>
    <n v="25.375"/>
    <n v="1"/>
    <x v="4"/>
    <x v="0"/>
    <x v="3"/>
    <x v="36"/>
    <x v="4"/>
    <s v="Owner to confirm usage before decision"/>
  </r>
  <r>
    <n v="44096"/>
    <s v="Regional Partner Portal"/>
    <s v="Partner Mgmt"/>
    <s v="Sales"/>
    <s v="Internal"/>
    <s v="Sophie Dubois"/>
    <s v="Theo Lopez"/>
    <s v="Unix Platform Team"/>
    <n v="31"/>
    <d v="2021-04-05T00:00:00"/>
    <s v="Active"/>
    <n v="4"/>
    <n v="2"/>
    <m/>
    <s v="On-prem DC"/>
    <s v="rpp-app01–07, rpp-db01"/>
    <n v="8"/>
    <s v="Ubuntu 18.04"/>
    <s v="PostgreSQL 10"/>
    <s v="EU DC-2"/>
    <d v="2023-05-31T00:00:00"/>
    <s v="Both"/>
    <n v="49"/>
    <s v="N"/>
    <n v="5"/>
    <s v="Y"/>
    <s v="Archive + read-only"/>
    <n v="15"/>
    <s v="Y"/>
    <s v="Y"/>
    <s v="N"/>
    <n v="145000"/>
    <d v="2029-11-30T00:00:00"/>
    <m/>
    <m/>
    <s v=""/>
    <n v="0"/>
    <x v="3"/>
    <x v="0"/>
    <x v="3"/>
    <x v="36"/>
    <x v="5"/>
    <s v="Retain - revisit at next portfolio review"/>
  </r>
  <r>
    <n v="173398"/>
    <s v="Legacy Supplier Portal"/>
    <s v="Supplier Mgmt"/>
    <s v="Supply Chain"/>
    <s v="Internal"/>
    <s v="Julien Petit"/>
    <s v="Ananya Pillai"/>
    <s v="Infra Ops US"/>
    <n v="143"/>
    <d v="2021-04-20T00:00:00"/>
    <s v="Active"/>
    <n v="4"/>
    <n v="2"/>
    <m/>
    <s v="On-prem DC"/>
    <s v="lspapp01"/>
    <n v="1"/>
    <s v="TBD"/>
    <s v="SQL Server 2016"/>
    <s v="EU DC-1"/>
    <d v="2026-07-14T00:00:00"/>
    <s v="Structured"/>
    <n v="160"/>
    <s v="N"/>
    <n v="5"/>
    <s v="Y"/>
    <s v="Data archive"/>
    <n v="16"/>
    <s v="Partial"/>
    <s v="Partial"/>
    <s v="N"/>
    <n v="47500"/>
    <d v="2026-09-30T00:00:00"/>
    <m/>
    <m/>
    <s v=""/>
    <n v="0"/>
    <x v="3"/>
    <x v="0"/>
    <x v="3"/>
    <x v="36"/>
    <x v="5"/>
    <s v="Business-critical, well supported"/>
  </r>
  <r>
    <n v="145774"/>
    <s v="Shared Maintenance Scheduler (UK)"/>
    <s v="Asset Maintenance"/>
    <s v="Operations"/>
    <s v="Internal"/>
    <s v="Karan Blanc"/>
    <s v="Sameer Joshi"/>
    <s v="Infra Ops US"/>
    <n v="6"/>
    <d v="2020-08-14T00:00:00"/>
    <s v="Not in use"/>
    <n v="5"/>
    <n v="1"/>
    <s v="IBM Maximo"/>
    <s v="On-prem DC"/>
    <s v="fs-sms02 (file share)"/>
    <n v="1"/>
    <s v="Windows Server 2012 R2"/>
    <s v="MS Access 2010"/>
    <s v="TBD"/>
    <d v="2023-10-10T00:00:00"/>
    <s v="Unstructured"/>
    <n v="150"/>
    <s v="Y"/>
    <n v="5"/>
    <s v="N"/>
    <s v="None"/>
    <n v="71"/>
    <s v="Partial"/>
    <s v="N"/>
    <s v="N"/>
    <n v="90000"/>
    <d v="2033-11-30T00:00:00"/>
    <m/>
    <m/>
    <s v=""/>
    <n v="2"/>
    <x v="4"/>
    <x v="2"/>
    <x v="3"/>
    <x v="36"/>
    <x v="4"/>
    <s v="Dependencies to be mapped"/>
  </r>
  <r>
    <n v="13558"/>
    <s v="Warehouse Mgmt System (US)"/>
    <s v="Warehouse Mgmt"/>
    <s v="Supply Chain"/>
    <s v="Partner"/>
    <s v="Mateo Girard"/>
    <s v="Aditi Menon"/>
    <s v="Cloud Platform Team"/>
    <n v="22"/>
    <d v="2021-02-13T00:00:00"/>
    <s v="Low use"/>
    <n v="5"/>
    <n v="1"/>
    <s v="SAP EWM"/>
    <s v="On-prem DC"/>
    <s v="wmsapp01, wmsdb01, wmsweb01, wmsfs01"/>
    <n v="4"/>
    <s v="SUSE Linux 11"/>
    <s v="Oracle 11g"/>
    <s v="EU DC-1"/>
    <d v="2019-03-31T00:00:00"/>
    <s v="Structured"/>
    <n v="150"/>
    <s v="N"/>
    <n v="3"/>
    <s v="N"/>
    <s v="None"/>
    <n v="89"/>
    <s v="Y"/>
    <s v="N"/>
    <s v="Partial"/>
    <n v="250000"/>
    <d v="2034-01-31T00:00:00"/>
    <m/>
    <m/>
    <s v=""/>
    <n v="3"/>
    <x v="4"/>
    <x v="2"/>
    <x v="3"/>
    <x v="36"/>
    <x v="4"/>
    <s v="Dependencies to be mapped"/>
  </r>
  <r>
    <n v="143954"/>
    <s v="Expense Portal (UK)"/>
    <s v="Expense Mgmt"/>
    <s v="Finance"/>
    <s v="External"/>
    <s v="Rahul Iyer"/>
    <s v="Theo Lopez"/>
    <s v="Unix Platform Team"/>
    <n v="253"/>
    <d v="2021-04-21T00:00:00"/>
    <s v="Active"/>
    <n v="1"/>
    <n v="3"/>
    <m/>
    <s v="IaaS"/>
    <s v="epuapp01, epudb01, epuweb01"/>
    <n v="3"/>
    <s v="Windows Server 2012 R2"/>
    <s v="SQL Server 2014"/>
    <s v="AWS eu-west-1"/>
    <d v="2024-07-09T00:00:00"/>
    <s v="Structured"/>
    <n v="33"/>
    <s v="Y"/>
    <n v="7"/>
    <s v="N"/>
    <s v="None"/>
    <n v="7"/>
    <s v="Partial"/>
    <s v="Partial"/>
    <s v="Partial"/>
    <n v="34000"/>
    <d v="2031-02-28T00:00:00"/>
    <n v="16500"/>
    <n v="20500"/>
    <n v="9.6585365853658551"/>
    <n v="1"/>
    <x v="4"/>
    <x v="2"/>
    <x v="3"/>
    <x v="36"/>
    <x v="4"/>
    <s v="Low business value; validate with owner"/>
  </r>
  <r>
    <n v="44516"/>
    <s v="Global Recruitment Tracker v2"/>
    <s v="Recruitment"/>
    <s v="HR"/>
    <s v="Internal"/>
    <s v="Julien Petit"/>
    <s v="Ananya Pillai"/>
    <s v="Wintel Platform Team"/>
    <n v="80"/>
    <d v="2021-04-28T00:00:00"/>
    <s v="Active"/>
    <n v="4"/>
    <n v="3"/>
    <s v="Workday Payroll"/>
    <s v="PaaS"/>
    <s v="Azure App Service (PaaS)"/>
    <n v="0"/>
    <s v="N/A (PaaS)"/>
    <s v="Azure SQL"/>
    <s v="Azure West Europe"/>
    <m/>
    <s v="Structured"/>
    <n v="110"/>
    <s v="Y"/>
    <n v="10"/>
    <s v="Y"/>
    <s v="Reporting extract"/>
    <n v="5"/>
    <s v="Partial"/>
    <s v="Partial"/>
    <s v="N"/>
    <n v="16500"/>
    <d v="2027-12-31T00:00:00"/>
    <m/>
    <m/>
    <s v=""/>
    <n v="1"/>
    <x v="4"/>
    <x v="1"/>
    <x v="3"/>
    <x v="36"/>
    <x v="4"/>
    <s v="Dependencies to be mapped"/>
  </r>
  <r>
    <n v="189435"/>
    <s v="Old Partner Portal v2"/>
    <s v="Partner Mgmt"/>
    <s v="Sales"/>
    <s v="Internal"/>
    <s v="Fatima Khan"/>
    <s v="Theo Lopez"/>
    <s v="Infra Ops EMEA"/>
    <n v="21"/>
    <d v="2020-12-09T00:00:00"/>
    <s v="Low use"/>
    <n v="5"/>
    <n v="2"/>
    <s v="Salesforce CPQ"/>
    <s v="On-prem DC"/>
    <s v="oppapp01, oppdb01, oppweb01, oppfs01"/>
    <n v="4"/>
    <s v="RHEL 8"/>
    <s v="Oracle 19c"/>
    <s v="EU DC-1"/>
    <d v="2029-05-31T00:00:00"/>
    <s v="Unstructured"/>
    <n v="110"/>
    <s v="Y"/>
    <n v="7"/>
    <s v="Y"/>
    <s v="Legal hold"/>
    <n v="5"/>
    <s v="Y"/>
    <s v="Partial"/>
    <s v="N"/>
    <n v="90000"/>
    <d v="2028-07-31T00:00:00"/>
    <n v="117000"/>
    <n v="70500"/>
    <n v="19.914893617021278"/>
    <n v="2"/>
    <x v="4"/>
    <x v="0"/>
    <x v="3"/>
    <x v="36"/>
    <x v="4"/>
    <s v="Low business value; validate with owner"/>
  </r>
  <r>
    <n v="144842"/>
    <s v="Custom Safety Incident Tracker v4"/>
    <s v="Health &amp; Safety"/>
    <s v="Operations"/>
    <s v="Internal"/>
    <s v="Pierre Roux"/>
    <s v="Baptiste Henry"/>
    <s v="SaaS Vendor Mgmt"/>
    <n v="5"/>
    <d v="2019-09-05T00:00:00"/>
    <s v="Not in use"/>
    <n v="5"/>
    <n v="1"/>
    <m/>
    <s v="SaaS"/>
    <s v="N/A (SaaS)"/>
    <n v="0"/>
    <s v="N/A"/>
    <s v="N/A"/>
    <s v="Vendor cloud (EU)"/>
    <m/>
    <s v="Structured"/>
    <n v="11"/>
    <s v="N"/>
    <n v="3"/>
    <s v="Y"/>
    <s v="Data archive"/>
    <n v="78"/>
    <s v="N"/>
    <s v="Partial"/>
    <s v="N"/>
    <n v="180000"/>
    <d v="2026-04-30T00:00:00"/>
    <m/>
    <m/>
    <s v=""/>
    <n v="1"/>
    <x v="4"/>
    <x v="0"/>
    <x v="3"/>
    <x v="36"/>
    <x v="4"/>
    <s v="Owner to confirm usage before decision"/>
  </r>
  <r>
    <n v="56883"/>
    <s v="Legacy CMDB Lite Lite"/>
    <s v="Config Mgmt"/>
    <s v="IT"/>
    <s v="Internal"/>
    <s v="Camille Fontaine"/>
    <s v="Baptiste Henry"/>
    <s v="Infra Ops US"/>
    <n v="25"/>
    <d v="2021-04-04T00:00:00"/>
    <s v="Active"/>
    <n v="5"/>
    <n v="1"/>
    <s v="ServiceNow"/>
    <s v="On-prem DC"/>
    <s v="lclapp01, lcldb01"/>
    <n v="2"/>
    <s v="HP-UX 11i v3"/>
    <s v="Sybase ASE 15.7"/>
    <s v="US DC-1"/>
    <d v="2021-12-31T00:00:00"/>
    <s v="Structured"/>
    <n v="170"/>
    <s v="N"/>
    <n v="2"/>
    <s v="N"/>
    <s v="None"/>
    <n v="37"/>
    <s v="N"/>
    <s v="Partial"/>
    <s v="N"/>
    <n v="110000"/>
    <d v="2026-02-28T00:00:00"/>
    <n v="97500"/>
    <n v="77000"/>
    <n v="15.194805194805195"/>
    <n v="2"/>
    <x v="4"/>
    <x v="2"/>
    <x v="3"/>
    <x v="36"/>
    <x v="4"/>
    <s v="Dependencies to be mapped"/>
  </r>
  <r>
    <n v="83285"/>
    <s v="Shared Field Service Dispatcher (APAC)"/>
    <s v="Field Service"/>
    <s v="Operations"/>
    <s v="Partner"/>
    <s v="Neha Nair"/>
    <s v="Chloe Vidal"/>
    <s v="Unix Platform Team"/>
    <n v="19"/>
    <d v="2021-04-24T00:00:00"/>
    <s v="Low use"/>
    <n v="3"/>
    <n v="3"/>
    <m/>
    <s v="On-prem DC"/>
    <s v="sfsapp01"/>
    <n v="1"/>
    <s v="RHEL 6"/>
    <s v="Oracle 11g"/>
    <s v="Plant DC"/>
    <d v="2020-11-30T00:00:00"/>
    <s v="Both"/>
    <n v="850"/>
    <s v="N"/>
    <n v="1"/>
    <s v="N"/>
    <s v="None"/>
    <n v="3"/>
    <s v="Partial"/>
    <s v="Partial"/>
    <s v="Partial"/>
    <n v="30000"/>
    <d v="2029-09-30T00:00:00"/>
    <n v="34000"/>
    <n v="29500"/>
    <n v="13.830508474576272"/>
    <n v="2"/>
    <x v="4"/>
    <x v="2"/>
    <x v="3"/>
    <x v="36"/>
    <x v="4"/>
    <s v="Owner to confirm usage before decision"/>
  </r>
  <r>
    <n v="19599"/>
    <s v="Intranet (SharePoint)"/>
    <s v="Collaboration"/>
    <s v="IT"/>
    <s v="Internal"/>
    <s v="Vikram Rao"/>
    <s v="Louis Faure"/>
    <s v="Plant IT Services"/>
    <n v="452"/>
    <d v="2021-04-16T00:00:00"/>
    <s v="Active"/>
    <n v="5"/>
    <n v="1"/>
    <m/>
    <s v="On-prem DC"/>
    <s v="isx-app01–07, isx-db01"/>
    <n v="8"/>
    <s v="Windows Server 2008 R2"/>
    <s v="SQL Server 2008 R2"/>
    <s v="EU DC-1"/>
    <d v="2020-01-14T00:00:00"/>
    <s v="Unstructured"/>
    <n v="890"/>
    <s v="N"/>
    <n v="3"/>
    <s v="Y"/>
    <s v="Archive + read-only"/>
    <n v="61"/>
    <s v="Partial"/>
    <s v="Partial"/>
    <s v="Partial"/>
    <n v="270000"/>
    <d v="2028-02-29T00:00:00"/>
    <n v="581500"/>
    <n v="254000"/>
    <n v="27.472440944881889"/>
    <n v="1"/>
    <x v="4"/>
    <x v="0"/>
    <x v="3"/>
    <x v="36"/>
    <x v="4"/>
    <s v="Awaiting assessment workshop"/>
  </r>
  <r>
    <n v="37080"/>
    <s v="Document Repository Classic"/>
    <s v="Document Mgmt"/>
    <s v="IT"/>
    <s v="Internal"/>
    <s v="Vikram Rao"/>
    <s v="Varun Malhotra"/>
    <s v="Infra Ops EMEA"/>
    <n v="690"/>
    <d v="2021-03-28T00:00:00"/>
    <s v="Active"/>
    <n v="1"/>
    <n v="4"/>
    <m/>
    <s v="On-prem DC"/>
    <s v="drcapp01"/>
    <n v="1"/>
    <s v="Windows Server 2019"/>
    <s v="SQL Server 2019"/>
    <s v="TBD"/>
    <d v="2029-01-09T00:00:00"/>
    <s v="Structured"/>
    <n v="200"/>
    <s v="N"/>
    <n v="7"/>
    <s v="Y"/>
    <s v="Data archive"/>
    <n v="3"/>
    <s v="N"/>
    <s v="N"/>
    <s v="N"/>
    <n v="28000"/>
    <d v="2034-05-31T00:00:00"/>
    <n v="45500"/>
    <n v="24000"/>
    <n v="22.75"/>
    <n v="1"/>
    <x v="4"/>
    <x v="1"/>
    <x v="3"/>
    <x v="36"/>
    <x v="4"/>
    <s v="Low business value; validate with owner"/>
  </r>
  <r>
    <n v="68225"/>
    <s v="Global Freight Booking Tool (Nordics)"/>
    <s v="Transport"/>
    <s v="Supply Chain"/>
    <s v="Internal"/>
    <s v="Julia Rao"/>
    <s v="Hugo Perrin"/>
    <s v="Plant IT Services"/>
    <n v="1705"/>
    <d v="2021-04-11T00:00:00"/>
    <s v="Active"/>
    <n v="4"/>
    <n v="2"/>
    <m/>
    <s v="IaaS"/>
    <s v="gfbapp01"/>
    <n v="1"/>
    <s v="RHEL 7"/>
    <s v="Oracle 12c"/>
    <s v="AWS us-east-1"/>
    <s v="TBD"/>
    <s v="Unstructured"/>
    <n v="72"/>
    <s v="N"/>
    <n v="2"/>
    <s v="Y"/>
    <s v="Data archive"/>
    <n v="20"/>
    <s v="Partial"/>
    <s v="Partial"/>
    <s v="N"/>
    <n v="22500"/>
    <d v="2034-03-31T00:00:00"/>
    <m/>
    <m/>
    <s v=""/>
    <n v="0"/>
    <x v="3"/>
    <x v="0"/>
    <x v="3"/>
    <x v="36"/>
    <x v="5"/>
    <s v="Cheap &amp; healthy - retain"/>
  </r>
  <r>
    <n v="130096"/>
    <s v="Departmental Field Service Dispatcher (US)"/>
    <s v="Field Service"/>
    <s v="Operations"/>
    <s v="Internal"/>
    <s v="Neha Nair"/>
    <s v="Baptiste Henry"/>
    <s v="Infra Ops EMEA"/>
    <n v="699"/>
    <d v="2021-03-27T00:00:00"/>
    <s v="Active"/>
    <n v="3"/>
    <n v="2"/>
    <m/>
    <s v="IaaS"/>
    <s v="dfsapp01, dfsdb01"/>
    <n v="2"/>
    <s v="Windows Server 2012 R2"/>
    <s v="SQL Server 2012"/>
    <s v="AWS eu-west-1"/>
    <d v="2022-07-12T00:00:00"/>
    <s v="Unstructured"/>
    <n v="79"/>
    <s v="N"/>
    <n v="2"/>
    <s v="Y"/>
    <s v="Data archive"/>
    <n v="22"/>
    <s v="N"/>
    <s v="Partial"/>
    <s v="N"/>
    <n v="65000"/>
    <d v="2027-12-31T00:00:00"/>
    <n v="124500"/>
    <n v="59500"/>
    <n v="25.109243697478995"/>
    <n v="0"/>
    <x v="4"/>
    <x v="0"/>
    <x v="3"/>
    <x v="36"/>
    <x v="4"/>
    <s v="Low business value; validate with owner"/>
  </r>
  <r>
    <n v="44702"/>
    <s v="Commission Calculator"/>
    <s v="Commissions"/>
    <s v="Sales"/>
    <s v="Internal"/>
    <s v="Vikram Rao"/>
    <s v="Aditi Menon"/>
    <s v="Plant IT Services"/>
    <n v="1063"/>
    <d v="2021-03-25T00:00:00"/>
    <s v="Active"/>
    <n v="3"/>
    <n v="2"/>
    <m/>
    <s v="On-prem DC"/>
    <s v="ccxapp01, ccxdb01"/>
    <n v="2"/>
    <s v="AIX 6.1"/>
    <s v="DB2 9.7"/>
    <s v="US DC-1"/>
    <d v="2017-04-30T00:00:00"/>
    <s v="Structured"/>
    <n v="410"/>
    <s v="N"/>
    <n v="3"/>
    <s v="N"/>
    <s v="None"/>
    <n v="23"/>
    <s v="Y"/>
    <s v="Partial"/>
    <s v="Y"/>
    <n v="65000"/>
    <d v="2025-09-30T00:00:00"/>
    <m/>
    <m/>
    <s v=""/>
    <n v="1"/>
    <x v="3"/>
    <x v="2"/>
    <x v="3"/>
    <x v="36"/>
    <x v="4"/>
    <s v="Cheap &amp; healthy - retain"/>
  </r>
  <r>
    <n v="143639"/>
    <s v="Old Asset Register Plus"/>
    <s v="Fixed Assets"/>
    <s v="Finance"/>
    <s v="External"/>
    <s v="Sophie Dubois"/>
    <s v="Remi Masson"/>
    <s v="SaaS Vendor Mgmt"/>
    <n v="388"/>
    <d v="2021-04-18T00:00:00"/>
    <s v="Active"/>
    <n v="5"/>
    <n v="1"/>
    <s v="TBD"/>
    <s v="SaaS"/>
    <s v="N/A (SaaS)"/>
    <n v="0"/>
    <s v="N/A"/>
    <s v="N/A"/>
    <s v="Vendor cloud (EU)"/>
    <d v="2025-02-28T00:00:00"/>
    <s v="Unstructured"/>
    <n v="250"/>
    <s v="Y"/>
    <n v="10"/>
    <s v="Y"/>
    <s v="Archive + read-only"/>
    <n v="41"/>
    <s v="N"/>
    <s v="N"/>
    <s v="Y"/>
    <n v="155000"/>
    <d v="2028-03-31T00:00:00"/>
    <n v="364000"/>
    <n v="75000"/>
    <n v="58.24"/>
    <n v="0"/>
    <x v="4"/>
    <x v="0"/>
    <x v="3"/>
    <x v="36"/>
    <x v="4"/>
    <s v="Low business value; validate with owner_x000a_Blocker: Vendor notice period of 12 months_x000a_Q: Can the contract end be brought forward?"/>
  </r>
  <r>
    <n v="177304"/>
    <s v="Maintenance Scheduler 2012"/>
    <s v="Asset Maintenance"/>
    <s v="Operations"/>
    <s v="External"/>
    <s v="Meera Dubois"/>
    <s v="Ananya Pillai"/>
    <s v="Infra Ops US"/>
    <n v="5"/>
    <d v="2019-08-24T00:00:00"/>
    <s v="Not in use"/>
    <n v="4"/>
    <n v="3"/>
    <m/>
    <s v="On-prem DC"/>
    <s v="msxapp01, msxdb01, msxweb01, msxfs01"/>
    <n v="4"/>
    <s v="RHEL 8"/>
    <s v="PostgreSQL 12"/>
    <s v="EU DC-2"/>
    <d v="2029-05-31T00:00:00"/>
    <s v="Structured"/>
    <n v="44"/>
    <s v="N"/>
    <n v="5"/>
    <s v="N"/>
    <s v="None"/>
    <n v="3"/>
    <s v="Partial"/>
    <s v="N"/>
    <s v="N"/>
    <n v="80000"/>
    <d v="2027-11-30T00:00:00"/>
    <m/>
    <m/>
    <s v=""/>
    <n v="1"/>
    <x v="4"/>
    <x v="2"/>
    <x v="3"/>
    <x v="36"/>
    <x v="4"/>
    <s v="Dependencies to be mapped"/>
  </r>
  <r>
    <n v="135296"/>
    <s v="Custom Document Repository v4"/>
    <s v="Document Mgmt"/>
    <s v="IT"/>
    <s v="Internal"/>
    <s v="Antoine Patel"/>
    <s v="Kavya Reddy"/>
    <s v="SaaS Vendor Mgmt"/>
    <n v="1920"/>
    <d v="2021-03-29T00:00:00"/>
    <s v="Active"/>
    <n v="4"/>
    <n v="2"/>
    <s v="TBD"/>
    <s v="SaaS"/>
    <s v="N/A (SaaS)"/>
    <n v="0"/>
    <s v="N/A"/>
    <s v="N/A"/>
    <s v="Vendor cloud (EU)"/>
    <m/>
    <s v="Structured"/>
    <n v="6"/>
    <s v="N"/>
    <n v="3"/>
    <s v="Y"/>
    <s v="Archive + read-only"/>
    <n v="7"/>
    <s v="Partial"/>
    <s v="N"/>
    <s v="N"/>
    <n v="80000"/>
    <d v="2033-09-30T00:00:00"/>
    <m/>
    <m/>
    <s v=""/>
    <n v="0"/>
    <x v="3"/>
    <x v="0"/>
    <x v="3"/>
    <x v="36"/>
    <x v="5"/>
    <s v="Retain - revisit at next portfolio review"/>
  </r>
  <r>
    <n v="151392"/>
    <s v="Fleet Manager (Nordics)"/>
    <s v="Fleet"/>
    <s v="Operations"/>
    <s v="External"/>
    <s v="Thomas Moreau"/>
    <s v="Varun Malhotra"/>
    <s v="Unix Platform Team"/>
    <n v="10"/>
    <d v="2021-01-18T00:00:00"/>
    <s v="Low use"/>
    <n v="5"/>
    <n v="1"/>
    <m/>
    <s v="On-prem DC"/>
    <s v="fmn-app01–04, fmn-db01"/>
    <n v="5"/>
    <s v="AIX 6.1"/>
    <s v="DB2 9.7"/>
    <s v="TBD"/>
    <d v="2017-04-30T00:00:00"/>
    <s v="Structured"/>
    <n v="260"/>
    <s v="N"/>
    <n v="2"/>
    <s v="N"/>
    <s v="None"/>
    <n v="73"/>
    <s v="N"/>
    <s v="Partial"/>
    <s v="Y"/>
    <n v="160000"/>
    <d v="2026-06-30T00:00:00"/>
    <m/>
    <m/>
    <s v=""/>
    <n v="2"/>
    <x v="4"/>
    <x v="2"/>
    <x v="3"/>
    <x v="36"/>
    <x v="4"/>
    <s v="Awaiting assessment workshop"/>
  </r>
  <r>
    <n v="38085"/>
    <s v="Regional Warehouse Mgmt System Lite"/>
    <s v="Warehouse Mgmt"/>
    <s v="Supply Chain"/>
    <s v="Internal"/>
    <s v="Hannah Weber"/>
    <s v="Sameer Joshi"/>
    <s v="Infra Ops US"/>
    <n v="404"/>
    <d v="2021-03-16T00:00:00"/>
    <s v="Active"/>
    <n v="2"/>
    <n v="3"/>
    <s v="TBD"/>
    <s v="On-prem DC"/>
    <s v="rwmapp01"/>
    <n v="1"/>
    <s v="Ubuntu 16.04"/>
    <s v="MySQL 5.7"/>
    <s v="TBD"/>
    <d v="2021-04-30T00:00:00"/>
    <s v="Structured"/>
    <n v="140"/>
    <s v="Y"/>
    <n v="7"/>
    <s v="Y"/>
    <s v="Reporting extract"/>
    <n v="4"/>
    <s v="Y"/>
    <s v="Y"/>
    <s v="N"/>
    <n v="21000"/>
    <d v="2031-09-30T00:00:00"/>
    <n v="23000"/>
    <n v="17500"/>
    <n v="15.771428571428572"/>
    <n v="2"/>
    <x v="4"/>
    <x v="1"/>
    <x v="3"/>
    <x v="36"/>
    <x v="4"/>
    <s v="Dependencies to be mapped"/>
  </r>
  <r>
    <n v="99947"/>
    <s v="Old Timesheet Portal (DE)"/>
    <s v="Time &amp; Attendance"/>
    <s v="HR"/>
    <s v="External"/>
    <s v="Meera Dubois"/>
    <s v="Ishaan Desai"/>
    <s v="Wintel Platform Team"/>
    <n v="3327"/>
    <d v="2021-03-29T00:00:00"/>
    <s v="Active"/>
    <n v="4"/>
    <n v="2"/>
    <m/>
    <s v="On-prem DC"/>
    <s v="otp-app01–04, otp-db01"/>
    <n v="5"/>
    <s v="SUSE Linux 11"/>
    <s v="TBD"/>
    <s v="TBD"/>
    <d v="2019-03-31T00:00:00"/>
    <s v="Structured"/>
    <n v="15"/>
    <s v="Y"/>
    <n v="5"/>
    <s v="N"/>
    <s v="None"/>
    <n v="5"/>
    <s v="Y"/>
    <s v="Y"/>
    <s v="N"/>
    <n v="60000"/>
    <d v="2027-07-31T00:00:00"/>
    <m/>
    <m/>
    <s v=""/>
    <n v="1"/>
    <x v="4"/>
    <x v="2"/>
    <x v="3"/>
    <x v="36"/>
    <x v="4"/>
    <s v="Awaiting assessment workshop"/>
  </r>
  <r>
    <n v="152160"/>
    <s v="Departmental AP Invoice Processor (UK)"/>
    <s v="Accounts Payable"/>
    <s v="Finance"/>
    <s v="Partner"/>
    <s v="Mateo Girard"/>
    <s v="Lena Fischer"/>
    <s v="SaaS Vendor Mgmt"/>
    <n v="877"/>
    <d v="2021-04-11T00:00:00"/>
    <s v="Active"/>
    <n v="4"/>
    <n v="2"/>
    <m/>
    <s v="SaaS"/>
    <s v="N/A (SaaS)"/>
    <n v="0"/>
    <s v="N/A"/>
    <s v="N/A"/>
    <s v="Vendor cloud (EU)"/>
    <d v="2026-01-31T00:00:00"/>
    <s v="Structured"/>
    <n v="20"/>
    <s v="N"/>
    <n v="2"/>
    <s v="Y"/>
    <s v="Read-only access"/>
    <n v="30"/>
    <s v="Partial"/>
    <s v="Partial"/>
    <s v="N"/>
    <n v="120000"/>
    <d v="2031-08-31T00:00:00"/>
    <m/>
    <m/>
    <s v=""/>
    <n v="0"/>
    <x v="3"/>
    <x v="0"/>
    <x v="3"/>
    <x v="36"/>
    <x v="5"/>
    <s v="Active user base; no replacement planned"/>
  </r>
  <r>
    <n v="53416"/>
    <s v="Regional Ticket Desk v3"/>
    <s v="Service Desk"/>
    <s v="IT"/>
    <s v="Internal"/>
    <s v="Karan Blanc"/>
    <s v="Kavya Reddy"/>
    <s v="Infra Ops EMEA"/>
    <n v="1"/>
    <d v="2020-10-13T00:00:00"/>
    <s v="Not in use"/>
    <n v="4"/>
    <n v="2"/>
    <m/>
    <s v="On-prem DC"/>
    <s v="rtdapp01, rtddb01, rtdweb01, rtdfs01"/>
    <n v="4"/>
    <s v="SUSE Linux 11"/>
    <s v="Oracle 11g"/>
    <s v="EU DC-1"/>
    <d v="2019-03-31T00:00:00"/>
    <s v="Structured"/>
    <n v="35"/>
    <s v="N"/>
    <n v="2"/>
    <s v="Y"/>
    <s v="Archive + read-only"/>
    <n v="12"/>
    <s v="N"/>
    <s v="Partial"/>
    <s v="Partial"/>
    <n v="95000"/>
    <d v="2030-03-31T00:00:00"/>
    <m/>
    <m/>
    <s v=""/>
    <n v="2"/>
    <x v="4"/>
    <x v="0"/>
    <x v="3"/>
    <x v="36"/>
    <x v="4"/>
    <s v="Dependencies to be mapped"/>
  </r>
  <r>
    <n v="75315"/>
    <s v="Global AP Invoice Processor"/>
    <s v="Accounts Payable"/>
    <s v="Finance"/>
    <s v="Internal"/>
    <s v="Antoine Patel"/>
    <s v="Hugo Perrin"/>
    <s v="SaaS Vendor Mgmt"/>
    <n v="25"/>
    <d v="2021-04-25T00:00:00"/>
    <s v="Active"/>
    <n v="3"/>
    <n v="3"/>
    <s v="TBD"/>
    <s v="SaaS"/>
    <s v="N/A (SaaS)"/>
    <n v="0"/>
    <s v="N/A"/>
    <s v="N/A"/>
    <s v="Vendor cloud (EU)"/>
    <m/>
    <s v="Unstructured"/>
    <n v="340"/>
    <s v="N"/>
    <n v="2"/>
    <s v="Y"/>
    <s v="Legal hold"/>
    <n v="7"/>
    <s v="N"/>
    <s v="Partial"/>
    <s v="Y"/>
    <n v="22500"/>
    <d v="2032-06-30T00:00:00"/>
    <m/>
    <m/>
    <s v=""/>
    <n v="0"/>
    <x v="3"/>
    <x v="0"/>
    <x v="3"/>
    <x v="36"/>
    <x v="4"/>
    <s v="Business-critical, well supported"/>
  </r>
  <r>
    <n v="122241"/>
    <s v="Legacy Intranet (SharePoint)"/>
    <s v="Collaboration"/>
    <s v="IT"/>
    <s v="Internal"/>
    <s v="Meera Dubois"/>
    <s v="Omar Haddad"/>
    <s v="SaaS Vendor Mgmt"/>
    <n v="46"/>
    <d v="2021-04-10T00:00:00"/>
    <s v="Active"/>
    <n v="5"/>
    <n v="1"/>
    <m/>
    <s v="SaaS"/>
    <s v="N/A (SaaS)"/>
    <n v="0"/>
    <s v="N/A"/>
    <s v="N/A"/>
    <s v="Vendor cloud (EU)"/>
    <m/>
    <s v="Structured"/>
    <n v="720"/>
    <s v="N"/>
    <n v="7"/>
    <s v="N"/>
    <s v="None"/>
    <n v="78"/>
    <s v="Partial"/>
    <s v="Partial"/>
    <s v="N"/>
    <n v="42500"/>
    <d v="2032-06-30T00:00:00"/>
    <m/>
    <m/>
    <s v=""/>
    <n v="0"/>
    <x v="3"/>
    <x v="2"/>
    <x v="3"/>
    <x v="36"/>
    <x v="5"/>
    <s v="Cheap &amp; healthy - retain"/>
  </r>
  <r>
    <n v="21407"/>
    <s v="Regional Cash Position Reporter"/>
    <s v="Treasury"/>
    <s v="Finance"/>
    <s v="Internal"/>
    <s v="Sara Kapoor"/>
    <s v="Kavya Reddy"/>
    <s v="Unix Platform Team"/>
    <n v="173"/>
    <d v="2021-03-18T00:00:00"/>
    <s v="Active"/>
    <n v="4"/>
    <n v="2"/>
    <m/>
    <s v="On-prem DC"/>
    <s v="rcpapp01"/>
    <n v="1"/>
    <s v="Windows Server 2012 R2"/>
    <s v="SQL Server 2014"/>
    <s v="US DC-1"/>
    <d v="2024-07-09T00:00:00"/>
    <s v="Unstructured"/>
    <n v="84"/>
    <s v="N"/>
    <n v="2"/>
    <s v="N"/>
    <s v="None"/>
    <n v="28"/>
    <s v="Y"/>
    <s v="Partial"/>
    <s v="Partial"/>
    <n v="31500"/>
    <d v="2034-03-31T00:00:00"/>
    <n v="63500"/>
    <n v="30000"/>
    <n v="25.4"/>
    <n v="0"/>
    <x v="4"/>
    <x v="2"/>
    <x v="3"/>
    <x v="36"/>
    <x v="4"/>
    <s v="Dependencies to be mapped_x000a_Blocker: Archive platform capacity not confirmed_x000a_Q: Can the enterprise archive take this volume this year?"/>
  </r>
  <r>
    <n v="64695"/>
    <s v="Corporate Sales Forecast Tool (FR)"/>
    <s v="Sales Planning"/>
    <s v="Sales"/>
    <s v="Internal"/>
    <s v="Arjun Lambert"/>
    <s v="Varun Malhotra"/>
    <s v="SaaS Vendor Mgmt"/>
    <n v="281"/>
    <d v="2021-04-09T00:00:00"/>
    <s v="Active"/>
    <n v="4"/>
    <n v="2"/>
    <s v="TBD"/>
    <s v="SaaS"/>
    <s v="N/A (SaaS)"/>
    <n v="0"/>
    <s v="N/A"/>
    <s v="N/A"/>
    <s v="Vendor cloud (EU)"/>
    <m/>
    <s v="Both"/>
    <n v="290"/>
    <s v="N"/>
    <n v="3"/>
    <s v="Y"/>
    <s v="Reporting extract"/>
    <n v="24"/>
    <s v="N"/>
    <s v="Partial"/>
    <s v="Y"/>
    <n v="85000"/>
    <d v="2027-11-30T00:00:00"/>
    <m/>
    <m/>
    <s v=""/>
    <n v="0"/>
    <x v="3"/>
    <x v="0"/>
    <x v="3"/>
    <x v="36"/>
    <x v="5"/>
    <s v="Retain - revisit at next portfolio review"/>
  </r>
  <r>
    <n v="96698"/>
    <s v="Shared Safety Incident Tracker Classic"/>
    <s v="Health &amp; Safety"/>
    <s v="Operations"/>
    <s v="Internal"/>
    <s v="Lucas Bernard"/>
    <s v="Chloe Vidal"/>
    <s v="Cloud Platform Team"/>
    <n v="24"/>
    <d v="2021-04-26T00:00:00"/>
    <s v="Low use"/>
    <n v="4"/>
    <n v="3"/>
    <m/>
    <s v="On-prem DC"/>
    <s v="fs-ssi02 (file share)"/>
    <n v="1"/>
    <s v="Windows Server 2012 R2"/>
    <s v="MS Access 2010"/>
    <s v="EU DC-2"/>
    <d v="2023-10-10T00:00:00"/>
    <s v="Structured"/>
    <n v="28"/>
    <s v="N"/>
    <n v="1"/>
    <s v="Y"/>
    <s v="Read-only access"/>
    <n v="5"/>
    <s v="Partial"/>
    <s v="Partial"/>
    <s v="Partial"/>
    <n v="37500"/>
    <d v="2029-11-30T00:00:00"/>
    <n v="22500"/>
    <n v="34500"/>
    <n v="7.8260869565217392"/>
    <n v="1"/>
    <x v="4"/>
    <x v="1"/>
    <x v="3"/>
    <x v="36"/>
    <x v="4"/>
    <s v="Owner to confirm usage before decision"/>
  </r>
  <r>
    <n v="62531"/>
    <s v="Departmental Access Request Tool Lite"/>
    <s v="Identity"/>
    <s v="IT"/>
    <s v="Internal"/>
    <s v="Marc Laurent"/>
    <s v="Rohan Bhatt"/>
    <s v="Wintel Platform Team"/>
    <n v="5"/>
    <d v="2020-02-01T00:00:00"/>
    <s v="Not in use"/>
    <n v="4"/>
    <n v="2"/>
    <m/>
    <s v="On-prem DC"/>
    <s v="dar-app01–06, dar-db01"/>
    <n v="7"/>
    <s v="Solaris 10"/>
    <s v="Oracle 11g"/>
    <s v="Plant DC"/>
    <d v="2021-01-31T00:00:00"/>
    <s v="Both"/>
    <n v="400"/>
    <s v="N"/>
    <n v="1"/>
    <s v="N"/>
    <s v="None"/>
    <n v="10"/>
    <s v="N"/>
    <s v="N"/>
    <s v="N"/>
    <n v="105000"/>
    <d v="2030-11-30T00:00:00"/>
    <n v="160000"/>
    <n v="70500"/>
    <n v="27.234042553191493"/>
    <n v="2"/>
    <x v="4"/>
    <x v="2"/>
    <x v="3"/>
    <x v="36"/>
    <x v="4"/>
    <s v="Awaiting assessment workshop"/>
  </r>
  <r>
    <n v="14926"/>
    <s v="Global CMDB Lite v4"/>
    <s v="Config Mgmt"/>
    <s v="IT"/>
    <s v="Partner"/>
    <s v="Amelie Martin"/>
    <s v="Lena Fischer"/>
    <s v="SaaS Vendor Mgmt"/>
    <n v="155"/>
    <d v="2021-04-06T00:00:00"/>
    <s v="Active"/>
    <n v="4"/>
    <n v="3"/>
    <m/>
    <s v="SaaS"/>
    <s v="N/A (SaaS)"/>
    <n v="0"/>
    <s v="N/A"/>
    <s v="N/A"/>
    <s v="Vendor cloud (EU)"/>
    <d v="2022-08-31T00:00:00"/>
    <s v="Structured"/>
    <n v="120"/>
    <s v="N"/>
    <n v="5"/>
    <s v="Y"/>
    <s v="Read-only access"/>
    <n v="4"/>
    <s v="Y"/>
    <s v="N"/>
    <s v="Partial"/>
    <n v="115000"/>
    <d v="2026-06-30T00:00:00"/>
    <n v="110500"/>
    <n v="70500"/>
    <n v="18.808510638297872"/>
    <n v="0"/>
    <x v="4"/>
    <x v="1"/>
    <x v="3"/>
    <x v="36"/>
    <x v="4"/>
    <s v="Owner to confirm usage before decision_x000a_Blocker: Vendor notice period of 12 months_x000a_Q: Can the contract end be brought forward?"/>
  </r>
  <r>
    <n v="117055"/>
    <s v="Warehouse Mgmt System (FR)"/>
    <s v="Warehouse Mgmt"/>
    <s v="Supply Chain"/>
    <s v="Partner"/>
    <s v="Neha Nair"/>
    <s v="Kavya Reddy"/>
    <s v="Database Services"/>
    <n v="668"/>
    <d v="2021-04-22T00:00:00"/>
    <s v="Active"/>
    <n v="4"/>
    <n v="2"/>
    <m/>
    <s v="PaaS"/>
    <s v="Azure App Service (PaaS)"/>
    <n v="0"/>
    <s v="N/A (PaaS)"/>
    <s v="Azure SQL"/>
    <s v="Azure West Europe"/>
    <m/>
    <s v="Structured"/>
    <n v="540"/>
    <s v="N"/>
    <n v="2"/>
    <s v="Y"/>
    <s v="Read-only access"/>
    <n v="5"/>
    <s v="Partial"/>
    <s v="Partial"/>
    <s v="Y"/>
    <n v="12500"/>
    <d v="2029-12-31T00:00:00"/>
    <m/>
    <m/>
    <s v=""/>
    <n v="0"/>
    <x v="3"/>
    <x v="0"/>
    <x v="3"/>
    <x v="36"/>
    <x v="5"/>
    <s v="Business-critical, well supported"/>
  </r>
  <r>
    <n v="177141"/>
    <s v="Corporate Partner Portal v4"/>
    <s v="Partner Mgmt"/>
    <s v="Sales"/>
    <s v="Internal"/>
    <s v="Isabelle Singh"/>
    <s v="Theo Lopez"/>
    <s v="Wintel Platform Team"/>
    <n v="192"/>
    <d v="2021-04-08T00:00:00"/>
    <s v="Active"/>
    <n v="5"/>
    <n v="2"/>
    <m/>
    <s v="IaaS"/>
    <s v="cppapp01, cppdb01, cppweb01"/>
    <n v="3"/>
    <s v="Windows Server 2016"/>
    <s v="SQL Server 2017"/>
    <s v="AWS eu-west-1"/>
    <d v="2027-01-12T00:00:00"/>
    <s v="Structured"/>
    <n v="29"/>
    <s v="Y"/>
    <n v="7"/>
    <s v="Y"/>
    <s v="Read-only access"/>
    <n v="28"/>
    <s v="Partial"/>
    <s v="N"/>
    <s v="N"/>
    <n v="35500"/>
    <d v="2030-04-30T00:00:00"/>
    <m/>
    <m/>
    <s v=""/>
    <n v="0"/>
    <x v="3"/>
    <x v="0"/>
    <x v="3"/>
    <x v="36"/>
    <x v="5"/>
    <s v="Cheap &amp; healthy - retain"/>
  </r>
  <r>
    <n v="88698"/>
    <s v="Corporate CMDB Lite (Nordics)"/>
    <s v="Config Mgmt"/>
    <s v="IT"/>
    <s v="Partner"/>
    <s v="Sara Kapoor"/>
    <s v="Louis Faure"/>
    <s v="Unix Platform Team"/>
    <n v="507"/>
    <d v="2021-03-29T00:00:00"/>
    <s v="Active"/>
    <n v="5"/>
    <n v="1"/>
    <s v="TBD"/>
    <s v="On-prem DC"/>
    <s v="ccl-app01–05, ccl-db01"/>
    <n v="6"/>
    <s v="Ubuntu 20.04"/>
    <s v="MySQL 8.0"/>
    <s v="EU DC-2"/>
    <d v="2025-04-30T00:00:00"/>
    <s v="Unstructured"/>
    <n v="2010"/>
    <s v="N"/>
    <n v="7"/>
    <s v="N"/>
    <s v="None"/>
    <n v="33"/>
    <s v="Partial"/>
    <s v="Partial"/>
    <s v="N"/>
    <n v="220000"/>
    <d v="2026-06-30T00:00:00"/>
    <m/>
    <m/>
    <s v=""/>
    <n v="0"/>
    <x v="3"/>
    <x v="2"/>
    <x v="3"/>
    <x v="36"/>
    <x v="5"/>
    <s v="Retain - revisit at next portfolio review"/>
  </r>
  <r>
    <n v="44168"/>
    <s v="Departmental Timesheet Portal v4"/>
    <s v="Time &amp; Attendance"/>
    <s v="HR"/>
    <s v="Internal"/>
    <s v="Mateo Girard"/>
    <s v="Aditi Menon"/>
    <s v="Plant IT Services"/>
    <n v="45"/>
    <d v="2021-03-16T00:00:00"/>
    <s v="Active"/>
    <n v="3"/>
    <n v="2"/>
    <m/>
    <s v="IaaS"/>
    <s v="dtpapp01, dtpdb01, dtpweb01, dtpfs01"/>
    <n v="4"/>
    <s v="RHEL 8"/>
    <s v="Oracle 19c"/>
    <s v="AWS eu-west-1"/>
    <d v="2029-05-31T00:00:00"/>
    <s v="Structured"/>
    <n v="280"/>
    <s v="Y"/>
    <n v="5"/>
    <s v="Y"/>
    <s v="Legal hold"/>
    <n v="28"/>
    <s v="Partial"/>
    <s v="Partial"/>
    <s v="N"/>
    <n v="65000"/>
    <d v="2027-06-30T00:00:00"/>
    <m/>
    <m/>
    <s v=""/>
    <n v="0"/>
    <x v="3"/>
    <x v="0"/>
    <x v="3"/>
    <x v="36"/>
    <x v="5"/>
    <s v="Strategic platform; refresh planned"/>
  </r>
  <r>
    <n v="115217"/>
    <s v="Quote Manager"/>
    <s v="Quoting"/>
    <s v="Sales"/>
    <s v="Internal"/>
    <s v="Claire Mehta"/>
    <s v="Baptiste Henry"/>
    <s v="SaaS Vendor Mgmt"/>
    <n v="4244"/>
    <d v="2021-04-18T00:00:00"/>
    <s v="Active"/>
    <n v="4"/>
    <n v="1"/>
    <s v="TBD"/>
    <s v="SaaS"/>
    <s v="N/A (SaaS)"/>
    <n v="0"/>
    <s v="N/A"/>
    <s v="N/A"/>
    <s v="Vendor cloud (EU)"/>
    <m/>
    <s v="Structured"/>
    <n v="750"/>
    <s v="N"/>
    <n v="3"/>
    <s v="Y"/>
    <s v="Data archive"/>
    <n v="79"/>
    <s v="N"/>
    <s v="Y"/>
    <s v="Partial"/>
    <n v="475000"/>
    <d v="2025-12-31T00:00:00"/>
    <m/>
    <m/>
    <s v=""/>
    <n v="0"/>
    <x v="3"/>
    <x v="0"/>
    <x v="3"/>
    <x v="36"/>
    <x v="5"/>
    <s v="Retain - revisit at next portfolio review"/>
  </r>
  <r>
    <n v="137763"/>
    <s v="Legacy AP Invoice Processor (FR)"/>
    <s v="Accounts Payable"/>
    <s v="Finance"/>
    <s v="External"/>
    <s v="Julia Rao"/>
    <s v="Hugo Perrin"/>
    <s v="Infra Ops US"/>
    <n v="109"/>
    <d v="2021-03-27T00:00:00"/>
    <s v="Active"/>
    <n v="5"/>
    <n v="1"/>
    <m/>
    <s v="On-prem DC"/>
    <s v="lai-app01–05, lai-db01"/>
    <n v="6"/>
    <s v="RHEL 7"/>
    <s v="Oracle 12c"/>
    <s v="TBD"/>
    <d v="2024-06-30T00:00:00"/>
    <s v="Both"/>
    <n v="250"/>
    <s v="Y"/>
    <n v="7"/>
    <s v="N"/>
    <s v="None"/>
    <n v="50"/>
    <s v="Partial"/>
    <s v="Y"/>
    <s v="N"/>
    <n v="85000"/>
    <d v="2027-08-31T00:00:00"/>
    <m/>
    <m/>
    <s v=""/>
    <n v="0"/>
    <x v="3"/>
    <x v="2"/>
    <x v="3"/>
    <x v="36"/>
    <x v="5"/>
    <s v="Strategic platform; refresh planned"/>
  </r>
  <r>
    <n v="152076"/>
    <s v="Corporate Inventory Control 2010"/>
    <s v="Inventory"/>
    <s v="Supply Chain"/>
    <s v="Internal"/>
    <s v="Sophie Dubois"/>
    <s v="Ananya Pillai"/>
    <s v="Database Services"/>
    <n v="21"/>
    <d v="2021-03-14T00:00:00"/>
    <s v="Low use"/>
    <n v="2"/>
    <n v="3"/>
    <s v="Manhattan WMS"/>
    <s v="On-prem DC"/>
    <s v="cicapp01, cicdb01, cicweb01"/>
    <n v="3"/>
    <s v="Windows Server 2012 R2"/>
    <s v="SQL Server 2012"/>
    <s v="US DC-1"/>
    <d v="2022-07-12T00:00:00"/>
    <s v="Unstructured"/>
    <n v="140"/>
    <s v="N"/>
    <n v="3"/>
    <s v="N"/>
    <s v="None"/>
    <n v="8"/>
    <s v="Y"/>
    <s v="Y"/>
    <s v="Y"/>
    <n v="60000"/>
    <d v="2033-09-30T00:00:00"/>
    <m/>
    <m/>
    <s v=""/>
    <n v="3"/>
    <x v="4"/>
    <x v="2"/>
    <x v="3"/>
    <x v="36"/>
    <x v="4"/>
    <s v="Dependencies to be mapped"/>
  </r>
  <r>
    <n v="36960"/>
    <s v="Shared Freight Booking Tool"/>
    <s v="Transport"/>
    <s v="Supply Chain"/>
    <s v="Internal"/>
    <s v="Amelie Martin"/>
    <s v="Lena Fischer"/>
    <s v="Cloud Platform Team"/>
    <n v="320"/>
    <d v="2021-03-30T00:00:00"/>
    <s v="Active"/>
    <n v="4"/>
    <n v="1"/>
    <s v="TBD"/>
    <s v="On-prem DC"/>
    <s v="sfb-app01–06, sfb-db01"/>
    <n v="7"/>
    <s v="Windows Server 2012 R2"/>
    <s v="SQL Server 2014"/>
    <s v="TBD"/>
    <d v="2024-07-09T00:00:00"/>
    <s v="Structured"/>
    <n v="190"/>
    <s v="N"/>
    <n v="5"/>
    <s v="N"/>
    <s v="None"/>
    <n v="84"/>
    <s v="N"/>
    <s v="Partial"/>
    <s v="Partial"/>
    <n v="345000"/>
    <d v="2032-08-31T00:00:00"/>
    <m/>
    <m/>
    <s v=""/>
    <n v="0"/>
    <x v="3"/>
    <x v="2"/>
    <x v="3"/>
    <x v="36"/>
    <x v="5"/>
    <s v="Retain - revisit at next portfolio review"/>
  </r>
  <r>
    <n v="178920"/>
    <s v="Departmental Expense Portal (US)"/>
    <s v="Expense Mgmt"/>
    <s v="Finance"/>
    <s v="Internal"/>
    <s v="Anika Patel"/>
    <s v="Tara Khanna"/>
    <s v="SaaS Vendor Mgmt"/>
    <n v="422"/>
    <d v="2021-04-26T00:00:00"/>
    <s v="Active"/>
    <n v="4"/>
    <n v="2"/>
    <m/>
    <s v="SaaS"/>
    <s v="N/A (SaaS)"/>
    <n v="0"/>
    <s v="N/A"/>
    <s v="N/A"/>
    <s v="Vendor cloud (EU)"/>
    <m/>
    <s v="Both"/>
    <n v="290"/>
    <s v="N"/>
    <n v="3"/>
    <s v="N"/>
    <s v="None"/>
    <n v="8"/>
    <s v="N"/>
    <s v="Partial"/>
    <s v="Y"/>
    <n v="65000"/>
    <d v="2032-09-30T00:00:00"/>
    <n v="60500"/>
    <n v="25000"/>
    <n v="29.04"/>
    <n v="0"/>
    <x v="4"/>
    <x v="2"/>
    <x v="3"/>
    <x v="36"/>
    <x v="4"/>
    <s v="Dependencies to be mapped_x000a_Blocker: Vendor notice period of 12 months_x000a_Q: Can the contract end be brought forward?"/>
  </r>
  <r>
    <n v="184271"/>
    <s v="Safety Incident Tracker"/>
    <s v="Health &amp; Safety"/>
    <s v="Operations"/>
    <s v="External"/>
    <s v="Antoine Patel"/>
    <s v="Remi Masson"/>
    <s v="SaaS Vendor Mgmt"/>
    <n v="107"/>
    <d v="2021-03-18T00:00:00"/>
    <s v="Active"/>
    <n v="4"/>
    <n v="1"/>
    <m/>
    <s v="SaaS"/>
    <s v="N/A (SaaS)"/>
    <n v="0"/>
    <s v="N/A"/>
    <s v="N/A"/>
    <s v="Vendor cloud (EU)"/>
    <m/>
    <s v="Unstructured"/>
    <n v="1410"/>
    <s v="N"/>
    <n v="3"/>
    <s v="Y"/>
    <s v="Read-only access"/>
    <n v="51"/>
    <s v="Y"/>
    <s v="Partial"/>
    <s v="N"/>
    <n v="120000"/>
    <d v="2029-08-31T00:00:00"/>
    <m/>
    <m/>
    <s v=""/>
    <n v="0"/>
    <x v="3"/>
    <x v="0"/>
    <x v="3"/>
    <x v="36"/>
    <x v="5"/>
    <s v="Business-critical, well supported"/>
  </r>
  <r>
    <n v="94076"/>
    <s v="Legacy Supplier Portal (US)"/>
    <s v="Supplier Mgmt"/>
    <s v="Supply Chain"/>
    <s v="Internal"/>
    <s v="Isabelle Singh"/>
    <s v="Louis Faure"/>
    <s v="Cloud Platform Team"/>
    <n v="25"/>
    <d v="2021-03-28T00:00:00"/>
    <s v="Active"/>
    <n v="5"/>
    <n v="2"/>
    <m/>
    <s v="On-prem DC"/>
    <s v="lspapp01, lspdb01"/>
    <n v="2"/>
    <s v="Windows Server 2016"/>
    <s v="TBD"/>
    <s v="TBD"/>
    <s v="TBD"/>
    <s v="Structured"/>
    <n v="590"/>
    <s v="N"/>
    <n v="3"/>
    <s v="N"/>
    <s v="None"/>
    <n v="20"/>
    <s v="Partial"/>
    <s v="Partial"/>
    <s v="Partial"/>
    <n v="75000"/>
    <d v="2027-12-31T00:00:00"/>
    <m/>
    <m/>
    <s v=""/>
    <n v="0"/>
    <x v="3"/>
    <x v="2"/>
    <x v="3"/>
    <x v="36"/>
    <x v="5"/>
    <s v="Cheap &amp; healthy - retain"/>
  </r>
  <r>
    <n v="49431"/>
    <s v="Global Budget Planner (UK)"/>
    <s v="Budgeting"/>
    <s v="Finance"/>
    <s v="Internal"/>
    <s v="Amelie Martin"/>
    <s v="Remi Masson"/>
    <s v="SaaS Vendor Mgmt"/>
    <n v="33"/>
    <d v="2021-04-11T00:00:00"/>
    <s v="Active"/>
    <n v="4"/>
    <n v="2"/>
    <m/>
    <s v="SaaS"/>
    <s v="N/A (SaaS)"/>
    <n v="0"/>
    <s v="N/A"/>
    <s v="N/A"/>
    <s v="Vendor cloud (EU)"/>
    <m/>
    <s v="Structured"/>
    <n v="49"/>
    <s v="Y"/>
    <n v="7"/>
    <s v="N"/>
    <s v="None"/>
    <n v="16"/>
    <s v="Partial"/>
    <s v="Y"/>
    <s v="Partial"/>
    <n v="130000"/>
    <d v="2033-06-30T00:00:00"/>
    <m/>
    <m/>
    <s v=""/>
    <n v="0"/>
    <x v="3"/>
    <x v="2"/>
    <x v="3"/>
    <x v="36"/>
    <x v="5"/>
    <s v="Business-critical, well supported"/>
  </r>
  <r>
    <n v="182491"/>
    <s v="Legacy Batch Scheduler (Nordics)"/>
    <s v="Batch Scheduling"/>
    <s v="IT"/>
    <s v="Internal"/>
    <s v="Camille Fontaine"/>
    <s v="Manon Chevalier"/>
    <s v="Database Services"/>
    <n v="34"/>
    <d v="2021-04-29T00:00:00"/>
    <s v="Active"/>
    <n v="5"/>
    <n v="2"/>
    <m/>
    <s v="On-prem DC"/>
    <s v="lbsapp01"/>
    <n v="1"/>
    <s v="Windows Server 2008"/>
    <s v="SQL Server 2008"/>
    <s v="Plant DC"/>
    <d v="2019-07-09T00:00:00"/>
    <s v="Both"/>
    <n v="18"/>
    <s v="N"/>
    <n v="5"/>
    <s v="N"/>
    <s v="None"/>
    <n v="23"/>
    <s v="Partial"/>
    <s v="Y"/>
    <s v="N"/>
    <n v="33500"/>
    <d v="2034-09-30T00:00:00"/>
    <m/>
    <m/>
    <s v=""/>
    <n v="1"/>
    <x v="3"/>
    <x v="2"/>
    <x v="3"/>
    <x v="36"/>
    <x v="5"/>
    <s v="Active user base; no replacement planned"/>
  </r>
  <r>
    <n v="31704"/>
    <s v="Custom Travel Booking Tool Plus"/>
    <s v="Travel"/>
    <s v="HR"/>
    <s v="Internal"/>
    <s v="Laura Martin"/>
    <s v="Ananya Pillai"/>
    <s v="Infra Ops US"/>
    <n v="82"/>
    <d v="2021-03-20T00:00:00"/>
    <s v="Active"/>
    <n v="5"/>
    <n v="2"/>
    <s v="SuccessFactors"/>
    <s v="On-prem DC"/>
    <s v="ctbapp01, ctbdb01, ctbweb01"/>
    <n v="3"/>
    <s v="SUSE Linux 11"/>
    <s v="Oracle 11g"/>
    <s v="Plant DC"/>
    <d v="2019-03-31T00:00:00"/>
    <s v="Structured"/>
    <n v="9"/>
    <s v="Y"/>
    <n v="10"/>
    <s v="N"/>
    <s v="None"/>
    <n v="8"/>
    <s v="Y"/>
    <s v="Y"/>
    <s v="Partial"/>
    <n v="85000"/>
    <d v="2027-12-31T00:00:00"/>
    <m/>
    <m/>
    <s v=""/>
    <n v="2"/>
    <x v="4"/>
    <x v="2"/>
    <x v="3"/>
    <x v="36"/>
    <x v="4"/>
    <s v="Dependencies to be mapped"/>
  </r>
  <r>
    <n v="67733"/>
    <s v="Quality Incident Log 2008"/>
    <s v="Quality"/>
    <s v="Operations"/>
    <s v="Internal"/>
    <s v="Arjun Lambert"/>
    <s v="Baptiste Henry"/>
    <s v="SaaS Vendor Mgmt"/>
    <n v="171"/>
    <d v="2021-03-29T00:00:00"/>
    <s v="Active"/>
    <n v="3"/>
    <n v="3"/>
    <m/>
    <s v="SaaS"/>
    <s v="N/A (SaaS)"/>
    <n v="0"/>
    <s v="N/A"/>
    <s v="N/A"/>
    <s v="Vendor cloud (EU)"/>
    <d v="2025-02-28T00:00:00"/>
    <s v="Structured"/>
    <n v="5980"/>
    <s v="N"/>
    <n v="7"/>
    <s v="Y"/>
    <s v="Data archive"/>
    <n v="8"/>
    <s v="Y"/>
    <s v="N"/>
    <s v="N"/>
    <n v="70000"/>
    <d v="2032-04-30T00:00:00"/>
    <m/>
    <m/>
    <s v=""/>
    <n v="0"/>
    <x v="4"/>
    <x v="0"/>
    <x v="3"/>
    <x v="36"/>
    <x v="4"/>
    <s v="Low business value; validate with owner"/>
  </r>
  <r>
    <n v="48987"/>
    <s v="Departmental Maintenance Scheduler Lite"/>
    <s v="Asset Maintenance"/>
    <s v="Operations"/>
    <s v="Partner"/>
    <s v="Marc Laurent"/>
    <s v="Rohan Bhatt"/>
    <s v="Wintel Platform Team"/>
    <n v="325"/>
    <d v="2021-04-12T00:00:00"/>
    <s v="Active"/>
    <n v="3"/>
    <n v="2"/>
    <s v="ServiceMax"/>
    <s v="On-prem DC"/>
    <s v="dmsapp01, dmsdb01"/>
    <n v="2"/>
    <s v="AIX 6.1"/>
    <s v="DB2 9.7"/>
    <s v="Plant DC"/>
    <d v="2017-04-30T00:00:00"/>
    <s v="Structured"/>
    <n v="1980"/>
    <s v="Y"/>
    <n v="5"/>
    <s v="N"/>
    <s v="None"/>
    <n v="6"/>
    <s v="Y"/>
    <s v="N"/>
    <s v="Partial"/>
    <n v="23500"/>
    <d v="2034-08-31T00:00:00"/>
    <n v="15000"/>
    <n v="19000"/>
    <n v="9.473684210526315"/>
    <n v="2"/>
    <x v="4"/>
    <x v="2"/>
    <x v="3"/>
    <x v="36"/>
    <x v="4"/>
    <s v="Awaiting assessment workshop"/>
  </r>
  <r>
    <n v="108984"/>
    <s v="Custom Fleet Manager 2010"/>
    <s v="Fleet"/>
    <s v="Operations"/>
    <s v="Internal"/>
    <s v="Oscar Lindqvist"/>
    <s v="Rohan Bhatt"/>
    <s v="Infra Ops US"/>
    <n v="14"/>
    <d v="2021-04-10T00:00:00"/>
    <s v="Low use"/>
    <n v="3"/>
    <n v="4"/>
    <m/>
    <s v="On-prem DC"/>
    <s v="cfmapp01"/>
    <n v="1"/>
    <s v="AIX 6.1"/>
    <s v="DB2 9.7"/>
    <s v="EU DC-2"/>
    <d v="2017-04-30T00:00:00"/>
    <s v="Structured"/>
    <n v="200"/>
    <s v="Y"/>
    <n v="7"/>
    <s v="Y"/>
    <s v="Read-only access"/>
    <n v="1"/>
    <s v="N"/>
    <s v="Y"/>
    <s v="Partial"/>
    <n v="35000"/>
    <d v="2029-05-31T00:00:00"/>
    <m/>
    <m/>
    <s v=""/>
    <n v="2"/>
    <x v="4"/>
    <x v="1"/>
    <x v="3"/>
    <x v="36"/>
    <x v="4"/>
    <s v="Low business value; validate with owner"/>
  </r>
  <r>
    <n v="25044"/>
    <s v="Web Analytics Mart (APAC)"/>
    <s v="Analytics"/>
    <s v="Marketing"/>
    <s v="Internal"/>
    <s v="Oscar Lindqvist"/>
    <s v="Remi Masson"/>
    <s v="Unix Platform Team"/>
    <n v="217"/>
    <d v="2021-03-24T00:00:00"/>
    <s v="Active"/>
    <n v="4"/>
    <n v="1"/>
    <m/>
    <s v="On-prem DC"/>
    <s v="wam-app01–06, wam-db01"/>
    <n v="7"/>
    <s v="Ubuntu 18.04"/>
    <s v="PostgreSQL 10"/>
    <s v="US DC-1"/>
    <d v="2023-05-31T00:00:00"/>
    <s v="Unstructured"/>
    <n v="33"/>
    <s v="N"/>
    <n v="1"/>
    <s v="Y"/>
    <s v="Archive + read-only"/>
    <n v="30"/>
    <s v="Y"/>
    <s v="N"/>
    <s v="Partial"/>
    <n v="130000"/>
    <d v="2026-10-31T00:00:00"/>
    <m/>
    <m/>
    <s v=""/>
    <n v="0"/>
    <x v="3"/>
    <x v="0"/>
    <x v="3"/>
    <x v="36"/>
    <x v="4"/>
    <s v="Cheap &amp; healthy - retain"/>
  </r>
  <r>
    <n v="63299"/>
    <s v="Safety Incident Tracker 2012"/>
    <s v="Health &amp; Safety"/>
    <s v="Operations"/>
    <s v="Internal"/>
    <s v="Anika Patel"/>
    <s v="Lena Fischer"/>
    <s v="Cloud Platform Team"/>
    <n v="717"/>
    <d v="2021-04-09T00:00:00"/>
    <s v="Active"/>
    <n v="5"/>
    <n v="2"/>
    <s v="SAP EAM"/>
    <s v="On-prem DC"/>
    <s v="sit-app01–05, sit-db01"/>
    <n v="6"/>
    <s v="Windows Server 2016"/>
    <s v="SQL Server 2017"/>
    <s v="US DC-1"/>
    <d v="2027-01-12T00:00:00"/>
    <s v="Structured"/>
    <n v="1030"/>
    <s v="Y"/>
    <n v="5"/>
    <s v="Y"/>
    <s v="Reporting extract"/>
    <n v="27"/>
    <s v="Partial"/>
    <s v="Partial"/>
    <s v="Y"/>
    <n v="70000"/>
    <d v="2031-08-31T00:00:00"/>
    <m/>
    <m/>
    <s v=""/>
    <n v="1"/>
    <x v="4"/>
    <x v="0"/>
    <x v="3"/>
    <x v="36"/>
    <x v="4"/>
    <s v="Awaiting assessment workshop"/>
  </r>
  <r>
    <n v="28600"/>
    <s v="Corporate CMDB Lite"/>
    <s v="Config Mgmt"/>
    <s v="IT"/>
    <s v="Internal"/>
    <s v="Elena Garcia"/>
    <s v="Ananya Pillai"/>
    <s v="Infra Ops EMEA"/>
    <n v="784"/>
    <d v="2021-04-24T00:00:00"/>
    <s v="Active"/>
    <n v="3"/>
    <n v="3"/>
    <m/>
    <s v="On-prem DC"/>
    <s v="cclapp01, ccldb01, cclweb01, cclfs01"/>
    <n v="4"/>
    <s v="RHEL 8"/>
    <s v="Oracle 19c"/>
    <s v="Plant DC"/>
    <s v="TBD"/>
    <s v="Structured"/>
    <n v="31"/>
    <s v="Y"/>
    <n v="7"/>
    <s v="Y"/>
    <s v="Read-only access"/>
    <n v="1"/>
    <s v="Partial"/>
    <s v="N"/>
    <s v="Y"/>
    <n v="65000"/>
    <d v="2025-02-28T00:00:00"/>
    <m/>
    <m/>
    <s v=""/>
    <n v="0"/>
    <x v="3"/>
    <x v="1"/>
    <x v="3"/>
    <x v="36"/>
    <x v="5"/>
    <s v="Retain - revisit at next portfolio review"/>
  </r>
  <r>
    <n v="173889"/>
    <s v="Legacy Intranet (SharePoint) 2010"/>
    <s v="Collaboration"/>
    <s v="IT"/>
    <s v="Internal"/>
    <s v="Julia Rao"/>
    <s v="Omar Haddad"/>
    <s v="Wintel Platform Team"/>
    <n v="24"/>
    <d v="2021-01-23T00:00:00"/>
    <s v="Low use"/>
    <n v="4"/>
    <n v="2"/>
    <m/>
    <s v="On-prem DC"/>
    <s v="lisapp01, lisdb01, lisweb01, lisfs01"/>
    <n v="4"/>
    <s v="Windows Server 2019"/>
    <s v="SQL Server 2019"/>
    <s v="EU DC-1"/>
    <d v="2029-01-09T00:00:00"/>
    <s v="Unstructured"/>
    <n v="78"/>
    <s v="N"/>
    <n v="7"/>
    <s v="Y"/>
    <s v="Reporting extract"/>
    <n v="21"/>
    <s v="N"/>
    <s v="N"/>
    <s v="N"/>
    <n v="100000"/>
    <d v="2030-12-31T00:00:00"/>
    <n v="105000"/>
    <n v="80500"/>
    <n v="15.652173913043478"/>
    <n v="1"/>
    <x v="4"/>
    <x v="0"/>
    <x v="3"/>
    <x v="36"/>
    <x v="4"/>
    <s v="Owner to confirm usage before decision_x000a_Blocker: Legal sign-off on retention_x000a_Q: Who owns the retention decision for archived records?"/>
  </r>
  <r>
    <n v="124770"/>
    <s v="Corporate Website CMS 2008"/>
    <s v="Web"/>
    <s v="Marketing"/>
    <s v="Internal"/>
    <s v="Mateo Girard"/>
    <s v="Theo Lopez"/>
    <s v="Cloud Platform Team"/>
    <n v="22"/>
    <d v="2020-12-03T00:00:00"/>
    <s v="Low use"/>
    <n v="1"/>
    <n v="4"/>
    <s v="Adobe Experience Manager"/>
    <s v="On-prem DC"/>
    <s v="cwcapp01, cwcdb01"/>
    <n v="2"/>
    <s v="TBD"/>
    <s v="SQL Server 2019"/>
    <s v="EU DC-2"/>
    <d v="2029-01-09T00:00:00"/>
    <s v="Structured"/>
    <n v="1960"/>
    <s v="N"/>
    <n v="3"/>
    <s v="N"/>
    <s v="None"/>
    <n v="3"/>
    <s v="Partial"/>
    <s v="Y"/>
    <s v="Y"/>
    <n v="36000"/>
    <d v="2032-08-31T00:00:00"/>
    <n v="67500"/>
    <n v="20500"/>
    <n v="39.512195121951216"/>
    <n v="3"/>
    <x v="4"/>
    <x v="2"/>
    <x v="3"/>
    <x v="36"/>
    <x v="4"/>
    <s v="Owner to confirm usage before decision"/>
  </r>
  <r>
    <n v="76841"/>
    <s v="Supplier Portal Classic"/>
    <s v="Supplier Mgmt"/>
    <s v="Supply Chain"/>
    <s v="Internal"/>
    <s v="Isabelle Singh"/>
    <s v="Theo Lopez"/>
    <s v="Cloud Platform Team"/>
    <n v="747"/>
    <d v="2021-03-28T00:00:00"/>
    <s v="Active"/>
    <n v="3"/>
    <n v="2"/>
    <m/>
    <s v="On-prem DC"/>
    <s v="fs-spc02 (file share)"/>
    <n v="1"/>
    <s v="Windows Server 2012 R2"/>
    <s v="MS Access 2010"/>
    <s v="US DC-1"/>
    <d v="2023-10-10T00:00:00"/>
    <s v="Structured"/>
    <n v="280"/>
    <s v="N"/>
    <n v="7"/>
    <s v="N"/>
    <s v="None"/>
    <n v="29"/>
    <s v="Partial"/>
    <s v="Partial"/>
    <s v="N"/>
    <n v="33500"/>
    <d v="2026-06-30T00:00:00"/>
    <m/>
    <m/>
    <s v=""/>
    <n v="0"/>
    <x v="4"/>
    <x v="2"/>
    <x v="3"/>
    <x v="36"/>
    <x v="4"/>
    <s v="Awaiting assessment workshop"/>
  </r>
  <r>
    <n v="162724"/>
    <s v="Custom Newsletter Mailer (APAC)"/>
    <s v="Email"/>
    <s v="Marketing"/>
    <s v="Internal"/>
    <s v="Meera Dubois"/>
    <s v="Louis Faure"/>
    <s v="Unix Platform Team"/>
    <n v="370"/>
    <d v="2021-03-25T00:00:00"/>
    <s v="Active"/>
    <n v="4"/>
    <n v="2"/>
    <m/>
    <s v="IaaS"/>
    <s v="cnmapp01"/>
    <n v="1"/>
    <s v="RHEL 8"/>
    <s v="PostgreSQL 12"/>
    <s v="AWS us-east-1"/>
    <d v="2029-05-31T00:00:00"/>
    <s v="Structured"/>
    <n v="220"/>
    <s v="N"/>
    <n v="3"/>
    <s v="Y"/>
    <s v="Legal hold"/>
    <n v="15"/>
    <s v="N"/>
    <s v="Partial"/>
    <s v="Y"/>
    <n v="19500"/>
    <d v="2032-01-31T00:00:00"/>
    <m/>
    <m/>
    <s v=""/>
    <n v="0"/>
    <x v="3"/>
    <x v="0"/>
    <x v="3"/>
    <x v="36"/>
    <x v="5"/>
    <s v="Cheap &amp; healthy - retain"/>
  </r>
  <r>
    <n v="55151"/>
    <s v="Corporate Expense Portal (US)"/>
    <s v="Expense Mgmt"/>
    <s v="Finance"/>
    <s v="Internal"/>
    <s v="Thomas Moreau"/>
    <s v="Chloe Vidal"/>
    <s v="Database Services"/>
    <n v="46"/>
    <d v="2021-04-07T00:00:00"/>
    <s v="Active"/>
    <n v="3"/>
    <n v="4"/>
    <m/>
    <s v="On-prem DC"/>
    <s v="cepapp01, cepdb01"/>
    <n v="2"/>
    <s v="Windows Server 2016"/>
    <s v="SQL Server 2016"/>
    <s v="EU DC-1"/>
    <d v="2026-07-14T00:00:00"/>
    <s v="Both"/>
    <n v="19"/>
    <s v="Y"/>
    <n v="10"/>
    <s v="Y"/>
    <s v="Data archive"/>
    <n v="0"/>
    <s v="Y"/>
    <s v="Partial"/>
    <s v="N"/>
    <n v="44500"/>
    <d v="2030-11-30T00:00:00"/>
    <m/>
    <m/>
    <s v=""/>
    <n v="0"/>
    <x v="3"/>
    <x v="1"/>
    <x v="3"/>
    <x v="36"/>
    <x v="5"/>
    <s v="Business-critical, well supported"/>
  </r>
  <r>
    <n v="178632"/>
    <s v="Departmental Access Request Tool Plus"/>
    <s v="Identity"/>
    <s v="IT"/>
    <s v="Internal"/>
    <s v="Elena Garcia"/>
    <s v="Manon Chevalier"/>
    <s v="Cloud Platform Team"/>
    <n v="71"/>
    <d v="2021-03-20T00:00:00"/>
    <s v="Active"/>
    <n v="5"/>
    <n v="2"/>
    <m/>
    <s v="On-prem DC"/>
    <s v="dar-app01–07, dar-db01"/>
    <n v="8"/>
    <s v="Windows Server 2012 R2"/>
    <s v="SQL Server 2014"/>
    <s v="US DC-1"/>
    <d v="2024-07-09T00:00:00"/>
    <s v="Structured"/>
    <n v="13"/>
    <s v="Y"/>
    <n v="10"/>
    <s v="N"/>
    <s v="None"/>
    <n v="5"/>
    <s v="Partial"/>
    <s v="Y"/>
    <s v="Partial"/>
    <n v="190000"/>
    <d v="2031-05-31T00:00:00"/>
    <m/>
    <m/>
    <s v=""/>
    <n v="0"/>
    <x v="3"/>
    <x v="2"/>
    <x v="3"/>
    <x v="36"/>
    <x v="5"/>
    <s v="Strategic platform; refresh planned"/>
  </r>
  <r>
    <n v="62501"/>
    <s v="Custom Tax Compliance Tool v4"/>
    <s v="Tax"/>
    <s v="Finance"/>
    <s v="Internal"/>
    <s v="Camille Fontaine"/>
    <s v="Chloe Vidal"/>
    <s v="Infra Ops US"/>
    <n v="168"/>
    <d v="2021-04-09T00:00:00"/>
    <s v="Active"/>
    <n v="2"/>
    <n v="4"/>
    <s v="TBD"/>
    <s v="On-prem DC"/>
    <s v="ctcapp01, ctcdb01"/>
    <n v="2"/>
    <s v="Windows Server 2008"/>
    <s v="TBD"/>
    <s v="Plant DC"/>
    <d v="2019-07-09T00:00:00"/>
    <s v="Structured"/>
    <n v="2810"/>
    <s v="Y"/>
    <n v="7"/>
    <s v="Y"/>
    <s v="Read-only access"/>
    <n v="3"/>
    <s v="N"/>
    <s v="Partial"/>
    <s v="N"/>
    <n v="42000"/>
    <d v="2030-08-31T00:00:00"/>
    <n v="84000"/>
    <n v="26500"/>
    <n v="38.037735849056602"/>
    <n v="2"/>
    <x v="4"/>
    <x v="0"/>
    <x v="3"/>
    <x v="36"/>
    <x v="4"/>
    <s v="Awaiting assessment workshop"/>
  </r>
  <r>
    <n v="101060"/>
    <s v="Custom Inventory Control v4"/>
    <s v="Inventory"/>
    <s v="Supply Chain"/>
    <s v="External"/>
    <s v="Fatima Khan"/>
    <s v="Aditi Menon"/>
    <s v="Plant IT Services"/>
    <n v="7"/>
    <d v="2021-01-11T00:00:00"/>
    <s v="Low use"/>
    <n v="1"/>
    <n v="3"/>
    <m/>
    <s v="On-prem DC"/>
    <s v="cicapp01"/>
    <n v="1"/>
    <s v="Windows Server 2008 R2"/>
    <s v="SQL Server 2008 R2"/>
    <s v="US DC-1"/>
    <d v="2020-01-14T00:00:00"/>
    <s v="Structured"/>
    <n v="450"/>
    <s v="N"/>
    <n v="5"/>
    <s v="Y"/>
    <s v="Reporting extract"/>
    <n v="3"/>
    <s v="N"/>
    <s v="N"/>
    <s v="Y"/>
    <n v="31000"/>
    <d v="2029-10-31T00:00:00"/>
    <n v="38500"/>
    <n v="27000"/>
    <n v="17.111111111111111"/>
    <n v="3"/>
    <x v="4"/>
    <x v="1"/>
    <x v="3"/>
    <x v="36"/>
    <x v="4"/>
    <s v="Dependencies to be mapped_x000a_Blocker: Archive platform capacity not confirmed_x000a_Q: Can the enterprise archive take this volume this year?"/>
  </r>
  <r>
    <n v="170180"/>
    <s v="Regional Facilities Request Portal Classic"/>
    <s v="Facilities"/>
    <s v="Operations"/>
    <s v="Internal"/>
    <s v="Vikram Rao"/>
    <s v="Sameer Joshi"/>
    <s v="Unix Platform Team"/>
    <n v="97"/>
    <d v="2021-04-19T00:00:00"/>
    <s v="Active"/>
    <n v="3"/>
    <n v="3"/>
    <m/>
    <s v="On-prem DC"/>
    <s v="rfrapp01, rfrdb01"/>
    <n v="2"/>
    <s v="Ubuntu 18.04"/>
    <s v="PostgreSQL 10"/>
    <s v="US DC-1"/>
    <d v="2023-05-31T00:00:00"/>
    <s v="Unstructured"/>
    <n v="160"/>
    <s v="N"/>
    <n v="2"/>
    <s v="Y"/>
    <s v="Data archive"/>
    <n v="2"/>
    <s v="N"/>
    <s v="Partial"/>
    <s v="Y"/>
    <n v="32000"/>
    <d v="2027-04-30T00:00:00"/>
    <n v="19500"/>
    <n v="29500"/>
    <n v="7.9322033898305087"/>
    <n v="0"/>
    <x v="4"/>
    <x v="1"/>
    <x v="3"/>
    <x v="36"/>
    <x v="4"/>
    <s v="Owner to confirm usage before decision"/>
  </r>
  <r>
    <n v="144494"/>
    <s v="Old Price List Manager (DE)"/>
    <s v="Pricing"/>
    <s v="Sales"/>
    <s v="Internal"/>
    <s v="Isabelle Singh"/>
    <s v="Varun Malhotra"/>
    <s v="SaaS Vendor Mgmt"/>
    <n v="11"/>
    <d v="2021-03-01T00:00:00"/>
    <s v="Low use"/>
    <n v="3"/>
    <n v="2"/>
    <m/>
    <s v="SaaS"/>
    <s v="N/A (SaaS)"/>
    <n v="0"/>
    <s v="N/A"/>
    <s v="N/A"/>
    <s v="Vendor cloud (EU)"/>
    <d v="2025-08-31T00:00:00"/>
    <s v="Structured"/>
    <n v="240"/>
    <s v="Y"/>
    <n v="10"/>
    <s v="Y"/>
    <s v="Data archive"/>
    <n v="13"/>
    <s v="Y"/>
    <s v="Y"/>
    <s v="Partial"/>
    <n v="185000"/>
    <d v="2030-09-30T00:00:00"/>
    <m/>
    <m/>
    <s v=""/>
    <n v="1"/>
    <x v="4"/>
    <x v="0"/>
    <x v="3"/>
    <x v="36"/>
    <x v="4"/>
    <s v="Awaiting assessment workshop"/>
  </r>
  <r>
    <n v="171881"/>
    <s v="Timesheet Portal 2012"/>
    <s v="Time &amp; Attendance"/>
    <s v="HR"/>
    <s v="Internal"/>
    <s v="Amelie Martin"/>
    <s v="Ishaan Desai"/>
    <s v="Database Services"/>
    <n v="426"/>
    <d v="2021-04-23T00:00:00"/>
    <s v="Active"/>
    <n v="3"/>
    <n v="4"/>
    <m/>
    <s v="On-prem DC"/>
    <s v="tpxapp01, tpxdb01, tpxweb01, tpxfs01"/>
    <n v="4"/>
    <s v="Ubuntu 16.04"/>
    <s v="MySQL 5.7"/>
    <s v="US DC-1"/>
    <d v="2021-04-30T00:00:00"/>
    <s v="Structured"/>
    <n v="190"/>
    <s v="Y"/>
    <n v="7"/>
    <s v="Y"/>
    <s v="Data archive"/>
    <n v="0"/>
    <s v="N"/>
    <s v="Partial"/>
    <s v="Partial"/>
    <n v="65000"/>
    <d v="2030-11-30T00:00:00"/>
    <m/>
    <m/>
    <s v=""/>
    <n v="1"/>
    <x v="4"/>
    <x v="1"/>
    <x v="3"/>
    <x v="36"/>
    <x v="4"/>
    <s v="Owner to confirm usage before decision"/>
  </r>
  <r>
    <n v="119231"/>
    <s v="Custom Customer Contact Manager 2008"/>
    <s v="CRM"/>
    <s v="Sales"/>
    <s v="Internal"/>
    <s v="Vikram Rao"/>
    <s v="Remi Masson"/>
    <s v="SaaS Vendor Mgmt"/>
    <n v="1406"/>
    <d v="2021-03-25T00:00:00"/>
    <s v="Active"/>
    <n v="5"/>
    <n v="2"/>
    <m/>
    <s v="SaaS"/>
    <s v="N/A (SaaS)"/>
    <n v="0"/>
    <s v="N/A"/>
    <s v="N/A"/>
    <s v="Vendor cloud (EU)"/>
    <d v="2025-01-31T00:00:00"/>
    <s v="Unstructured"/>
    <n v="16"/>
    <s v="Y"/>
    <n v="10"/>
    <s v="N"/>
    <s v="None"/>
    <n v="30"/>
    <s v="Y"/>
    <s v="N"/>
    <s v="N"/>
    <n v="200000"/>
    <d v="2026-01-31T00:00:00"/>
    <m/>
    <m/>
    <s v=""/>
    <n v="0"/>
    <x v="3"/>
    <x v="2"/>
    <x v="3"/>
    <x v="36"/>
    <x v="4"/>
    <s v="Business-critical, well supported"/>
  </r>
  <r>
    <n v="27818"/>
    <s v="Global Partner Portal v2"/>
    <s v="Partner Mgmt"/>
    <s v="Sales"/>
    <s v="Internal"/>
    <s v="Diego Alvarez"/>
    <s v="Rohan Bhatt"/>
    <s v="Plant IT Services"/>
    <n v="119"/>
    <d v="2021-04-01T00:00:00"/>
    <s v="Active"/>
    <n v="4"/>
    <n v="3"/>
    <m/>
    <s v="On-prem DC"/>
    <s v="gppapp01, gppdb01"/>
    <n v="2"/>
    <s v="AIX 6.1"/>
    <s v="DB2 9.7"/>
    <s v="US DC-1"/>
    <d v="2017-04-30T00:00:00"/>
    <s v="Both"/>
    <n v="50"/>
    <s v="Y"/>
    <n v="7"/>
    <s v="N"/>
    <s v="None"/>
    <n v="3"/>
    <s v="Partial"/>
    <s v="Partial"/>
    <s v="N"/>
    <n v="37000"/>
    <d v="2030-12-31T00:00:00"/>
    <m/>
    <m/>
    <s v=""/>
    <n v="1"/>
    <x v="4"/>
    <x v="2"/>
    <x v="3"/>
    <x v="36"/>
    <x v="4"/>
    <s v="Dependencies to be mapped"/>
  </r>
  <r>
    <n v="42885"/>
    <s v="Departmental Purchase Order System"/>
    <s v="Procurement"/>
    <s v="Supply Chain"/>
    <s v="Internal"/>
    <s v="Thomas Moreau"/>
    <s v="Baptiste Henry"/>
    <s v="Database Services"/>
    <n v="3"/>
    <d v="2021-02-03T00:00:00"/>
    <s v="Low use"/>
    <n v="3"/>
    <n v="2"/>
    <m/>
    <s v="On-prem DC"/>
    <s v="dpo-app01–04, dpo-db01"/>
    <n v="5"/>
    <s v="Ubuntu 18.04"/>
    <s v="PostgreSQL 10"/>
    <s v="EU DC-1"/>
    <s v="TBD"/>
    <s v="Unstructured"/>
    <n v="440"/>
    <s v="N"/>
    <n v="1"/>
    <s v="N"/>
    <s v="None"/>
    <n v="28"/>
    <s v="Y"/>
    <s v="Y"/>
    <s v="Y"/>
    <n v="55000"/>
    <d v="2025-12-31T00:00:00"/>
    <m/>
    <m/>
    <s v=""/>
    <n v="1"/>
    <x v="4"/>
    <x v="2"/>
    <x v="3"/>
    <x v="36"/>
    <x v="4"/>
    <s v="Low business value; validate with owner_x000a_Blocker: Replacement rollout dependency_x000a_Q: What is the go-live date of the target platform?"/>
  </r>
  <r>
    <n v="187996"/>
    <s v="CMDB Lite v3"/>
    <s v="Config Mgmt"/>
    <s v="IT"/>
    <s v="Partner"/>
    <s v="Yuki Tanaka"/>
    <s v="Louis Faure"/>
    <s v="Infra Ops EMEA"/>
    <n v="105"/>
    <d v="2021-04-19T00:00:00"/>
    <s v="Active"/>
    <n v="5"/>
    <n v="1"/>
    <m/>
    <s v="On-prem DC"/>
    <s v="clvapp01, clvdb01"/>
    <n v="2"/>
    <s v="Ubuntu 20.04"/>
    <s v="MySQL 8.0"/>
    <s v="TBD"/>
    <d v="2025-04-30T00:00:00"/>
    <s v="Unstructured"/>
    <n v="230"/>
    <s v="N"/>
    <n v="3"/>
    <s v="Y"/>
    <s v="Archive + read-only"/>
    <n v="52"/>
    <s v="N"/>
    <s v="Y"/>
    <s v="N"/>
    <n v="140000"/>
    <d v="2035-05-31T00:00:00"/>
    <m/>
    <m/>
    <s v=""/>
    <n v="0"/>
    <x v="3"/>
    <x v="0"/>
    <x v="3"/>
    <x v="36"/>
    <x v="5"/>
    <s v="Retain - revisit at next portfolio review"/>
  </r>
  <r>
    <n v="58713"/>
    <s v="Supplier Portal 2008"/>
    <s v="Supplier Mgmt"/>
    <s v="Supply Chain"/>
    <s v="External"/>
    <s v="Laura Martin"/>
    <s v="Omar Haddad"/>
    <s v="Infra Ops US"/>
    <n v="73"/>
    <d v="2021-04-04T00:00:00"/>
    <s v="Active"/>
    <n v="4"/>
    <n v="3"/>
    <m/>
    <s v="On-prem DC"/>
    <s v="spxapp01, spxdb01, spxweb01, spxfs01"/>
    <n v="4"/>
    <s v="RHEL 6"/>
    <s v="Oracle 11g"/>
    <s v="US DC-1"/>
    <d v="2020-11-30T00:00:00"/>
    <s v="Structured"/>
    <n v="59"/>
    <s v="N"/>
    <n v="1"/>
    <s v="N"/>
    <s v="None"/>
    <n v="8"/>
    <s v="Partial"/>
    <s v="Y"/>
    <s v="N"/>
    <n v="75000"/>
    <d v="2035-06-30T00:00:00"/>
    <n v="48000"/>
    <n v="63000"/>
    <n v="9.1428571428571423"/>
    <n v="1"/>
    <x v="4"/>
    <x v="2"/>
    <x v="3"/>
    <x v="36"/>
    <x v="4"/>
    <s v="Owner to confirm usage before decision"/>
  </r>
  <r>
    <n v="80421"/>
    <s v="Global GL Consolidation Tool (DE)"/>
    <s v="General Ledger"/>
    <s v="Finance"/>
    <s v="Internal"/>
    <s v="Diego Alvarez"/>
    <s v="Lena Fischer"/>
    <s v="Cloud Platform Team"/>
    <n v="100"/>
    <d v="2021-04-16T00:00:00"/>
    <s v="Active"/>
    <n v="4"/>
    <n v="2"/>
    <s v="SAP S/4HANA"/>
    <s v="IaaS"/>
    <s v="ggcapp01, ggcdb01, ggcweb01"/>
    <n v="3"/>
    <s v="HP-UX 11i v3"/>
    <s v="Sybase ASE 15.7"/>
    <s v="Azure West Europe"/>
    <d v="2021-12-31T00:00:00"/>
    <s v="Structured"/>
    <n v="1100"/>
    <s v="N"/>
    <n v="1"/>
    <s v="N"/>
    <s v="None"/>
    <n v="9"/>
    <s v="N"/>
    <s v="N"/>
    <s v="Partial"/>
    <n v="40000"/>
    <d v="2035-08-31T00:00:00"/>
    <n v="67000"/>
    <n v="29000"/>
    <n v="27.724137931034484"/>
    <n v="2"/>
    <x v="4"/>
    <x v="2"/>
    <x v="3"/>
    <x v="36"/>
    <x v="4"/>
    <s v="Dependencies to be mapped_x000a_Blocker: Archive platform capacity not confirmed_x000a_Q: Can the enterprise archive take this volume this year?"/>
  </r>
  <r>
    <n v="64318"/>
    <s v="Corporate Facilities Request Portal v3"/>
    <s v="Facilities"/>
    <s v="Operations"/>
    <s v="Internal"/>
    <s v="Nicolas Sharma"/>
    <s v="Baptiste Henry"/>
    <s v="Plant IT Services"/>
    <n v="133"/>
    <d v="2021-03-19T00:00:00"/>
    <s v="Active"/>
    <n v="5"/>
    <n v="1"/>
    <m/>
    <s v="PaaS"/>
    <s v="Azure App Service (PaaS)"/>
    <n v="0"/>
    <s v="N/A (PaaS)"/>
    <s v="Azure SQL"/>
    <s v="Azure West Europe"/>
    <d v="2022-06-30T00:00:00"/>
    <s v="Both"/>
    <n v="160"/>
    <s v="Y"/>
    <n v="10"/>
    <s v="N"/>
    <s v="None"/>
    <n v="74"/>
    <s v="N"/>
    <s v="Y"/>
    <s v="Partial"/>
    <n v="13500"/>
    <d v="2029-06-30T00:00:00"/>
    <m/>
    <m/>
    <s v=""/>
    <n v="0"/>
    <x v="3"/>
    <x v="2"/>
    <x v="3"/>
    <x v="36"/>
    <x v="5"/>
    <s v="Retain - revisit at next portfolio review"/>
  </r>
  <r>
    <n v="173772"/>
    <s v="Departmental Payroll Interface"/>
    <s v="Payroll"/>
    <s v="HR"/>
    <s v="Internal"/>
    <s v="Julia Rao"/>
    <s v="Chloe Vidal"/>
    <s v="SaaS Vendor Mgmt"/>
    <n v="476"/>
    <d v="2021-03-25T00:00:00"/>
    <s v="Active"/>
    <n v="4"/>
    <n v="2"/>
    <m/>
    <s v="SaaS"/>
    <s v="N/A (SaaS)"/>
    <n v="0"/>
    <s v="N/A"/>
    <s v="N/A"/>
    <s v="Vendor cloud (EU)"/>
    <m/>
    <s v="Structured"/>
    <n v="1760"/>
    <s v="N"/>
    <n v="3"/>
    <s v="Y"/>
    <s v="Data archive"/>
    <n v="24"/>
    <s v="N"/>
    <s v="N"/>
    <s v="N"/>
    <n v="125000"/>
    <d v="2032-12-31T00:00:00"/>
    <m/>
    <m/>
    <s v=""/>
    <n v="0"/>
    <x v="3"/>
    <x v="0"/>
    <x v="3"/>
    <x v="36"/>
    <x v="5"/>
    <s v="Business-critical, well supported"/>
  </r>
  <r>
    <n v="38136"/>
    <s v="Regional Quality Incident Log (DE)"/>
    <s v="Quality"/>
    <s v="Operations"/>
    <s v="Internal"/>
    <s v="Vikram Rao"/>
    <s v="Ishaan Desai"/>
    <s v="Plant IT Services"/>
    <n v="36"/>
    <d v="2021-03-20T00:00:00"/>
    <s v="Active"/>
    <n v="3"/>
    <n v="4"/>
    <m/>
    <s v="On-prem DC"/>
    <s v="rqiapp01, rqidb01"/>
    <n v="2"/>
    <s v="RHEL 8"/>
    <s v="PostgreSQL 12"/>
    <s v="EU DC-1"/>
    <d v="2029-05-31T00:00:00"/>
    <s v="Structured"/>
    <n v="1580"/>
    <s v="N"/>
    <n v="3"/>
    <s v="Y"/>
    <s v="Archive + read-only"/>
    <n v="2"/>
    <s v="N"/>
    <s v="Y"/>
    <s v="Partial"/>
    <n v="41000"/>
    <d v="2033-11-30T00:00:00"/>
    <m/>
    <m/>
    <s v=""/>
    <n v="0"/>
    <x v="4"/>
    <x v="0"/>
    <x v="3"/>
    <x v="36"/>
    <x v="4"/>
    <s v="Owner to confirm usage before decision"/>
  </r>
  <r>
    <n v="175008"/>
    <s v="Sales Forecast Tool (DE)"/>
    <s v="Sales Planning"/>
    <s v="Sales"/>
    <s v="Internal"/>
    <s v="Julien Petit"/>
    <s v="Rohan Bhatt"/>
    <s v="Wintel Platform Team"/>
    <n v="1632"/>
    <d v="2021-03-15T00:00:00"/>
    <s v="Active"/>
    <n v="3"/>
    <n v="4"/>
    <m/>
    <s v="On-prem DC"/>
    <s v="sftapp01, sftdb01, sftweb01"/>
    <n v="3"/>
    <s v="TBD"/>
    <s v="PostgreSQL 10"/>
    <s v="EU DC-2"/>
    <d v="2023-05-31T00:00:00"/>
    <s v="Both"/>
    <n v="260"/>
    <s v="Y"/>
    <n v="10"/>
    <s v="N"/>
    <s v="None"/>
    <n v="2"/>
    <s v="Partial"/>
    <s v="N"/>
    <s v="N"/>
    <n v="18500"/>
    <d v="2035-08-31T00:00:00"/>
    <n v="13500"/>
    <n v="13500"/>
    <n v="12"/>
    <n v="0"/>
    <x v="4"/>
    <x v="2"/>
    <x v="3"/>
    <x v="36"/>
    <x v="4"/>
    <s v="Low business value; validate with owner"/>
  </r>
  <r>
    <n v="123124"/>
    <s v="Global Contract Repository"/>
    <s v="Contract Mgmt"/>
    <s v="Finance"/>
    <s v="Internal"/>
    <s v="Camille Fontaine"/>
    <s v="Chloe Vidal"/>
    <s v="Infra Ops US"/>
    <n v="7"/>
    <d v="2021-03-16T00:00:00"/>
    <s v="Low use"/>
    <n v="3"/>
    <n v="4"/>
    <m/>
    <s v="On-prem DC"/>
    <s v="gcrapp01, gcrdb01"/>
    <n v="2"/>
    <s v="Windows Server 2008"/>
    <s v="SQL Server 2008"/>
    <s v="US DC-1"/>
    <s v="TBD"/>
    <s v="Structured"/>
    <n v="340"/>
    <s v="Y"/>
    <n v="5"/>
    <s v="Y"/>
    <s v="Reporting extract"/>
    <n v="3"/>
    <s v="N"/>
    <s v="Partial"/>
    <s v="Partial"/>
    <n v="33500"/>
    <d v="2031-09-30T00:00:00"/>
    <m/>
    <m/>
    <s v=""/>
    <n v="1"/>
    <x v="4"/>
    <x v="1"/>
    <x v="3"/>
    <x v="36"/>
    <x v="4"/>
    <s v="Dependencies to be mapped"/>
  </r>
  <r>
    <n v="150052"/>
    <s v="Departmental Document Repository v2"/>
    <s v="Document Mgmt"/>
    <s v="IT"/>
    <s v="External"/>
    <s v="Camille Fontaine"/>
    <s v="Louis Faure"/>
    <s v="Wintel Platform Team"/>
    <n v="27"/>
    <d v="2021-03-31T00:00:00"/>
    <s v="Active"/>
    <n v="2"/>
    <n v="4"/>
    <s v="Splunk"/>
    <s v="IaaS"/>
    <s v="ddrapp01"/>
    <n v="1"/>
    <s v="Windows Server 2016"/>
    <s v="SQL Server 2016"/>
    <s v="Azure West Europe"/>
    <d v="2026-07-14T00:00:00"/>
    <s v="Structured"/>
    <n v="47"/>
    <s v="N"/>
    <n v="7"/>
    <s v="Y"/>
    <s v="Archive + read-only"/>
    <n v="0"/>
    <s v="Partial"/>
    <s v="N"/>
    <s v="Y"/>
    <n v="15000"/>
    <d v="2030-06-30T00:00:00"/>
    <m/>
    <m/>
    <s v=""/>
    <n v="2"/>
    <x v="4"/>
    <x v="1"/>
    <x v="3"/>
    <x v="36"/>
    <x v="4"/>
    <s v="Low business value; validate with owner"/>
  </r>
  <r>
    <n v="56769"/>
    <s v="Custom Leave Manager Plus"/>
    <s v="Leave Mgmt"/>
    <s v="HR"/>
    <s v="Internal"/>
    <s v="Oscar Lindqvist"/>
    <s v="Louis Faure"/>
    <s v="Cloud Platform Team"/>
    <n v="16"/>
    <d v="2020-12-08T00:00:00"/>
    <s v="Low use"/>
    <n v="4"/>
    <n v="2"/>
    <s v="Cornerstone"/>
    <s v="IaaS"/>
    <s v="clmapp01, clmdb01, clmweb01, clmfs01"/>
    <n v="4"/>
    <s v="Ubuntu 16.04"/>
    <s v="MySQL 5.7"/>
    <s v="Azure West Europe"/>
    <d v="2021-04-30T00:00:00"/>
    <s v="Structured"/>
    <n v="15"/>
    <s v="Y"/>
    <n v="5"/>
    <s v="Y"/>
    <s v="Data archive"/>
    <n v="19"/>
    <s v="N"/>
    <s v="Partial"/>
    <s v="N"/>
    <n v="70000"/>
    <d v="2030-10-31T00:00:00"/>
    <m/>
    <m/>
    <s v=""/>
    <n v="3"/>
    <x v="4"/>
    <x v="0"/>
    <x v="3"/>
    <x v="36"/>
    <x v="4"/>
    <s v="Dependencies to be mapped"/>
  </r>
  <r>
    <n v="53183"/>
    <s v="Global Price List Manager 2012"/>
    <s v="Pricing"/>
    <s v="Sales"/>
    <s v="Internal"/>
    <s v="Amelie Martin"/>
    <s v="Ananya Pillai"/>
    <s v="Wintel Platform Team"/>
    <n v="40"/>
    <d v="2021-04-04T00:00:00"/>
    <s v="Active"/>
    <n v="5"/>
    <n v="2"/>
    <m/>
    <s v="On-prem DC"/>
    <s v="gpl-app01–07, gpl-db01"/>
    <n v="8"/>
    <s v="Ubuntu 16.04"/>
    <s v="MySQL 5.7"/>
    <s v="TBD"/>
    <d v="2021-04-30T00:00:00"/>
    <s v="Both"/>
    <n v="480"/>
    <s v="Y"/>
    <n v="5"/>
    <s v="Y"/>
    <s v="Legal hold"/>
    <n v="14"/>
    <s v="Partial"/>
    <s v="Partial"/>
    <s v="Partial"/>
    <n v="125000"/>
    <d v="2028-04-30T00:00:00"/>
    <m/>
    <m/>
    <s v=""/>
    <n v="1"/>
    <x v="3"/>
    <x v="0"/>
    <x v="3"/>
    <x v="36"/>
    <x v="5"/>
    <s v="Cheap &amp; healthy - retain"/>
  </r>
  <r>
    <n v="89099"/>
    <s v="Departmental Safety Incident Tracker (APAC)"/>
    <s v="Health &amp; Safety"/>
    <s v="Operations"/>
    <s v="Internal"/>
    <s v="Marc Laurent"/>
    <s v="Ananya Pillai"/>
    <s v="Unix Platform Team"/>
    <n v="343"/>
    <d v="2021-04-25T00:00:00"/>
    <s v="Active"/>
    <n v="3"/>
    <n v="3"/>
    <m/>
    <s v="On-prem DC"/>
    <s v="fs-dsi02 (file share)"/>
    <n v="1"/>
    <s v="Windows Server 2012 R2"/>
    <s v="MS Access 2010"/>
    <s v="Plant DC"/>
    <d v="2023-10-10T00:00:00"/>
    <s v="Both"/>
    <n v="26"/>
    <s v="N"/>
    <n v="3"/>
    <s v="Y"/>
    <s v="Read-only access"/>
    <n v="5"/>
    <s v="N"/>
    <s v="N"/>
    <s v="Y"/>
    <n v="33500"/>
    <d v="2026-09-30T00:00:00"/>
    <m/>
    <m/>
    <s v=""/>
    <n v="0"/>
    <x v="3"/>
    <x v="1"/>
    <x v="3"/>
    <x v="36"/>
    <x v="5"/>
    <s v="Strategic platform; refresh planned"/>
  </r>
  <r>
    <n v="97522"/>
    <s v="Travel Booking Tool 2008"/>
    <s v="Travel"/>
    <s v="HR"/>
    <s v="Internal"/>
    <s v="Sara Kapoor"/>
    <s v="Louis Faure"/>
    <s v="SaaS Vendor Mgmt"/>
    <n v="141"/>
    <d v="2021-04-03T00:00:00"/>
    <s v="Active"/>
    <n v="5"/>
    <n v="2"/>
    <m/>
    <s v="SaaS"/>
    <s v="N/A (SaaS)"/>
    <n v="0"/>
    <s v="N/A"/>
    <s v="N/A"/>
    <s v="Vendor cloud (EU)"/>
    <d v="2025-10-31T00:00:00"/>
    <s v="Structured"/>
    <n v="5010"/>
    <s v="Y"/>
    <n v="5"/>
    <s v="N"/>
    <s v="None"/>
    <n v="24"/>
    <s v="Partial"/>
    <s v="Partial"/>
    <s v="N"/>
    <n v="55000"/>
    <d v="2025-02-28T00:00:00"/>
    <m/>
    <m/>
    <s v=""/>
    <n v="0"/>
    <x v="3"/>
    <x v="2"/>
    <x v="3"/>
    <x v="36"/>
    <x v="5"/>
    <s v="Cheap &amp; healthy - retain"/>
  </r>
  <r>
    <n v="17464"/>
    <s v="Shared Event Registration Tool 2008"/>
    <s v="Events"/>
    <s v="Marketing"/>
    <s v="External"/>
    <s v="Neha Nair"/>
    <s v="Ishaan Desai"/>
    <s v="Cloud Platform Team"/>
    <n v="138"/>
    <d v="2021-03-30T00:00:00"/>
    <s v="Active"/>
    <n v="4"/>
    <n v="2"/>
    <m/>
    <s v="PaaS"/>
    <s v="Azure App Service (PaaS)"/>
    <n v="0"/>
    <s v="N/A (PaaS)"/>
    <s v="Azure SQL"/>
    <s v="Azure West Europe"/>
    <m/>
    <s v="Structured"/>
    <n v="35"/>
    <s v="N"/>
    <n v="2"/>
    <s v="N"/>
    <s v="None"/>
    <n v="30"/>
    <s v="N"/>
    <s v="Partial"/>
    <s v="N"/>
    <n v="6500"/>
    <d v="2025-12-31T00:00:00"/>
    <m/>
    <m/>
    <s v=""/>
    <n v="0"/>
    <x v="3"/>
    <x v="2"/>
    <x v="3"/>
    <x v="36"/>
    <x v="4"/>
    <s v="Active user base; no replacement planned"/>
  </r>
  <r>
    <n v="24717"/>
    <s v="Global Billing Engine 2008"/>
    <s v="Billing"/>
    <s v="Finance"/>
    <s v="External"/>
    <s v="Hannah Weber"/>
    <s v="Rohan Bhatt"/>
    <s v="Wintel Platform Team"/>
    <n v="131"/>
    <d v="2021-04-25T00:00:00"/>
    <s v="Active"/>
    <n v="4"/>
    <n v="2"/>
    <m/>
    <s v="On-prem DC"/>
    <s v="gbeapp01, gbedb01"/>
    <n v="2"/>
    <s v="RHEL 6"/>
    <s v="Oracle 11g"/>
    <s v="Plant DC"/>
    <d v="2020-11-30T00:00:00"/>
    <s v="Structured"/>
    <n v="16"/>
    <s v="N"/>
    <n v="1"/>
    <s v="N"/>
    <s v="None"/>
    <n v="17"/>
    <s v="N"/>
    <s v="N"/>
    <s v="Partial"/>
    <n v="115000"/>
    <d v="2031-11-30T00:00:00"/>
    <m/>
    <m/>
    <s v=""/>
    <n v="1"/>
    <x v="4"/>
    <x v="2"/>
    <x v="3"/>
    <x v="36"/>
    <x v="4"/>
    <s v="Dependencies to be mapped"/>
  </r>
  <r>
    <n v="159928"/>
    <s v="Global Purchase Order System (UK)"/>
    <s v="Procurement"/>
    <s v="Supply Chain"/>
    <s v="External"/>
    <s v="Pierre Roux"/>
    <s v="Adrien Colin"/>
    <s v="Unix Platform Team"/>
    <n v="3298"/>
    <d v="2021-04-08T00:00:00"/>
    <s v="Active"/>
    <n v="3"/>
    <n v="4"/>
    <m/>
    <s v="On-prem DC"/>
    <s v="gpoapp01, gpodb01, gpoweb01, gpofs01"/>
    <n v="4"/>
    <s v="Ubuntu 18.04"/>
    <s v="PostgreSQL 10"/>
    <s v="EU DC-1"/>
    <d v="2023-05-31T00:00:00"/>
    <s v="Unstructured"/>
    <n v="130"/>
    <s v="N"/>
    <n v="7"/>
    <s v="Y"/>
    <s v="Read-only access"/>
    <n v="3"/>
    <s v="N"/>
    <s v="N"/>
    <s v="Partial"/>
    <n v="38500"/>
    <d v="2025-01-31T00:00:00"/>
    <m/>
    <m/>
    <s v=""/>
    <n v="0"/>
    <x v="3"/>
    <x v="1"/>
    <x v="3"/>
    <x v="36"/>
    <x v="5"/>
    <s v="Active user base; no replacement planned"/>
  </r>
  <r>
    <n v="112140"/>
    <s v="Departmental Demand Planner (UK)"/>
    <s v="Demand Planning"/>
    <s v="Supply Chain"/>
    <s v="Internal"/>
    <s v="Hannah Weber"/>
    <s v="Aditi Menon"/>
    <s v="SaaS Vendor Mgmt"/>
    <n v="7"/>
    <d v="2021-03-15T00:00:00"/>
    <s v="Low use"/>
    <n v="5"/>
    <n v="2"/>
    <s v="Manhattan WMS"/>
    <s v="SaaS"/>
    <s v="N/A (SaaS)"/>
    <n v="0"/>
    <s v="N/A"/>
    <s v="N/A"/>
    <s v="Vendor cloud (EU)"/>
    <m/>
    <s v="Unstructured"/>
    <n v="5"/>
    <s v="N"/>
    <n v="3"/>
    <s v="N"/>
    <s v="None"/>
    <n v="27"/>
    <s v="Y"/>
    <s v="N"/>
    <s v="N"/>
    <n v="55000"/>
    <d v="2026-11-30T00:00:00"/>
    <n v="111500"/>
    <n v="22000"/>
    <n v="60.81818181818182"/>
    <n v="2"/>
    <x v="4"/>
    <x v="2"/>
    <x v="3"/>
    <x v="36"/>
    <x v="4"/>
    <s v="Awaiting assessment workshop"/>
  </r>
  <r>
    <n v="46403"/>
    <s v="Departmental Field Service Dispatcher v4"/>
    <s v="Field Service"/>
    <s v="Operations"/>
    <s v="Internal"/>
    <s v="Elena Garcia"/>
    <s v="Remi Masson"/>
    <s v="Cloud Platform Team"/>
    <n v="1062"/>
    <d v="2021-04-26T00:00:00"/>
    <s v="Active"/>
    <n v="4"/>
    <n v="3"/>
    <m/>
    <s v="On-prem DC"/>
    <s v="dfsapp01, dfsdb01"/>
    <n v="2"/>
    <s v="Windows Server 2008"/>
    <s v="SQL Server 2008"/>
    <s v="Plant DC"/>
    <d v="2019-07-09T00:00:00"/>
    <s v="Structured"/>
    <n v="31"/>
    <s v="N"/>
    <n v="3"/>
    <s v="Y"/>
    <s v="Archive + read-only"/>
    <n v="3"/>
    <s v="Y"/>
    <s v="Y"/>
    <s v="N"/>
    <n v="40000"/>
    <d v="2031-09-30T00:00:00"/>
    <n v="45000"/>
    <n v="28000"/>
    <n v="19.285714285714285"/>
    <n v="1"/>
    <x v="4"/>
    <x v="1"/>
    <x v="3"/>
    <x v="36"/>
    <x v="4"/>
    <s v="Awaiting assessment workshop"/>
  </r>
  <r>
    <n v="14587"/>
    <s v="Corporate Cash Position Reporter"/>
    <s v="Treasury"/>
    <s v="Finance"/>
    <s v="Internal"/>
    <s v="Camille Fontaine"/>
    <s v="Louis Faure"/>
    <s v="Wintel Platform Team"/>
    <n v="4"/>
    <d v="2020-02-21T00:00:00"/>
    <s v="Not in use"/>
    <n v="1"/>
    <n v="4"/>
    <s v="BlackLine"/>
    <s v="On-prem DC"/>
    <s v="ccpapp01, ccpdb01"/>
    <n v="2"/>
    <s v="HP-UX 11i v3"/>
    <s v="Sybase ASE 15.7"/>
    <s v="EU DC-1"/>
    <d v="2021-12-31T00:00:00"/>
    <s v="Structured"/>
    <n v="1730"/>
    <s v="Y"/>
    <n v="5"/>
    <s v="N"/>
    <s v="None"/>
    <n v="0"/>
    <s v="Y"/>
    <s v="N"/>
    <s v="Y"/>
    <n v="31500"/>
    <d v="2027-10-31T00:00:00"/>
    <n v="30000"/>
    <n v="24500"/>
    <n v="14.693877551020408"/>
    <n v="4"/>
    <x v="4"/>
    <x v="2"/>
    <x v="3"/>
    <x v="36"/>
    <x v="4"/>
    <s v="Dependencies to be mapped"/>
  </r>
  <r>
    <n v="114851"/>
    <s v="Recruitment Tracker Classic"/>
    <s v="Recruitment"/>
    <s v="HR"/>
    <s v="Internal"/>
    <s v="Sara Kapoor"/>
    <s v="Adrien Colin"/>
    <s v="SaaS Vendor Mgmt"/>
    <n v="21"/>
    <d v="2021-04-12T00:00:00"/>
    <s v="Low use"/>
    <n v="5"/>
    <n v="1"/>
    <m/>
    <s v="SaaS"/>
    <s v="N/A (SaaS)"/>
    <n v="0"/>
    <s v="N/A"/>
    <s v="N/A"/>
    <s v="Vendor cloud (EU)"/>
    <m/>
    <s v="Both"/>
    <n v="94"/>
    <s v="Y"/>
    <n v="5"/>
    <s v="Y"/>
    <s v="Read-only access"/>
    <n v="15"/>
    <s v="N"/>
    <s v="Y"/>
    <s v="Y"/>
    <n v="450000"/>
    <d v="2027-12-31T00:00:00"/>
    <m/>
    <m/>
    <s v=""/>
    <n v="1"/>
    <x v="4"/>
    <x v="0"/>
    <x v="3"/>
    <x v="36"/>
    <x v="4"/>
    <s v="Low business value; validate with owner"/>
  </r>
  <r>
    <n v="153916"/>
    <s v="Old Facilities Request Portal (UK)"/>
    <s v="Facilities"/>
    <s v="Operations"/>
    <s v="Partner"/>
    <s v="Anika Patel"/>
    <s v="Louis Faure"/>
    <s v="Wintel Platform Team"/>
    <n v="855"/>
    <d v="2021-03-18T00:00:00"/>
    <s v="Active"/>
    <n v="5"/>
    <n v="1"/>
    <m/>
    <s v="IaaS"/>
    <s v="ofrapp01, ofrdb01"/>
    <n v="2"/>
    <s v="Windows Server 2019"/>
    <s v="SQL Server 2019"/>
    <s v="AWS eu-west-1"/>
    <d v="2029-01-09T00:00:00"/>
    <s v="Unstructured"/>
    <n v="200"/>
    <s v="N"/>
    <n v="7"/>
    <s v="Y"/>
    <s v="Read-only access"/>
    <n v="67"/>
    <s v="N"/>
    <s v="N"/>
    <s v="N"/>
    <n v="55000"/>
    <d v="2026-05-31T00:00:00"/>
    <m/>
    <m/>
    <s v=""/>
    <n v="0"/>
    <x v="3"/>
    <x v="0"/>
    <x v="3"/>
    <x v="36"/>
    <x v="5"/>
    <s v="Retain - revisit at next portfolio review"/>
  </r>
  <r>
    <n v="42072"/>
    <s v="Departmental Demand Planner Lite"/>
    <s v="Demand Planning"/>
    <s v="Supply Chain"/>
    <s v="Internal"/>
    <s v="Oscar Lindqvist"/>
    <s v="Adrien Colin"/>
    <s v="Database Services"/>
    <n v="0"/>
    <d v="2020-04-11T00:00:00"/>
    <s v="Not in use"/>
    <n v="3"/>
    <n v="3"/>
    <m/>
    <s v="On-prem DC"/>
    <s v="ddpapp01, ddpdb01, ddpweb01"/>
    <n v="3"/>
    <s v="Windows Server 2012 R2"/>
    <s v="SQL Server 2012"/>
    <s v="US DC-1"/>
    <d v="2022-07-12T00:00:00"/>
    <s v="Structured"/>
    <n v="10"/>
    <s v="N"/>
    <n v="3"/>
    <s v="Y"/>
    <s v="Reporting extract"/>
    <n v="4"/>
    <s v="Y"/>
    <s v="Y"/>
    <s v="N"/>
    <n v="30500"/>
    <d v="2025-01-31T00:00:00"/>
    <m/>
    <m/>
    <s v=""/>
    <n v="1"/>
    <x v="4"/>
    <x v="1"/>
    <x v="3"/>
    <x v="36"/>
    <x v="4"/>
    <s v="Awaiting assessment workshop_x000a_Blocker: Replacement rollout dependency_x000a_Q: What is the go-live date of the target platform?"/>
  </r>
  <r>
    <n v="47135"/>
    <s v="Travel Booking Tool 2010"/>
    <s v="Travel"/>
    <s v="HR"/>
    <s v="Internal"/>
    <s v="Fatima Khan"/>
    <s v="Baptiste Henry"/>
    <s v="Plant IT Services"/>
    <n v="0"/>
    <d v="2019-06-06T00:00:00"/>
    <s v="Not in use"/>
    <n v="2"/>
    <n v="3"/>
    <s v="SuccessFactors"/>
    <s v="On-prem DC"/>
    <s v="tbtapp01, tbtdb01, tbtweb01, tbtfs01"/>
    <n v="4"/>
    <s v="Windows Server 2019"/>
    <s v="SQL Server 2019"/>
    <s v="TBD"/>
    <d v="2029-01-09T00:00:00"/>
    <s v="Structured"/>
    <n v="1640"/>
    <s v="Y"/>
    <n v="5"/>
    <s v="Y"/>
    <s v="Data archive"/>
    <n v="8"/>
    <s v="Y"/>
    <s v="Y"/>
    <s v="N"/>
    <n v="70000"/>
    <d v="2031-01-31T00:00:00"/>
    <n v="187500"/>
    <n v="41000"/>
    <n v="54.878048780487802"/>
    <n v="3"/>
    <x v="4"/>
    <x v="0"/>
    <x v="3"/>
    <x v="36"/>
    <x v="4"/>
    <s v="Dependencies to be mapped"/>
  </r>
  <r>
    <n v="188336"/>
    <s v="Old Org Chart Publisher v2"/>
    <s v="Org Mgmt"/>
    <s v="HR"/>
    <s v="External"/>
    <s v="Sara Kapoor"/>
    <s v="Omar Haddad"/>
    <s v="Infra Ops US"/>
    <n v="587"/>
    <d v="2021-03-18T00:00:00"/>
    <s v="Active"/>
    <n v="5"/>
    <n v="2"/>
    <m/>
    <s v="IaaS"/>
    <s v="oocapp01, oocdb01, oocweb01"/>
    <n v="3"/>
    <s v="Ubuntu 18.04"/>
    <s v="PostgreSQL 10"/>
    <s v="AWS eu-west-1"/>
    <d v="2023-05-31T00:00:00"/>
    <s v="Unstructured"/>
    <n v="49"/>
    <s v="Y"/>
    <n v="5"/>
    <s v="N"/>
    <s v="None"/>
    <n v="15"/>
    <s v="Y"/>
    <s v="Partial"/>
    <s v="N"/>
    <n v="60000"/>
    <d v="2029-05-31T00:00:00"/>
    <m/>
    <m/>
    <s v=""/>
    <n v="0"/>
    <x v="3"/>
    <x v="2"/>
    <x v="3"/>
    <x v="36"/>
    <x v="4"/>
    <s v="Retain - revisit at next portfolio review"/>
  </r>
  <r>
    <n v="124082"/>
    <s v="Supplier Portal (US)"/>
    <s v="Supplier Mgmt"/>
    <s v="Supply Chain"/>
    <s v="Internal"/>
    <s v="Oscar Lindqvist"/>
    <s v="Manon Chevalier"/>
    <s v="Wintel Platform Team"/>
    <n v="175"/>
    <d v="2021-04-23T00:00:00"/>
    <s v="Active"/>
    <n v="4"/>
    <n v="2"/>
    <m/>
    <s v="On-prem DC"/>
    <s v="spuapp01, spudb01, spuweb01"/>
    <n v="3"/>
    <s v="RHEL 8"/>
    <s v="PostgreSQL 12"/>
    <s v="Plant DC"/>
    <d v="2029-05-31T00:00:00"/>
    <s v="Both"/>
    <n v="290"/>
    <s v="N"/>
    <n v="3"/>
    <s v="N"/>
    <s v="None"/>
    <n v="11"/>
    <s v="Y"/>
    <s v="Partial"/>
    <s v="Partial"/>
    <n v="85000"/>
    <d v="2029-03-31T00:00:00"/>
    <m/>
    <m/>
    <s v=""/>
    <n v="0"/>
    <x v="3"/>
    <x v="2"/>
    <x v="3"/>
    <x v="36"/>
    <x v="5"/>
    <s v="Business-critical, well supported"/>
  </r>
  <r>
    <n v="31436"/>
    <s v="Departmental Facilities Request Portal 2010"/>
    <s v="Facilities"/>
    <s v="Operations"/>
    <s v="Partner"/>
    <s v="Oscar Lindqvist"/>
    <s v="Hugo Perrin"/>
    <s v="SaaS Vendor Mgmt"/>
    <n v="348"/>
    <d v="2021-04-07T00:00:00"/>
    <s v="Active"/>
    <n v="2"/>
    <n v="4"/>
    <s v="ServiceMax (planned)"/>
    <s v="SaaS"/>
    <s v="N/A (SaaS)"/>
    <n v="0"/>
    <s v="N/A"/>
    <s v="N/A"/>
    <s v="Vendor cloud (EU)"/>
    <d v="2025-09-30T00:00:00"/>
    <s v="Both"/>
    <n v="62"/>
    <s v="N"/>
    <n v="7"/>
    <s v="N"/>
    <s v="None"/>
    <n v="1"/>
    <s v="Partial"/>
    <s v="Y"/>
    <s v="N"/>
    <n v="26000"/>
    <d v="2026-05-31T00:00:00"/>
    <n v="13000"/>
    <n v="11500"/>
    <n v="13.565217391304348"/>
    <n v="2"/>
    <x v="4"/>
    <x v="2"/>
    <x v="3"/>
    <x v="36"/>
    <x v="4"/>
    <s v="Dependencies to be mapped"/>
  </r>
  <r>
    <n v="147734"/>
    <s v="Intranet (SharePoint) (UK)"/>
    <s v="Collaboration"/>
    <s v="IT"/>
    <s v="Internal"/>
    <s v="Rahul Iyer"/>
    <s v="Theo Lopez"/>
    <s v="Wintel Platform Team"/>
    <n v="178"/>
    <d v="2021-04-14T00:00:00"/>
    <s v="Active"/>
    <n v="4"/>
    <n v="3"/>
    <m/>
    <s v="On-prem DC"/>
    <s v="isuapp01, isudb01, isuweb01"/>
    <n v="3"/>
    <s v="Windows Server 2012 R2"/>
    <s v="SQL Server 2014"/>
    <s v="Plant DC"/>
    <d v="2024-07-09T00:00:00"/>
    <s v="Structured"/>
    <n v="5990"/>
    <s v="N"/>
    <n v="2"/>
    <s v="Y"/>
    <s v="Archive + read-only"/>
    <n v="4"/>
    <s v="Partial"/>
    <s v="Partial"/>
    <s v="Partial"/>
    <n v="45000"/>
    <d v="2032-03-31T00:00:00"/>
    <m/>
    <m/>
    <s v=""/>
    <n v="0"/>
    <x v="4"/>
    <x v="0"/>
    <x v="3"/>
    <x v="36"/>
    <x v="4"/>
    <s v="Dependencies to be mapped"/>
  </r>
  <r>
    <n v="192254"/>
    <s v="Access Request Tool Classic"/>
    <s v="Identity"/>
    <s v="IT"/>
    <s v="Internal"/>
    <s v="Julien Petit"/>
    <s v="Chloe Vidal"/>
    <s v="Infra Ops US"/>
    <n v="40"/>
    <d v="2021-04-27T00:00:00"/>
    <s v="Active"/>
    <n v="4"/>
    <n v="1"/>
    <s v="Microsoft 365"/>
    <s v="On-prem DC"/>
    <s v="artapp01, artdb01"/>
    <n v="2"/>
    <s v="HP-UX 11i v3"/>
    <s v="Sybase ASE 15.7"/>
    <s v="EU DC-2"/>
    <d v="2021-12-31T00:00:00"/>
    <s v="Structured"/>
    <n v="33"/>
    <s v="N"/>
    <n v="2"/>
    <s v="N"/>
    <s v="None"/>
    <n v="27"/>
    <s v="Y"/>
    <s v="Y"/>
    <s v="Y"/>
    <n v="180000"/>
    <d v="2034-12-31T00:00:00"/>
    <m/>
    <m/>
    <s v=""/>
    <n v="2"/>
    <x v="4"/>
    <x v="2"/>
    <x v="3"/>
    <x v="36"/>
    <x v="4"/>
    <s v="Awaiting assessment workshop"/>
  </r>
  <r>
    <n v="192279"/>
    <s v="Custom Batch Scheduler (US)"/>
    <s v="Batch Scheduling"/>
    <s v="IT"/>
    <s v="Internal"/>
    <s v="Mateo Girard"/>
    <s v="Lena Fischer"/>
    <s v="Infra Ops EMEA"/>
    <n v="8"/>
    <d v="2021-03-24T00:00:00"/>
    <s v="Low use"/>
    <n v="4"/>
    <n v="3"/>
    <s v="Azure Monitor"/>
    <s v="On-prem DC"/>
    <s v="cbsapp01, cbsdb01"/>
    <n v="2"/>
    <s v="Windows Server 2008 R2"/>
    <s v="SQL Server 2008 R2"/>
    <s v="US DC-1"/>
    <d v="2020-01-14T00:00:00"/>
    <s v="Structured"/>
    <n v="51"/>
    <s v="N"/>
    <n v="3"/>
    <s v="N"/>
    <s v="None"/>
    <n v="3"/>
    <s v="N"/>
    <s v="Partial"/>
    <s v="N"/>
    <n v="44000"/>
    <d v="2025-12-31T00:00:00"/>
    <n v="19500"/>
    <n v="33000"/>
    <n v="7.0909090909090917"/>
    <n v="3"/>
    <x v="4"/>
    <x v="2"/>
    <x v="3"/>
    <x v="36"/>
    <x v="4"/>
    <s v="Dependencies to be mapped"/>
  </r>
  <r>
    <n v="46560"/>
    <s v="Global Batch Scheduler Lite"/>
    <s v="Batch Scheduling"/>
    <s v="IT"/>
    <s v="Internal"/>
    <s v="Pierre Roux"/>
    <s v="Sameer Joshi"/>
    <s v="Plant IT Services"/>
    <n v="316"/>
    <d v="2021-04-01T00:00:00"/>
    <s v="Active"/>
    <n v="5"/>
    <n v="1"/>
    <s v="TBD"/>
    <s v="On-prem DC"/>
    <s v="gbsapp01, gbsdb01"/>
    <n v="2"/>
    <s v="RHEL 8"/>
    <s v="PostgreSQL 12"/>
    <s v="EU DC-1"/>
    <d v="2029-05-31T00:00:00"/>
    <s v="Both"/>
    <n v="61"/>
    <s v="N"/>
    <n v="3"/>
    <s v="N"/>
    <s v="None"/>
    <n v="66"/>
    <s v="N"/>
    <s v="N"/>
    <s v="Y"/>
    <n v="115000"/>
    <d v="2031-09-30T00:00:00"/>
    <m/>
    <m/>
    <s v=""/>
    <n v="0"/>
    <x v="3"/>
    <x v="2"/>
    <x v="3"/>
    <x v="36"/>
    <x v="5"/>
    <s v="Active user base; no replacement planned"/>
  </r>
  <r>
    <n v="13605"/>
    <s v="Legacy Fleet Manager Classic"/>
    <s v="Fleet"/>
    <s v="Operations"/>
    <s v="Internal"/>
    <s v="Karan Blanc"/>
    <s v="Theo Lopez"/>
    <s v="Infra Ops EMEA"/>
    <n v="231"/>
    <d v="2021-03-27T00:00:00"/>
    <s v="Active"/>
    <n v="5"/>
    <n v="2"/>
    <s v="Intelex"/>
    <s v="On-prem DC"/>
    <s v="lfm-app01–07, lfm-db01"/>
    <n v="8"/>
    <s v="Windows Server 2008 R2"/>
    <s v="SQL Server 2008 R2"/>
    <s v="TBD"/>
    <s v="TBD"/>
    <s v="Structured"/>
    <n v="19"/>
    <s v="N"/>
    <n v="3"/>
    <s v="Y"/>
    <s v="Archive + read-only"/>
    <n v="18"/>
    <s v="Partial"/>
    <s v="Y"/>
    <s v="Partial"/>
    <n v="190000"/>
    <d v="2026-09-30T00:00:00"/>
    <n v="264000"/>
    <n v="171500"/>
    <n v="18.472303206997083"/>
    <n v="1"/>
    <x v="4"/>
    <x v="0"/>
    <x v="3"/>
    <x v="36"/>
    <x v="4"/>
    <s v="Dependencies to be mapped"/>
  </r>
  <r>
    <n v="125126"/>
    <s v="Old Supplier Portal Plus"/>
    <s v="Supplier Mgmt"/>
    <s v="Supply Chain"/>
    <s v="External"/>
    <s v="Oscar Lindqvist"/>
    <s v="Tara Khanna"/>
    <s v="Cloud Platform Team"/>
    <n v="45"/>
    <d v="2021-04-03T00:00:00"/>
    <s v="Active"/>
    <n v="5"/>
    <n v="2"/>
    <m/>
    <s v="IaaS"/>
    <s v="ospapp01, ospdb01"/>
    <n v="2"/>
    <s v="Windows Server 2008"/>
    <s v="SQL Server 2008"/>
    <s v="AWS us-east-1"/>
    <d v="2019-07-09T00:00:00"/>
    <s v="Structured"/>
    <n v="41"/>
    <s v="N"/>
    <n v="7"/>
    <s v="N"/>
    <s v="None"/>
    <n v="11"/>
    <s v="N"/>
    <s v="N"/>
    <s v="N"/>
    <n v="65000"/>
    <d v="2035-12-31T00:00:00"/>
    <m/>
    <m/>
    <s v=""/>
    <n v="1"/>
    <x v="3"/>
    <x v="2"/>
    <x v="3"/>
    <x v="36"/>
    <x v="5"/>
    <s v="Active user base; no replacement planned"/>
  </r>
  <r>
    <n v="14928"/>
    <s v="Timesheet Portal"/>
    <s v="Time &amp; Attendance"/>
    <s v="HR"/>
    <s v="Internal"/>
    <s v="Claire Mehta"/>
    <s v="Lena Fischer"/>
    <s v="SaaS Vendor Mgmt"/>
    <n v="8"/>
    <d v="2021-01-25T00:00:00"/>
    <s v="Low use"/>
    <n v="5"/>
    <n v="1"/>
    <m/>
    <s v="SaaS"/>
    <s v="N/A (SaaS)"/>
    <n v="0"/>
    <s v="N/A"/>
    <s v="N/A"/>
    <s v="Vendor cloud (EU)"/>
    <m/>
    <s v="Structured"/>
    <n v="5"/>
    <s v="Y"/>
    <n v="10"/>
    <s v="Y"/>
    <s v="Data archive"/>
    <n v="46"/>
    <s v="Partial"/>
    <s v="N"/>
    <s v="Partial"/>
    <n v="175000"/>
    <d v="2027-04-30T00:00:00"/>
    <m/>
    <m/>
    <s v=""/>
    <n v="1"/>
    <x v="3"/>
    <x v="0"/>
    <x v="3"/>
    <x v="36"/>
    <x v="5"/>
    <s v="Active user base; no replacement planned"/>
  </r>
  <r>
    <n v="80152"/>
    <s v="Production Scheduler"/>
    <s v="Production Planning"/>
    <s v="Operations"/>
    <s v="Internal"/>
    <s v="Amelie Martin"/>
    <s v="Remi Masson"/>
    <s v="SaaS Vendor Mgmt"/>
    <n v="96"/>
    <d v="2021-04-26T00:00:00"/>
    <s v="Active"/>
    <n v="4"/>
    <n v="1"/>
    <m/>
    <s v="SaaS"/>
    <s v="N/A (SaaS)"/>
    <n v="0"/>
    <s v="N/A"/>
    <s v="N/A"/>
    <s v="Vendor cloud (EU)"/>
    <d v="2026-08-31T00:00:00"/>
    <s v="Structured"/>
    <n v="690"/>
    <s v="N"/>
    <n v="2"/>
    <s v="N"/>
    <s v="None"/>
    <n v="42"/>
    <s v="Partial"/>
    <s v="N"/>
    <s v="Partial"/>
    <n v="295000"/>
    <d v="2035-11-30T00:00:00"/>
    <m/>
    <m/>
    <s v=""/>
    <n v="0"/>
    <x v="3"/>
    <x v="2"/>
    <x v="3"/>
    <x v="36"/>
    <x v="4"/>
    <s v="Business-critical, well supported"/>
  </r>
  <r>
    <n v="23872"/>
    <s v="Access Request Tool (DE)"/>
    <s v="Identity"/>
    <s v="IT"/>
    <s v="Internal"/>
    <s v="Marc Laurent"/>
    <s v="Tara Khanna"/>
    <s v="SaaS Vendor Mgmt"/>
    <n v="95"/>
    <d v="2021-04-11T00:00:00"/>
    <s v="Active"/>
    <n v="5"/>
    <n v="1"/>
    <m/>
    <s v="SaaS"/>
    <s v="N/A (SaaS)"/>
    <n v="0"/>
    <s v="N/A"/>
    <s v="N/A"/>
    <s v="Vendor cloud (EU)"/>
    <m/>
    <s v="Structured"/>
    <n v="56"/>
    <s v="N"/>
    <n v="1"/>
    <s v="N"/>
    <s v="None"/>
    <n v="18"/>
    <s v="Partial"/>
    <s v="N"/>
    <s v="N"/>
    <n v="370000"/>
    <d v="2025-01-31T00:00:00"/>
    <m/>
    <m/>
    <s v=""/>
    <n v="0"/>
    <x v="3"/>
    <x v="2"/>
    <x v="3"/>
    <x v="36"/>
    <x v="5"/>
    <s v="Active user base; no replacement planned"/>
  </r>
  <r>
    <n v="116025"/>
    <s v="Departmental Ticket Desk (UK)"/>
    <s v="Service Desk"/>
    <s v="IT"/>
    <s v="Internal"/>
    <s v="Priya Sharma"/>
    <s v="Aditi Menon"/>
    <s v="Cloud Platform Team"/>
    <n v="77"/>
    <d v="2021-04-06T00:00:00"/>
    <s v="Active"/>
    <n v="5"/>
    <n v="1"/>
    <m/>
    <s v="On-prem DC"/>
    <s v="dtd-app01–07, dtd-db01"/>
    <n v="8"/>
    <s v="Ubuntu 20.04"/>
    <s v="MySQL 8.0"/>
    <s v="TBD"/>
    <d v="2025-04-30T00:00:00"/>
    <s v="Unstructured"/>
    <n v="14"/>
    <s v="Y"/>
    <n v="5"/>
    <s v="N"/>
    <s v="None"/>
    <n v="75"/>
    <s v="N"/>
    <s v="N"/>
    <s v="Y"/>
    <n v="280000"/>
    <d v="2028-06-30T00:00:00"/>
    <m/>
    <m/>
    <s v=""/>
    <n v="0"/>
    <x v="3"/>
    <x v="2"/>
    <x v="3"/>
    <x v="36"/>
    <x v="5"/>
    <s v="Business-critical, well supported"/>
  </r>
  <r>
    <n v="184753"/>
    <s v="Corporate Production Scheduler v3"/>
    <s v="Production Planning"/>
    <s v="Operations"/>
    <s v="Internal"/>
    <s v="Thomas Moreau"/>
    <s v="Tara Khanna"/>
    <s v="SaaS Vendor Mgmt"/>
    <n v="398"/>
    <d v="2021-04-20T00:00:00"/>
    <s v="Active"/>
    <n v="3"/>
    <n v="3"/>
    <m/>
    <s v="SaaS"/>
    <s v="N/A (SaaS)"/>
    <n v="0"/>
    <s v="N/A"/>
    <s v="N/A"/>
    <s v="Vendor cloud (EU)"/>
    <d v="2022-03-31T00:00:00"/>
    <s v="Both"/>
    <n v="72"/>
    <s v="N"/>
    <n v="3"/>
    <s v="Y"/>
    <s v="Legal hold"/>
    <n v="1"/>
    <s v="Partial"/>
    <s v="Y"/>
    <s v="N"/>
    <n v="95000"/>
    <d v="2028-10-31T00:00:00"/>
    <m/>
    <m/>
    <s v=""/>
    <n v="1"/>
    <x v="3"/>
    <x v="1"/>
    <x v="3"/>
    <x v="36"/>
    <x v="5"/>
    <s v="Strategic platform; refresh planned"/>
  </r>
  <r>
    <n v="182616"/>
    <s v="Corporate Safety Incident Tracker v2"/>
    <s v="Health &amp; Safety"/>
    <s v="Operations"/>
    <s v="Internal"/>
    <s v="Mateo Girard"/>
    <s v="Tara Khanna"/>
    <s v="Infra Ops US"/>
    <n v="300"/>
    <d v="2021-04-03T00:00:00"/>
    <s v="Active"/>
    <n v="5"/>
    <n v="2"/>
    <s v="Intelex"/>
    <s v="On-prem DC"/>
    <s v="csi-app01–06, csi-db01"/>
    <n v="7"/>
    <s v="Windows Server 2008 R2"/>
    <s v="SQL Server 2008 R2"/>
    <s v="EU DC-2"/>
    <d v="2020-01-14T00:00:00"/>
    <s v="Structured"/>
    <n v="36"/>
    <s v="N"/>
    <n v="7"/>
    <s v="Y"/>
    <s v="Data archive"/>
    <n v="23"/>
    <s v="Partial"/>
    <s v="Partial"/>
    <s v="N"/>
    <n v="160000"/>
    <d v="2025-03-31T00:00:00"/>
    <m/>
    <m/>
    <s v=""/>
    <n v="2"/>
    <x v="4"/>
    <x v="0"/>
    <x v="3"/>
    <x v="36"/>
    <x v="4"/>
    <s v="Low business value; validate with owner"/>
  </r>
  <r>
    <n v="172913"/>
    <s v="Brand Asset Library v4"/>
    <s v="Digital Assets"/>
    <s v="Marketing"/>
    <s v="Partner"/>
    <s v="Thomas Moreau"/>
    <s v="Omar Haddad"/>
    <s v="Cloud Platform Team"/>
    <n v="1898"/>
    <d v="2021-03-23T00:00:00"/>
    <s v="Active"/>
    <n v="5"/>
    <n v="1"/>
    <m/>
    <s v="IaaS"/>
    <s v="balapp01, baldb01"/>
    <n v="2"/>
    <s v="RHEL 7"/>
    <s v="TBD"/>
    <s v="AWS us-east-1"/>
    <d v="2024-06-30T00:00:00"/>
    <s v="Structured"/>
    <n v="130"/>
    <s v="Y"/>
    <n v="7"/>
    <s v="N"/>
    <s v="None"/>
    <n v="85"/>
    <s v="Y"/>
    <s v="Y"/>
    <s v="N"/>
    <n v="85000"/>
    <d v="2026-01-31T00:00:00"/>
    <m/>
    <m/>
    <s v=""/>
    <n v="0"/>
    <x v="4"/>
    <x v="2"/>
    <x v="3"/>
    <x v="36"/>
    <x v="4"/>
    <s v="Awaiting assessment workshop"/>
  </r>
  <r>
    <n v="115475"/>
    <s v="Shared Maintenance Scheduler 2010"/>
    <s v="Asset Maintenance"/>
    <s v="Operations"/>
    <s v="Internal"/>
    <s v="Yuki Tanaka"/>
    <s v="Manon Chevalier"/>
    <s v="Cloud Platform Team"/>
    <n v="513"/>
    <d v="2021-04-18T00:00:00"/>
    <s v="Active"/>
    <n v="5"/>
    <n v="1"/>
    <s v="Intelex (planned)"/>
    <s v="On-prem DC"/>
    <s v="sms-app01–05, sms-db01"/>
    <n v="6"/>
    <s v="RHEL 6"/>
    <s v="Oracle 11g"/>
    <s v="EU DC-2"/>
    <d v="2020-11-30T00:00:00"/>
    <s v="Unstructured"/>
    <n v="110"/>
    <s v="N"/>
    <n v="3"/>
    <s v="N"/>
    <s v="None"/>
    <n v="17"/>
    <s v="Y"/>
    <s v="N"/>
    <s v="Partial"/>
    <n v="280000"/>
    <d v="2035-06-30T00:00:00"/>
    <n v="240000"/>
    <n v="199500"/>
    <n v="14.436090225563909"/>
    <n v="2"/>
    <x v="4"/>
    <x v="2"/>
    <x v="3"/>
    <x v="36"/>
    <x v="4"/>
    <s v="Dependencies to be mapped_x000a_Blocker: Replacement not yet funded_x000a_Q: Is budget confirmed in the next planning cycle?"/>
  </r>
  <r>
    <n v="192710"/>
    <s v="Old Quote Manager 2010"/>
    <s v="Quoting"/>
    <s v="Sales"/>
    <s v="Internal"/>
    <s v="Nicolas Sharma"/>
    <s v="Baptiste Henry"/>
    <s v="Database Services"/>
    <n v="25"/>
    <d v="2021-04-13T00:00:00"/>
    <s v="Active"/>
    <n v="1"/>
    <n v="4"/>
    <s v="TBD"/>
    <s v="PaaS"/>
    <s v="Azure App Service (PaaS)"/>
    <n v="0"/>
    <s v="N/A (PaaS)"/>
    <s v="Azure SQL"/>
    <s v="Azure West Europe"/>
    <m/>
    <s v="Structured"/>
    <n v="170"/>
    <s v="Y"/>
    <n v="7"/>
    <s v="Y"/>
    <s v="Reporting extract"/>
    <n v="0"/>
    <s v="N"/>
    <s v="N"/>
    <s v="Partial"/>
    <n v="14000"/>
    <d v="2027-09-30T00:00:00"/>
    <n v="7000"/>
    <n v="9500"/>
    <n v="8.8421052631578938"/>
    <n v="1"/>
    <x v="4"/>
    <x v="1"/>
    <x v="3"/>
    <x v="36"/>
    <x v="4"/>
    <s v="Awaiting assessment workshop"/>
  </r>
  <r>
    <n v="190653"/>
    <s v="Old Payroll Interface (APAC)"/>
    <s v="Payroll"/>
    <s v="HR"/>
    <s v="External"/>
    <s v="Hannah Weber"/>
    <s v="Baptiste Henry"/>
    <s v="Cloud Platform Team"/>
    <n v="72"/>
    <d v="2021-04-07T00:00:00"/>
    <s v="Active"/>
    <n v="3"/>
    <n v="4"/>
    <s v="TBD"/>
    <s v="PaaS"/>
    <s v="Azure App Service (PaaS)"/>
    <n v="0"/>
    <s v="N/A (PaaS)"/>
    <s v="Cosmos DB"/>
    <s v="Azure West Europe"/>
    <d v="2022-06-30T00:00:00"/>
    <s v="Both"/>
    <n v="280"/>
    <s v="N"/>
    <n v="3"/>
    <s v="N"/>
    <s v="None"/>
    <n v="1"/>
    <s v="N"/>
    <s v="N"/>
    <s v="Y"/>
    <n v="7500"/>
    <d v="2027-09-30T00:00:00"/>
    <n v="9500"/>
    <n v="4500"/>
    <n v="25.333333333333336"/>
    <n v="0"/>
    <x v="4"/>
    <x v="2"/>
    <x v="3"/>
    <x v="36"/>
    <x v="4"/>
    <s v="Low business value; validate with owner"/>
  </r>
  <r>
    <n v="48512"/>
    <s v="Supplier Portal v3"/>
    <s v="Supplier Mgmt"/>
    <s v="Supply Chain"/>
    <s v="Internal"/>
    <s v="Rahul Iyer"/>
    <s v="Chloe Vidal"/>
    <s v="Infra Ops EMEA"/>
    <n v="201"/>
    <d v="2021-03-28T00:00:00"/>
    <s v="Active"/>
    <n v="2"/>
    <n v="4"/>
    <s v="SAP EWM (planned)"/>
    <s v="On-prem DC"/>
    <s v="spvapp01"/>
    <n v="1"/>
    <s v="Windows Server 2019"/>
    <s v="SQL Server 2019"/>
    <s v="EU DC-1"/>
    <d v="2029-01-09T00:00:00"/>
    <s v="Structured"/>
    <n v="820"/>
    <s v="N"/>
    <n v="5"/>
    <s v="Y"/>
    <s v="Archive + read-only"/>
    <n v="0"/>
    <s v="N"/>
    <s v="N"/>
    <s v="N"/>
    <n v="29000"/>
    <d v="2032-02-29T00:00:00"/>
    <m/>
    <m/>
    <s v=""/>
    <n v="2"/>
    <x v="4"/>
    <x v="1"/>
    <x v="3"/>
    <x v="36"/>
    <x v="4"/>
    <s v="Dependencies to be mapped"/>
  </r>
  <r>
    <n v="35770"/>
    <s v="Departmental AP Invoice Processor Plus"/>
    <s v="Accounts Payable"/>
    <s v="Finance"/>
    <s v="External"/>
    <s v="Pierre Roux"/>
    <s v="Lena Fischer"/>
    <s v="Database Services"/>
    <n v="36"/>
    <d v="2021-03-15T00:00:00"/>
    <s v="Active"/>
    <n v="5"/>
    <n v="1"/>
    <m/>
    <s v="On-prem DC"/>
    <s v="dai-app01–06, dai-db01"/>
    <n v="7"/>
    <s v="RHEL 8"/>
    <s v="Oracle 19c"/>
    <s v="Plant DC"/>
    <d v="2029-05-31T00:00:00"/>
    <s v="Structured"/>
    <n v="53"/>
    <s v="N"/>
    <n v="7"/>
    <s v="N"/>
    <s v="None"/>
    <n v="74"/>
    <s v="Partial"/>
    <s v="Partial"/>
    <s v="Y"/>
    <n v="115000"/>
    <d v="2026-08-31T00:00:00"/>
    <m/>
    <m/>
    <s v=""/>
    <n v="0"/>
    <x v="3"/>
    <x v="2"/>
    <x v="3"/>
    <x v="36"/>
    <x v="5"/>
    <s v="Active user base; no replacement planned"/>
  </r>
  <r>
    <n v="118286"/>
    <s v="Newsletter Mailer (DE)"/>
    <s v="Email"/>
    <s v="Marketing"/>
    <s v="Internal"/>
    <s v="Lucas Bernard"/>
    <s v="Aditi Menon"/>
    <s v="Database Services"/>
    <n v="25"/>
    <d v="2021-04-25T00:00:00"/>
    <s v="Active"/>
    <n v="4"/>
    <n v="2"/>
    <m/>
    <s v="IaaS"/>
    <s v="nmdapp01, nmddb01, nmdweb01"/>
    <n v="3"/>
    <s v="SUSE Linux 11"/>
    <s v="Oracle 11g"/>
    <s v="Azure West Europe"/>
    <d v="2019-03-31T00:00:00"/>
    <s v="Both"/>
    <n v="88"/>
    <s v="N"/>
    <n v="2"/>
    <s v="Y"/>
    <s v="Archive + read-only"/>
    <n v="22"/>
    <s v="Y"/>
    <s v="N"/>
    <s v="N"/>
    <n v="38000"/>
    <d v="2026-05-31T00:00:00"/>
    <m/>
    <m/>
    <s v=""/>
    <n v="1"/>
    <x v="4"/>
    <x v="0"/>
    <x v="3"/>
    <x v="36"/>
    <x v="4"/>
    <s v="Awaiting assessment workshop_x000a_Blocker: Replacement rollout dependency_x000a_Q: What is the go-live date of the target platform?"/>
  </r>
  <r>
    <n v="124473"/>
    <s v="Corporate Asset Register"/>
    <s v="Fixed Assets"/>
    <s v="Finance"/>
    <s v="Internal"/>
    <s v="Mateo Girard"/>
    <s v="Adrien Colin"/>
    <s v="Database Services"/>
    <n v="0"/>
    <d v="2019-06-28T00:00:00"/>
    <s v="Not in use"/>
    <n v="5"/>
    <n v="1"/>
    <m/>
    <s v="PaaS"/>
    <s v="Azure App Service (PaaS)"/>
    <n v="0"/>
    <s v="N/A (PaaS)"/>
    <s v="Azure SQL"/>
    <s v="Azure West Europe"/>
    <m/>
    <s v="Structured"/>
    <n v="680"/>
    <s v="Y"/>
    <n v="5"/>
    <s v="Y"/>
    <s v="Data archive"/>
    <n v="85"/>
    <s v="Partial"/>
    <s v="Partial"/>
    <s v="Partial"/>
    <n v="85000"/>
    <d v="2027-12-31T00:00:00"/>
    <m/>
    <m/>
    <s v=""/>
    <n v="1"/>
    <x v="4"/>
    <x v="0"/>
    <x v="3"/>
    <x v="36"/>
    <x v="4"/>
    <s v="Awaiting assessment workshop_x000a_Blocker: Month-end close dependency_x000a_Q: Can the cut-over avoid the quarter-end freeze?"/>
  </r>
  <r>
    <n v="87691"/>
    <s v="Shared Cash Position Reporter 2010"/>
    <s v="Treasury"/>
    <s v="Finance"/>
    <s v="External"/>
    <s v="Laura Martin"/>
    <s v="Omar Haddad"/>
    <s v="Wintel Platform Team"/>
    <n v="72"/>
    <d v="2021-04-14T00:00:00"/>
    <s v="Active"/>
    <n v="5"/>
    <n v="2"/>
    <s v="TBD"/>
    <s v="IaaS"/>
    <s v="fs-scp02 (file share)"/>
    <n v="1"/>
    <s v="Windows Server 2012 R2"/>
    <s v="MS Access 2010"/>
    <s v="AWS us-east-1"/>
    <d v="2023-10-10T00:00:00"/>
    <s v="Structured"/>
    <n v="64"/>
    <s v="Y"/>
    <n v="7"/>
    <s v="Y"/>
    <s v="Read-only access"/>
    <n v="30"/>
    <s v="N"/>
    <s v="Y"/>
    <s v="Partial"/>
    <n v="18000"/>
    <d v="2025-09-30T00:00:00"/>
    <m/>
    <m/>
    <s v=""/>
    <n v="0"/>
    <x v="3"/>
    <x v="0"/>
    <x v="3"/>
    <x v="36"/>
    <x v="5"/>
    <s v="Retain - revisit at next portfolio review"/>
  </r>
  <r>
    <n v="89692"/>
    <s v="Order Entry Portal (APAC)"/>
    <s v="Order Entry"/>
    <s v="Sales"/>
    <s v="Internal"/>
    <s v="Amelie Martin"/>
    <s v="Baptiste Henry"/>
    <s v="SaaS Vendor Mgmt"/>
    <n v="21"/>
    <d v="2021-04-02T00:00:00"/>
    <s v="Low use"/>
    <n v="1"/>
    <n v="4"/>
    <m/>
    <s v="SaaS"/>
    <s v="N/A (SaaS)"/>
    <n v="0"/>
    <s v="N/A"/>
    <s v="N/A"/>
    <s v="Vendor cloud (EU)"/>
    <d v="2025-04-30T00:00:00"/>
    <s v="Both"/>
    <n v="37"/>
    <s v="N"/>
    <n v="1"/>
    <s v="N"/>
    <s v="None"/>
    <n v="1"/>
    <s v="Y"/>
    <s v="Partial"/>
    <s v="Y"/>
    <n v="110000"/>
    <d v="2034-01-31T00:00:00"/>
    <m/>
    <m/>
    <s v=""/>
    <n v="2"/>
    <x v="4"/>
    <x v="2"/>
    <x v="3"/>
    <x v="36"/>
    <x v="4"/>
    <s v="Low business value; validate with owner"/>
  </r>
  <r>
    <n v="31365"/>
    <s v="Custom Expense Portal 2010"/>
    <s v="Expense Mgmt"/>
    <s v="Finance"/>
    <s v="Internal"/>
    <s v="Oscar Lindqvist"/>
    <s v="Kavya Reddy"/>
    <s v="Database Services"/>
    <n v="1189"/>
    <d v="2021-04-16T00:00:00"/>
    <s v="Active"/>
    <n v="4"/>
    <n v="2"/>
    <s v="TBD"/>
    <s v="On-prem DC"/>
    <s v="cepapp01, cepdb01, cepweb01, cepfs01"/>
    <n v="4"/>
    <s v="HP-UX 11i v3"/>
    <s v="Sybase ASE 15.7"/>
    <s v="EU DC-2"/>
    <d v="2021-12-31T00:00:00"/>
    <s v="Structured"/>
    <n v="79"/>
    <s v="Y"/>
    <n v="10"/>
    <s v="N"/>
    <s v="None"/>
    <n v="15"/>
    <s v="Y"/>
    <s v="Partial"/>
    <s v="Partial"/>
    <n v="43000"/>
    <d v="2034-08-31T00:00:00"/>
    <n v="71500"/>
    <n v="29500"/>
    <n v="29.084745762711869"/>
    <n v="1"/>
    <x v="4"/>
    <x v="2"/>
    <x v="3"/>
    <x v="36"/>
    <x v="4"/>
    <s v="Low business value; validate with owner"/>
  </r>
  <r>
    <n v="99369"/>
    <s v="Leave Manager 2008"/>
    <s v="Leave Mgmt"/>
    <s v="HR"/>
    <s v="Internal"/>
    <s v="Meera Dubois"/>
    <s v="Tara Khanna"/>
    <s v="Database Services"/>
    <n v="201"/>
    <d v="2021-03-29T00:00:00"/>
    <s v="Active"/>
    <n v="4"/>
    <n v="2"/>
    <m/>
    <s v="On-prem DC"/>
    <s v="lmx-app01–05, lmx-db01"/>
    <n v="6"/>
    <s v="AIX 6.1"/>
    <s v="DB2 9.7"/>
    <s v="US DC-1"/>
    <d v="2017-04-30T00:00:00"/>
    <s v="Structured"/>
    <n v="490"/>
    <s v="Y"/>
    <n v="7"/>
    <s v="Y"/>
    <s v="Data archive"/>
    <n v="22"/>
    <s v="N"/>
    <s v="N"/>
    <s v="Y"/>
    <n v="80000"/>
    <d v="2031-06-30T00:00:00"/>
    <n v="198000"/>
    <n v="60000"/>
    <n v="39.599999999999994"/>
    <n v="1"/>
    <x v="4"/>
    <x v="0"/>
    <x v="3"/>
    <x v="36"/>
    <x v="4"/>
    <s v="Dependencies to be mapped"/>
  </r>
  <r>
    <n v="20816"/>
    <s v="Corporate Tax Compliance Tool Plus"/>
    <s v="Tax"/>
    <s v="Finance"/>
    <s v="Partner"/>
    <s v="Arjun Lambert"/>
    <s v="Tara Khanna"/>
    <s v="Plant IT Services"/>
    <n v="14"/>
    <d v="2020-12-09T00:00:00"/>
    <s v="Low use"/>
    <n v="5"/>
    <n v="1"/>
    <s v="BlackLine"/>
    <s v="On-prem DC"/>
    <s v="ctcapp01"/>
    <n v="1"/>
    <s v="RHEL 6"/>
    <s v="Oracle 11g"/>
    <s v="EU DC-2"/>
    <d v="2020-11-30T00:00:00"/>
    <s v="Both"/>
    <n v="790"/>
    <s v="Y"/>
    <n v="10"/>
    <s v="Y"/>
    <s v="Legal hold"/>
    <n v="34"/>
    <s v="Partial"/>
    <s v="Partial"/>
    <s v="Y"/>
    <n v="115000"/>
    <d v="2032-08-31T00:00:00"/>
    <m/>
    <m/>
    <s v=""/>
    <n v="3"/>
    <x v="4"/>
    <x v="0"/>
    <x v="3"/>
    <x v="36"/>
    <x v="4"/>
    <s v="Owner to confirm usage before decision"/>
  </r>
  <r>
    <n v="138223"/>
    <s v="Custom Payroll Interface (DE)"/>
    <s v="Payroll"/>
    <s v="HR"/>
    <s v="Internal"/>
    <s v="Fatima Khan"/>
    <s v="Hugo Perrin"/>
    <s v="Wintel Platform Team"/>
    <n v="41"/>
    <d v="2021-04-16T00:00:00"/>
    <s v="Active"/>
    <n v="3"/>
    <n v="2"/>
    <m/>
    <s v="On-prem DC"/>
    <s v="cpiapp01"/>
    <n v="1"/>
    <s v="SUSE Linux 11"/>
    <s v="Oracle 11g"/>
    <s v="Plant DC"/>
    <d v="2019-03-31T00:00:00"/>
    <s v="Unstructured"/>
    <n v="250"/>
    <s v="N"/>
    <n v="1"/>
    <s v="Y"/>
    <s v="Reporting extract"/>
    <n v="30"/>
    <s v="N"/>
    <s v="Partial"/>
    <s v="Partial"/>
    <n v="65000"/>
    <d v="2027-02-28T00:00:00"/>
    <m/>
    <m/>
    <s v=""/>
    <n v="1"/>
    <x v="3"/>
    <x v="0"/>
    <x v="3"/>
    <x v="36"/>
    <x v="5"/>
    <s v="Active user base; no replacement planned"/>
  </r>
  <r>
    <n v="125816"/>
    <s v="Cash Position Reporter (APAC)"/>
    <s v="Treasury"/>
    <s v="Finance"/>
    <s v="Internal"/>
    <s v="Amelie Martin"/>
    <s v="Lena Fischer"/>
    <s v="Database Services"/>
    <n v="157"/>
    <d v="2021-04-06T00:00:00"/>
    <s v="Active"/>
    <n v="4"/>
    <n v="2"/>
    <m/>
    <s v="On-prem DC"/>
    <s v="cpr-app01–07, cpr-db01"/>
    <n v="8"/>
    <s v="RHEL 8"/>
    <s v="Oracle 19c"/>
    <s v="US DC-1"/>
    <d v="2029-05-31T00:00:00"/>
    <s v="Structured"/>
    <n v="100"/>
    <s v="N"/>
    <n v="3"/>
    <s v="N"/>
    <s v="None"/>
    <n v="18"/>
    <s v="Partial"/>
    <s v="Y"/>
    <s v="N"/>
    <n v="185000"/>
    <d v="2035-12-31T00:00:00"/>
    <m/>
    <m/>
    <s v=""/>
    <n v="0"/>
    <x v="4"/>
    <x v="2"/>
    <x v="3"/>
    <x v="36"/>
    <x v="4"/>
    <s v="Low business value; validate with owner"/>
  </r>
  <r>
    <n v="190888"/>
    <s v="Billing Engine v3"/>
    <s v="Billing"/>
    <s v="Finance"/>
    <s v="External"/>
    <s v="Neha Nair"/>
    <s v="Ishaan Desai"/>
    <s v="SaaS Vendor Mgmt"/>
    <n v="21"/>
    <d v="2021-01-03T00:00:00"/>
    <s v="Low use"/>
    <n v="4"/>
    <n v="2"/>
    <m/>
    <s v="SaaS"/>
    <s v="N/A (SaaS)"/>
    <n v="0"/>
    <s v="N/A"/>
    <s v="N/A"/>
    <s v="Vendor cloud (EU)"/>
    <d v="2022-05-31T00:00:00"/>
    <s v="Unstructured"/>
    <n v="74"/>
    <s v="N"/>
    <n v="3"/>
    <s v="Y"/>
    <s v="Data archive"/>
    <n v="5"/>
    <s v="Y"/>
    <s v="Partial"/>
    <s v="Partial"/>
    <n v="30000"/>
    <d v="2035-01-31T00:00:00"/>
    <n v="22500"/>
    <n v="20000"/>
    <n v="13.5"/>
    <n v="1"/>
    <x v="4"/>
    <x v="0"/>
    <x v="3"/>
    <x v="36"/>
    <x v="4"/>
    <s v="Low business value; validate with owner"/>
  </r>
  <r>
    <n v="61722"/>
    <s v="Global Field Service Dispatcher v2"/>
    <s v="Field Service"/>
    <s v="Operations"/>
    <s v="External"/>
    <s v="Julien Petit"/>
    <s v="Manon Chevalier"/>
    <s v="Cloud Platform Team"/>
    <n v="20"/>
    <d v="2020-12-29T00:00:00"/>
    <s v="Low use"/>
    <n v="2"/>
    <n v="3"/>
    <m/>
    <s v="IaaS"/>
    <s v="gfsapp01, gfsdb01, gfsweb01, gfsfs01"/>
    <n v="4"/>
    <s v="Ubuntu 18.04"/>
    <s v="PostgreSQL 10"/>
    <s v="AWS us-east-1"/>
    <d v="2023-05-31T00:00:00"/>
    <s v="Unstructured"/>
    <n v="92"/>
    <s v="N"/>
    <n v="2"/>
    <s v="N"/>
    <s v="None"/>
    <n v="6"/>
    <s v="Y"/>
    <s v="Partial"/>
    <s v="N"/>
    <n v="33500"/>
    <d v="2033-04-30T00:00:00"/>
    <m/>
    <m/>
    <s v=""/>
    <n v="2"/>
    <x v="4"/>
    <x v="2"/>
    <x v="3"/>
    <x v="36"/>
    <x v="4"/>
    <s v="Awaiting assessment workshop"/>
  </r>
  <r>
    <n v="198365"/>
    <s v="Warehouse Mgmt System (DE)"/>
    <s v="Warehouse Mgmt"/>
    <s v="Supply Chain"/>
    <s v="Internal"/>
    <s v="Claire Mehta"/>
    <s v="Varun Malhotra"/>
    <s v="Unix Platform Team"/>
    <n v="100"/>
    <d v="2021-03-25T00:00:00"/>
    <s v="Active"/>
    <n v="4"/>
    <n v="3"/>
    <s v="SAP TM"/>
    <s v="On-prem DC"/>
    <s v="wmsapp01"/>
    <n v="1"/>
    <s v="Solaris 10"/>
    <s v="Oracle 11g"/>
    <s v="EU DC-1"/>
    <d v="2021-01-31T00:00:00"/>
    <s v="Both"/>
    <n v="44"/>
    <s v="N"/>
    <n v="1"/>
    <s v="Y"/>
    <s v="Archive + read-only"/>
    <n v="2"/>
    <s v="N"/>
    <s v="Partial"/>
    <s v="N"/>
    <n v="21500"/>
    <d v="2027-03-31T00:00:00"/>
    <m/>
    <m/>
    <s v=""/>
    <n v="2"/>
    <x v="4"/>
    <x v="1"/>
    <x v="3"/>
    <x v="36"/>
    <x v="4"/>
    <s v="Dependencies to be mapped"/>
  </r>
  <r>
    <n v="99946"/>
    <s v="Legacy Access Request Tool 2012"/>
    <s v="Identity"/>
    <s v="IT"/>
    <s v="Internal"/>
    <s v="Julien Petit"/>
    <s v="Hugo Perrin"/>
    <s v="Unix Platform Team"/>
    <n v="449"/>
    <d v="2021-04-21T00:00:00"/>
    <s v="Active"/>
    <n v="4"/>
    <n v="2"/>
    <m/>
    <s v="On-prem DC"/>
    <s v="larapp01, lardb01, larweb01, larfs01"/>
    <n v="4"/>
    <s v="RHEL 6"/>
    <s v="Oracle 11g"/>
    <s v="TBD"/>
    <d v="2020-11-30T00:00:00"/>
    <s v="Structured"/>
    <n v="370"/>
    <s v="Y"/>
    <n v="5"/>
    <s v="Y"/>
    <s v="Reporting extract"/>
    <n v="7"/>
    <s v="Partial"/>
    <s v="N"/>
    <s v="Partial"/>
    <n v="70000"/>
    <d v="2027-09-30T00:00:00"/>
    <m/>
    <m/>
    <s v=""/>
    <n v="1"/>
    <x v="4"/>
    <x v="0"/>
    <x v="3"/>
    <x v="36"/>
    <x v="4"/>
    <s v="Owner to confirm usage before decision"/>
  </r>
  <r>
    <n v="173755"/>
    <s v="Departmental Inventory Control"/>
    <s v="Inventory"/>
    <s v="Supply Chain"/>
    <s v="Internal"/>
    <s v="Rahul Iyer"/>
    <s v="Adrien Colin"/>
    <s v="Wintel Platform Team"/>
    <n v="169"/>
    <d v="2021-04-21T00:00:00"/>
    <s v="Active"/>
    <n v="4"/>
    <n v="1"/>
    <s v="TBD"/>
    <s v="PaaS"/>
    <s v="Azure App Service (PaaS)"/>
    <n v="0"/>
    <s v="N/A (PaaS)"/>
    <s v="Azure SQL"/>
    <s v="Azure West Europe"/>
    <m/>
    <s v="Unstructured"/>
    <n v="63"/>
    <s v="N"/>
    <n v="7"/>
    <s v="Y"/>
    <s v="Reporting extract"/>
    <n v="82"/>
    <s v="Y"/>
    <s v="N"/>
    <s v="Y"/>
    <n v="120000"/>
    <d v="2035-01-31T00:00:00"/>
    <m/>
    <m/>
    <s v=""/>
    <n v="0"/>
    <x v="4"/>
    <x v="0"/>
    <x v="3"/>
    <x v="36"/>
    <x v="4"/>
    <s v="Awaiting assessment workshop"/>
  </r>
  <r>
    <n v="44088"/>
    <s v="Regional Benefits Enrolment Plus"/>
    <s v="Benefits"/>
    <s v="HR"/>
    <s v="Internal"/>
    <s v="Marc Laurent"/>
    <s v="Remi Masson"/>
    <s v="Database Services"/>
    <n v="201"/>
    <d v="2021-04-03T00:00:00"/>
    <s v="Active"/>
    <n v="1"/>
    <n v="4"/>
    <m/>
    <s v="On-prem DC"/>
    <s v="rbeapp01"/>
    <n v="1"/>
    <s v="HP-UX 11i v3"/>
    <s v="Sybase ASE 15.7"/>
    <s v="US DC-1"/>
    <d v="2021-12-31T00:00:00"/>
    <s v="Both"/>
    <n v="64"/>
    <s v="Y"/>
    <n v="10"/>
    <s v="Y"/>
    <s v="Reporting extract"/>
    <n v="3"/>
    <s v="Partial"/>
    <s v="Partial"/>
    <s v="Partial"/>
    <n v="23500"/>
    <d v="2026-09-30T00:00:00"/>
    <n v="30000"/>
    <n v="14500"/>
    <n v="24.827586206896555"/>
    <n v="2"/>
    <x v="4"/>
    <x v="1"/>
    <x v="3"/>
    <x v="36"/>
    <x v="4"/>
    <s v="Awaiting assessment workshop"/>
  </r>
  <r>
    <n v="117166"/>
    <s v="Regional Freight Booking Tool 2008"/>
    <s v="Transport"/>
    <s v="Supply Chain"/>
    <s v="External"/>
    <s v="Anika Patel"/>
    <s v="Ananya Pillai"/>
    <s v="Infra Ops EMEA"/>
    <n v="423"/>
    <d v="2021-04-27T00:00:00"/>
    <s v="Active"/>
    <n v="5"/>
    <n v="2"/>
    <m/>
    <s v="On-prem DC"/>
    <s v="rfbapp01"/>
    <n v="1"/>
    <s v="Solaris 10"/>
    <s v="Oracle 11g"/>
    <s v="US DC-1"/>
    <d v="2021-01-31T00:00:00"/>
    <s v="Structured"/>
    <n v="730"/>
    <s v="N"/>
    <n v="5"/>
    <s v="Y"/>
    <s v="Archive + read-only"/>
    <n v="10"/>
    <s v="Partial"/>
    <s v="Partial"/>
    <s v="Y"/>
    <n v="41000"/>
    <d v="2033-03-31T00:00:00"/>
    <n v="28000"/>
    <n v="23000"/>
    <n v="14.608695652173914"/>
    <n v="1"/>
    <x v="4"/>
    <x v="0"/>
    <x v="3"/>
    <x v="36"/>
    <x v="4"/>
    <s v="Dependencies to be mapped"/>
  </r>
  <r>
    <n v="16384"/>
    <s v="Legacy Access Request Tool"/>
    <s v="Identity"/>
    <s v="IT"/>
    <s v="Internal"/>
    <s v="Elena Garcia"/>
    <s v="Chloe Vidal"/>
    <s v="Infra Ops US"/>
    <n v="6"/>
    <d v="2021-03-03T00:00:00"/>
    <s v="Low use"/>
    <n v="4"/>
    <n v="2"/>
    <s v="Azure Monitor (planned)"/>
    <s v="On-prem DC"/>
    <s v="lar-app01–05, lar-db01"/>
    <n v="6"/>
    <s v="AIX 6.1"/>
    <s v="DB2 9.7"/>
    <s v="TBD"/>
    <d v="2017-04-30T00:00:00"/>
    <s v="Structured"/>
    <n v="370"/>
    <s v="N"/>
    <n v="7"/>
    <s v="N"/>
    <s v="None"/>
    <n v="12"/>
    <s v="Partial"/>
    <s v="Partial"/>
    <s v="Partial"/>
    <n v="130000"/>
    <d v="2033-08-31T00:00:00"/>
    <n v="199000"/>
    <n v="101500"/>
    <n v="23.527093596059114"/>
    <n v="3"/>
    <x v="4"/>
    <x v="2"/>
    <x v="3"/>
    <x v="36"/>
    <x v="4"/>
    <s v="Awaiting assessment workshop"/>
  </r>
  <r>
    <n v="17096"/>
    <s v="Departmental Sales Forecast Tool"/>
    <s v="Sales Planning"/>
    <s v="Sales"/>
    <s v="Internal"/>
    <s v="Marc Laurent"/>
    <s v="Hugo Perrin"/>
    <s v="Infra Ops US"/>
    <n v="275"/>
    <d v="2021-04-12T00:00:00"/>
    <s v="Active"/>
    <n v="3"/>
    <n v="3"/>
    <m/>
    <s v="On-prem DC"/>
    <s v="dsfapp01, dsfdb01, dsfweb01"/>
    <n v="3"/>
    <s v="Ubuntu 20.04"/>
    <s v="MySQL 8.0"/>
    <s v="EU DC-2"/>
    <s v="TBD"/>
    <s v="Both"/>
    <n v="240"/>
    <s v="Y"/>
    <n v="5"/>
    <s v="Y"/>
    <s v="Archive + read-only"/>
    <n v="2"/>
    <s v="N"/>
    <s v="Y"/>
    <s v="N"/>
    <n v="60000"/>
    <d v="2033-09-30T00:00:00"/>
    <n v="104000"/>
    <n v="49500"/>
    <n v="25.212121212121215"/>
    <n v="0"/>
    <x v="4"/>
    <x v="1"/>
    <x v="3"/>
    <x v="36"/>
    <x v="4"/>
    <s v="Awaiting assessment workshop"/>
  </r>
  <r>
    <n v="83219"/>
    <s v="Shared Campaign DB (UK)"/>
    <s v="Campaign Mgmt"/>
    <s v="Marketing"/>
    <s v="Internal"/>
    <s v="Isabelle Singh"/>
    <s v="Varun Malhotra"/>
    <s v="Cloud Platform Team"/>
    <n v="420"/>
    <d v="2021-03-29T00:00:00"/>
    <s v="Active"/>
    <n v="5"/>
    <n v="2"/>
    <m/>
    <s v="PaaS"/>
    <s v="Azure App Service (PaaS)"/>
    <n v="0"/>
    <s v="N/A (PaaS)"/>
    <s v="Cosmos DB"/>
    <s v="Azure West Europe"/>
    <m/>
    <s v="Structured"/>
    <n v="290"/>
    <s v="N"/>
    <n v="1"/>
    <s v="Y"/>
    <s v="Reporting extract"/>
    <n v="16"/>
    <s v="Partial"/>
    <s v="N"/>
    <s v="Partial"/>
    <n v="23000"/>
    <d v="2026-03-31T00:00:00"/>
    <m/>
    <m/>
    <s v=""/>
    <n v="0"/>
    <x v="3"/>
    <x v="0"/>
    <x v="3"/>
    <x v="36"/>
    <x v="5"/>
    <s v="Cheap &amp; healthy - retain"/>
  </r>
  <r>
    <n v="44752"/>
    <s v="Global Licence Manager (FR)"/>
    <s v="Licence Mgmt"/>
    <s v="IT"/>
    <s v="Internal"/>
    <s v="Anika Patel"/>
    <s v="Rohan Bhatt"/>
    <s v="Wintel Platform Team"/>
    <n v="12"/>
    <d v="2021-03-31T00:00:00"/>
    <s v="Low use"/>
    <n v="4"/>
    <n v="2"/>
    <s v="Azure Monitor (planned)"/>
    <s v="On-prem DC"/>
    <s v="glmapp01, glmdb01, glmweb01"/>
    <n v="3"/>
    <s v="Windows Server 2008"/>
    <s v="SQL Server 2008"/>
    <s v="Plant DC"/>
    <d v="2019-07-09T00:00:00"/>
    <s v="Structured"/>
    <n v="210"/>
    <s v="N"/>
    <n v="3"/>
    <s v="N"/>
    <s v="None"/>
    <n v="30"/>
    <s v="N"/>
    <s v="N"/>
    <s v="Y"/>
    <n v="95000"/>
    <d v="2034-07-31T00:00:00"/>
    <m/>
    <m/>
    <s v=""/>
    <n v="3"/>
    <x v="4"/>
    <x v="2"/>
    <x v="3"/>
    <x v="36"/>
    <x v="4"/>
    <s v="Owner to confirm usage before decision_x000a_Blocker: Legal sign-off on retention_x000a_Q: Who owns the retention decision for archived records?"/>
  </r>
  <r>
    <n v="123398"/>
    <s v="Shared Shipment Tracker 2012"/>
    <s v="Logistics"/>
    <s v="Supply Chain"/>
    <s v="Internal"/>
    <s v="Yuki Tanaka"/>
    <s v="Manon Chevalier"/>
    <s v="Infra Ops EMEA"/>
    <n v="14"/>
    <d v="2021-04-01T00:00:00"/>
    <s v="Low use"/>
    <n v="5"/>
    <n v="1"/>
    <s v="SAP TM"/>
    <s v="On-prem DC"/>
    <s v="sst-app01–04, sst-db01"/>
    <n v="5"/>
    <s v="HP-UX 11i v3"/>
    <s v="Sybase ASE 15.7"/>
    <s v="TBD"/>
    <d v="2021-12-31T00:00:00"/>
    <s v="Both"/>
    <n v="820"/>
    <s v="Y"/>
    <n v="5"/>
    <s v="Y"/>
    <s v="Read-only access"/>
    <n v="70"/>
    <s v="N"/>
    <s v="Partial"/>
    <s v="N"/>
    <n v="235000"/>
    <d v="2031-07-31T00:00:00"/>
    <m/>
    <m/>
    <s v=""/>
    <n v="3"/>
    <x v="4"/>
    <x v="0"/>
    <x v="3"/>
    <x v="36"/>
    <x v="4"/>
    <s v="Awaiting assessment workshop"/>
  </r>
  <r>
    <n v="100409"/>
    <s v="Campaign DB"/>
    <s v="Campaign Mgmt"/>
    <s v="Marketing"/>
    <s v="Internal"/>
    <s v="Laura Martin"/>
    <s v="Manon Chevalier"/>
    <s v="Plant IT Services"/>
    <n v="167"/>
    <d v="2021-03-24T00:00:00"/>
    <s v="Active"/>
    <n v="5"/>
    <n v="1"/>
    <m/>
    <s v="On-prem DC"/>
    <s v="cdx-app01–04, cdx-db01"/>
    <n v="5"/>
    <s v="AIX 6.1"/>
    <s v="DB2 9.7"/>
    <s v="Plant DC"/>
    <d v="2017-04-30T00:00:00"/>
    <s v="Both"/>
    <n v="11"/>
    <s v="Y"/>
    <n v="10"/>
    <s v="Y"/>
    <s v="Read-only access"/>
    <n v="19"/>
    <s v="N"/>
    <s v="N"/>
    <s v="N"/>
    <n v="230000"/>
    <d v="2030-07-31T00:00:00"/>
    <m/>
    <m/>
    <s v=""/>
    <n v="1"/>
    <x v="3"/>
    <x v="0"/>
    <x v="3"/>
    <x v="36"/>
    <x v="5"/>
    <s v="Cheap &amp; healthy - retain"/>
  </r>
  <r>
    <n v="63321"/>
    <s v="Departmental Freight Booking Tool Classic"/>
    <s v="Transport"/>
    <s v="Supply Chain"/>
    <s v="Internal"/>
    <s v="Meera Dubois"/>
    <s v="Varun Malhotra"/>
    <s v="Plant IT Services"/>
    <n v="307"/>
    <d v="2021-03-27T00:00:00"/>
    <s v="Active"/>
    <n v="5"/>
    <n v="1"/>
    <m/>
    <s v="On-prem DC"/>
    <s v="dfbapp01, dfbdb01"/>
    <n v="2"/>
    <s v="Ubuntu 20.04"/>
    <s v="MySQL 8.0"/>
    <s v="US DC-1"/>
    <d v="2025-04-30T00:00:00"/>
    <s v="Structured"/>
    <n v="1770"/>
    <s v="N"/>
    <n v="2"/>
    <s v="Y"/>
    <s v="Read-only access"/>
    <n v="18"/>
    <s v="Y"/>
    <s v="Partial"/>
    <s v="N"/>
    <n v="100000"/>
    <d v="2034-03-31T00:00:00"/>
    <m/>
    <m/>
    <s v=""/>
    <n v="0"/>
    <x v="3"/>
    <x v="0"/>
    <x v="3"/>
    <x v="36"/>
    <x v="5"/>
    <s v="Retain - revisit at next portfolio review"/>
  </r>
  <r>
    <n v="120801"/>
    <s v="Corporate Sales Forecast Tool v4"/>
    <s v="Sales Planning"/>
    <s v="Sales"/>
    <s v="Internal"/>
    <s v="Arjun Lambert"/>
    <s v="Varun Malhotra"/>
    <s v="SaaS Vendor Mgmt"/>
    <n v="43"/>
    <d v="2021-04-22T00:00:00"/>
    <s v="Active"/>
    <n v="5"/>
    <n v="1"/>
    <m/>
    <s v="SaaS"/>
    <s v="N/A (SaaS)"/>
    <n v="0"/>
    <s v="N/A"/>
    <s v="N/A"/>
    <s v="Vendor cloud (EU)"/>
    <m/>
    <s v="Structured"/>
    <n v="31"/>
    <s v="Y"/>
    <n v="7"/>
    <s v="Y"/>
    <s v="Data archive"/>
    <n v="79"/>
    <s v="N"/>
    <s v="Y"/>
    <s v="Partial"/>
    <n v="420000"/>
    <d v="2032-03-31T00:00:00"/>
    <m/>
    <m/>
    <s v=""/>
    <n v="0"/>
    <x v="3"/>
    <x v="0"/>
    <x v="3"/>
    <x v="36"/>
    <x v="5"/>
    <s v="Active user base; no replacement planned"/>
  </r>
  <r>
    <n v="81285"/>
    <s v="Shared Travel Booking Tool"/>
    <s v="Travel"/>
    <s v="HR"/>
    <s v="Internal"/>
    <s v="Fatima Khan"/>
    <s v="Tara Khanna"/>
    <s v="SaaS Vendor Mgmt"/>
    <n v="27"/>
    <d v="2021-04-19T00:00:00"/>
    <s v="Active"/>
    <n v="4"/>
    <n v="3"/>
    <m/>
    <s v="SaaS"/>
    <s v="N/A (SaaS)"/>
    <n v="0"/>
    <s v="N/A"/>
    <s v="N/A"/>
    <s v="Vendor cloud (EU)"/>
    <d v="2024-01-31T00:00:00"/>
    <s v="Structured"/>
    <n v="37"/>
    <s v="Y"/>
    <n v="7"/>
    <s v="N"/>
    <s v="None"/>
    <n v="8"/>
    <s v="N"/>
    <s v="Partial"/>
    <s v="Partial"/>
    <n v="115000"/>
    <d v="2032-11-30T00:00:00"/>
    <m/>
    <m/>
    <s v=""/>
    <n v="0"/>
    <x v="3"/>
    <x v="2"/>
    <x v="3"/>
    <x v="36"/>
    <x v="5"/>
    <s v="Active user base; no replacement planned"/>
  </r>
  <r>
    <n v="16196"/>
    <s v="Brand Asset Library Classic"/>
    <s v="Digital Assets"/>
    <s v="Marketing"/>
    <s v="Internal"/>
    <s v="Sophie Dubois"/>
    <s v="Sameer Joshi"/>
    <s v="Wintel Platform Team"/>
    <n v="102"/>
    <d v="2021-04-02T00:00:00"/>
    <s v="Active"/>
    <n v="5"/>
    <n v="1"/>
    <m/>
    <s v="On-prem DC"/>
    <s v="balapp01, baldb01"/>
    <n v="2"/>
    <s v="RHEL 7"/>
    <s v="Oracle 12c"/>
    <s v="EU DC-2"/>
    <d v="2024-06-30T00:00:00"/>
    <s v="Structured"/>
    <n v="1100"/>
    <s v="N"/>
    <n v="1"/>
    <s v="Y"/>
    <s v="Legal hold"/>
    <n v="86"/>
    <s v="N"/>
    <s v="N"/>
    <s v="Y"/>
    <n v="75000"/>
    <d v="2030-07-31T00:00:00"/>
    <m/>
    <m/>
    <s v=""/>
    <n v="0"/>
    <x v="4"/>
    <x v="0"/>
    <x v="3"/>
    <x v="36"/>
    <x v="4"/>
    <s v="Awaiting assessment workshop"/>
  </r>
  <r>
    <n v="167840"/>
    <s v="Global Field Service Dispatcher 2008"/>
    <s v="Field Service"/>
    <s v="Operations"/>
    <s v="Internal"/>
    <s v="Oscar Lindqvist"/>
    <s v="Chloe Vidal"/>
    <s v="Database Services"/>
    <n v="42"/>
    <d v="2021-03-30T00:00:00"/>
    <s v="Active"/>
    <n v="4"/>
    <n v="3"/>
    <m/>
    <s v="On-prem DC"/>
    <s v="gfsapp01, gfsdb01"/>
    <n v="2"/>
    <s v="Windows Server 2016"/>
    <s v="SQL Server 2017"/>
    <s v="US DC-1"/>
    <d v="2027-01-12T00:00:00"/>
    <s v="Structured"/>
    <n v="120"/>
    <s v="N"/>
    <n v="3"/>
    <s v="N"/>
    <s v="None"/>
    <n v="1"/>
    <s v="N"/>
    <s v="Partial"/>
    <s v="Y"/>
    <n v="50000"/>
    <d v="2027-07-31T00:00:00"/>
    <m/>
    <m/>
    <s v=""/>
    <n v="0"/>
    <x v="3"/>
    <x v="2"/>
    <x v="3"/>
    <x v="36"/>
    <x v="5"/>
    <s v="Retain - revisit at next portfolio review"/>
  </r>
  <r>
    <n v="159722"/>
    <s v="Timesheet Portal v3"/>
    <s v="Time &amp; Attendance"/>
    <s v="HR"/>
    <s v="Internal"/>
    <s v="Julien Petit"/>
    <s v="Theo Lopez"/>
    <s v="Infra Ops US"/>
    <n v="535"/>
    <d v="2021-03-28T00:00:00"/>
    <s v="Active"/>
    <n v="3"/>
    <n v="4"/>
    <s v="Workday Recruiting"/>
    <s v="On-prem DC"/>
    <s v="tpvapp01, tpvdb01, tpvweb01"/>
    <n v="3"/>
    <s v="RHEL 8"/>
    <s v="PostgreSQL 12"/>
    <s v="Plant DC"/>
    <d v="2029-05-31T00:00:00"/>
    <s v="Structured"/>
    <n v="70"/>
    <s v="Y"/>
    <n v="5"/>
    <s v="Y"/>
    <s v="Reporting extract"/>
    <n v="0"/>
    <s v="Y"/>
    <s v="Partial"/>
    <s v="Partial"/>
    <n v="55000"/>
    <d v="2027-12-31T00:00:00"/>
    <n v="66000"/>
    <n v="53000"/>
    <n v="14.943396226415093"/>
    <n v="1"/>
    <x v="4"/>
    <x v="1"/>
    <x v="3"/>
    <x v="36"/>
    <x v="4"/>
    <s v="Low business value; validate with owner"/>
  </r>
  <r>
    <n v="147492"/>
    <s v="Custom Commission Calculator (Nordics)"/>
    <s v="Commissions"/>
    <s v="Sales"/>
    <s v="Partner"/>
    <s v="Meera Dubois"/>
    <s v="Manon Chevalier"/>
    <s v="Cloud Platform Team"/>
    <n v="695"/>
    <d v="2021-04-12T00:00:00"/>
    <s v="Active"/>
    <n v="4"/>
    <n v="3"/>
    <m/>
    <s v="On-prem DC"/>
    <s v="cccapp01, cccdb01, cccweb01, cccfs01"/>
    <n v="4"/>
    <s v="AIX 7.1"/>
    <s v="DB2 10.5"/>
    <s v="TBD"/>
    <d v="2023-04-30T00:00:00"/>
    <s v="Structured"/>
    <n v="540"/>
    <s v="Y"/>
    <n v="7"/>
    <s v="Y"/>
    <s v="Data archive"/>
    <n v="6"/>
    <s v="N"/>
    <s v="Partial"/>
    <s v="Partial"/>
    <n v="41000"/>
    <d v="2033-02-28T00:00:00"/>
    <m/>
    <m/>
    <s v=""/>
    <n v="0"/>
    <x v="3"/>
    <x v="0"/>
    <x v="3"/>
    <x v="36"/>
    <x v="5"/>
    <s v="Active user base; no replacement planned"/>
  </r>
  <r>
    <n v="114299"/>
    <s v="Facilities Request Portal (US)"/>
    <s v="Facilities"/>
    <s v="Operations"/>
    <s v="Internal"/>
    <s v="Elena Garcia"/>
    <s v="Baptiste Henry"/>
    <s v="Infra Ops US"/>
    <n v="20"/>
    <d v="2020-12-18T00:00:00"/>
    <s v="Low use"/>
    <n v="3"/>
    <n v="3"/>
    <m/>
    <s v="IaaS"/>
    <s v="frpapp01"/>
    <n v="1"/>
    <s v="HP-UX 11i v3"/>
    <s v="Sybase ASE 15.7"/>
    <s v="Azure West Europe"/>
    <d v="2021-12-31T00:00:00"/>
    <s v="Structured"/>
    <n v="18"/>
    <s v="Y"/>
    <n v="10"/>
    <s v="N"/>
    <s v="None"/>
    <n v="1"/>
    <s v="Partial"/>
    <s v="N"/>
    <s v="N"/>
    <n v="7500"/>
    <d v="2029-05-31T00:00:00"/>
    <n v="9500"/>
    <n v="6000"/>
    <n v="19"/>
    <n v="2"/>
    <x v="4"/>
    <x v="2"/>
    <x v="3"/>
    <x v="36"/>
    <x v="4"/>
    <s v="Owner to confirm usage before decision"/>
  </r>
  <r>
    <n v="64037"/>
    <s v="Departmental Event Registration Tool (DE)"/>
    <s v="Events"/>
    <s v="Marketing"/>
    <s v="Internal"/>
    <s v="Claire Mehta"/>
    <s v="Ananya Pillai"/>
    <s v="SaaS Vendor Mgmt"/>
    <n v="671"/>
    <d v="2021-04-28T00:00:00"/>
    <s v="Active"/>
    <n v="4"/>
    <n v="2"/>
    <m/>
    <s v="SaaS"/>
    <s v="N/A (SaaS)"/>
    <n v="0"/>
    <s v="N/A"/>
    <s v="N/A"/>
    <s v="Vendor cloud (EU)"/>
    <d v="2026-10-31T00:00:00"/>
    <s v="Structured"/>
    <n v="110"/>
    <s v="Y"/>
    <n v="7"/>
    <s v="Y"/>
    <s v="Data archive"/>
    <n v="19"/>
    <s v="Partial"/>
    <s v="N"/>
    <s v="Y"/>
    <n v="220000"/>
    <d v="2026-07-31T00:00:00"/>
    <m/>
    <m/>
    <s v=""/>
    <n v="0"/>
    <x v="3"/>
    <x v="0"/>
    <x v="3"/>
    <x v="36"/>
    <x v="5"/>
    <s v="Strategic platform; refresh planned"/>
  </r>
  <r>
    <n v="16044"/>
    <s v="Departmental Payroll Interface (APAC)"/>
    <s v="Payroll"/>
    <s v="HR"/>
    <s v="Internal"/>
    <s v="Anika Patel"/>
    <s v="Hugo Perrin"/>
    <s v="Unix Platform Team"/>
    <n v="43"/>
    <d v="2021-04-17T00:00:00"/>
    <s v="Active"/>
    <n v="4"/>
    <n v="2"/>
    <m/>
    <s v="On-prem DC"/>
    <s v="dpiapp01"/>
    <n v="1"/>
    <s v="Windows Server 2012 R2"/>
    <s v="SQL Server 2012"/>
    <s v="EU DC-1"/>
    <d v="2022-07-12T00:00:00"/>
    <s v="Both"/>
    <n v="47"/>
    <s v="Y"/>
    <n v="10"/>
    <s v="Y"/>
    <s v="Data archive"/>
    <n v="22"/>
    <s v="N"/>
    <s v="N"/>
    <s v="Partial"/>
    <n v="48500"/>
    <d v="2032-08-31T00:00:00"/>
    <m/>
    <m/>
    <s v=""/>
    <n v="0"/>
    <x v="4"/>
    <x v="0"/>
    <x v="3"/>
    <x v="36"/>
    <x v="4"/>
    <s v="Owner to confirm usage before decision"/>
  </r>
  <r>
    <n v="155925"/>
    <s v="Regional Licence Manager"/>
    <s v="Licence Mgmt"/>
    <s v="IT"/>
    <s v="Internal"/>
    <s v="Nicolas Sharma"/>
    <s v="Manon Chevalier"/>
    <s v="Wintel Platform Team"/>
    <n v="120"/>
    <d v="2021-04-20T00:00:00"/>
    <s v="Active"/>
    <n v="4"/>
    <n v="2"/>
    <m/>
    <s v="IaaS"/>
    <s v="rlmapp01, rlmdb01, rlmweb01, rlmfs01"/>
    <n v="4"/>
    <s v="RHEL 7"/>
    <s v="Oracle 12c"/>
    <s v="AWS eu-west-1"/>
    <d v="2024-06-30T00:00:00"/>
    <s v="Structured"/>
    <n v="380"/>
    <s v="Y"/>
    <n v="10"/>
    <s v="Y"/>
    <s v="Data archive"/>
    <n v="28"/>
    <s v="Partial"/>
    <s v="Y"/>
    <s v="N"/>
    <n v="38000"/>
    <d v="2027-05-31T00:00:00"/>
    <m/>
    <m/>
    <s v=""/>
    <n v="0"/>
    <x v="3"/>
    <x v="0"/>
    <x v="3"/>
    <x v="36"/>
    <x v="5"/>
    <s v="Retain - revisit at next portfolio review"/>
  </r>
  <r>
    <n v="198543"/>
    <s v="Legacy Purchase Order System"/>
    <s v="Procurement"/>
    <s v="Supply Chain"/>
    <s v="Internal"/>
    <s v="Diego Alvarez"/>
    <s v="Ananya Pillai"/>
    <s v="Wintel Platform Team"/>
    <n v="77"/>
    <d v="2021-04-13T00:00:00"/>
    <s v="Active"/>
    <n v="4"/>
    <n v="2"/>
    <s v="Manhattan WMS"/>
    <s v="PaaS"/>
    <s v="Azure App Service (PaaS)"/>
    <n v="0"/>
    <s v="N/A (PaaS)"/>
    <s v="Azure SQL"/>
    <s v="Azure West Europe"/>
    <d v="2022-06-30T00:00:00"/>
    <s v="Structured"/>
    <n v="200"/>
    <s v="N"/>
    <n v="5"/>
    <s v="Y"/>
    <s v="Data archive"/>
    <n v="8"/>
    <s v="Partial"/>
    <s v="Y"/>
    <s v="N"/>
    <n v="33500"/>
    <d v="2028-09-30T00:00:00"/>
    <n v="45500"/>
    <n v="29000"/>
    <n v="18.827586206896552"/>
    <n v="1"/>
    <x v="4"/>
    <x v="0"/>
    <x v="3"/>
    <x v="36"/>
    <x v="4"/>
    <s v="Low business value; validate with owner"/>
  </r>
  <r>
    <n v="146655"/>
    <s v="Custom Tax Compliance Tool (DE)"/>
    <s v="Tax"/>
    <s v="Finance"/>
    <s v="Internal"/>
    <s v="Sara Kapoor"/>
    <s v="Ishaan Desai"/>
    <s v="Database Services"/>
    <n v="686"/>
    <d v="2021-03-25T00:00:00"/>
    <s v="Active"/>
    <n v="3"/>
    <n v="4"/>
    <s v="Icertis CLM"/>
    <s v="On-prem DC"/>
    <s v="ctcapp01"/>
    <n v="1"/>
    <s v="Windows Server 2008"/>
    <s v="SQL Server 2008"/>
    <s v="Plant DC"/>
    <d v="2019-07-09T00:00:00"/>
    <s v="Both"/>
    <n v="150"/>
    <s v="Y"/>
    <n v="10"/>
    <s v="Y"/>
    <s v="Data archive"/>
    <n v="3"/>
    <s v="N"/>
    <s v="N"/>
    <s v="Partial"/>
    <n v="29500"/>
    <d v="2035-04-30T00:00:00"/>
    <m/>
    <m/>
    <s v=""/>
    <n v="2"/>
    <x v="4"/>
    <x v="1"/>
    <x v="3"/>
    <x v="36"/>
    <x v="4"/>
    <s v="Owner to confirm usage before decision"/>
  </r>
  <r>
    <n v="124462"/>
    <s v="Access Request Tool v4"/>
    <s v="Identity"/>
    <s v="IT"/>
    <s v="Internal"/>
    <s v="Thomas Moreau"/>
    <s v="Remi Masson"/>
    <s v="Infra Ops EMEA"/>
    <n v="151"/>
    <d v="2021-04-25T00:00:00"/>
    <s v="Active"/>
    <n v="4"/>
    <n v="3"/>
    <m/>
    <s v="IaaS"/>
    <s v="artapp01, artdb01, artweb01, artfs01"/>
    <n v="4"/>
    <s v="RHEL 6"/>
    <s v="Oracle 11g"/>
    <s v="AWS us-east-1"/>
    <d v="2020-11-30T00:00:00"/>
    <s v="Structured"/>
    <n v="150"/>
    <s v="N"/>
    <n v="2"/>
    <s v="N"/>
    <s v="None"/>
    <n v="5"/>
    <s v="N"/>
    <s v="N"/>
    <s v="N"/>
    <n v="50000"/>
    <d v="2033-05-31T00:00:00"/>
    <n v="68500"/>
    <n v="43000"/>
    <n v="19.11627906976744"/>
    <n v="1"/>
    <x v="4"/>
    <x v="2"/>
    <x v="3"/>
    <x v="36"/>
    <x v="4"/>
    <s v="Owner to confirm usage before decision_x000a_Blocker: Vendor notice period of 12 months_x000a_Q: Can the contract end be brought forward?"/>
  </r>
  <r>
    <n v="102338"/>
    <s v="Custom Event Registration Tool"/>
    <s v="Events"/>
    <s v="Marketing"/>
    <s v="Internal"/>
    <s v="Sara Kapoor"/>
    <s v="Remi Masson"/>
    <s v="Cloud Platform Team"/>
    <n v="512"/>
    <d v="2021-04-22T00:00:00"/>
    <s v="Active"/>
    <n v="3"/>
    <n v="3"/>
    <s v="TBD"/>
    <s v="IaaS"/>
    <s v="cerapp01"/>
    <n v="1"/>
    <s v="Ubuntu 16.04"/>
    <s v="MySQL 5.7"/>
    <s v="Azure West Europe"/>
    <d v="2021-04-30T00:00:00"/>
    <s v="Unstructured"/>
    <n v="600"/>
    <s v="Y"/>
    <n v="5"/>
    <s v="Y"/>
    <s v="Archive + read-only"/>
    <n v="6"/>
    <s v="Partial"/>
    <s v="N"/>
    <s v="Y"/>
    <n v="25000"/>
    <d v="2035-11-30T00:00:00"/>
    <n v="34000"/>
    <n v="23000"/>
    <n v="17.739130434782609"/>
    <n v="1"/>
    <x v="4"/>
    <x v="0"/>
    <x v="3"/>
    <x v="36"/>
    <x v="4"/>
    <s v="Dependencies to be mapped"/>
  </r>
  <r>
    <n v="77431"/>
    <s v="Custom Facilities Request Portal v3"/>
    <s v="Facilities"/>
    <s v="Operations"/>
    <s v="External"/>
    <s v="Karan Blanc"/>
    <s v="Chloe Vidal"/>
    <s v="SaaS Vendor Mgmt"/>
    <n v="955"/>
    <d v="2021-04-22T00:00:00"/>
    <s v="Active"/>
    <n v="4"/>
    <n v="3"/>
    <m/>
    <s v="SaaS"/>
    <s v="N/A (SaaS)"/>
    <n v="0"/>
    <s v="N/A"/>
    <s v="N/A"/>
    <s v="Vendor cloud (EU)"/>
    <m/>
    <s v="Unstructured"/>
    <n v="3210"/>
    <s v="N"/>
    <n v="5"/>
    <s v="N"/>
    <s v="None"/>
    <n v="1"/>
    <s v="N"/>
    <s v="Y"/>
    <s v="N"/>
    <n v="60000"/>
    <d v="2028-09-30T00:00:00"/>
    <m/>
    <m/>
    <s v=""/>
    <n v="0"/>
    <x v="3"/>
    <x v="2"/>
    <x v="3"/>
    <x v="36"/>
    <x v="4"/>
    <s v="Cheap &amp; healthy - retain"/>
  </r>
  <r>
    <n v="195477"/>
    <s v="Ticket Desk (DE)"/>
    <s v="Service Desk"/>
    <s v="IT"/>
    <s v="External"/>
    <s v="Oscar Lindqvist"/>
    <s v="Aditi Menon"/>
    <s v="Database Services"/>
    <n v="7"/>
    <d v="2020-12-10T00:00:00"/>
    <s v="Low use"/>
    <n v="2"/>
    <n v="3"/>
    <m/>
    <s v="On-prem DC"/>
    <s v="tddapp01, tdddb01, tddweb01"/>
    <n v="3"/>
    <s v="AIX 6.1"/>
    <s v="DB2 9.7"/>
    <s v="EU DC-1"/>
    <d v="2017-04-30T00:00:00"/>
    <s v="Structured"/>
    <n v="1"/>
    <s v="N"/>
    <n v="3"/>
    <s v="N"/>
    <s v="None"/>
    <n v="4"/>
    <s v="Y"/>
    <s v="Partial"/>
    <s v="N"/>
    <n v="36500"/>
    <d v="2028-03-31T00:00:00"/>
    <m/>
    <m/>
    <s v=""/>
    <n v="3"/>
    <x v="4"/>
    <x v="2"/>
    <x v="3"/>
    <x v="36"/>
    <x v="4"/>
    <s v="Low business value; validate with owner"/>
  </r>
  <r>
    <n v="71719"/>
    <s v="Shared Intranet (SharePoint) v3"/>
    <s v="Collaboration"/>
    <s v="IT"/>
    <s v="Internal"/>
    <s v="Fatima Khan"/>
    <s v="Tara Khanna"/>
    <s v="Cloud Platform Team"/>
    <n v="5550"/>
    <d v="2021-04-26T00:00:00"/>
    <s v="Active"/>
    <n v="5"/>
    <n v="1"/>
    <m/>
    <s v="On-prem DC"/>
    <s v="sisapp01, sisdb01, sisweb01, sisfs01"/>
    <n v="4"/>
    <s v="Windows Server 2008 R2"/>
    <s v="SQL Server 2008 R2"/>
    <s v="Plant DC"/>
    <d v="2020-01-14T00:00:00"/>
    <s v="Both"/>
    <n v="97"/>
    <s v="Y"/>
    <n v="7"/>
    <s v="Y"/>
    <s v="Archive + read-only"/>
    <n v="73"/>
    <s v="N"/>
    <s v="Y"/>
    <s v="Y"/>
    <n v="230000"/>
    <d v="2030-02-28T00:00:00"/>
    <n v="779500"/>
    <n v="145000"/>
    <n v="64.510344827586209"/>
    <n v="1"/>
    <x v="4"/>
    <x v="0"/>
    <x v="3"/>
    <x v="36"/>
    <x v="4"/>
    <s v="Low business value; validate with owner"/>
  </r>
  <r>
    <n v="189544"/>
    <s v="Global Monitoring Console Lite"/>
    <s v="Monitoring"/>
    <s v="IT"/>
    <s v="Partner"/>
    <s v="Fatima Khan"/>
    <s v="Rohan Bhatt"/>
    <s v="Wintel Platform Team"/>
    <n v="20"/>
    <d v="2021-04-15T00:00:00"/>
    <s v="Low use"/>
    <n v="3"/>
    <n v="3"/>
    <m/>
    <s v="On-prem DC"/>
    <s v="gmcapp01, gmcdb01, gmcweb01, gmcfs01"/>
    <n v="4"/>
    <s v="Ubuntu 16.04"/>
    <s v="MySQL 5.7"/>
    <s v="Plant DC"/>
    <d v="2021-04-30T00:00:00"/>
    <s v="Structured"/>
    <n v="160"/>
    <s v="N"/>
    <n v="2"/>
    <s v="Y"/>
    <s v="Archive + read-only"/>
    <n v="7"/>
    <s v="Partial"/>
    <s v="N"/>
    <s v="Partial"/>
    <n v="55000"/>
    <d v="2031-02-28T00:00:00"/>
    <m/>
    <m/>
    <s v=""/>
    <n v="2"/>
    <x v="4"/>
    <x v="0"/>
    <x v="3"/>
    <x v="36"/>
    <x v="4"/>
    <s v="Dependencies to be mapped"/>
  </r>
  <r>
    <n v="35322"/>
    <s v="Old Licence Manager (DE)"/>
    <s v="Licence Mgmt"/>
    <s v="IT"/>
    <s v="Internal"/>
    <s v="Thomas Moreau"/>
    <s v="Theo Lopez"/>
    <s v="Infra Ops EMEA"/>
    <n v="40"/>
    <d v="2021-03-30T00:00:00"/>
    <s v="Active"/>
    <n v="5"/>
    <n v="1"/>
    <m/>
    <s v="PaaS"/>
    <s v="Azure App Service (PaaS)"/>
    <n v="0"/>
    <s v="N/A (PaaS)"/>
    <s v="Azure SQL"/>
    <s v="Azure West Europe"/>
    <m/>
    <s v="Both"/>
    <n v="220"/>
    <s v="N"/>
    <n v="3"/>
    <s v="N"/>
    <s v="None"/>
    <n v="21"/>
    <s v="N"/>
    <s v="N"/>
    <s v="Partial"/>
    <n v="43000"/>
    <d v="2033-05-31T00:00:00"/>
    <m/>
    <m/>
    <s v=""/>
    <n v="0"/>
    <x v="3"/>
    <x v="2"/>
    <x v="3"/>
    <x v="36"/>
    <x v="5"/>
    <s v="Active user base; no replacement planned"/>
  </r>
  <r>
    <n v="179446"/>
    <s v="Asset Register v4"/>
    <s v="Fixed Assets"/>
    <s v="Finance"/>
    <s v="External"/>
    <s v="Sara Kapoor"/>
    <s v="Manon Chevalier"/>
    <s v="Database Services"/>
    <n v="4"/>
    <d v="2021-04-26T00:00:00"/>
    <s v="Low use"/>
    <n v="5"/>
    <n v="1"/>
    <m/>
    <s v="PaaS"/>
    <s v="Azure App Service (PaaS)"/>
    <n v="0"/>
    <s v="N/A (PaaS)"/>
    <s v="Azure SQL"/>
    <s v="Azure West Europe"/>
    <m/>
    <s v="Structured"/>
    <n v="5990"/>
    <s v="Y"/>
    <n v="5"/>
    <s v="Y"/>
    <s v="Reporting extract"/>
    <n v="57"/>
    <s v="Y"/>
    <s v="Partial"/>
    <s v="N"/>
    <n v="35000"/>
    <d v="2026-09-30T00:00:00"/>
    <n v="264500"/>
    <n v="26000"/>
    <n v="122.07692307692308"/>
    <n v="1"/>
    <x v="4"/>
    <x v="0"/>
    <x v="3"/>
    <x v="36"/>
    <x v="4"/>
    <s v="Low business value; validate with owner"/>
  </r>
  <r>
    <n v="162613"/>
    <s v="Regional Commission Calculator v2"/>
    <s v="Commissions"/>
    <s v="Sales"/>
    <s v="Partner"/>
    <s v="Karan Blanc"/>
    <s v="Adrien Colin"/>
    <s v="SaaS Vendor Mgmt"/>
    <n v="105"/>
    <d v="2021-03-20T00:00:00"/>
    <s v="Active"/>
    <n v="5"/>
    <n v="2"/>
    <m/>
    <s v="SaaS"/>
    <s v="N/A (SaaS)"/>
    <n v="0"/>
    <s v="N/A"/>
    <s v="N/A"/>
    <s v="Vendor cloud (EU)"/>
    <d v="2023-06-30T00:00:00"/>
    <s v="Unstructured"/>
    <n v="250"/>
    <s v="N"/>
    <n v="5"/>
    <s v="Y"/>
    <s v="Data archive"/>
    <n v="25"/>
    <s v="Y"/>
    <s v="Y"/>
    <s v="Y"/>
    <n v="33500"/>
    <d v="2035-05-31T00:00:00"/>
    <m/>
    <m/>
    <s v=""/>
    <n v="0"/>
    <x v="3"/>
    <x v="0"/>
    <x v="3"/>
    <x v="36"/>
    <x v="5"/>
    <s v="Retain - revisit at next portfolio review"/>
  </r>
  <r>
    <n v="97484"/>
    <s v="Shared Commission Calculator"/>
    <s v="Commissions"/>
    <s v="Sales"/>
    <s v="Partner"/>
    <s v="Antoine Patel"/>
    <s v="Ishaan Desai"/>
    <s v="SaaS Vendor Mgmt"/>
    <n v="0"/>
    <d v="2020-12-11T00:00:00"/>
    <s v="Not in use"/>
    <n v="4"/>
    <n v="1"/>
    <s v="Salesforce CPQ"/>
    <s v="SaaS"/>
    <s v="N/A (SaaS)"/>
    <n v="0"/>
    <s v="N/A"/>
    <s v="N/A"/>
    <s v="Vendor cloud (EU)"/>
    <d v="2025-02-28T00:00:00"/>
    <s v="Both"/>
    <n v="76"/>
    <s v="Y"/>
    <n v="10"/>
    <s v="N"/>
    <s v="None"/>
    <n v="82"/>
    <s v="Partial"/>
    <s v="N"/>
    <s v="N"/>
    <n v="490000"/>
    <d v="2033-04-30T00:00:00"/>
    <n v="1060000"/>
    <n v="315000"/>
    <n v="40.38095238095238"/>
    <n v="2"/>
    <x v="4"/>
    <x v="2"/>
    <x v="3"/>
    <x v="36"/>
    <x v="4"/>
    <s v="Owner to confirm usage before decision_x000a_Blocker: Interface owners not yet identified_x000a_Q: Which teams consume the outbound feeds?"/>
  </r>
  <r>
    <n v="111308"/>
    <s v="Custom Maintenance Scheduler 2010"/>
    <s v="Asset Maintenance"/>
    <s v="Operations"/>
    <s v="Internal"/>
    <s v="Rahul Iyer"/>
    <s v="Kavya Reddy"/>
    <s v="SaaS Vendor Mgmt"/>
    <n v="134"/>
    <d v="2021-04-05T00:00:00"/>
    <s v="Active"/>
    <n v="4"/>
    <n v="2"/>
    <m/>
    <s v="SaaS"/>
    <s v="N/A (SaaS)"/>
    <n v="0"/>
    <s v="N/A"/>
    <s v="N/A"/>
    <s v="Vendor cloud (EU)"/>
    <d v="2022-05-31T00:00:00"/>
    <s v="Structured"/>
    <n v="5"/>
    <s v="N"/>
    <n v="7"/>
    <s v="N"/>
    <s v="None"/>
    <n v="13"/>
    <s v="N"/>
    <s v="Y"/>
    <s v="N"/>
    <n v="36000"/>
    <d v="2030-08-31T00:00:00"/>
    <m/>
    <m/>
    <s v=""/>
    <n v="0"/>
    <x v="3"/>
    <x v="2"/>
    <x v="3"/>
    <x v="36"/>
    <x v="5"/>
    <s v="Strategic platform; refresh planned"/>
  </r>
  <r>
    <n v="156448"/>
    <s v="Regional Budget Planner"/>
    <s v="Budgeting"/>
    <s v="Finance"/>
    <s v="Internal"/>
    <s v="Oscar Lindqvist"/>
    <s v="Remi Masson"/>
    <s v="Infra Ops US"/>
    <n v="357"/>
    <d v="2021-04-28T00:00:00"/>
    <s v="Active"/>
    <n v="3"/>
    <n v="3"/>
    <m/>
    <s v="On-prem DC"/>
    <s v="rbpapp01, rbpdb01, rbpweb01, rbpfs01"/>
    <n v="4"/>
    <s v="Windows Server 2008 R2"/>
    <s v="SQL Server 2008 R2"/>
    <s v="EU DC-1"/>
    <d v="2020-01-14T00:00:00"/>
    <s v="Unstructured"/>
    <n v="180"/>
    <s v="Y"/>
    <n v="7"/>
    <s v="N"/>
    <s v="None"/>
    <n v="1"/>
    <s v="Partial"/>
    <s v="Partial"/>
    <s v="Partial"/>
    <n v="29000"/>
    <d v="2025-02-28T00:00:00"/>
    <n v="37500"/>
    <n v="28000"/>
    <n v="16.071428571428569"/>
    <n v="1"/>
    <x v="4"/>
    <x v="2"/>
    <x v="3"/>
    <x v="36"/>
    <x v="4"/>
    <s v="Owner to confirm usage before decision"/>
  </r>
  <r>
    <n v="31079"/>
    <s v="Regional Warehouse Mgmt System (Nordics)"/>
    <s v="Warehouse Mgmt"/>
    <s v="Supply Chain"/>
    <s v="Internal"/>
    <s v="Claire Mehta"/>
    <s v="Omar Haddad"/>
    <s v="Plant IT Services"/>
    <n v="109"/>
    <d v="2021-04-19T00:00:00"/>
    <s v="Active"/>
    <n v="1"/>
    <n v="3"/>
    <m/>
    <s v="On-prem DC"/>
    <s v="rwmapp01, rwmdb01, rwmweb01, rwmfs01"/>
    <n v="4"/>
    <s v="HP-UX 11i v3"/>
    <s v="Sybase ASE 15.7"/>
    <s v="EU DC-2"/>
    <d v="2021-12-31T00:00:00"/>
    <s v="Both"/>
    <n v="920"/>
    <s v="N"/>
    <n v="7"/>
    <s v="N"/>
    <s v="None"/>
    <n v="5"/>
    <s v="Partial"/>
    <s v="N"/>
    <s v="Y"/>
    <n v="27000"/>
    <d v="2033-08-31T00:00:00"/>
    <n v="23000"/>
    <n v="22500"/>
    <n v="12.266666666666666"/>
    <n v="2"/>
    <x v="4"/>
    <x v="2"/>
    <x v="3"/>
    <x v="36"/>
    <x v="4"/>
    <s v="Low business value; validate with owner"/>
  </r>
  <r>
    <n v="113233"/>
    <s v="Regional Commission Calculator 2010"/>
    <s v="Commissions"/>
    <s v="Sales"/>
    <s v="Internal"/>
    <s v="Camille Fontaine"/>
    <s v="Sameer Joshi"/>
    <s v="Database Services"/>
    <n v="4"/>
    <d v="2021-03-19T00:00:00"/>
    <s v="Low use"/>
    <n v="4"/>
    <n v="2"/>
    <m/>
    <s v="PaaS"/>
    <s v="Azure App Service (PaaS)"/>
    <n v="0"/>
    <s v="N/A (PaaS)"/>
    <s v="Cosmos DB"/>
    <s v="Azure West Europe"/>
    <m/>
    <s v="Structured"/>
    <n v="260"/>
    <s v="N"/>
    <n v="3"/>
    <s v="Y"/>
    <s v="Read-only access"/>
    <n v="18"/>
    <s v="N"/>
    <s v="Partial"/>
    <s v="Partial"/>
    <n v="14500"/>
    <d v="2025-03-31T00:00:00"/>
    <n v="22500"/>
    <n v="14000"/>
    <n v="19.285714285714285"/>
    <n v="1"/>
    <x v="4"/>
    <x v="0"/>
    <x v="3"/>
    <x v="36"/>
    <x v="4"/>
    <s v="Low business value; validate with owner"/>
  </r>
  <r>
    <n v="90463"/>
    <s v="Legacy Customer Contact Manager (UK)"/>
    <s v="CRM"/>
    <s v="Sales"/>
    <s v="Internal"/>
    <s v="Julia Rao"/>
    <s v="Ishaan Desai"/>
    <s v="SaaS Vendor Mgmt"/>
    <n v="440"/>
    <d v="2021-04-15T00:00:00"/>
    <s v="Active"/>
    <n v="4"/>
    <n v="2"/>
    <s v="Salesforce CPQ (planned)"/>
    <s v="SaaS"/>
    <s v="N/A (SaaS)"/>
    <n v="0"/>
    <s v="N/A"/>
    <s v="N/A"/>
    <s v="Vendor cloud (EU)"/>
    <m/>
    <s v="Both"/>
    <n v="50"/>
    <s v="N"/>
    <n v="1"/>
    <s v="N"/>
    <s v="None"/>
    <n v="27"/>
    <s v="N"/>
    <s v="N"/>
    <s v="Y"/>
    <n v="165000"/>
    <d v="2030-08-31T00:00:00"/>
    <m/>
    <m/>
    <s v=""/>
    <n v="1"/>
    <x v="4"/>
    <x v="2"/>
    <x v="3"/>
    <x v="36"/>
    <x v="4"/>
    <s v="Awaiting assessment workshop"/>
  </r>
  <r>
    <n v="108153"/>
    <s v="Corporate Credit Check Portal Lite"/>
    <s v="Credit Mgmt"/>
    <s v="Finance"/>
    <s v="Internal"/>
    <s v="Elena Garcia"/>
    <s v="Aditi Menon"/>
    <s v="Unix Platform Team"/>
    <n v="134"/>
    <d v="2021-04-06T00:00:00"/>
    <s v="Active"/>
    <n v="4"/>
    <n v="2"/>
    <s v="Anaplan"/>
    <s v="On-prem DC"/>
    <s v="cccapp01, cccdb01, cccweb01, cccfs01"/>
    <n v="4"/>
    <s v="RHEL 8"/>
    <s v="PostgreSQL 12"/>
    <s v="TBD"/>
    <d v="2029-05-31T00:00:00"/>
    <s v="Structured"/>
    <n v="35"/>
    <s v="N"/>
    <n v="7"/>
    <s v="Y"/>
    <s v="Data archive"/>
    <n v="18"/>
    <s v="Partial"/>
    <s v="N"/>
    <s v="Partial"/>
    <n v="90000"/>
    <d v="2026-08-31T00:00:00"/>
    <m/>
    <m/>
    <s v=""/>
    <n v="1"/>
    <x v="4"/>
    <x v="0"/>
    <x v="3"/>
    <x v="36"/>
    <x v="4"/>
    <s v="Awaiting assessment workshop"/>
  </r>
  <r>
    <n v="148285"/>
    <s v="Global Training Records v2"/>
    <s v="Learning"/>
    <s v="HR"/>
    <s v="External"/>
    <s v="Arjun Lambert"/>
    <s v="Chloe Vidal"/>
    <s v="SaaS Vendor Mgmt"/>
    <n v="109"/>
    <d v="2021-04-13T00:00:00"/>
    <s v="Active"/>
    <n v="4"/>
    <n v="2"/>
    <s v="SuccessFactors"/>
    <s v="SaaS"/>
    <s v="N/A (SaaS)"/>
    <n v="0"/>
    <s v="N/A"/>
    <s v="N/A"/>
    <s v="Vendor cloud (EU)"/>
    <m/>
    <s v="Structured"/>
    <n v="440"/>
    <s v="Y"/>
    <n v="7"/>
    <s v="N"/>
    <s v="None"/>
    <n v="19"/>
    <s v="Partial"/>
    <s v="Y"/>
    <s v="N"/>
    <n v="160000"/>
    <d v="2033-10-31T00:00:00"/>
    <m/>
    <m/>
    <s v=""/>
    <n v="1"/>
    <x v="4"/>
    <x v="2"/>
    <x v="3"/>
    <x v="36"/>
    <x v="4"/>
    <s v="Owner to confirm usage before decision"/>
  </r>
  <r>
    <n v="48974"/>
    <s v="Shared Newsletter Mailer Classic"/>
    <s v="Email"/>
    <s v="Marketing"/>
    <s v="Internal"/>
    <s v="Hannah Weber"/>
    <s v="Varun Malhotra"/>
    <s v="Plant IT Services"/>
    <n v="496"/>
    <d v="2021-04-11T00:00:00"/>
    <s v="Active"/>
    <n v="5"/>
    <n v="1"/>
    <m/>
    <s v="On-prem DC"/>
    <s v="snm-app01–06, snm-db01"/>
    <n v="7"/>
    <s v="Windows Server 2016"/>
    <s v="SQL Server 2017"/>
    <s v="TBD"/>
    <d v="2027-01-12T00:00:00"/>
    <s v="Both"/>
    <n v="39"/>
    <s v="N"/>
    <n v="1"/>
    <s v="N"/>
    <s v="None"/>
    <n v="54"/>
    <s v="N"/>
    <s v="Partial"/>
    <s v="Y"/>
    <n v="305000"/>
    <d v="2027-01-31T00:00:00"/>
    <m/>
    <m/>
    <s v=""/>
    <n v="0"/>
    <x v="3"/>
    <x v="2"/>
    <x v="3"/>
    <x v="36"/>
    <x v="5"/>
    <s v="Retain - revisit at next portfolio review"/>
  </r>
  <r>
    <n v="139254"/>
    <s v="Global Travel Booking Tool v2"/>
    <s v="Travel"/>
    <s v="HR"/>
    <s v="Partner"/>
    <s v="Amelie Martin"/>
    <s v="Theo Lopez"/>
    <s v="Unix Platform Team"/>
    <n v="291"/>
    <d v="2021-04-02T00:00:00"/>
    <s v="Active"/>
    <n v="3"/>
    <n v="3"/>
    <m/>
    <s v="On-prem DC"/>
    <s v="gtbapp01, gtbdb01, gtbweb01, gtbfs01"/>
    <n v="4"/>
    <s v="Windows Server 2012 R2"/>
    <s v="SQL Server 2012"/>
    <s v="TBD"/>
    <d v="2022-07-12T00:00:00"/>
    <s v="Both"/>
    <n v="110"/>
    <s v="Y"/>
    <n v="7"/>
    <s v="Y"/>
    <s v="Reporting extract"/>
    <n v="2"/>
    <s v="Partial"/>
    <s v="N"/>
    <s v="Y"/>
    <n v="32500"/>
    <d v="2026-08-31T00:00:00"/>
    <m/>
    <m/>
    <s v=""/>
    <n v="0"/>
    <x v="3"/>
    <x v="1"/>
    <x v="3"/>
    <x v="36"/>
    <x v="5"/>
    <s v="Strategic platform; refresh planned"/>
  </r>
  <r>
    <n v="132727"/>
    <s v="Corporate Batch Scheduler Plus"/>
    <s v="Batch Scheduling"/>
    <s v="IT"/>
    <s v="Internal"/>
    <s v="Isabelle Singh"/>
    <s v="Kavya Reddy"/>
    <s v="Infra Ops US"/>
    <n v="0"/>
    <d v="2020-01-28T00:00:00"/>
    <s v="Not in use"/>
    <n v="3"/>
    <n v="2"/>
    <m/>
    <s v="IaaS"/>
    <s v="cbsapp01, cbsdb01, cbsweb01"/>
    <n v="3"/>
    <s v="Ubuntu 16.04"/>
    <s v="MySQL 5.7"/>
    <s v="Azure West Europe"/>
    <d v="2021-04-30T00:00:00"/>
    <s v="Both"/>
    <n v="160"/>
    <s v="N"/>
    <n v="3"/>
    <s v="Y"/>
    <s v="Read-only access"/>
    <n v="8"/>
    <s v="Partial"/>
    <s v="Partial"/>
    <s v="N"/>
    <n v="32000"/>
    <d v="2033-10-31T00:00:00"/>
    <m/>
    <m/>
    <s v=""/>
    <n v="2"/>
    <x v="4"/>
    <x v="0"/>
    <x v="3"/>
    <x v="36"/>
    <x v="4"/>
    <s v="Low business value; validate with owner"/>
  </r>
  <r>
    <n v="100530"/>
    <s v="Old Access Request Tool Classic"/>
    <s v="Identity"/>
    <s v="IT"/>
    <s v="Internal"/>
    <s v="Pierre Roux"/>
    <s v="Varun Malhotra"/>
    <s v="SaaS Vendor Mgmt"/>
    <n v="1390"/>
    <d v="2021-04-22T00:00:00"/>
    <s v="Active"/>
    <n v="3"/>
    <n v="3"/>
    <s v="Azure Monitor"/>
    <s v="SaaS"/>
    <s v="N/A (SaaS)"/>
    <n v="0"/>
    <s v="N/A"/>
    <s v="N/A"/>
    <s v="Vendor cloud (EU)"/>
    <m/>
    <s v="Structured"/>
    <n v="160"/>
    <s v="N"/>
    <n v="7"/>
    <s v="N"/>
    <s v="None"/>
    <n v="7"/>
    <s v="Partial"/>
    <s v="Partial"/>
    <s v="Partial"/>
    <n v="48000"/>
    <d v="2026-04-30T00:00:00"/>
    <m/>
    <m/>
    <s v=""/>
    <n v="1"/>
    <x v="4"/>
    <x v="2"/>
    <x v="3"/>
    <x v="36"/>
    <x v="4"/>
    <s v="Dependencies to be mapped"/>
  </r>
  <r>
    <n v="111942"/>
    <s v="Shared Survey Tool (FR)"/>
    <s v="Market Research"/>
    <s v="Marketing"/>
    <s v="Partner"/>
    <s v="Hannah Weber"/>
    <s v="Lena Fischer"/>
    <s v="Plant IT Services"/>
    <n v="56"/>
    <d v="2021-03-29T00:00:00"/>
    <s v="Active"/>
    <n v="3"/>
    <n v="2"/>
    <m/>
    <s v="On-prem DC"/>
    <s v="sstapp01, sstdb01, sstweb01, sstfs01"/>
    <n v="4"/>
    <s v="Windows Server 2008"/>
    <s v="SQL Server 2008"/>
    <s v="US DC-1"/>
    <d v="2019-07-09T00:00:00"/>
    <s v="Structured"/>
    <n v="350"/>
    <s v="Y"/>
    <n v="7"/>
    <s v="Y"/>
    <s v="Archive + read-only"/>
    <n v="14"/>
    <s v="N"/>
    <s v="Partial"/>
    <s v="Partial"/>
    <n v="110000"/>
    <d v="2034-01-31T00:00:00"/>
    <n v="173500"/>
    <n v="80000"/>
    <n v="26.025000000000002"/>
    <n v="1"/>
    <x v="4"/>
    <x v="0"/>
    <x v="3"/>
    <x v="36"/>
    <x v="4"/>
    <s v="Dependencies to be mapped"/>
  </r>
  <r>
    <n v="40973"/>
    <s v="Survey Tool v2"/>
    <s v="Market Research"/>
    <s v="Marketing"/>
    <s v="Internal"/>
    <s v="Pierre Roux"/>
    <s v="Lena Fischer"/>
    <s v="SaaS Vendor Mgmt"/>
    <n v="100"/>
    <d v="2021-04-16T00:00:00"/>
    <s v="Active"/>
    <n v="4"/>
    <n v="1"/>
    <m/>
    <s v="SaaS"/>
    <s v="N/A (SaaS)"/>
    <n v="0"/>
    <s v="N/A"/>
    <s v="N/A"/>
    <s v="Vendor cloud (EU)"/>
    <m/>
    <s v="Structured"/>
    <n v="95"/>
    <s v="Y"/>
    <n v="7"/>
    <s v="Y"/>
    <s v="Read-only access"/>
    <n v="26"/>
    <s v="Partial"/>
    <s v="N"/>
    <s v="Y"/>
    <n v="100000"/>
    <d v="2027-10-31T00:00:00"/>
    <m/>
    <m/>
    <s v=""/>
    <n v="0"/>
    <x v="4"/>
    <x v="0"/>
    <x v="3"/>
    <x v="36"/>
    <x v="4"/>
    <s v="Dependencies to be mapped"/>
  </r>
  <r>
    <n v="38133"/>
    <s v="Web Analytics Mart Plus"/>
    <s v="Analytics"/>
    <s v="Marketing"/>
    <s v="Internal"/>
    <s v="Claire Mehta"/>
    <s v="Aditi Menon"/>
    <s v="Plant IT Services"/>
    <n v="1512"/>
    <d v="2021-04-23T00:00:00"/>
    <s v="Active"/>
    <n v="5"/>
    <n v="1"/>
    <m/>
    <s v="On-prem DC"/>
    <s v="wamapp01, wamdb01"/>
    <n v="2"/>
    <s v="RHEL 8"/>
    <s v="PostgreSQL 12"/>
    <s v="EU DC-2"/>
    <d v="2029-05-31T00:00:00"/>
    <s v="Unstructured"/>
    <n v="230"/>
    <s v="Y"/>
    <n v="10"/>
    <s v="Y"/>
    <s v="Data archive"/>
    <n v="52"/>
    <s v="N"/>
    <s v="Y"/>
    <s v="N"/>
    <n v="95000"/>
    <d v="2028-05-31T00:00:00"/>
    <m/>
    <m/>
    <s v=""/>
    <n v="0"/>
    <x v="3"/>
    <x v="0"/>
    <x v="3"/>
    <x v="36"/>
    <x v="5"/>
    <s v="Cheap &amp; healthy - retain"/>
  </r>
  <r>
    <n v="191394"/>
    <s v="Regional Budget Planner (APAC)"/>
    <s v="Budgeting"/>
    <s v="Finance"/>
    <s v="External"/>
    <s v="Lucas Bernard"/>
    <s v="Omar Haddad"/>
    <s v="Infra Ops EMEA"/>
    <n v="20"/>
    <d v="2021-03-15T00:00:00"/>
    <s v="Low use"/>
    <n v="3"/>
    <n v="4"/>
    <m/>
    <s v="On-prem DC"/>
    <s v="rbpapp01, rbpdb01"/>
    <n v="2"/>
    <s v="Windows Server 2019"/>
    <s v="SQL Server 2019"/>
    <s v="TBD"/>
    <d v="2029-01-09T00:00:00"/>
    <s v="Both"/>
    <n v="13060"/>
    <s v="Y"/>
    <n v="7"/>
    <s v="N"/>
    <s v="None"/>
    <n v="0"/>
    <s v="Partial"/>
    <s v="Partial"/>
    <s v="Y"/>
    <n v="30000"/>
    <d v="2028-05-31T00:00:00"/>
    <n v="145000"/>
    <n v="24500"/>
    <n v="71.020408163265301"/>
    <n v="1"/>
    <x v="4"/>
    <x v="2"/>
    <x v="3"/>
    <x v="36"/>
    <x v="4"/>
    <s v="Owner to confirm usage before decision"/>
  </r>
  <r>
    <n v="51696"/>
    <s v="Legacy Demand Planner (DE)"/>
    <s v="Demand Planning"/>
    <s v="Supply Chain"/>
    <s v="Internal"/>
    <s v="Yuki Tanaka"/>
    <s v="Omar Haddad"/>
    <s v="Wintel Platform Team"/>
    <n v="8"/>
    <d v="2021-04-25T00:00:00"/>
    <s v="Low use"/>
    <n v="2"/>
    <n v="3"/>
    <s v="TBD"/>
    <s v="On-prem DC"/>
    <s v="ldpapp01, ldpdb01"/>
    <n v="2"/>
    <s v="HP-UX 11i v3"/>
    <s v="Sybase ASE 15.7"/>
    <s v="EU DC-2"/>
    <d v="2021-12-31T00:00:00"/>
    <s v="Unstructured"/>
    <n v="810"/>
    <s v="N"/>
    <n v="3"/>
    <s v="Y"/>
    <s v="Reporting extract"/>
    <n v="6"/>
    <s v="N"/>
    <s v="Partial"/>
    <s v="Y"/>
    <n v="24000"/>
    <d v="2035-02-28T00:00:00"/>
    <m/>
    <m/>
    <s v=""/>
    <n v="3"/>
    <x v="4"/>
    <x v="0"/>
    <x v="3"/>
    <x v="36"/>
    <x v="4"/>
    <s v="Owner to confirm usage before decision_x000a_Blocker: Replacement not yet funded_x000a_Q: Is budget confirmed in the next planning cycle?"/>
  </r>
  <r>
    <n v="62922"/>
    <s v="Shared Travel Booking Tool v3"/>
    <s v="Travel"/>
    <s v="HR"/>
    <s v="Partner"/>
    <s v="Sara Kapoor"/>
    <s v="Ananya Pillai"/>
    <s v="Infra Ops US"/>
    <n v="25"/>
    <d v="2021-03-30T00:00:00"/>
    <s v="Active"/>
    <n v="3"/>
    <n v="3"/>
    <m/>
    <s v="On-prem DC"/>
    <s v="stbapp01, stbdb01"/>
    <n v="2"/>
    <s v="TBD"/>
    <s v="DB2 10.5"/>
    <s v="TBD"/>
    <d v="2023-04-30T00:00:00"/>
    <s v="Unstructured"/>
    <n v="34"/>
    <s v="Y"/>
    <n v="7"/>
    <s v="N"/>
    <s v="None"/>
    <n v="6"/>
    <s v="Y"/>
    <s v="N"/>
    <s v="Partial"/>
    <n v="29000"/>
    <d v="2032-07-31T00:00:00"/>
    <n v="35500"/>
    <n v="16000"/>
    <n v="26.625"/>
    <n v="0"/>
    <x v="4"/>
    <x v="2"/>
    <x v="3"/>
    <x v="36"/>
    <x v="4"/>
    <s v="Owner to confirm usage before decision_x000a_Blocker: Month-end close dependency_x000a_Q: Can the cut-over avoid the quarter-end freeze?"/>
  </r>
  <r>
    <n v="193035"/>
    <s v="Global Inventory Control 2008"/>
    <s v="Inventory"/>
    <s v="Supply Chain"/>
    <s v="External"/>
    <s v="Fatima Khan"/>
    <s v="Lena Fischer"/>
    <s v="Database Services"/>
    <n v="156"/>
    <d v="2021-04-13T00:00:00"/>
    <s v="Active"/>
    <n v="4"/>
    <n v="1"/>
    <m/>
    <s v="PaaS"/>
    <s v="Azure App Service (PaaS)"/>
    <n v="0"/>
    <s v="N/A (PaaS)"/>
    <s v="Azure SQL"/>
    <s v="Azure West Europe"/>
    <m/>
    <s v="Unstructured"/>
    <n v="31"/>
    <s v="N"/>
    <n v="3"/>
    <s v="Y"/>
    <s v="Archive + read-only"/>
    <n v="40"/>
    <s v="N"/>
    <s v="Partial"/>
    <s v="Partial"/>
    <n v="49500"/>
    <d v="2025-11-30T00:00:00"/>
    <m/>
    <m/>
    <s v=""/>
    <n v="0"/>
    <x v="3"/>
    <x v="0"/>
    <x v="3"/>
    <x v="36"/>
    <x v="5"/>
    <s v="Cheap &amp; healthy - retain"/>
  </r>
  <r>
    <n v="196310"/>
    <s v="Corporate Facilities Request Portal"/>
    <s v="Facilities"/>
    <s v="Operations"/>
    <s v="Internal"/>
    <s v="Isabelle Singh"/>
    <s v="Rohan Bhatt"/>
    <s v="Infra Ops US"/>
    <n v="37"/>
    <d v="2021-04-24T00:00:00"/>
    <s v="Active"/>
    <n v="4"/>
    <n v="3"/>
    <s v="TBD"/>
    <s v="On-prem DC"/>
    <s v="cfrapp01, cfrdb01"/>
    <n v="2"/>
    <s v="Ubuntu 20.04"/>
    <s v="MySQL 8.0"/>
    <s v="EU DC-2"/>
    <d v="2025-04-30T00:00:00"/>
    <s v="Unstructured"/>
    <n v="26"/>
    <s v="Y"/>
    <n v="5"/>
    <s v="N"/>
    <s v="None"/>
    <n v="6"/>
    <s v="N"/>
    <s v="N"/>
    <s v="Partial"/>
    <n v="42500"/>
    <d v="2035-10-31T00:00:00"/>
    <m/>
    <m/>
    <s v=""/>
    <n v="0"/>
    <x v="4"/>
    <x v="2"/>
    <x v="3"/>
    <x v="36"/>
    <x v="4"/>
    <s v="Dependencies to be mapped_x000a_Blocker: Archive platform capacity not confirmed_x000a_Q: Can the enterprise archive take this volume this year?"/>
  </r>
  <r>
    <n v="72092"/>
    <s v="Shared Monitoring Console Plus"/>
    <s v="Monitoring"/>
    <s v="IT"/>
    <s v="Internal"/>
    <s v="Hannah Weber"/>
    <s v="Omar Haddad"/>
    <s v="Wintel Platform Team"/>
    <n v="61"/>
    <d v="2021-03-21T00:00:00"/>
    <s v="Active"/>
    <n v="5"/>
    <n v="2"/>
    <m/>
    <s v="PaaS"/>
    <s v="Azure App Service (PaaS)"/>
    <n v="0"/>
    <s v="N/A (PaaS)"/>
    <s v="Azure SQL"/>
    <s v="Azure West Europe"/>
    <m/>
    <s v="Structured"/>
    <n v="87"/>
    <s v="Y"/>
    <n v="7"/>
    <s v="N"/>
    <s v="None"/>
    <n v="8"/>
    <s v="Y"/>
    <s v="N"/>
    <s v="Partial"/>
    <n v="32500"/>
    <d v="2025-08-31T00:00:00"/>
    <m/>
    <m/>
    <s v=""/>
    <n v="0"/>
    <x v="3"/>
    <x v="2"/>
    <x v="3"/>
    <x v="36"/>
    <x v="5"/>
    <s v="Active user base; no replacement planned"/>
  </r>
  <r>
    <n v="189148"/>
    <s v="Safety Incident Tracker (UK)"/>
    <s v="Health &amp; Safety"/>
    <s v="Operations"/>
    <s v="Partner"/>
    <s v="Camille Fontaine"/>
    <s v="Tara Khanna"/>
    <s v="SaaS Vendor Mgmt"/>
    <n v="483"/>
    <d v="2021-04-02T00:00:00"/>
    <s v="Active"/>
    <n v="4"/>
    <n v="1"/>
    <m/>
    <s v="SaaS"/>
    <s v="N/A (SaaS)"/>
    <n v="0"/>
    <s v="N/A"/>
    <s v="N/A"/>
    <s v="Vendor cloud (EU)"/>
    <d v="2024-10-31T00:00:00"/>
    <s v="Both"/>
    <n v="76"/>
    <s v="N"/>
    <n v="3"/>
    <s v="N"/>
    <s v="None"/>
    <n v="38"/>
    <s v="Partial"/>
    <s v="Partial"/>
    <s v="N"/>
    <n v="310000"/>
    <d v="2025-10-31T00:00:00"/>
    <m/>
    <m/>
    <s v=""/>
    <n v="0"/>
    <x v="3"/>
    <x v="2"/>
    <x v="3"/>
    <x v="36"/>
    <x v="5"/>
    <s v="Business-critical, well supported"/>
  </r>
  <r>
    <n v="168105"/>
    <s v="Corporate Fleet Manager 2012"/>
    <s v="Fleet"/>
    <s v="Operations"/>
    <s v="Internal"/>
    <s v="Marc Laurent"/>
    <s v="Adrien Colin"/>
    <s v="Infra Ops EMEA"/>
    <n v="161"/>
    <d v="2021-04-27T00:00:00"/>
    <s v="Active"/>
    <n v="4"/>
    <n v="2"/>
    <m/>
    <s v="On-prem DC"/>
    <s v="cfmapp01, cfmdb01, cfmweb01"/>
    <n v="3"/>
    <s v="Windows Server 2012 R2"/>
    <s v="SQL Server 2014"/>
    <s v="TBD"/>
    <d v="2024-07-09T00:00:00"/>
    <s v="Structured"/>
    <n v="210"/>
    <s v="N"/>
    <n v="3"/>
    <s v="N"/>
    <s v="None"/>
    <n v="17"/>
    <s v="Partial"/>
    <s v="Partial"/>
    <s v="N"/>
    <n v="75000"/>
    <d v="2035-11-30T00:00:00"/>
    <m/>
    <m/>
    <s v=""/>
    <n v="0"/>
    <x v="3"/>
    <x v="2"/>
    <x v="3"/>
    <x v="36"/>
    <x v="4"/>
    <s v="Active user base; no replacement planned"/>
  </r>
  <r>
    <n v="120769"/>
    <s v="Licence Manager"/>
    <s v="Licence Mgmt"/>
    <s v="IT"/>
    <s v="Internal"/>
    <s v="Julien Petit"/>
    <s v="Baptiste Henry"/>
    <s v="Wintel Platform Team"/>
    <n v="5"/>
    <d v="2020-09-20T00:00:00"/>
    <s v="Not in use"/>
    <n v="4"/>
    <n v="1"/>
    <m/>
    <s v="On-prem DC"/>
    <s v="lmxapp01, lmxdb01, lmxweb01, lmxfs01"/>
    <n v="4"/>
    <s v="Solaris 10"/>
    <s v="Oracle 11g"/>
    <s v="TBD"/>
    <d v="2021-01-31T00:00:00"/>
    <s v="Both"/>
    <n v="26"/>
    <s v="N"/>
    <n v="3"/>
    <s v="Y"/>
    <s v="Read-only access"/>
    <n v="27"/>
    <s v="N"/>
    <s v="Partial"/>
    <s v="Partial"/>
    <n v="250000"/>
    <d v="2033-12-31T00:00:00"/>
    <n v="544500"/>
    <n v="218500"/>
    <n v="29.903890160183067"/>
    <n v="2"/>
    <x v="4"/>
    <x v="0"/>
    <x v="3"/>
    <x v="36"/>
    <x v="4"/>
    <s v="Awaiting assessment workshop"/>
  </r>
  <r>
    <n v="178399"/>
    <s v="Global Price List Manager v3"/>
    <s v="Pricing"/>
    <s v="Sales"/>
    <s v="External"/>
    <s v="Neha Nair"/>
    <s v="Adrien Colin"/>
    <s v="Wintel Platform Team"/>
    <n v="537"/>
    <d v="2021-03-19T00:00:00"/>
    <s v="Active"/>
    <n v="3"/>
    <n v="3"/>
    <s v="TBD"/>
    <s v="On-prem DC"/>
    <s v="fs-gpl02 (file share)"/>
    <n v="1"/>
    <s v="Windows Server 2012 R2"/>
    <s v="MS Access 2010"/>
    <s v="TBD"/>
    <d v="2023-10-10T00:00:00"/>
    <s v="Both"/>
    <n v="1100"/>
    <s v="N"/>
    <n v="3"/>
    <s v="Y"/>
    <s v="Legal hold"/>
    <n v="3"/>
    <s v="Y"/>
    <s v="N"/>
    <s v="N"/>
    <n v="19500"/>
    <d v="2032-03-31T00:00:00"/>
    <m/>
    <m/>
    <s v=""/>
    <n v="0"/>
    <x v="3"/>
    <x v="0"/>
    <x v="3"/>
    <x v="36"/>
    <x v="4"/>
    <s v="Business-critical, well supported"/>
  </r>
  <r>
    <n v="34334"/>
    <s v="Custom Quote Manager"/>
    <s v="Quoting"/>
    <s v="Sales"/>
    <s v="Internal"/>
    <s v="Antoine Patel"/>
    <s v="Manon Chevalier"/>
    <s v="Infra Ops US"/>
    <n v="102"/>
    <d v="2021-03-24T00:00:00"/>
    <s v="Active"/>
    <n v="5"/>
    <n v="2"/>
    <m/>
    <s v="IaaS"/>
    <s v="cqmapp01, cqmdb01, cqmweb01, cqmfs01"/>
    <n v="4"/>
    <s v="Windows Server 2016"/>
    <s v="SQL Server 2017"/>
    <s v="AWS eu-west-1"/>
    <d v="2027-01-12T00:00:00"/>
    <s v="Structured"/>
    <n v="270"/>
    <s v="Y"/>
    <n v="7"/>
    <s v="Y"/>
    <s v="Archive + read-only"/>
    <n v="8"/>
    <s v="Partial"/>
    <s v="Partial"/>
    <s v="Y"/>
    <n v="75000"/>
    <d v="2033-12-31T00:00:00"/>
    <m/>
    <m/>
    <s v=""/>
    <n v="0"/>
    <x v="3"/>
    <x v="0"/>
    <x v="3"/>
    <x v="36"/>
    <x v="5"/>
    <s v="Strategic platform; refresh planned"/>
  </r>
  <r>
    <n v="168227"/>
    <s v="Global Field Service Dispatcher (APAC)"/>
    <s v="Field Service"/>
    <s v="Operations"/>
    <s v="Internal"/>
    <s v="Oscar Lindqvist"/>
    <s v="Rohan Bhatt"/>
    <s v="Plant IT Services"/>
    <n v="223"/>
    <d v="2021-04-27T00:00:00"/>
    <s v="Active"/>
    <n v="5"/>
    <n v="2"/>
    <m/>
    <s v="On-prem DC"/>
    <s v="gfsapp01, gfsdb01, gfsweb01"/>
    <n v="3"/>
    <s v="RHEL 7"/>
    <s v="Oracle 12c"/>
    <s v="EU DC-2"/>
    <d v="2024-06-30T00:00:00"/>
    <s v="Structured"/>
    <n v="58"/>
    <s v="N"/>
    <n v="3"/>
    <s v="N"/>
    <s v="None"/>
    <n v="19"/>
    <s v="Y"/>
    <s v="N"/>
    <s v="Y"/>
    <n v="95000"/>
    <d v="2030-03-31T00:00:00"/>
    <m/>
    <m/>
    <s v=""/>
    <n v="0"/>
    <x v="3"/>
    <x v="2"/>
    <x v="3"/>
    <x v="36"/>
    <x v="5"/>
    <s v="Strategic platform; refresh planned"/>
  </r>
  <r>
    <n v="142871"/>
    <s v="Legacy Travel Booking Tool"/>
    <s v="Travel"/>
    <s v="HR"/>
    <s v="Partner"/>
    <s v="Karan Blanc"/>
    <s v="Tara Khanna"/>
    <s v="Infra Ops US"/>
    <n v="895"/>
    <d v="2021-03-24T00:00:00"/>
    <s v="Active"/>
    <n v="3"/>
    <n v="2"/>
    <s v="TBD"/>
    <s v="On-prem DC"/>
    <s v="ltbapp01"/>
    <n v="1"/>
    <s v="RHEL 8"/>
    <s v="PostgreSQL 12"/>
    <s v="Plant DC"/>
    <d v="2029-05-31T00:00:00"/>
    <s v="Structured"/>
    <n v="19"/>
    <s v="Y"/>
    <n v="10"/>
    <s v="Y"/>
    <s v="Reporting extract"/>
    <n v="28"/>
    <s v="Partial"/>
    <s v="Y"/>
    <s v="N"/>
    <n v="22500"/>
    <d v="2027-01-31T00:00:00"/>
    <m/>
    <m/>
    <s v=""/>
    <n v="0"/>
    <x v="3"/>
    <x v="0"/>
    <x v="3"/>
    <x v="36"/>
    <x v="5"/>
    <s v="Strategic platform; refresh planned"/>
  </r>
  <r>
    <n v="75018"/>
    <s v="Old GL Consolidation Tool"/>
    <s v="General Ledger"/>
    <s v="Finance"/>
    <s v="Internal"/>
    <s v="Rahul Iyer"/>
    <s v="Rohan Bhatt"/>
    <s v="SaaS Vendor Mgmt"/>
    <n v="31"/>
    <d v="2021-03-27T00:00:00"/>
    <s v="Active"/>
    <n v="5"/>
    <n v="1"/>
    <m/>
    <s v="SaaS"/>
    <s v="N/A (SaaS)"/>
    <n v="0"/>
    <s v="N/A"/>
    <s v="N/A"/>
    <s v="Vendor cloud (EU)"/>
    <d v="2023-08-31T00:00:00"/>
    <s v="Both"/>
    <n v="200"/>
    <s v="N"/>
    <n v="1"/>
    <s v="N"/>
    <s v="None"/>
    <n v="21"/>
    <s v="N"/>
    <s v="N"/>
    <s v="Partial"/>
    <n v="130000"/>
    <d v="2030-02-28T00:00:00"/>
    <m/>
    <m/>
    <s v=""/>
    <n v="0"/>
    <x v="3"/>
    <x v="2"/>
    <x v="3"/>
    <x v="36"/>
    <x v="5"/>
    <s v="Business-critical, well supported"/>
  </r>
  <r>
    <n v="44876"/>
    <s v="Global Demand Planner"/>
    <s v="Demand Planning"/>
    <s v="Supply Chain"/>
    <s v="Internal"/>
    <s v="Claire Mehta"/>
    <s v="Hugo Perrin"/>
    <s v="Cloud Platform Team"/>
    <m/>
    <m/>
    <s v="Unknown"/>
    <n v="3"/>
    <n v="3"/>
    <m/>
    <s v="PaaS"/>
    <s v="Azure App Service (PaaS)"/>
    <n v="0"/>
    <s v="N/A (PaaS)"/>
    <s v="Azure SQL"/>
    <s v="Azure West Europe"/>
    <m/>
    <s v="Both"/>
    <n v="600"/>
    <s v="N"/>
    <n v="2"/>
    <s v="N"/>
    <s v="None"/>
    <n v="7"/>
    <s v="Partial"/>
    <s v="Partial"/>
    <s v="N"/>
    <n v="9500"/>
    <d v="2027-01-31T00:00:00"/>
    <m/>
    <m/>
    <s v=""/>
    <n v="0"/>
    <x v="4"/>
    <x v="2"/>
    <x v="3"/>
    <x v="36"/>
    <x v="4"/>
    <s v="Owner to confirm usage before decision"/>
  </r>
  <r>
    <n v="59081"/>
    <s v="Regional Maintenance Scheduler (UK)"/>
    <s v="Asset Maintenance"/>
    <s v="Operations"/>
    <s v="Internal"/>
    <s v="Julien Petit"/>
    <s v="Baptiste Henry"/>
    <s v="Infra Ops EMEA"/>
    <n v="344"/>
    <d v="2021-04-07T00:00:00"/>
    <s v="Active"/>
    <n v="4"/>
    <n v="2"/>
    <m/>
    <s v="On-prem DC"/>
    <s v="rms-app01–04, rms-db01"/>
    <n v="5"/>
    <s v="Ubuntu 16.04"/>
    <s v="TBD"/>
    <s v="EU DC-2"/>
    <d v="2021-04-30T00:00:00"/>
    <s v="Structured"/>
    <n v="510"/>
    <s v="N"/>
    <n v="7"/>
    <s v="Y"/>
    <s v="Read-only access"/>
    <n v="20"/>
    <s v="Partial"/>
    <s v="Partial"/>
    <s v="N"/>
    <n v="100000"/>
    <d v="2027-07-31T00:00:00"/>
    <m/>
    <m/>
    <s v=""/>
    <n v="1"/>
    <x v="4"/>
    <x v="0"/>
    <x v="3"/>
    <x v="36"/>
    <x v="4"/>
    <s v="Owner to confirm usage before decision"/>
  </r>
  <r>
    <n v="187137"/>
    <s v="Monitoring Console (Nordics)"/>
    <s v="Monitoring"/>
    <s v="IT"/>
    <s v="Internal"/>
    <s v="Fatima Khan"/>
    <s v="Kavya Reddy"/>
    <s v="Wintel Platform Team"/>
    <n v="49"/>
    <d v="2021-03-16T00:00:00"/>
    <s v="Active"/>
    <n v="5"/>
    <n v="1"/>
    <m/>
    <s v="PaaS"/>
    <s v="Azure App Service (PaaS)"/>
    <n v="0"/>
    <s v="N/A (PaaS)"/>
    <s v="Cosmos DB"/>
    <s v="Azure West Europe"/>
    <d v="2022-06-30T00:00:00"/>
    <s v="Structured"/>
    <n v="1330"/>
    <s v="N"/>
    <n v="3"/>
    <s v="Y"/>
    <s v="Data archive"/>
    <n v="21"/>
    <s v="N"/>
    <s v="Y"/>
    <s v="N"/>
    <n v="95000"/>
    <d v="2031-06-30T00:00:00"/>
    <m/>
    <m/>
    <s v=""/>
    <n v="0"/>
    <x v="3"/>
    <x v="0"/>
    <x v="3"/>
    <x v="36"/>
    <x v="5"/>
    <s v="Strategic platform; refresh planned"/>
  </r>
  <r>
    <n v="115626"/>
    <s v="Timesheet Portal (DE)"/>
    <s v="Time &amp; Attendance"/>
    <s v="HR"/>
    <s v="Internal"/>
    <s v="Priya Sharma"/>
    <s v="Baptiste Henry"/>
    <s v="Infra Ops EMEA"/>
    <n v="134"/>
    <d v="2021-03-21T00:00:00"/>
    <s v="Active"/>
    <n v="4"/>
    <n v="1"/>
    <m/>
    <s v="On-prem DC"/>
    <s v="tpd-app01–07, tpd-db01"/>
    <n v="8"/>
    <s v="Ubuntu 16.04"/>
    <s v="MySQL 5.7"/>
    <s v="US DC-1"/>
    <d v="2021-04-30T00:00:00"/>
    <s v="Structured"/>
    <n v="380"/>
    <s v="Y"/>
    <n v="7"/>
    <s v="N"/>
    <s v="None"/>
    <n v="26"/>
    <s v="N"/>
    <s v="Y"/>
    <s v="N"/>
    <n v="365000"/>
    <d v="2030-06-30T00:00:00"/>
    <n v="401500"/>
    <n v="364000"/>
    <n v="13.236263736263737"/>
    <n v="1"/>
    <x v="4"/>
    <x v="2"/>
    <x v="3"/>
    <x v="36"/>
    <x v="4"/>
    <s v="Owner to confirm usage before decision"/>
  </r>
  <r>
    <n v="155991"/>
    <s v="Legacy Training Records v4"/>
    <s v="Learning"/>
    <s v="HR"/>
    <s v="Internal"/>
    <s v="Claire Mehta"/>
    <s v="Baptiste Henry"/>
    <s v="Wintel Platform Team"/>
    <n v="181"/>
    <d v="2021-04-22T00:00:00"/>
    <s v="Active"/>
    <n v="3"/>
    <n v="2"/>
    <s v="Workday HCM"/>
    <s v="On-prem DC"/>
    <s v="ltr-app01–05, ltr-db01"/>
    <n v="6"/>
    <s v="Solaris 10"/>
    <s v="Oracle 11g"/>
    <s v="TBD"/>
    <d v="2021-01-31T00:00:00"/>
    <s v="Both"/>
    <n v="130"/>
    <s v="Y"/>
    <n v="7"/>
    <s v="Y"/>
    <s v="Data archive"/>
    <n v="12"/>
    <s v="Partial"/>
    <s v="N"/>
    <s v="N"/>
    <n v="100000"/>
    <d v="2026-06-30T00:00:00"/>
    <n v="207500"/>
    <n v="88000"/>
    <n v="28.295454545454547"/>
    <n v="2"/>
    <x v="4"/>
    <x v="0"/>
    <x v="3"/>
    <x v="36"/>
    <x v="4"/>
    <s v="Owner to confirm usage before decision"/>
  </r>
  <r>
    <n v="29258"/>
    <s v="Custom Newsletter Mailer"/>
    <s v="Email"/>
    <s v="Marketing"/>
    <s v="External"/>
    <s v="Oscar Lindqvist"/>
    <s v="Manon Chevalier"/>
    <s v="Unix Platform Team"/>
    <n v="163"/>
    <d v="2021-04-13T00:00:00"/>
    <s v="Active"/>
    <n v="4"/>
    <n v="2"/>
    <m/>
    <s v="On-prem DC"/>
    <s v="cnm-app01–06, cnm-db01"/>
    <n v="7"/>
    <s v="AIX 6.1"/>
    <s v="DB2 9.7"/>
    <s v="EU DC-1"/>
    <d v="2017-04-30T00:00:00"/>
    <s v="Both"/>
    <n v="1310"/>
    <s v="N"/>
    <n v="3"/>
    <s v="N"/>
    <s v="None"/>
    <n v="9"/>
    <s v="Y"/>
    <s v="Y"/>
    <s v="Y"/>
    <n v="145000"/>
    <d v="2035-12-31T00:00:00"/>
    <m/>
    <m/>
    <s v=""/>
    <n v="1"/>
    <x v="4"/>
    <x v="2"/>
    <x v="3"/>
    <x v="36"/>
    <x v="4"/>
    <s v="Awaiting assessment workshop"/>
  </r>
  <r>
    <n v="27690"/>
    <s v="Custom Payroll Interface 2010"/>
    <s v="Payroll"/>
    <s v="HR"/>
    <s v="Internal"/>
    <s v="Yuki Tanaka"/>
    <s v="Manon Chevalier"/>
    <s v="Wintel Platform Team"/>
    <n v="52"/>
    <d v="2021-03-25T00:00:00"/>
    <s v="Active"/>
    <n v="5"/>
    <n v="1"/>
    <m/>
    <s v="IaaS"/>
    <s v="cpiapp01, cpidb01, cpiweb01"/>
    <n v="3"/>
    <s v="RHEL 8"/>
    <s v="PostgreSQL 12"/>
    <s v="AWS us-east-1"/>
    <d v="2029-05-31T00:00:00"/>
    <s v="Both"/>
    <n v="1560"/>
    <s v="Y"/>
    <n v="5"/>
    <s v="N"/>
    <s v="None"/>
    <n v="23"/>
    <s v="N"/>
    <s v="Partial"/>
    <s v="N"/>
    <n v="55000"/>
    <d v="2032-07-31T00:00:00"/>
    <m/>
    <m/>
    <s v=""/>
    <n v="0"/>
    <x v="3"/>
    <x v="2"/>
    <x v="3"/>
    <x v="36"/>
    <x v="5"/>
    <s v="Cheap &amp; healthy - retain"/>
  </r>
  <r>
    <n v="174674"/>
    <s v="Partner Portal"/>
    <s v="Partner Mgmt"/>
    <s v="Sales"/>
    <s v="Internal"/>
    <s v="Julien Petit"/>
    <s v="Varun Malhotra"/>
    <s v="Wintel Platform Team"/>
    <n v="52"/>
    <d v="2021-04-11T00:00:00"/>
    <s v="Active"/>
    <n v="4"/>
    <n v="2"/>
    <m/>
    <s v="On-prem DC"/>
    <s v="ppxapp01, ppxdb01"/>
    <n v="2"/>
    <s v="Windows Server 2012 R2"/>
    <s v="SQL Server 2014"/>
    <s v="Plant DC"/>
    <d v="2024-07-09T00:00:00"/>
    <s v="Structured"/>
    <n v="2700"/>
    <s v="N"/>
    <n v="7"/>
    <s v="Y"/>
    <s v="Read-only access"/>
    <n v="29"/>
    <s v="Y"/>
    <s v="Partial"/>
    <s v="N"/>
    <n v="33500"/>
    <d v="2027-11-30T00:00:00"/>
    <m/>
    <m/>
    <s v=""/>
    <n v="0"/>
    <x v="3"/>
    <x v="0"/>
    <x v="3"/>
    <x v="36"/>
    <x v="5"/>
    <s v="Business-critical, well supported"/>
  </r>
  <r>
    <n v="134440"/>
    <s v="Recruitment Tracker (APAC)"/>
    <s v="Recruitment"/>
    <s v="HR"/>
    <s v="Internal"/>
    <s v="Marc Laurent"/>
    <s v="Baptiste Henry"/>
    <s v="Unix Platform Team"/>
    <n v="55"/>
    <d v="2021-04-15T00:00:00"/>
    <s v="Active"/>
    <n v="3"/>
    <n v="3"/>
    <m/>
    <s v="On-prem DC"/>
    <s v="rtaapp01"/>
    <n v="1"/>
    <s v="Solaris 10"/>
    <s v="Oracle 11g"/>
    <s v="EU DC-1"/>
    <d v="2021-01-31T00:00:00"/>
    <s v="Structured"/>
    <n v="65"/>
    <s v="Y"/>
    <n v="10"/>
    <s v="N"/>
    <s v="None"/>
    <n v="5"/>
    <s v="Y"/>
    <s v="Partial"/>
    <s v="Y"/>
    <n v="10500"/>
    <d v="2027-08-31T00:00:00"/>
    <m/>
    <m/>
    <s v=""/>
    <n v="1"/>
    <x v="4"/>
    <x v="2"/>
    <x v="3"/>
    <x v="36"/>
    <x v="4"/>
    <s v="Owner to confirm usage before decision"/>
  </r>
  <r>
    <n v="107799"/>
    <s v="Departmental Shipment Tracker 2012"/>
    <s v="Logistics"/>
    <s v="Supply Chain"/>
    <s v="Partner"/>
    <s v="Neha Nair"/>
    <s v="Chloe Vidal"/>
    <s v="Database Services"/>
    <n v="149"/>
    <d v="2021-04-15T00:00:00"/>
    <s v="Active"/>
    <n v="3"/>
    <n v="2"/>
    <s v="Oracle SCM Cloud (planned)"/>
    <s v="On-prem DC"/>
    <s v="dstapp01"/>
    <n v="1"/>
    <s v="HP-UX 11i v3"/>
    <s v="Sybase ASE 15.7"/>
    <s v="EU DC-1"/>
    <d v="2021-12-31T00:00:00"/>
    <s v="Structured"/>
    <n v="640"/>
    <s v="N"/>
    <n v="3"/>
    <s v="Y"/>
    <s v="Data archive"/>
    <n v="16"/>
    <s v="Y"/>
    <s v="Partial"/>
    <s v="N"/>
    <n v="46500"/>
    <d v="2027-02-28T00:00:00"/>
    <m/>
    <m/>
    <s v=""/>
    <n v="2"/>
    <x v="4"/>
    <x v="0"/>
    <x v="3"/>
    <x v="36"/>
    <x v="4"/>
    <s v="Low business value; validate with owner"/>
  </r>
  <r>
    <n v="113832"/>
    <s v="Corporate Shipment Tracker"/>
    <s v="Logistics"/>
    <s v="Supply Chain"/>
    <s v="Internal"/>
    <s v="Pierre Roux"/>
    <s v="Chloe Vidal"/>
    <s v="Infra Ops US"/>
    <m/>
    <m/>
    <s v="Unknown"/>
    <n v="4"/>
    <n v="1"/>
    <m/>
    <s v="On-prem DC"/>
    <s v="cst-app01–05, cst-db01"/>
    <n v="6"/>
    <s v="Ubuntu 20.04"/>
    <s v="MySQL 8.0"/>
    <s v="EU DC-2"/>
    <d v="2025-04-30T00:00:00"/>
    <s v="Structured"/>
    <n v="66"/>
    <s v="N"/>
    <n v="3"/>
    <s v="Y"/>
    <s v="Archive + read-only"/>
    <n v="68"/>
    <s v="Partial"/>
    <s v="Partial"/>
    <s v="Partial"/>
    <n v="300000"/>
    <d v="2034-02-28T00:00:00"/>
    <m/>
    <m/>
    <s v=""/>
    <n v="0"/>
    <x v="4"/>
    <x v="0"/>
    <x v="3"/>
    <x v="36"/>
    <x v="4"/>
    <s v="Awaiting assessment workshop"/>
  </r>
  <r>
    <n v="118131"/>
    <s v="Shared Recruitment Tracker"/>
    <s v="Recruitment"/>
    <s v="HR"/>
    <s v="Internal"/>
    <s v="Neha Nair"/>
    <s v="Aditi Menon"/>
    <s v="Plant IT Services"/>
    <n v="1291"/>
    <d v="2021-04-07T00:00:00"/>
    <s v="Active"/>
    <n v="4"/>
    <n v="2"/>
    <m/>
    <s v="On-prem DC"/>
    <s v="srt-app01–06, srt-db01"/>
    <n v="7"/>
    <s v="Windows Server 2016"/>
    <s v="SQL Server 2016"/>
    <s v="Plant DC"/>
    <d v="2026-07-14T00:00:00"/>
    <s v="Both"/>
    <n v="53"/>
    <s v="Y"/>
    <n v="7"/>
    <s v="N"/>
    <s v="None"/>
    <n v="19"/>
    <s v="Partial"/>
    <s v="N"/>
    <s v="N"/>
    <n v="130000"/>
    <d v="2027-01-31T00:00:00"/>
    <m/>
    <m/>
    <s v=""/>
    <n v="0"/>
    <x v="3"/>
    <x v="2"/>
    <x v="3"/>
    <x v="36"/>
    <x v="5"/>
    <s v="Cheap &amp; healthy - retain"/>
  </r>
  <r>
    <n v="53000"/>
    <s v="Asset Register (APAC)"/>
    <s v="Fixed Assets"/>
    <s v="Finance"/>
    <s v="Internal"/>
    <s v="Camille Fontaine"/>
    <s v="Rohan Bhatt"/>
    <s v="Unix Platform Team"/>
    <n v="54"/>
    <d v="2021-04-25T00:00:00"/>
    <s v="Active"/>
    <n v="2"/>
    <n v="4"/>
    <m/>
    <s v="On-prem DC"/>
    <s v="araapp01, aradb01"/>
    <n v="2"/>
    <s v="Windows Server 2012 R2"/>
    <s v="SQL Server 2012"/>
    <s v="EU DC-2"/>
    <d v="2022-07-12T00:00:00"/>
    <s v="Structured"/>
    <n v="130"/>
    <s v="Y"/>
    <n v="10"/>
    <s v="N"/>
    <s v="None"/>
    <n v="2"/>
    <s v="Partial"/>
    <s v="Partial"/>
    <s v="Partial"/>
    <n v="36000"/>
    <d v="2031-01-31T00:00:00"/>
    <m/>
    <m/>
    <s v=""/>
    <n v="1"/>
    <x v="3"/>
    <x v="2"/>
    <x v="3"/>
    <x v="36"/>
    <x v="5"/>
    <s v="Active user base; no replacement planned"/>
  </r>
  <r>
    <n v="90116"/>
    <s v="Regional Shipment Tracker 2012"/>
    <s v="Logistics"/>
    <s v="Supply Chain"/>
    <s v="Internal"/>
    <s v="Priya Sharma"/>
    <s v="Ananya Pillai"/>
    <s v="Infra Ops EMEA"/>
    <n v="26"/>
    <d v="2021-03-24T00:00:00"/>
    <s v="Active"/>
    <n v="5"/>
    <n v="1"/>
    <m/>
    <s v="IaaS"/>
    <s v="rstapp01, rstdb01"/>
    <n v="2"/>
    <s v="RHEL 7"/>
    <s v="Oracle 12c"/>
    <s v="AWS eu-west-1"/>
    <d v="2024-06-30T00:00:00"/>
    <s v="Both"/>
    <n v="85"/>
    <s v="N"/>
    <n v="7"/>
    <s v="Y"/>
    <s v="Data archive"/>
    <n v="43"/>
    <s v="Y"/>
    <s v="Partial"/>
    <s v="Partial"/>
    <n v="70000"/>
    <d v="2025-12-31T00:00:00"/>
    <m/>
    <m/>
    <s v=""/>
    <n v="0"/>
    <x v="3"/>
    <x v="0"/>
    <x v="3"/>
    <x v="36"/>
    <x v="5"/>
    <s v="Cheap &amp; healthy - retain"/>
  </r>
  <r>
    <n v="69756"/>
    <s v="Safety Incident Tracker Lite"/>
    <s v="Health &amp; Safety"/>
    <s v="Operations"/>
    <s v="Internal"/>
    <s v="Lucas Bernard"/>
    <s v="Ishaan Desai"/>
    <s v="Plant IT Services"/>
    <n v="304"/>
    <d v="2021-03-20T00:00:00"/>
    <s v="Active"/>
    <n v="5"/>
    <n v="2"/>
    <s v="Intelex"/>
    <s v="On-prem DC"/>
    <s v="sitapp01"/>
    <n v="1"/>
    <s v="Windows Server 2008 R2"/>
    <s v="SQL Server 2008 R2"/>
    <s v="EU DC-1"/>
    <d v="2020-01-14T00:00:00"/>
    <s v="Structured"/>
    <n v="360"/>
    <s v="N"/>
    <n v="2"/>
    <s v="Y"/>
    <s v="Data archive"/>
    <n v="10"/>
    <s v="Partial"/>
    <s v="N"/>
    <s v="Partial"/>
    <n v="30000"/>
    <d v="2026-03-31T00:00:00"/>
    <n v="25500"/>
    <n v="25000"/>
    <n v="12.24"/>
    <n v="2"/>
    <x v="4"/>
    <x v="0"/>
    <x v="3"/>
    <x v="36"/>
    <x v="4"/>
    <s v="Low business value; validate with owner"/>
  </r>
  <r>
    <n v="113146"/>
    <s v="Custom Shipment Tracker"/>
    <s v="Logistics"/>
    <s v="Supply Chain"/>
    <s v="Internal"/>
    <s v="Karan Blanc"/>
    <s v="Hugo Perrin"/>
    <s v="SaaS Vendor Mgmt"/>
    <n v="276"/>
    <d v="2021-03-26T00:00:00"/>
    <s v="Active"/>
    <n v="4"/>
    <n v="1"/>
    <m/>
    <s v="SaaS"/>
    <s v="N/A (SaaS)"/>
    <n v="0"/>
    <s v="N/A"/>
    <s v="N/A"/>
    <s v="Vendor cloud (EU)"/>
    <m/>
    <s v="Structured"/>
    <n v="4290"/>
    <s v="N"/>
    <n v="2"/>
    <s v="Y"/>
    <s v="Archive + read-only"/>
    <n v="22"/>
    <s v="Partial"/>
    <s v="N"/>
    <s v="Partial"/>
    <n v="60000"/>
    <d v="2031-09-30T00:00:00"/>
    <m/>
    <m/>
    <s v=""/>
    <n v="0"/>
    <x v="3"/>
    <x v="0"/>
    <x v="3"/>
    <x v="36"/>
    <x v="5"/>
    <s v="Business-critical, well supported"/>
  </r>
  <r>
    <n v="78273"/>
    <s v="Custom Brand Asset Library Lite"/>
    <s v="Digital Assets"/>
    <s v="Marketing"/>
    <s v="Internal"/>
    <s v="Thomas Moreau"/>
    <s v="Louis Faure"/>
    <s v="Plant IT Services"/>
    <n v="224"/>
    <d v="2021-04-09T00:00:00"/>
    <s v="Active"/>
    <n v="2"/>
    <n v="4"/>
    <s v="Marketo"/>
    <s v="On-prem DC"/>
    <s v="cbaapp01, cbadb01"/>
    <n v="2"/>
    <s v="HP-UX 11i v3"/>
    <s v="Sybase ASE 15.7"/>
    <s v="EU DC-1"/>
    <d v="2021-12-31T00:00:00"/>
    <s v="Unstructured"/>
    <n v="18"/>
    <s v="N"/>
    <n v="5"/>
    <s v="Y"/>
    <s v="Archive + read-only"/>
    <n v="0"/>
    <s v="Partial"/>
    <s v="Partial"/>
    <s v="Partial"/>
    <n v="35000"/>
    <d v="2033-05-31T00:00:00"/>
    <m/>
    <m/>
    <s v=""/>
    <n v="3"/>
    <x v="4"/>
    <x v="1"/>
    <x v="3"/>
    <x v="36"/>
    <x v="4"/>
    <s v="Awaiting assessment workshop"/>
  </r>
  <r>
    <n v="16893"/>
    <s v="Shared CMDB Lite"/>
    <s v="Config Mgmt"/>
    <s v="IT"/>
    <s v="Internal"/>
    <s v="Marc Laurent"/>
    <s v="Adrien Colin"/>
    <s v="Cloud Platform Team"/>
    <n v="2365"/>
    <d v="2021-04-26T00:00:00"/>
    <s v="Active"/>
    <n v="1"/>
    <n v="4"/>
    <m/>
    <s v="On-prem DC"/>
    <s v="sclapp01, scldb01"/>
    <n v="2"/>
    <s v="SUSE Linux 11"/>
    <s v="Oracle 11g"/>
    <s v="EU DC-2"/>
    <d v="2019-03-31T00:00:00"/>
    <s v="Both"/>
    <n v="620"/>
    <s v="N"/>
    <n v="3"/>
    <s v="Y"/>
    <s v="Archive + read-only"/>
    <n v="0"/>
    <s v="N"/>
    <s v="N"/>
    <s v="N"/>
    <n v="28500"/>
    <d v="2027-08-31T00:00:00"/>
    <n v="30000"/>
    <n v="27500"/>
    <n v="13.09090909090909"/>
    <n v="2"/>
    <x v="4"/>
    <x v="1"/>
    <x v="3"/>
    <x v="36"/>
    <x v="4"/>
    <s v="Low business value; validate with owner"/>
  </r>
  <r>
    <n v="18863"/>
    <s v="Corporate Facilities Request Portal (US)"/>
    <s v="Facilities"/>
    <s v="Operations"/>
    <s v="Internal"/>
    <s v="Mateo Girard"/>
    <s v="Kavya Reddy"/>
    <s v="Database Services"/>
    <n v="463"/>
    <d v="2021-03-26T00:00:00"/>
    <s v="Active"/>
    <n v="3"/>
    <n v="4"/>
    <s v="IBM Maximo"/>
    <s v="On-prem DC"/>
    <s v="cfrapp01, cfrdb01, cfrweb01"/>
    <n v="3"/>
    <s v="Windows Server 2008"/>
    <s v="SQL Server 2008"/>
    <s v="Plant DC"/>
    <d v="2019-07-09T00:00:00"/>
    <s v="Both"/>
    <n v="900"/>
    <s v="N"/>
    <n v="3"/>
    <s v="Y"/>
    <s v="Read-only access"/>
    <n v="3"/>
    <s v="N"/>
    <s v="Partial"/>
    <s v="Partial"/>
    <n v="33000"/>
    <d v="2033-05-31T00:00:00"/>
    <m/>
    <m/>
    <s v=""/>
    <n v="2"/>
    <x v="4"/>
    <x v="1"/>
    <x v="3"/>
    <x v="36"/>
    <x v="4"/>
    <s v="Low business value; validate with owner"/>
  </r>
  <r>
    <n v="139847"/>
    <s v="Production Scheduler (DE)"/>
    <s v="Production Planning"/>
    <s v="Operations"/>
    <s v="Internal"/>
    <s v="Elena Garcia"/>
    <s v="Ananya Pillai"/>
    <s v="SaaS Vendor Mgmt"/>
    <n v="25"/>
    <d v="2021-04-25T00:00:00"/>
    <s v="Active"/>
    <n v="5"/>
    <n v="1"/>
    <m/>
    <s v="SaaS"/>
    <s v="N/A (SaaS)"/>
    <n v="0"/>
    <s v="N/A"/>
    <s v="N/A"/>
    <s v="Vendor cloud (EU)"/>
    <m/>
    <s v="Structured"/>
    <n v="110"/>
    <s v="N"/>
    <n v="3"/>
    <s v="N"/>
    <s v="None"/>
    <n v="65"/>
    <s v="Y"/>
    <s v="N"/>
    <s v="Y"/>
    <n v="40500"/>
    <d v="2030-08-31T00:00:00"/>
    <m/>
    <m/>
    <s v=""/>
    <n v="0"/>
    <x v="3"/>
    <x v="2"/>
    <x v="3"/>
    <x v="36"/>
    <x v="5"/>
    <s v="Strategic platform; refresh planned"/>
  </r>
  <r>
    <n v="120477"/>
    <s v="Budget Planner (US)"/>
    <s v="Budgeting"/>
    <s v="Finance"/>
    <s v="Internal"/>
    <s v="Elena Garcia"/>
    <s v="Hugo Perrin"/>
    <s v="Unix Platform Team"/>
    <n v="54"/>
    <d v="2021-03-15T00:00:00"/>
    <s v="Active"/>
    <n v="5"/>
    <n v="1"/>
    <m/>
    <s v="On-prem DC"/>
    <s v="bpuapp01, bpudb01, bpuweb01"/>
    <n v="3"/>
    <s v="RHEL 6"/>
    <s v="Oracle 11g"/>
    <s v="EU DC-2"/>
    <d v="2020-11-30T00:00:00"/>
    <s v="Both"/>
    <n v="940"/>
    <s v="Y"/>
    <n v="7"/>
    <s v="Y"/>
    <s v="Archive + read-only"/>
    <n v="45"/>
    <s v="Partial"/>
    <s v="Y"/>
    <s v="Y"/>
    <n v="100000"/>
    <d v="2031-11-30T00:00:00"/>
    <m/>
    <m/>
    <s v=""/>
    <n v="1"/>
    <x v="4"/>
    <x v="0"/>
    <x v="3"/>
    <x v="36"/>
    <x v="4"/>
    <s v="Low business value; validate with owner"/>
  </r>
  <r>
    <n v="101299"/>
    <s v="Regional Safety Incident Tracker"/>
    <s v="Health &amp; Safety"/>
    <s v="Operations"/>
    <s v="Partner"/>
    <s v="Oscar Lindqvist"/>
    <s v="Omar Haddad"/>
    <s v="Unix Platform Team"/>
    <n v="132"/>
    <d v="2021-04-27T00:00:00"/>
    <s v="Active"/>
    <n v="5"/>
    <n v="1"/>
    <s v="Fiix"/>
    <s v="On-prem DC"/>
    <s v="rsiapp01, rsidb01, rsiweb01, rsifs01"/>
    <n v="4"/>
    <s v="Ubuntu 20.04"/>
    <s v="MySQL 8.0"/>
    <s v="EU DC-1"/>
    <d v="2025-04-30T00:00:00"/>
    <s v="Structured"/>
    <n v="62"/>
    <s v="N"/>
    <n v="2"/>
    <s v="Y"/>
    <s v="Archive + read-only"/>
    <n v="48"/>
    <s v="Partial"/>
    <s v="N"/>
    <s v="Partial"/>
    <n v="150000"/>
    <d v="2030-07-31T00:00:00"/>
    <m/>
    <m/>
    <s v=""/>
    <n v="1"/>
    <x v="4"/>
    <x v="0"/>
    <x v="3"/>
    <x v="36"/>
    <x v="4"/>
    <s v="Awaiting assessment workshop"/>
  </r>
  <r>
    <n v="69891"/>
    <s v="Corporate Order Entry Portal v3"/>
    <s v="Order Entry"/>
    <s v="Sales"/>
    <s v="Internal"/>
    <s v="Julien Petit"/>
    <s v="Remi Masson"/>
    <s v="Plant IT Services"/>
    <n v="710"/>
    <d v="2021-03-15T00:00:00"/>
    <s v="Active"/>
    <n v="5"/>
    <n v="1"/>
    <m/>
    <s v="On-prem DC"/>
    <s v="coe-app01–05, coe-db01"/>
    <n v="6"/>
    <s v="Ubuntu 20.04"/>
    <s v="MySQL 8.0"/>
    <s v="TBD"/>
    <d v="2025-04-30T00:00:00"/>
    <s v="Structured"/>
    <n v="770"/>
    <s v="N"/>
    <n v="5"/>
    <s v="Y"/>
    <s v="Read-only access"/>
    <n v="40"/>
    <s v="N"/>
    <s v="Partial"/>
    <s v="N"/>
    <n v="230000"/>
    <d v="2030-06-30T00:00:00"/>
    <m/>
    <m/>
    <s v=""/>
    <n v="0"/>
    <x v="3"/>
    <x v="0"/>
    <x v="3"/>
    <x v="36"/>
    <x v="5"/>
    <s v="Business-critical, well supported"/>
  </r>
  <r>
    <n v="114227"/>
    <s v="Legacy Event Registration Tool"/>
    <s v="Events"/>
    <s v="Marketing"/>
    <s v="Internal"/>
    <s v="Karan Blanc"/>
    <s v="Ananya Pillai"/>
    <s v="Cloud Platform Team"/>
    <n v="49"/>
    <d v="2021-04-09T00:00:00"/>
    <s v="Active"/>
    <n v="5"/>
    <n v="2"/>
    <m/>
    <s v="On-prem DC"/>
    <s v="ler-app01–07, ler-db01"/>
    <n v="8"/>
    <s v="RHEL 8"/>
    <s v="Oracle 19c"/>
    <s v="US DC-1"/>
    <d v="2029-05-31T00:00:00"/>
    <s v="Structured"/>
    <n v="600"/>
    <s v="N"/>
    <n v="5"/>
    <s v="N"/>
    <s v="None"/>
    <n v="21"/>
    <s v="Partial"/>
    <s v="Y"/>
    <s v="Partial"/>
    <n v="180000"/>
    <d v="2031-04-30T00:00:00"/>
    <m/>
    <m/>
    <s v=""/>
    <n v="0"/>
    <x v="3"/>
    <x v="2"/>
    <x v="3"/>
    <x v="36"/>
    <x v="5"/>
    <s v="Business-critical, well supported"/>
  </r>
  <r>
    <n v="46131"/>
    <s v="Facilities Request Portal (UK)"/>
    <s v="Facilities"/>
    <s v="Operations"/>
    <s v="Internal"/>
    <s v="Julia Rao"/>
    <s v="Hugo Perrin"/>
    <s v="Unix Platform Team"/>
    <n v="106"/>
    <d v="2021-04-14T00:00:00"/>
    <s v="Active"/>
    <n v="4"/>
    <n v="1"/>
    <m/>
    <s v="PaaS"/>
    <s v="Azure App Service (PaaS)"/>
    <n v="0"/>
    <s v="N/A (PaaS)"/>
    <s v="Azure SQL"/>
    <s v="Azure West Europe"/>
    <m/>
    <s v="Both"/>
    <n v="130"/>
    <s v="N"/>
    <n v="2"/>
    <s v="N"/>
    <s v="None"/>
    <n v="55"/>
    <s v="Partial"/>
    <s v="N"/>
    <s v="N"/>
    <n v="28000"/>
    <d v="2027-03-31T00:00:00"/>
    <m/>
    <m/>
    <s v=""/>
    <n v="0"/>
    <x v="3"/>
    <x v="2"/>
    <x v="3"/>
    <x v="36"/>
    <x v="5"/>
    <s v="Retain - revisit at next portfolio review"/>
  </r>
  <r>
    <n v="64289"/>
    <s v="Shared Intranet (SharePoint) Lite"/>
    <s v="Collaboration"/>
    <s v="IT"/>
    <s v="Internal"/>
    <s v="Thomas Moreau"/>
    <s v="Adrien Colin"/>
    <s v="Cloud Platform Team"/>
    <n v="0"/>
    <d v="2019-11-08T00:00:00"/>
    <s v="Not in use"/>
    <n v="5"/>
    <n v="2"/>
    <m/>
    <s v="On-prem DC"/>
    <s v="sisapp01, sisdb01, sisweb01, sisfs01"/>
    <n v="4"/>
    <s v="RHEL 7"/>
    <s v="Oracle 12c"/>
    <s v="EU DC-1"/>
    <d v="2024-06-30T00:00:00"/>
    <s v="Structured"/>
    <n v="58"/>
    <s v="N"/>
    <n v="3"/>
    <s v="N"/>
    <s v="None"/>
    <n v="8"/>
    <s v="Y"/>
    <s v="N"/>
    <s v="Partial"/>
    <n v="60000"/>
    <d v="2035-08-31T00:00:00"/>
    <m/>
    <m/>
    <s v=""/>
    <n v="1"/>
    <x v="4"/>
    <x v="2"/>
    <x v="3"/>
    <x v="36"/>
    <x v="4"/>
    <s v="Awaiting assessment workshop"/>
  </r>
  <r>
    <n v="198721"/>
    <s v="Departmental Event Registration Tool"/>
    <s v="Events"/>
    <s v="Marketing"/>
    <s v="Internal"/>
    <s v="Karan Blanc"/>
    <s v="Baptiste Henry"/>
    <s v="Plant IT Services"/>
    <n v="1417"/>
    <d v="2021-04-18T00:00:00"/>
    <s v="Active"/>
    <n v="5"/>
    <n v="1"/>
    <m/>
    <s v="IaaS"/>
    <s v="derapp01, derdb01, derweb01"/>
    <n v="3"/>
    <s v="RHEL 7"/>
    <s v="Oracle 12c"/>
    <s v="Azure West Europe"/>
    <d v="2024-06-30T00:00:00"/>
    <s v="Structured"/>
    <n v="120"/>
    <s v="Y"/>
    <n v="10"/>
    <s v="Y"/>
    <s v="Data archive"/>
    <n v="24"/>
    <s v="N"/>
    <s v="N"/>
    <s v="N"/>
    <n v="80000"/>
    <d v="2033-12-31T00:00:00"/>
    <m/>
    <m/>
    <s v=""/>
    <n v="0"/>
    <x v="3"/>
    <x v="0"/>
    <x v="3"/>
    <x v="36"/>
    <x v="5"/>
    <s v="Strategic platform; refresh planned"/>
  </r>
  <r>
    <n v="78832"/>
    <s v="Legacy Monitoring Console"/>
    <s v="Monitoring"/>
    <s v="IT"/>
    <s v="Partner"/>
    <s v="Amelie Martin"/>
    <s v="Manon Chevalier"/>
    <s v="SaaS Vendor Mgmt"/>
    <n v="384"/>
    <d v="2021-03-30T00:00:00"/>
    <s v="Active"/>
    <n v="5"/>
    <n v="1"/>
    <m/>
    <s v="SaaS"/>
    <s v="N/A (SaaS)"/>
    <n v="0"/>
    <s v="N/A"/>
    <s v="N/A"/>
    <s v="Vendor cloud (EU)"/>
    <m/>
    <s v="Structured"/>
    <n v="700"/>
    <s v="N"/>
    <n v="1"/>
    <s v="N"/>
    <s v="None"/>
    <n v="33"/>
    <s v="Partial"/>
    <s v="Partial"/>
    <s v="Y"/>
    <n v="75000"/>
    <d v="2028-10-31T00:00:00"/>
    <m/>
    <m/>
    <s v=""/>
    <n v="0"/>
    <x v="4"/>
    <x v="2"/>
    <x v="3"/>
    <x v="36"/>
    <x v="4"/>
    <s v="Dependencies to be mapped"/>
  </r>
  <r>
    <n v="120987"/>
    <s v="Fleet Manager Classic"/>
    <s v="Fleet"/>
    <s v="Operations"/>
    <s v="Internal"/>
    <s v="Oscar Lindqvist"/>
    <s v="Ananya Pillai"/>
    <s v="SaaS Vendor Mgmt"/>
    <n v="308"/>
    <d v="2021-04-09T00:00:00"/>
    <s v="Active"/>
    <n v="4"/>
    <n v="2"/>
    <m/>
    <s v="SaaS"/>
    <s v="N/A (SaaS)"/>
    <n v="0"/>
    <s v="N/A"/>
    <s v="N/A"/>
    <s v="Vendor cloud (EU)"/>
    <m/>
    <s v="Structured"/>
    <n v="580"/>
    <s v="N"/>
    <n v="2"/>
    <s v="Y"/>
    <s v="Read-only access"/>
    <n v="7"/>
    <s v="N"/>
    <s v="N"/>
    <s v="Y"/>
    <n v="12500"/>
    <d v="2035-08-31T00:00:00"/>
    <m/>
    <m/>
    <s v=""/>
    <n v="0"/>
    <x v="3"/>
    <x v="0"/>
    <x v="3"/>
    <x v="36"/>
    <x v="5"/>
    <s v="Cheap &amp; healthy - retain"/>
  </r>
  <r>
    <n v="26967"/>
    <s v="Old Purchase Order System"/>
    <s v="Procurement"/>
    <s v="Supply Chain"/>
    <s v="Internal"/>
    <s v="Mateo Girard"/>
    <s v="Remi Masson"/>
    <s v="Wintel Platform Team"/>
    <n v="73"/>
    <d v="2021-04-28T00:00:00"/>
    <s v="Active"/>
    <n v="3"/>
    <n v="3"/>
    <m/>
    <s v="On-prem DC"/>
    <s v="fs-opo02 (file share)"/>
    <n v="1"/>
    <s v="Windows Server 2012 R2"/>
    <s v="MS Access 2010"/>
    <s v="US DC-1"/>
    <d v="2023-10-10T00:00:00"/>
    <s v="Unstructured"/>
    <n v="540"/>
    <s v="Y"/>
    <n v="7"/>
    <s v="N"/>
    <s v="None"/>
    <n v="2"/>
    <s v="Partial"/>
    <s v="Partial"/>
    <s v="Y"/>
    <n v="18000"/>
    <d v="2031-09-30T00:00:00"/>
    <m/>
    <m/>
    <s v=""/>
    <n v="0"/>
    <x v="3"/>
    <x v="2"/>
    <x v="3"/>
    <x v="36"/>
    <x v="5"/>
    <s v="Business-critical, well supported"/>
  </r>
  <r>
    <n v="107442"/>
    <s v="Regional Field Service Dispatcher"/>
    <s v="Field Service"/>
    <s v="Operations"/>
    <s v="Internal"/>
    <s v="Camille Fontaine"/>
    <s v="Hugo Perrin"/>
    <s v="Unix Platform Team"/>
    <n v="158"/>
    <d v="2021-04-12T00:00:00"/>
    <s v="Active"/>
    <n v="3"/>
    <n v="3"/>
    <s v="TBD"/>
    <s v="On-prem DC"/>
    <s v="rfsapp01, rfsdb01, rfsweb01, rfsfs01"/>
    <n v="4"/>
    <s v="AIX 6.1"/>
    <s v="DB2 9.7"/>
    <s v="US DC-1"/>
    <d v="2017-04-30T00:00:00"/>
    <s v="Structured"/>
    <n v="3910"/>
    <s v="Y"/>
    <n v="10"/>
    <s v="N"/>
    <s v="None"/>
    <n v="5"/>
    <s v="Partial"/>
    <s v="Partial"/>
    <s v="N"/>
    <n v="26500"/>
    <d v="2029-07-31T00:00:00"/>
    <m/>
    <m/>
    <s v=""/>
    <n v="1"/>
    <x v="4"/>
    <x v="2"/>
    <x v="3"/>
    <x v="36"/>
    <x v="4"/>
    <s v="Owner to confirm usage before decision"/>
  </r>
  <r>
    <n v="121474"/>
    <s v="Departmental Tax Compliance Tool"/>
    <s v="Tax"/>
    <s v="Finance"/>
    <s v="Internal"/>
    <s v="Oscar Lindqvist"/>
    <s v="Lena Fischer"/>
    <s v="Cloud Platform Team"/>
    <n v="0"/>
    <d v="2019-06-14T00:00:00"/>
    <s v="Not in use"/>
    <n v="4"/>
    <n v="2"/>
    <m/>
    <s v="PaaS"/>
    <s v="Azure App Service (PaaS)"/>
    <n v="0"/>
    <s v="N/A (PaaS)"/>
    <s v="Cosmos DB"/>
    <s v="Azure West Europe"/>
    <m/>
    <s v="Structured"/>
    <n v="8"/>
    <s v="Y"/>
    <n v="7"/>
    <s v="N"/>
    <s v="None"/>
    <n v="7"/>
    <s v="Y"/>
    <s v="N"/>
    <s v="Partial"/>
    <n v="17500"/>
    <d v="2032-12-31T00:00:00"/>
    <m/>
    <m/>
    <s v=""/>
    <n v="1"/>
    <x v="4"/>
    <x v="2"/>
    <x v="3"/>
    <x v="36"/>
    <x v="4"/>
    <s v="Awaiting assessment workshop"/>
  </r>
  <r>
    <n v="118563"/>
    <s v="Corporate AP Invoice Processor"/>
    <s v="Accounts Payable"/>
    <s v="Finance"/>
    <s v="Internal"/>
    <s v="Isabelle Singh"/>
    <s v="Ishaan Desai"/>
    <s v="SaaS Vendor Mgmt"/>
    <n v="892"/>
    <d v="2021-03-21T00:00:00"/>
    <s v="Active"/>
    <n v="5"/>
    <n v="1"/>
    <m/>
    <s v="SaaS"/>
    <s v="N/A (SaaS)"/>
    <n v="0"/>
    <s v="N/A"/>
    <s v="N/A"/>
    <s v="Vendor cloud (EU)"/>
    <m/>
    <s v="Unstructured"/>
    <n v="41"/>
    <s v="Y"/>
    <n v="7"/>
    <s v="Y"/>
    <s v="Read-only access"/>
    <n v="32"/>
    <s v="N"/>
    <s v="Partial"/>
    <s v="N"/>
    <n v="165000"/>
    <d v="2031-09-30T00:00:00"/>
    <m/>
    <m/>
    <s v=""/>
    <n v="0"/>
    <x v="3"/>
    <x v="0"/>
    <x v="3"/>
    <x v="36"/>
    <x v="4"/>
    <s v="Strategic platform; refresh planned"/>
  </r>
  <r>
    <n v="189432"/>
    <s v="Regional Recruitment Tracker Lite"/>
    <s v="Recruitment"/>
    <s v="HR"/>
    <s v="Partner"/>
    <s v="Elena Garcia"/>
    <s v="Aditi Menon"/>
    <s v="Infra Ops EMEA"/>
    <n v="75"/>
    <d v="2021-04-07T00:00:00"/>
    <s v="Active"/>
    <n v="2"/>
    <n v="4"/>
    <s v="Workday HCM"/>
    <s v="On-prem DC"/>
    <s v="rrtapp01"/>
    <n v="1"/>
    <s v="Ubuntu 20.04"/>
    <s v="MySQL 8.0"/>
    <s v="Plant DC"/>
    <d v="2025-04-30T00:00:00"/>
    <s v="Unstructured"/>
    <n v="38"/>
    <s v="Y"/>
    <n v="7"/>
    <s v="N"/>
    <s v="None"/>
    <n v="2"/>
    <s v="Y"/>
    <s v="N"/>
    <s v="N"/>
    <n v="37000"/>
    <d v="2034-11-30T00:00:00"/>
    <n v="44000"/>
    <n v="21500"/>
    <n v="24.558139534883722"/>
    <n v="2"/>
    <x v="4"/>
    <x v="2"/>
    <x v="3"/>
    <x v="36"/>
    <x v="4"/>
    <s v="Low business value; validate with owner"/>
  </r>
  <r>
    <n v="113741"/>
    <s v="Old Production Scheduler v2"/>
    <s v="Production Planning"/>
    <s v="Operations"/>
    <s v="Internal"/>
    <s v="Yuki Tanaka"/>
    <s v="Omar Haddad"/>
    <s v="SaaS Vendor Mgmt"/>
    <n v="465"/>
    <d v="2021-03-27T00:00:00"/>
    <s v="Active"/>
    <n v="2"/>
    <n v="4"/>
    <s v="SAP EAM"/>
    <s v="SaaS"/>
    <s v="N/A (SaaS)"/>
    <n v="0"/>
    <s v="N/A"/>
    <s v="N/A"/>
    <s v="Vendor cloud (EU)"/>
    <m/>
    <s v="Unstructured"/>
    <n v="74"/>
    <s v="N"/>
    <n v="3"/>
    <s v="Y"/>
    <s v="Archive + read-only"/>
    <n v="3"/>
    <s v="Y"/>
    <s v="Partial"/>
    <s v="Partial"/>
    <n v="100000"/>
    <d v="2029-01-31T00:00:00"/>
    <m/>
    <m/>
    <s v=""/>
    <n v="2"/>
    <x v="4"/>
    <x v="1"/>
    <x v="3"/>
    <x v="36"/>
    <x v="4"/>
    <s v="Awaiting assessment workshop"/>
  </r>
  <r>
    <n v="134769"/>
    <s v="Global Web Analytics Mart (FR)"/>
    <s v="Analytics"/>
    <s v="Marketing"/>
    <s v="Partner"/>
    <s v="Anika Patel"/>
    <s v="Varun Malhotra"/>
    <s v="SaaS Vendor Mgmt"/>
    <n v="14"/>
    <d v="2020-12-12T00:00:00"/>
    <s v="Low use"/>
    <n v="4"/>
    <n v="2"/>
    <m/>
    <s v="SaaS"/>
    <s v="N/A (SaaS)"/>
    <n v="0"/>
    <s v="N/A"/>
    <s v="N/A"/>
    <s v="Vendor cloud (EU)"/>
    <m/>
    <s v="Structured"/>
    <n v="52"/>
    <s v="Y"/>
    <n v="7"/>
    <s v="Y"/>
    <s v="Archive + read-only"/>
    <n v="23"/>
    <s v="Partial"/>
    <s v="N"/>
    <s v="Y"/>
    <n v="55000"/>
    <d v="2035-07-31T00:00:00"/>
    <m/>
    <m/>
    <s v=""/>
    <n v="1"/>
    <x v="3"/>
    <x v="0"/>
    <x v="3"/>
    <x v="36"/>
    <x v="5"/>
    <s v="Active user base; no replacement planned"/>
  </r>
  <r>
    <n v="116288"/>
    <s v="Global Safety Incident Tracker (APAC)"/>
    <s v="Health &amp; Safety"/>
    <s v="Operations"/>
    <s v="External"/>
    <s v="Claire Mehta"/>
    <s v="Hugo Perrin"/>
    <s v="Wintel Platform Team"/>
    <n v="7"/>
    <d v="2020-12-22T00:00:00"/>
    <s v="Low use"/>
    <n v="5"/>
    <n v="1"/>
    <s v="TBD"/>
    <s v="PaaS"/>
    <s v="Azure App Service (PaaS)"/>
    <n v="0"/>
    <s v="N/A (PaaS)"/>
    <s v="Azure SQL"/>
    <s v="Azure West Europe"/>
    <d v="2022-06-30T00:00:00"/>
    <s v="Unstructured"/>
    <n v="100"/>
    <s v="N"/>
    <n v="3"/>
    <s v="N"/>
    <s v="None"/>
    <n v="66"/>
    <s v="N"/>
    <s v="N"/>
    <s v="Y"/>
    <n v="21500"/>
    <d v="2026-11-30T00:00:00"/>
    <m/>
    <m/>
    <s v=""/>
    <n v="1"/>
    <x v="3"/>
    <x v="2"/>
    <x v="3"/>
    <x v="36"/>
    <x v="5"/>
    <s v="Business-critical, well supported"/>
  </r>
  <r>
    <n v="59582"/>
    <s v="Custom Maintenance Scheduler (UK)"/>
    <s v="Asset Maintenance"/>
    <s v="Operations"/>
    <s v="Internal"/>
    <s v="Julia Rao"/>
    <s v="Kavya Reddy"/>
    <s v="Plant IT Services"/>
    <n v="25"/>
    <d v="2021-04-24T00:00:00"/>
    <s v="Active"/>
    <n v="1"/>
    <n v="4"/>
    <s v="SAP EAM"/>
    <s v="On-prem DC"/>
    <s v="cmsapp01, cmsdb01"/>
    <n v="2"/>
    <s v="HP-UX 11i v3"/>
    <s v="Sybase ASE 15.7"/>
    <s v="EU DC-1"/>
    <s v="TBD"/>
    <s v="Structured"/>
    <n v="1200"/>
    <s v="N"/>
    <n v="1"/>
    <s v="Y"/>
    <s v="Read-only access"/>
    <n v="1"/>
    <s v="N"/>
    <s v="Partial"/>
    <s v="Partial"/>
    <n v="46000"/>
    <d v="2027-06-30T00:00:00"/>
    <m/>
    <m/>
    <s v=""/>
    <n v="2"/>
    <x v="4"/>
    <x v="0"/>
    <x v="3"/>
    <x v="36"/>
    <x v="4"/>
    <s v="Awaiting assessment workshop"/>
  </r>
  <r>
    <n v="94990"/>
    <s v="Shared Training Records Plus"/>
    <s v="Learning"/>
    <s v="HR"/>
    <s v="Internal"/>
    <s v="Thomas Moreau"/>
    <s v="Ishaan Desai"/>
    <s v="Wintel Platform Team"/>
    <n v="98"/>
    <d v="2021-04-23T00:00:00"/>
    <s v="Active"/>
    <n v="3"/>
    <n v="2"/>
    <m/>
    <s v="IaaS"/>
    <s v="strapp01, strdb01"/>
    <n v="2"/>
    <s v="Windows Server 2008 R2"/>
    <s v="SQL Server 2008 R2"/>
    <s v="AWS eu-west-1"/>
    <d v="2020-01-14T00:00:00"/>
    <s v="Both"/>
    <n v="660"/>
    <s v="Y"/>
    <n v="7"/>
    <s v="Y"/>
    <s v="Data archive"/>
    <n v="9"/>
    <s v="Partial"/>
    <s v="Partial"/>
    <s v="N"/>
    <n v="34500"/>
    <d v="2034-10-31T00:00:00"/>
    <n v="53500"/>
    <n v="33000"/>
    <n v="19.454545454545453"/>
    <n v="1"/>
    <x v="4"/>
    <x v="0"/>
    <x v="3"/>
    <x v="36"/>
    <x v="4"/>
    <s v="Dependencies to be mapped"/>
  </r>
  <r>
    <n v="185738"/>
    <s v="Regional Safety Incident Tracker Plus"/>
    <s v="Health &amp; Safety"/>
    <s v="Operations"/>
    <s v="Internal"/>
    <s v="Oscar Lindqvist"/>
    <s v="Manon Chevalier"/>
    <s v="Infra Ops US"/>
    <n v="86"/>
    <d v="2021-04-06T00:00:00"/>
    <s v="Active"/>
    <n v="4"/>
    <n v="1"/>
    <m/>
    <s v="On-prem DC"/>
    <s v="rsi-app01–04, rsi-db01"/>
    <n v="5"/>
    <s v="Windows Server 2012 R2"/>
    <s v="SQL Server 2014"/>
    <s v="EU DC-1"/>
    <s v="TBD"/>
    <s v="Both"/>
    <n v="120"/>
    <s v="Y"/>
    <n v="5"/>
    <s v="N"/>
    <s v="None"/>
    <n v="39"/>
    <s v="Y"/>
    <s v="Y"/>
    <s v="Partial"/>
    <n v="300000"/>
    <d v="2032-02-29T00:00:00"/>
    <n v="525000"/>
    <n v="292500"/>
    <n v="21.53846153846154"/>
    <n v="0"/>
    <x v="4"/>
    <x v="2"/>
    <x v="3"/>
    <x v="36"/>
    <x v="4"/>
    <s v="Low business value; validate with owner"/>
  </r>
  <r>
    <n v="95503"/>
    <s v="Safety Incident Tracker (APAC)"/>
    <s v="Health &amp; Safety"/>
    <s v="Operations"/>
    <s v="Internal"/>
    <s v="Thomas Moreau"/>
    <s v="Manon Chevalier"/>
    <s v="SaaS Vendor Mgmt"/>
    <n v="12"/>
    <d v="2021-03-14T00:00:00"/>
    <s v="Low use"/>
    <n v="3"/>
    <n v="3"/>
    <s v="Intelex"/>
    <s v="SaaS"/>
    <s v="N/A (SaaS)"/>
    <n v="0"/>
    <s v="N/A"/>
    <s v="N/A"/>
    <s v="Vendor cloud (EU)"/>
    <m/>
    <s v="Structured"/>
    <n v="310"/>
    <s v="Y"/>
    <n v="7"/>
    <s v="N"/>
    <s v="None"/>
    <n v="2"/>
    <s v="Y"/>
    <s v="Partial"/>
    <s v="Y"/>
    <n v="90000"/>
    <d v="2028-06-30T00:00:00"/>
    <m/>
    <m/>
    <s v=""/>
    <n v="2"/>
    <x v="4"/>
    <x v="2"/>
    <x v="3"/>
    <x v="36"/>
    <x v="4"/>
    <s v="Owner to confirm usage before decision"/>
  </r>
  <r>
    <n v="171965"/>
    <s v="Legacy Maintenance Scheduler 2010"/>
    <s v="Asset Maintenance"/>
    <s v="Operations"/>
    <s v="Internal"/>
    <s v="Sara Kapoor"/>
    <s v="Manon Chevalier"/>
    <s v="Unix Platform Team"/>
    <n v="522"/>
    <d v="2021-04-01T00:00:00"/>
    <s v="Active"/>
    <n v="5"/>
    <n v="1"/>
    <m/>
    <s v="On-prem DC"/>
    <s v="lmsapp01, lmsdb01"/>
    <n v="2"/>
    <s v="Solaris 10"/>
    <s v="Oracle 11g"/>
    <s v="US DC-1"/>
    <d v="2021-01-31T00:00:00"/>
    <s v="Structured"/>
    <n v="20"/>
    <s v="N"/>
    <n v="7"/>
    <s v="Y"/>
    <s v="Archive + read-only"/>
    <n v="67"/>
    <s v="Y"/>
    <s v="N"/>
    <s v="Partial"/>
    <n v="100000"/>
    <d v="2030-02-28T00:00:00"/>
    <m/>
    <m/>
    <s v=""/>
    <n v="1"/>
    <x v="4"/>
    <x v="0"/>
    <x v="3"/>
    <x v="36"/>
    <x v="4"/>
    <s v="Awaiting assessment workshop"/>
  </r>
  <r>
    <n v="122950"/>
    <s v="Legacy GL Consolidation Tool Lite"/>
    <s v="General Ledger"/>
    <s v="Finance"/>
    <s v="Internal"/>
    <s v="Camille Fontaine"/>
    <s v="Aditi Menon"/>
    <s v="Database Services"/>
    <n v="91"/>
    <d v="2021-04-25T00:00:00"/>
    <s v="Active"/>
    <n v="5"/>
    <n v="1"/>
    <m/>
    <s v="IaaS"/>
    <s v="lgcapp01, lgcdb01"/>
    <n v="2"/>
    <s v="Solaris 10"/>
    <s v="Oracle 11g"/>
    <s v="AWS eu-west-1"/>
    <d v="2021-01-31T00:00:00"/>
    <s v="Structured"/>
    <n v="15"/>
    <s v="Y"/>
    <n v="10"/>
    <s v="Y"/>
    <s v="Data archive"/>
    <n v="71"/>
    <s v="Partial"/>
    <s v="N"/>
    <s v="Partial"/>
    <n v="39500"/>
    <d v="2034-07-31T00:00:00"/>
    <n v="174000"/>
    <n v="29500"/>
    <n v="70.779661016949149"/>
    <n v="1"/>
    <x v="4"/>
    <x v="0"/>
    <x v="3"/>
    <x v="36"/>
    <x v="4"/>
    <s v="Awaiting assessment workshop"/>
  </r>
  <r>
    <n v="121668"/>
    <s v="Legacy Batch Scheduler (APAC)"/>
    <s v="Batch Scheduling"/>
    <s v="IT"/>
    <s v="External"/>
    <s v="Yuki Tanaka"/>
    <s v="Lena Fischer"/>
    <s v="Database Services"/>
    <n v="25"/>
    <d v="2021-04-08T00:00:00"/>
    <s v="Active"/>
    <n v="5"/>
    <n v="2"/>
    <m/>
    <s v="PaaS"/>
    <s v="Azure App Service (PaaS)"/>
    <n v="0"/>
    <s v="N/A (PaaS)"/>
    <s v="Azure SQL"/>
    <s v="Azure West Europe"/>
    <d v="2022-06-30T00:00:00"/>
    <s v="Structured"/>
    <n v="24"/>
    <s v="N"/>
    <n v="3"/>
    <s v="N"/>
    <s v="None"/>
    <n v="26"/>
    <s v="Y"/>
    <s v="Partial"/>
    <s v="Y"/>
    <n v="39500"/>
    <d v="2028-10-31T00:00:00"/>
    <m/>
    <m/>
    <s v=""/>
    <n v="0"/>
    <x v="3"/>
    <x v="2"/>
    <x v="3"/>
    <x v="36"/>
    <x v="5"/>
    <s v="Business-critical, well supported"/>
  </r>
  <r>
    <n v="135798"/>
    <s v="Old Recruitment Tracker Plus"/>
    <s v="Recruitment"/>
    <s v="HR"/>
    <s v="Internal"/>
    <s v="Isabelle Singh"/>
    <s v="Ishaan Desai"/>
    <s v="SaaS Vendor Mgmt"/>
    <n v="85"/>
    <d v="2021-04-12T00:00:00"/>
    <s v="Active"/>
    <n v="3"/>
    <n v="3"/>
    <s v="Workday Recruiting"/>
    <s v="SaaS"/>
    <s v="N/A (SaaS)"/>
    <n v="0"/>
    <s v="N/A"/>
    <s v="N/A"/>
    <s v="Vendor cloud (EU)"/>
    <m/>
    <s v="Unstructured"/>
    <n v="200"/>
    <s v="N"/>
    <n v="3"/>
    <s v="Y"/>
    <s v="Read-only access"/>
    <n v="5"/>
    <s v="Partial"/>
    <s v="Y"/>
    <s v="Partial"/>
    <n v="75000"/>
    <d v="2025-02-28T00:00:00"/>
    <m/>
    <m/>
    <s v=""/>
    <n v="1"/>
    <x v="4"/>
    <x v="1"/>
    <x v="3"/>
    <x v="36"/>
    <x v="4"/>
    <s v="Owner to confirm usage before decision"/>
  </r>
  <r>
    <n v="179159"/>
    <s v="Expense Portal 2008"/>
    <s v="Expense Mgmt"/>
    <s v="Finance"/>
    <s v="Internal"/>
    <s v="Diego Alvarez"/>
    <s v="Ishaan Desai"/>
    <s v="SaaS Vendor Mgmt"/>
    <n v="95"/>
    <d v="2021-04-20T00:00:00"/>
    <s v="Active"/>
    <n v="3"/>
    <n v="3"/>
    <s v="TBD"/>
    <s v="SaaS"/>
    <s v="N/A (SaaS)"/>
    <n v="0"/>
    <s v="N/A"/>
    <s v="N/A"/>
    <s v="Vendor cloud (EU)"/>
    <m/>
    <s v="Structured"/>
    <n v="160"/>
    <s v="N"/>
    <n v="2"/>
    <s v="Y"/>
    <s v="Data archive"/>
    <n v="2"/>
    <s v="Partial"/>
    <s v="Partial"/>
    <s v="Partial"/>
    <n v="21000"/>
    <d v="2030-12-31T00:00:00"/>
    <m/>
    <m/>
    <s v=""/>
    <n v="0"/>
    <x v="3"/>
    <x v="1"/>
    <x v="3"/>
    <x v="36"/>
    <x v="5"/>
    <s v="Business-critical, well supported"/>
  </r>
  <r>
    <n v="57805"/>
    <s v="Legacy Survey Tool (DE)"/>
    <s v="Market Research"/>
    <s v="Marketing"/>
    <s v="External"/>
    <s v="Hannah Weber"/>
    <s v="Sameer Joshi"/>
    <s v="Infra Ops US"/>
    <n v="833"/>
    <d v="2021-04-28T00:00:00"/>
    <s v="Active"/>
    <n v="4"/>
    <n v="3"/>
    <m/>
    <s v="On-prem DC"/>
    <s v="lstapp01, lstdb01, lstweb01, lstfs01"/>
    <n v="4"/>
    <s v="AIX 7.1"/>
    <s v="DB2 10.5"/>
    <s v="EU DC-1"/>
    <d v="2023-04-30T00:00:00"/>
    <s v="Both"/>
    <n v="64"/>
    <s v="N"/>
    <n v="5"/>
    <s v="N"/>
    <s v="None"/>
    <n v="6"/>
    <s v="N"/>
    <s v="Partial"/>
    <s v="Partial"/>
    <n v="70000"/>
    <d v="2030-07-31T00:00:00"/>
    <m/>
    <m/>
    <s v=""/>
    <n v="0"/>
    <x v="3"/>
    <x v="2"/>
    <x v="3"/>
    <x v="36"/>
    <x v="5"/>
    <s v="Active user base; no replacement planned"/>
  </r>
  <r>
    <n v="169829"/>
    <s v="Custom Shipment Tracker Classic"/>
    <s v="Logistics"/>
    <s v="Supply Chain"/>
    <s v="External"/>
    <s v="Pierre Roux"/>
    <s v="Chloe Vidal"/>
    <s v="Plant IT Services"/>
    <n v="387"/>
    <d v="2021-04-25T00:00:00"/>
    <s v="Active"/>
    <n v="5"/>
    <n v="2"/>
    <s v="SAP IBP"/>
    <s v="On-prem DC"/>
    <s v="cstapp01, cstdb01"/>
    <n v="2"/>
    <s v="Windows Server 2008 R2"/>
    <s v="SQL Server 2008 R2"/>
    <s v="EU DC-2"/>
    <d v="2020-01-14T00:00:00"/>
    <s v="Structured"/>
    <n v="140"/>
    <s v="N"/>
    <n v="3"/>
    <s v="Y"/>
    <s v="Data archive"/>
    <n v="12"/>
    <s v="N"/>
    <s v="N"/>
    <s v="Partial"/>
    <n v="70000"/>
    <d v="2029-07-31T00:00:00"/>
    <m/>
    <m/>
    <s v=""/>
    <n v="2"/>
    <x v="4"/>
    <x v="0"/>
    <x v="3"/>
    <x v="36"/>
    <x v="4"/>
    <s v="Low business value; validate with owner"/>
  </r>
  <r>
    <n v="71230"/>
    <s v="Payroll Interface (Nordics)"/>
    <s v="Payroll"/>
    <s v="HR"/>
    <s v="Internal"/>
    <s v="Priya Sharma"/>
    <s v="Theo Lopez"/>
    <s v="Plant IT Services"/>
    <n v="903"/>
    <d v="2021-04-08T00:00:00"/>
    <s v="Active"/>
    <n v="5"/>
    <n v="1"/>
    <m/>
    <s v="On-prem DC"/>
    <s v="pin-app01–05, pin-db01"/>
    <n v="6"/>
    <s v="Ubuntu 16.04"/>
    <s v="MySQL 5.7"/>
    <s v="Plant DC"/>
    <d v="2021-04-30T00:00:00"/>
    <s v="Both"/>
    <n v="310"/>
    <s v="Y"/>
    <n v="7"/>
    <s v="Y"/>
    <s v="Reporting extract"/>
    <n v="27"/>
    <s v="Partial"/>
    <s v="N"/>
    <s v="Y"/>
    <n v="350000"/>
    <d v="2026-02-28T00:00:00"/>
    <n v="894000"/>
    <n v="337000"/>
    <n v="31.833827893175073"/>
    <n v="1"/>
    <x v="4"/>
    <x v="0"/>
    <x v="3"/>
    <x v="36"/>
    <x v="4"/>
    <s v="Owner to confirm usage before decision"/>
  </r>
  <r>
    <n v="195716"/>
    <s v="Brand Asset Library (UK)"/>
    <s v="Digital Assets"/>
    <s v="Marketing"/>
    <s v="Internal"/>
    <s v="Julia Rao"/>
    <s v="Tara Khanna"/>
    <s v="Infra Ops EMEA"/>
    <n v="245"/>
    <d v="2021-04-21T00:00:00"/>
    <s v="Active"/>
    <n v="3"/>
    <n v="3"/>
    <m/>
    <s v="IaaS"/>
    <s v="balapp01, baldb01, balweb01, balfs01"/>
    <n v="4"/>
    <s v="Solaris 10"/>
    <s v="Oracle 11g"/>
    <s v="AWS eu-west-1"/>
    <d v="2021-01-31T00:00:00"/>
    <s v="Both"/>
    <n v="12"/>
    <s v="Y"/>
    <n v="10"/>
    <s v="Y"/>
    <s v="Archive + read-only"/>
    <n v="2"/>
    <s v="Partial"/>
    <s v="N"/>
    <s v="N"/>
    <n v="29500"/>
    <d v="2033-10-31T00:00:00"/>
    <m/>
    <m/>
    <s v=""/>
    <n v="1"/>
    <x v="4"/>
    <x v="1"/>
    <x v="3"/>
    <x v="36"/>
    <x v="4"/>
    <s v="Awaiting assessment workshop"/>
  </r>
  <r>
    <n v="78711"/>
    <s v="Monitoring Console Lite"/>
    <s v="Monitoring"/>
    <s v="IT"/>
    <s v="Internal"/>
    <s v="Laura Martin"/>
    <s v="Tara Khanna"/>
    <s v="Plant IT Services"/>
    <n v="71"/>
    <d v="2021-04-19T00:00:00"/>
    <s v="Active"/>
    <n v="4"/>
    <n v="1"/>
    <m/>
    <s v="On-prem DC"/>
    <s v="mcl-app01–06, mcl-db01"/>
    <n v="7"/>
    <s v="RHEL 8"/>
    <s v="PostgreSQL 12"/>
    <s v="TBD"/>
    <d v="2029-05-31T00:00:00"/>
    <s v="Structured"/>
    <n v="770"/>
    <s v="N"/>
    <n v="5"/>
    <s v="N"/>
    <s v="None"/>
    <n v="56"/>
    <s v="N"/>
    <s v="N"/>
    <s v="Partial"/>
    <n v="395000"/>
    <d v="2033-07-31T00:00:00"/>
    <n v="1311000"/>
    <n v="310500"/>
    <n v="50.666666666666671"/>
    <n v="0"/>
    <x v="4"/>
    <x v="2"/>
    <x v="3"/>
    <x v="36"/>
    <x v="4"/>
    <s v="Awaiting assessment workshop"/>
  </r>
  <r>
    <n v="18822"/>
    <s v="Travel Booking Tool Classic"/>
    <s v="Travel"/>
    <s v="HR"/>
    <s v="Internal"/>
    <s v="Rahul Iyer"/>
    <s v="Varun Malhotra"/>
    <s v="Infra Ops EMEA"/>
    <n v="57"/>
    <d v="2021-04-28T00:00:00"/>
    <s v="Active"/>
    <n v="4"/>
    <n v="2"/>
    <s v="TBD"/>
    <s v="On-prem DC"/>
    <s v="tbt-app01–07, tbt-db01"/>
    <n v="8"/>
    <s v="RHEL 8"/>
    <s v="PostgreSQL 12"/>
    <s v="EU DC-2"/>
    <d v="2029-05-31T00:00:00"/>
    <s v="Structured"/>
    <n v="50"/>
    <s v="Y"/>
    <n v="10"/>
    <s v="Y"/>
    <s v="Data archive"/>
    <n v="23"/>
    <s v="Y"/>
    <s v="Y"/>
    <s v="N"/>
    <n v="195000"/>
    <d v="2030-03-31T00:00:00"/>
    <m/>
    <m/>
    <s v=""/>
    <n v="0"/>
    <x v="4"/>
    <x v="0"/>
    <x v="3"/>
    <x v="36"/>
    <x v="4"/>
    <s v="Low business value; validate with owner_x000a_Blocker: Vendor notice period of 12 months_x000a_Q: Can the contract end be brought forward?"/>
  </r>
  <r>
    <n v="138510"/>
    <s v="Global Licence Manager 2012"/>
    <s v="Licence Mgmt"/>
    <s v="IT"/>
    <s v="Partner"/>
    <s v="Diego Alvarez"/>
    <s v="Chloe Vidal"/>
    <s v="SaaS Vendor Mgmt"/>
    <n v="481"/>
    <d v="2021-04-05T00:00:00"/>
    <s v="Active"/>
    <n v="4"/>
    <n v="1"/>
    <m/>
    <s v="SaaS"/>
    <s v="N/A (SaaS)"/>
    <n v="0"/>
    <s v="N/A"/>
    <s v="N/A"/>
    <s v="Vendor cloud (EU)"/>
    <m/>
    <s v="Both"/>
    <n v="74"/>
    <s v="Y"/>
    <n v="10"/>
    <s v="Y"/>
    <s v="Reporting extract"/>
    <n v="35"/>
    <s v="N"/>
    <s v="Y"/>
    <s v="N"/>
    <n v="365000"/>
    <d v="2034-07-31T00:00:00"/>
    <m/>
    <m/>
    <s v=""/>
    <n v="0"/>
    <x v="4"/>
    <x v="0"/>
    <x v="3"/>
    <x v="36"/>
    <x v="4"/>
    <s v="Dependencies to be mapped_x000a_Blocker: Replacement rollout dependency_x000a_Q: What is the go-live date of the target platform?"/>
  </r>
  <r>
    <n v="129246"/>
    <s v="Appraisal Tool (US)"/>
    <s v="Performance"/>
    <s v="HR"/>
    <s v="External"/>
    <s v="Arjun Lambert"/>
    <s v="Chloe Vidal"/>
    <s v="Infra Ops EMEA"/>
    <n v="385"/>
    <d v="2021-04-06T00:00:00"/>
    <s v="Active"/>
    <n v="4"/>
    <n v="1"/>
    <m/>
    <s v="IaaS"/>
    <s v="atuapp01"/>
    <n v="1"/>
    <s v="Windows Server 2016"/>
    <s v="SQL Server 2016"/>
    <s v="AWS eu-west-1"/>
    <d v="2026-07-14T00:00:00"/>
    <s v="Both"/>
    <n v="1300"/>
    <s v="Y"/>
    <n v="7"/>
    <s v="Y"/>
    <s v="Read-only access"/>
    <n v="33"/>
    <s v="Partial"/>
    <s v="N"/>
    <s v="N"/>
    <n v="100000"/>
    <d v="2032-05-31T00:00:00"/>
    <m/>
    <m/>
    <s v=""/>
    <n v="0"/>
    <x v="3"/>
    <x v="0"/>
    <x v="3"/>
    <x v="36"/>
    <x v="4"/>
    <s v="Retain - revisit at next portfolio review"/>
  </r>
  <r>
    <n v="137323"/>
    <s v="Departmental Event Registration Tool (UK)"/>
    <s v="Events"/>
    <s v="Marketing"/>
    <s v="External"/>
    <s v="Laura Martin"/>
    <s v="Hugo Perrin"/>
    <s v="Cloud Platform Team"/>
    <n v="206"/>
    <d v="2021-04-12T00:00:00"/>
    <s v="Active"/>
    <n v="4"/>
    <n v="2"/>
    <m/>
    <s v="On-prem DC"/>
    <s v="derapp01"/>
    <n v="1"/>
    <s v="RHEL 8"/>
    <s v="TBD"/>
    <s v="EU DC-2"/>
    <d v="2029-05-31T00:00:00"/>
    <s v="Structured"/>
    <n v="480"/>
    <s v="Y"/>
    <n v="7"/>
    <s v="Y"/>
    <s v="Archive + read-only"/>
    <n v="29"/>
    <s v="N"/>
    <s v="Y"/>
    <s v="Y"/>
    <n v="34000"/>
    <d v="2027-11-30T00:00:00"/>
    <m/>
    <m/>
    <s v=""/>
    <n v="0"/>
    <x v="3"/>
    <x v="0"/>
    <x v="3"/>
    <x v="36"/>
    <x v="5"/>
    <s v="Active user base; no replacement planned"/>
  </r>
  <r>
    <n v="191419"/>
    <s v="Custom Warehouse Mgmt System"/>
    <s v="Warehouse Mgmt"/>
    <s v="Supply Chain"/>
    <s v="Internal"/>
    <s v="Sara Kapoor"/>
    <s v="Lena Fischer"/>
    <s v="Unix Platform Team"/>
    <n v="5"/>
    <d v="2021-02-25T00:00:00"/>
    <s v="Low use"/>
    <n v="4"/>
    <n v="2"/>
    <m/>
    <s v="On-prem DC"/>
    <s v="cwm-app01–05, cwm-db01"/>
    <n v="6"/>
    <s v="Solaris 10"/>
    <s v="Oracle 11g"/>
    <s v="US DC-1"/>
    <s v="TBD"/>
    <s v="Unstructured"/>
    <n v="33"/>
    <s v="N"/>
    <n v="3"/>
    <s v="Y"/>
    <s v="Read-only access"/>
    <n v="19"/>
    <s v="N"/>
    <s v="N"/>
    <s v="Partial"/>
    <n v="85000"/>
    <d v="2027-01-31T00:00:00"/>
    <m/>
    <m/>
    <s v=""/>
    <n v="1"/>
    <x v="4"/>
    <x v="0"/>
    <x v="3"/>
    <x v="36"/>
    <x v="4"/>
    <s v="Dependencies to be mapped"/>
  </r>
  <r>
    <n v="79653"/>
    <s v="Asset Register (Nordics)"/>
    <s v="Fixed Assets"/>
    <s v="Finance"/>
    <s v="Internal"/>
    <s v="Julia Rao"/>
    <s v="Hugo Perrin"/>
    <s v="Unix Platform Team"/>
    <n v="25"/>
    <d v="2021-04-22T00:00:00"/>
    <s v="Active"/>
    <n v="5"/>
    <n v="1"/>
    <m/>
    <s v="On-prem DC"/>
    <s v="arnapp01, arndb01"/>
    <n v="2"/>
    <s v="Windows Server 2016"/>
    <s v="SQL Server 2017"/>
    <s v="TBD"/>
    <d v="2027-01-12T00:00:00"/>
    <s v="Structured"/>
    <n v="53"/>
    <s v="N"/>
    <n v="1"/>
    <s v="Y"/>
    <s v="Read-only access"/>
    <n v="73"/>
    <s v="Y"/>
    <s v="Y"/>
    <s v="Partial"/>
    <n v="70000"/>
    <d v="2029-03-31T00:00:00"/>
    <m/>
    <m/>
    <s v=""/>
    <n v="0"/>
    <x v="3"/>
    <x v="0"/>
    <x v="3"/>
    <x v="36"/>
    <x v="5"/>
    <s v="Retain - revisit at next portfolio review"/>
  </r>
  <r>
    <n v="73350"/>
    <s v="Corporate Quality Incident Log (US)"/>
    <s v="Quality"/>
    <s v="Operations"/>
    <s v="Internal"/>
    <s v="Claire Mehta"/>
    <s v="Louis Faure"/>
    <s v="Database Services"/>
    <n v="785"/>
    <d v="2021-03-21T00:00:00"/>
    <s v="Active"/>
    <n v="4"/>
    <n v="2"/>
    <s v="TBD"/>
    <s v="IaaS"/>
    <s v="cqiapp01, cqidb01"/>
    <n v="2"/>
    <s v="TBD"/>
    <s v="Oracle 12c"/>
    <s v="Azure West Europe"/>
    <d v="2024-06-30T00:00:00"/>
    <s v="Both"/>
    <n v="29"/>
    <s v="N"/>
    <n v="3"/>
    <s v="Y"/>
    <s v="Data archive"/>
    <n v="5"/>
    <s v="Partial"/>
    <s v="Partial"/>
    <s v="N"/>
    <n v="55000"/>
    <d v="2033-11-30T00:00:00"/>
    <n v="29500"/>
    <n v="32000"/>
    <n v="11.0625"/>
    <n v="0"/>
    <x v="4"/>
    <x v="0"/>
    <x v="3"/>
    <x v="36"/>
    <x v="4"/>
    <s v="Owner to confirm usage before decision"/>
  </r>
  <r>
    <n v="151099"/>
    <s v="Custom Recruitment Tracker 2008"/>
    <s v="Recruitment"/>
    <s v="HR"/>
    <s v="External"/>
    <s v="Hannah Weber"/>
    <s v="Kavya Reddy"/>
    <s v="Cloud Platform Team"/>
    <n v="100"/>
    <d v="2021-04-29T00:00:00"/>
    <s v="Active"/>
    <n v="1"/>
    <n v="4"/>
    <m/>
    <s v="On-prem DC"/>
    <s v="crtapp01, crtdb01, crtweb01"/>
    <n v="3"/>
    <s v="Windows Server 2008 R2"/>
    <s v="SQL Server 2008 R2"/>
    <s v="EU DC-2"/>
    <d v="2020-01-14T00:00:00"/>
    <s v="Both"/>
    <n v="30"/>
    <s v="Y"/>
    <n v="10"/>
    <s v="N"/>
    <s v="None"/>
    <n v="0"/>
    <s v="Y"/>
    <s v="N"/>
    <s v="Y"/>
    <n v="33000"/>
    <d v="2029-11-30T00:00:00"/>
    <n v="35000"/>
    <n v="32500"/>
    <n v="12.923076923076923"/>
    <n v="2"/>
    <x v="4"/>
    <x v="2"/>
    <x v="3"/>
    <x v="36"/>
    <x v="4"/>
    <s v="Low business value; validate with owner"/>
  </r>
  <r>
    <n v="116537"/>
    <s v="Customer Contact Manager (APAC)"/>
    <s v="CRM"/>
    <s v="Sales"/>
    <s v="Internal"/>
    <s v="Anika Patel"/>
    <s v="Aditi Menon"/>
    <s v="SaaS Vendor Mgmt"/>
    <n v="1222"/>
    <d v="2021-04-23T00:00:00"/>
    <s v="Active"/>
    <n v="3"/>
    <n v="4"/>
    <m/>
    <s v="SaaS"/>
    <s v="N/A (SaaS)"/>
    <n v="0"/>
    <s v="N/A"/>
    <s v="N/A"/>
    <s v="Vendor cloud (EU)"/>
    <m/>
    <s v="Structured"/>
    <n v="14"/>
    <s v="Y"/>
    <n v="5"/>
    <s v="N"/>
    <s v="None"/>
    <n v="1"/>
    <s v="Partial"/>
    <s v="Partial"/>
    <s v="N"/>
    <n v="29000"/>
    <d v="2033-07-31T00:00:00"/>
    <m/>
    <m/>
    <s v=""/>
    <n v="0"/>
    <x v="3"/>
    <x v="2"/>
    <x v="3"/>
    <x v="36"/>
    <x v="5"/>
    <s v="Active user base; no replacement planned"/>
  </r>
  <r>
    <n v="54827"/>
    <s v="Regional Field Service Dispatcher v2"/>
    <s v="Field Service"/>
    <s v="Operations"/>
    <s v="Internal"/>
    <s v="Yuki Tanaka"/>
    <s v="Lena Fischer"/>
    <s v="Infra Ops US"/>
    <n v="4"/>
    <d v="2021-04-26T00:00:00"/>
    <s v="Low use"/>
    <n v="1"/>
    <n v="4"/>
    <s v="Intelex"/>
    <s v="On-prem DC"/>
    <s v="rfsapp01, rfsdb01"/>
    <n v="2"/>
    <s v="RHEL 8"/>
    <s v="PostgreSQL 12"/>
    <s v="EU DC-1"/>
    <d v="2029-05-31T00:00:00"/>
    <s v="Structured"/>
    <n v="400"/>
    <s v="N"/>
    <n v="3"/>
    <s v="Y"/>
    <s v="Read-only access"/>
    <n v="2"/>
    <s v="N"/>
    <s v="N"/>
    <s v="N"/>
    <n v="46500"/>
    <d v="2031-07-31T00:00:00"/>
    <m/>
    <m/>
    <s v=""/>
    <n v="3"/>
    <x v="4"/>
    <x v="1"/>
    <x v="3"/>
    <x v="36"/>
    <x v="4"/>
    <s v="Awaiting assessment workshop"/>
  </r>
  <r>
    <n v="50472"/>
    <s v="Regional Monitoring Console v2"/>
    <s v="Monitoring"/>
    <s v="IT"/>
    <s v="External"/>
    <s v="Marc Laurent"/>
    <s v="Theo Lopez"/>
    <s v="Infra Ops EMEA"/>
    <n v="5"/>
    <d v="2021-03-06T00:00:00"/>
    <s v="Low use"/>
    <n v="5"/>
    <n v="1"/>
    <s v="Splunk"/>
    <s v="On-prem DC"/>
    <s v="rmcapp01, rmcdb01, rmcweb01"/>
    <n v="3"/>
    <s v="HP-UX 11i v3"/>
    <s v="Sybase ASE 15.7"/>
    <s v="EU DC-1"/>
    <d v="2021-12-31T00:00:00"/>
    <s v="Structured"/>
    <n v="190"/>
    <s v="N"/>
    <n v="3"/>
    <s v="Y"/>
    <s v="Data archive"/>
    <n v="38"/>
    <s v="N"/>
    <s v="N"/>
    <s v="Partial"/>
    <n v="105000"/>
    <d v="2026-10-31T00:00:00"/>
    <m/>
    <m/>
    <s v=""/>
    <n v="3"/>
    <x v="4"/>
    <x v="0"/>
    <x v="3"/>
    <x v="36"/>
    <x v="4"/>
    <s v="Low business value; validate with owner"/>
  </r>
  <r>
    <n v="70063"/>
    <s v="Custom Field Service Dispatcher Classic"/>
    <s v="Field Service"/>
    <s v="Operations"/>
    <s v="Internal"/>
    <s v="Elena Garcia"/>
    <s v="Ishaan Desai"/>
    <s v="SaaS Vendor Mgmt"/>
    <n v="179"/>
    <d v="2021-04-14T00:00:00"/>
    <s v="Active"/>
    <n v="4"/>
    <n v="2"/>
    <m/>
    <s v="SaaS"/>
    <s v="N/A (SaaS)"/>
    <n v="0"/>
    <s v="N/A"/>
    <s v="N/A"/>
    <s v="Vendor cloud (EU)"/>
    <d v="2023-07-31T00:00:00"/>
    <s v="Structured"/>
    <n v="690"/>
    <s v="N"/>
    <n v="2"/>
    <s v="Y"/>
    <s v="Archive + read-only"/>
    <n v="9"/>
    <s v="Y"/>
    <s v="Partial"/>
    <s v="Partial"/>
    <n v="10500"/>
    <d v="2035-08-31T00:00:00"/>
    <m/>
    <m/>
    <s v=""/>
    <n v="0"/>
    <x v="3"/>
    <x v="0"/>
    <x v="3"/>
    <x v="36"/>
    <x v="5"/>
    <s v="Active user base; no replacement planned"/>
  </r>
  <r>
    <n v="158137"/>
    <s v="Newsletter Mailer (UK)"/>
    <s v="Email"/>
    <s v="Marketing"/>
    <s v="Internal"/>
    <s v="Meera Dubois"/>
    <s v="Theo Lopez"/>
    <s v="Infra Ops US"/>
    <n v="228"/>
    <d v="2021-04-14T00:00:00"/>
    <s v="Active"/>
    <n v="2"/>
    <n v="3"/>
    <s v="HubSpot"/>
    <s v="On-prem DC"/>
    <s v="nmuapp01, nmudb01, nmuweb01, nmufs01"/>
    <n v="4"/>
    <s v="RHEL 8"/>
    <s v="Oracle 19c"/>
    <s v="Plant DC"/>
    <d v="2029-05-31T00:00:00"/>
    <s v="Structured"/>
    <n v="130"/>
    <s v="Y"/>
    <n v="7"/>
    <s v="Y"/>
    <s v="Reporting extract"/>
    <n v="1"/>
    <s v="N"/>
    <s v="Partial"/>
    <s v="N"/>
    <n v="55000"/>
    <d v="2028-04-30T00:00:00"/>
    <n v="40000"/>
    <n v="44000"/>
    <n v="10.909090909090908"/>
    <n v="2"/>
    <x v="4"/>
    <x v="1"/>
    <x v="3"/>
    <x v="36"/>
    <x v="4"/>
    <s v="Dependencies to be mapped"/>
  </r>
  <r>
    <n v="80942"/>
    <s v="Legacy GL Consolidation Tool"/>
    <s v="General Ledger"/>
    <s v="Finance"/>
    <s v="External"/>
    <s v="Anika Patel"/>
    <s v="Manon Chevalier"/>
    <s v="Infra Ops US"/>
    <n v="0"/>
    <d v="2021-01-23T00:00:00"/>
    <s v="Not in use"/>
    <n v="4"/>
    <n v="2"/>
    <s v="Oracle Cloud ERP"/>
    <s v="On-prem DC"/>
    <s v="lgc-app01–04, lgc-db01"/>
    <n v="5"/>
    <s v="Solaris 10"/>
    <s v="Oracle 11g"/>
    <s v="EU DC-2"/>
    <d v="2021-01-31T00:00:00"/>
    <s v="Structured"/>
    <n v="370"/>
    <s v="Y"/>
    <n v="10"/>
    <s v="Y"/>
    <s v="Reporting extract"/>
    <n v="16"/>
    <s v="Partial"/>
    <s v="Partial"/>
    <s v="N"/>
    <n v="145000"/>
    <d v="2033-12-31T00:00:00"/>
    <n v="116000"/>
    <n v="89500"/>
    <n v="15.553072625698324"/>
    <n v="3"/>
    <x v="4"/>
    <x v="0"/>
    <x v="3"/>
    <x v="36"/>
    <x v="4"/>
    <s v="Dependencies to be mapped"/>
  </r>
  <r>
    <n v="76999"/>
    <s v="Contract Repository v4"/>
    <s v="Contract Mgmt"/>
    <s v="Finance"/>
    <s v="Internal"/>
    <s v="Claire Mehta"/>
    <s v="Tara Khanna"/>
    <s v="Infra Ops US"/>
    <n v="25"/>
    <d v="2021-04-18T00:00:00"/>
    <s v="Active"/>
    <n v="4"/>
    <n v="2"/>
    <s v="Anaplan"/>
    <s v="IaaS"/>
    <s v="crvapp01, crvdb01, crvweb01"/>
    <n v="3"/>
    <s v="Windows Server 2008"/>
    <s v="SQL Server 2008"/>
    <s v="Azure West Europe"/>
    <d v="2019-07-09T00:00:00"/>
    <s v="Both"/>
    <n v="26"/>
    <s v="N"/>
    <n v="2"/>
    <s v="Y"/>
    <s v="Data archive"/>
    <n v="25"/>
    <s v="N"/>
    <s v="N"/>
    <s v="Partial"/>
    <n v="65000"/>
    <d v="2034-04-30T00:00:00"/>
    <m/>
    <m/>
    <s v=""/>
    <n v="2"/>
    <x v="4"/>
    <x v="0"/>
    <x v="3"/>
    <x v="36"/>
    <x v="4"/>
    <s v="Awaiting assessment workshop"/>
  </r>
  <r>
    <n v="179546"/>
    <s v="Custom Facilities Request Portal v2"/>
    <s v="Facilities"/>
    <s v="Operations"/>
    <s v="External"/>
    <s v="Sophie Dubois"/>
    <s v="Adrien Colin"/>
    <s v="Plant IT Services"/>
    <n v="554"/>
    <d v="2021-04-05T00:00:00"/>
    <s v="Active"/>
    <n v="4"/>
    <n v="2"/>
    <m/>
    <s v="On-prem DC"/>
    <s v="cfr-app01–07, cfr-db01"/>
    <n v="8"/>
    <s v="Windows Server 2012 R2"/>
    <s v="SQL Server 2012"/>
    <s v="EU DC-2"/>
    <d v="2022-07-12T00:00:00"/>
    <s v="Structured"/>
    <n v="1760"/>
    <s v="N"/>
    <n v="1"/>
    <s v="Y"/>
    <s v="Archive + read-only"/>
    <n v="20"/>
    <s v="Y"/>
    <s v="N"/>
    <s v="Y"/>
    <n v="135000"/>
    <d v="2032-07-31T00:00:00"/>
    <m/>
    <m/>
    <s v=""/>
    <n v="0"/>
    <x v="3"/>
    <x v="0"/>
    <x v="3"/>
    <x v="36"/>
    <x v="5"/>
    <s v="Retain - revisit at next portfolio review"/>
  </r>
  <r>
    <n v="142853"/>
    <s v="Quote Manager (UK)"/>
    <s v="Quoting"/>
    <s v="Sales"/>
    <s v="Internal"/>
    <s v="Amelie Martin"/>
    <s v="Ananya Pillai"/>
    <s v="SaaS Vendor Mgmt"/>
    <n v="306"/>
    <d v="2021-03-28T00:00:00"/>
    <s v="Active"/>
    <n v="5"/>
    <n v="1"/>
    <m/>
    <s v="SaaS"/>
    <s v="N/A (SaaS)"/>
    <n v="0"/>
    <s v="N/A"/>
    <s v="N/A"/>
    <s v="Vendor cloud (EU)"/>
    <m/>
    <s v="Structured"/>
    <n v="30"/>
    <s v="N"/>
    <n v="3"/>
    <s v="Y"/>
    <s v="Data archive"/>
    <n v="77"/>
    <s v="Y"/>
    <s v="Partial"/>
    <s v="Y"/>
    <n v="355000"/>
    <d v="2025-12-31T00:00:00"/>
    <m/>
    <m/>
    <s v=""/>
    <n v="0"/>
    <x v="3"/>
    <x v="0"/>
    <x v="3"/>
    <x v="36"/>
    <x v="5"/>
    <s v="Strategic platform; refresh planned"/>
  </r>
  <r>
    <n v="178570"/>
    <s v="Regional Benefits Enrolment"/>
    <s v="Benefits"/>
    <s v="HR"/>
    <s v="Internal"/>
    <s v="Elena Garcia"/>
    <s v="Tara Khanna"/>
    <s v="Unix Platform Team"/>
    <n v="506"/>
    <d v="2021-03-30T00:00:00"/>
    <s v="Active"/>
    <n v="4"/>
    <n v="2"/>
    <m/>
    <s v="On-prem DC"/>
    <s v="rbe-app01–06, rbe-db01"/>
    <n v="7"/>
    <s v="RHEL 8"/>
    <s v="PostgreSQL 12"/>
    <s v="TBD"/>
    <d v="2029-05-31T00:00:00"/>
    <s v="Structured"/>
    <n v="65"/>
    <s v="Y"/>
    <n v="5"/>
    <s v="N"/>
    <s v="None"/>
    <n v="30"/>
    <s v="Partial"/>
    <s v="Partial"/>
    <s v="Partial"/>
    <n v="155000"/>
    <d v="2028-03-31T00:00:00"/>
    <m/>
    <m/>
    <s v=""/>
    <n v="0"/>
    <x v="3"/>
    <x v="2"/>
    <x v="3"/>
    <x v="36"/>
    <x v="5"/>
    <s v="Active user base; no replacement planned"/>
  </r>
  <r>
    <n v="156159"/>
    <s v="Custom Timesheet Portal 2010"/>
    <s v="Time &amp; Attendance"/>
    <s v="HR"/>
    <s v="Partner"/>
    <s v="Isabelle Singh"/>
    <s v="Remi Masson"/>
    <s v="Infra Ops US"/>
    <n v="640"/>
    <d v="2021-03-31T00:00:00"/>
    <s v="Active"/>
    <n v="5"/>
    <n v="2"/>
    <s v="Cornerstone"/>
    <s v="On-prem DC"/>
    <s v="ctpapp01"/>
    <n v="1"/>
    <s v="Windows Server 2008 R2"/>
    <s v="SQL Server 2008 R2"/>
    <s v="EU DC-1"/>
    <d v="2020-01-14T00:00:00"/>
    <s v="Structured"/>
    <n v="570"/>
    <s v="Y"/>
    <n v="7"/>
    <s v="N"/>
    <s v="None"/>
    <n v="26"/>
    <s v="Y"/>
    <s v="Y"/>
    <s v="N"/>
    <n v="75000"/>
    <d v="2031-01-31T00:00:00"/>
    <m/>
    <m/>
    <s v=""/>
    <n v="2"/>
    <x v="4"/>
    <x v="2"/>
    <x v="3"/>
    <x v="36"/>
    <x v="4"/>
    <s v="Awaiting assessment worksho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lect Wave">
  <location ref="I51:J68" firstHeaderRow="1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3" showAll="0"/>
    <pivotField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numFmtId="1" showAll="0"/>
    <pivotField showAll="0"/>
    <pivotField showAll="0"/>
    <pivotField axis="axisRow" showAll="0">
      <items count="5">
        <item x="0"/>
        <item sd="0" x="1"/>
        <item sd="0" x="2"/>
        <item sd="0" x="3"/>
        <item t="default"/>
      </items>
    </pivotField>
    <pivotField axis="axisRow" showAll="0">
      <items count="38">
        <item x="11"/>
        <item x="6"/>
        <item x="5"/>
        <item x="4"/>
        <item x="3"/>
        <item x="0"/>
        <item x="7"/>
        <item x="8"/>
        <item x="10"/>
        <item x="2"/>
        <item x="9"/>
        <item x="1"/>
        <item x="22"/>
        <item x="21"/>
        <item x="18"/>
        <item x="19"/>
        <item x="20"/>
        <item x="13"/>
        <item x="15"/>
        <item x="14"/>
        <item x="17"/>
        <item x="12"/>
        <item x="23"/>
        <item x="16"/>
        <item x="32"/>
        <item x="25"/>
        <item x="26"/>
        <item x="30"/>
        <item x="28"/>
        <item x="31"/>
        <item x="29"/>
        <item x="24"/>
        <item x="27"/>
        <item x="34"/>
        <item x="33"/>
        <item x="35"/>
        <item x="36"/>
        <item t="default"/>
      </items>
    </pivotField>
    <pivotField showAll="0"/>
    <pivotField showAll="0"/>
  </pivotFields>
  <rowFields count="2">
    <field x="39"/>
    <field x="40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>
      <x v="2"/>
    </i>
    <i>
      <x v="3"/>
    </i>
    <i t="grand">
      <x/>
    </i>
  </rowItems>
  <colItems count="1">
    <i/>
  </colItems>
  <dataFields count="1">
    <dataField name="Sum of Annual Savings ($)" fld="34" baseField="0" baseItem="0"/>
  </dataFields>
  <formats count="16">
    <format dxfId="15">
      <pivotArea dataOnly="0" labelOnly="1" fieldPosition="0">
        <references count="1">
          <reference field="39" count="3">
            <x v="1"/>
            <x v="2"/>
            <x v="3"/>
          </reference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2">
          <reference field="39" count="1" selected="0">
            <x v="0"/>
          </reference>
          <reference field="40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">
      <pivotArea dataOnly="0" labelOnly="1" fieldPosition="0">
        <references count="2">
          <reference field="39" count="1" selected="0">
            <x v="1"/>
          </reference>
          <reference field="40" count="13">
            <x v="5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1">
      <pivotArea dataOnly="0" labelOnly="1" fieldPosition="0">
        <references count="2">
          <reference field="39" count="1" selected="0">
            <x v="2"/>
          </reference>
          <reference field="40" count="12"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</reference>
        </references>
      </pivotArea>
    </format>
    <format dxfId="10">
      <pivotArea dataOnly="0" labelOnly="1" fieldPosition="0">
        <references count="2">
          <reference field="39" count="1" selected="0">
            <x v="3"/>
          </reference>
          <reference field="40" count="1">
            <x v="36"/>
          </reference>
        </references>
      </pivotArea>
    </format>
    <format dxfId="9">
      <pivotArea field="39" type="button" dataOnly="0" labelOnly="1" outline="0" axis="axisRow" fieldPosition="0"/>
    </format>
    <format dxfId="8">
      <pivotArea dataOnly="0" labelOnly="1" outline="0" axis="axisValues" fieldPosition="0"/>
    </format>
    <format dxfId="7">
      <pivotArea field="39" type="button" dataOnly="0" labelOnly="1" outline="0" axis="axisRow" fieldPosition="0"/>
    </format>
    <format dxfId="6">
      <pivotArea dataOnly="0" labelOnly="1" outline="0" axis="axisValues" fieldPosition="0"/>
    </format>
    <format dxfId="5">
      <pivotArea field="39" type="button" dataOnly="0" labelOnly="1" outline="0" axis="axisRow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5:V44" firstHeaderRow="1" firstDataRow="2" firstDataCol="1" rowPageCount="2" colPageCount="1"/>
  <pivotFields count="4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3" showAll="0"/>
    <pivotField showAll="0"/>
    <pivotField numFmtId="1" showAll="0"/>
    <pivotField showAll="0"/>
    <pivotField showAll="0"/>
    <pivotField numFmtI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" showAll="0"/>
    <pivotField axis="axisRow" showAll="0">
      <items count="6">
        <item x="0"/>
        <item x="4"/>
        <item x="3"/>
        <item x="2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name="Select Wave"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Col" showAll="0" defaultSubtotal="0">
      <items count="37">
        <item x="11"/>
        <item x="6"/>
        <item x="5"/>
        <item x="4"/>
        <item x="3"/>
        <item x="0"/>
        <item x="7"/>
        <item x="8"/>
        <item x="10"/>
        <item x="2"/>
        <item x="9"/>
        <item x="1"/>
        <item x="22"/>
        <item x="21"/>
        <item x="18"/>
        <item x="19"/>
        <item x="20"/>
        <item x="13"/>
        <item x="15"/>
        <item x="14"/>
        <item x="17"/>
        <item x="12"/>
        <item x="23"/>
        <item x="16"/>
        <item x="32"/>
        <item x="25"/>
        <item x="26"/>
        <item x="30"/>
        <item x="28"/>
        <item x="31"/>
        <item x="29"/>
        <item x="24"/>
        <item x="27"/>
        <item x="34"/>
        <item x="33"/>
        <item x="35"/>
        <item x="36"/>
      </items>
    </pivotField>
    <pivotField axis="axisRow" showAll="0">
      <items count="7">
        <item sd="0" x="1"/>
        <item x="3"/>
        <item sd="0" x="0"/>
        <item sd="0" x="2"/>
        <item x="5"/>
        <item x="4"/>
        <item t="default"/>
      </items>
    </pivotField>
    <pivotField showAll="0"/>
  </pivotFields>
  <rowFields count="2">
    <field x="41"/>
    <field x="37"/>
  </rowFields>
  <rowItems count="8">
    <i>
      <x/>
    </i>
    <i>
      <x v="1"/>
    </i>
    <i r="1">
      <x/>
    </i>
    <i r="1">
      <x v="3"/>
    </i>
    <i r="1">
      <x v="4"/>
    </i>
    <i>
      <x v="2"/>
    </i>
    <i>
      <x v="3"/>
    </i>
    <i t="grand">
      <x/>
    </i>
  </rowItems>
  <colFields count="1">
    <field x="4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39" hier="-1"/>
    <pageField fld="38" hier="-1"/>
  </pageFields>
  <dataFields count="1">
    <dataField name="Count of App ID" fld="0" subtotal="count" baseField="0" baseItem="0"/>
  </dataFields>
  <formats count="17">
    <format dxfId="32">
      <pivotArea dataOnly="0" labelOnly="1" fieldPosition="0">
        <references count="1">
          <reference field="40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1">
      <pivotArea dataOnly="0" labelOnly="1" grandCol="1" outline="0" fieldPosition="0"/>
    </format>
    <format dxfId="30">
      <pivotArea type="origin" dataOnly="0" labelOnly="1" outline="0" fieldPosition="0"/>
    </format>
    <format dxfId="29">
      <pivotArea field="40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41" type="button" dataOnly="0" labelOnly="1" outline="0" axis="axisRow" fieldPosition="0"/>
    </format>
    <format dxfId="26">
      <pivotArea dataOnly="0" labelOnly="1" fieldPosition="0">
        <references count="1">
          <reference field="40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5">
      <pivotArea dataOnly="0" labelOnly="1" grandCol="1" outline="0" fieldPosition="0"/>
    </format>
    <format dxfId="24">
      <pivotArea dataOnly="0" labelOnly="1" fieldPosition="0">
        <references count="1">
          <reference field="40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grandCol="1" outline="0" collapsedLevelsAreSubtotals="1" fieldPosition="0"/>
    </format>
    <format dxfId="18">
      <pivotArea field="39" type="button" dataOnly="0" labelOnly="1" outline="0" axis="axisPage" fieldPosition="0"/>
    </format>
    <format dxfId="17">
      <pivotArea dataOnly="0" labelOnly="1" fieldPosition="0">
        <references count="1">
          <reference field="40" count="24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</reference>
        </references>
      </pivotArea>
    </format>
    <format dxfId="16">
      <pivotArea dataOnly="0" labelOnly="1" fieldPosition="0">
        <references count="1">
          <reference field="40" count="24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4:AQ1004" totalsRowShown="0" headerRowDxfId="79" headerRowBorderDxfId="78" tableBorderDxfId="77" totalsRowBorderDxfId="76">
  <autoFilter ref="A4:AQ1004">
    <filterColumn colId="39">
      <filters>
        <filter val="Wave 1"/>
      </filters>
    </filterColumn>
    <filterColumn colId="40"/>
    <filterColumn colId="41"/>
  </autoFilter>
  <sortState ref="A5:AQ1004">
    <sortCondition ref="AN4:AN1004"/>
  </sortState>
  <tableColumns count="43">
    <tableColumn id="1" name="App ID" dataDxfId="75"/>
    <tableColumn id="2" name="App Name" dataDxfId="74"/>
    <tableColumn id="3" name="Business Capability" dataDxfId="73"/>
    <tableColumn id="4" name="Line of Business" dataDxfId="72"/>
    <tableColumn id="5" name="Exposure (Internal / External / Partner)" dataDxfId="71"/>
    <tableColumn id="6" name="Business Owner" dataDxfId="70"/>
    <tableColumn id="7" name="IT Owner" dataDxfId="69"/>
    <tableColumn id="8" name="Infra Owner" dataDxfId="68"/>
    <tableColumn id="9" name="Active Users (last 90d)" dataDxfId="67"/>
    <tableColumn id="10" name="Last Used Date" dataDxfId="66"/>
    <tableColumn id="11" name="Usage Status" dataDxfId="65">
      <calculatedColumnFormula>IF(B5="","",IF(AND(I5="",J5=""),"Unknown",IF(OR(AND(ISNUMBER(I5),I5=0),AND(ISNUMBER(J5),J5&lt;=EDATE('Scoring Settings'!$B$4,-'Scoring Settings'!$B$5))),"Not in use",IF(AND(ISNUMBER(I5),I5&lt;'Scoring Settings'!$B$6),"Low use","Active"))))</calculatedColumnFormula>
    </tableColumn>
    <tableColumn id="12" name="Business Value (1-5)" dataDxfId="64"/>
    <tableColumn id="13" name="Criticality Tier (1-4)" dataDxfId="63"/>
    <tableColumn id="14" name="Replacement / Target App" dataDxfId="62"/>
    <tableColumn id="15" name="Hosting" dataDxfId="61"/>
    <tableColumn id="16" name="Server Hostname(s)" dataDxfId="60"/>
    <tableColumn id="17" name="# Servers" dataDxfId="59"/>
    <tableColumn id="18" name="OS / Version" dataDxfId="58"/>
    <tableColumn id="19" name="Database / Version" dataDxfId="57"/>
    <tableColumn id="20" name="Data Centre / Cloud Region" dataDxfId="56"/>
    <tableColumn id="21" name="End-of-Support Date" dataDxfId="55"/>
    <tableColumn id="22" name="Data Type" dataDxfId="54"/>
    <tableColumn id="23" name="Data Volume (GB)" dataDxfId="53"/>
    <tableColumn id="24" name="PII / Regulated (Y/N)" dataDxfId="52"/>
    <tableColumn id="25" name="Retention (yrs)" dataDxfId="51"/>
    <tableColumn id="26" name="Data Archival Required (Y/N)" dataDxfId="50"/>
    <tableColumn id="27" name="Post-Retirement Requirement" dataDxfId="49"/>
    <tableColumn id="28" name="Interfaces (#)" dataDxfId="48"/>
    <tableColumn id="29" name="User / Functional Docs" dataDxfId="47"/>
    <tableColumn id="30" name="Technical Design Docs" dataDxfId="46"/>
    <tableColumn id="31" name="Architecture Diagram" dataDxfId="45"/>
    <tableColumn id="32" name="Annual Run Cost ($)" dataDxfId="44"/>
    <tableColumn id="33" name="Contract End Date" dataDxfId="43"/>
    <tableColumn id="34" name="Est. Decom Cost ($)" dataDxfId="42"/>
    <tableColumn id="35" name="Annual Savings ($)" dataDxfId="41"/>
    <tableColumn id="36" name="Payback (months)" dataDxfId="40">
      <calculatedColumnFormula>IF(AND(ISNUMBER(AH5),ISNUMBER(AI5),N(AI5)&gt;0),AH5/AI5*12,"")</calculatedColumnFormula>
    </tableColumn>
    <tableColumn id="37" name="Retirement Drivers (0-4)" dataDxfId="39">
      <calculatedColumnFormula>IF(B5="","",OR(K5="Not in use",K5="Low use")+AND(N5&lt;&gt;"",N5&lt;&gt;"TBD")+AND(ISNUMBER(U5),U5&lt;=EDATE('Scoring Settings'!$B$4,'Scoring Settings'!$B$8))+AND(ISNUMBER(L5),L5&lt;='Scoring Settings'!$B$7))</calculatedColumnFormula>
    </tableColumn>
    <tableColumn id="38" name="Decision" dataDxfId="38"/>
    <tableColumn id="39" name="Complexity" dataDxfId="37">
      <calculatedColumnFormula>IF(B5="","",IF(Z5="N","Easy",IF(OR(AND(ISNUMBER(AB5),AB5&gt;'Scoring Settings'!$B$11),AND(ISNUMBER(W5),W5&gt;'Scoring Settings'!$B$12),AND(ISNUMBER(M5),M5&lt;='Scoring Settings'!$B$13)),"High","Medium")))</calculatedColumnFormula>
    </tableColumn>
    <tableColumn id="40" name="Wave" dataDxfId="36"/>
    <tableColumn id="41" name="Target Retirement Date" dataDxfId="35"/>
    <tableColumn id="42" name="Status" dataDxfId="34"/>
    <tableColumn id="43" name="Comments / Questions" dataDxfId="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showGridLines="0" workbookViewId="0">
      <selection activeCell="A3" sqref="A3"/>
    </sheetView>
  </sheetViews>
  <sheetFormatPr defaultColWidth="8.7109375" defaultRowHeight="15"/>
  <cols>
    <col min="1" max="1" width="110" customWidth="1"/>
  </cols>
  <sheetData>
    <row r="1" spans="1:1" ht="18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</sheetData>
  <pageMargins left="0.75" right="0.75" top="1" bottom="1" header="0.511811023622047" footer="0.51180555555555596"/>
  <pageSetup paperSize="9" orientation="portrait" horizontalDpi="300" verticalDpi="300"/>
  <headerFooter>
    <oddFooter>&amp;C&amp;"Aptos,Regular"&amp;6 &amp;K626469_x005F_x000d_# Public_x000D_&amp;1#&amp;"Aptos"&amp;6&amp;K626469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Q1004"/>
  <sheetViews>
    <sheetView tabSelected="1" workbookViewId="0">
      <pane xSplit="2" ySplit="4" topLeftCell="AJ95" activePane="bottomRight" state="frozen"/>
      <selection pane="topRight" activeCell="K1" sqref="K1"/>
      <selection pane="bottomLeft" activeCell="A5" sqref="A5"/>
      <selection pane="bottomRight" activeCell="F5" sqref="F5:H149"/>
    </sheetView>
  </sheetViews>
  <sheetFormatPr defaultColWidth="8.7109375" defaultRowHeight="15"/>
  <cols>
    <col min="1" max="1" width="9.7109375" customWidth="1"/>
    <col min="2" max="2" width="26" customWidth="1"/>
    <col min="3" max="3" width="23" customWidth="1"/>
    <col min="4" max="4" width="20.140625" customWidth="1"/>
    <col min="5" max="5" width="42" customWidth="1"/>
    <col min="6" max="6" width="19.85546875" customWidth="1"/>
    <col min="7" max="8" width="15" customWidth="1"/>
    <col min="9" max="9" width="25.7109375" customWidth="1"/>
    <col min="10" max="10" width="18.5703125" customWidth="1"/>
    <col min="11" max="11" width="16.5703125" customWidth="1"/>
    <col min="12" max="12" width="23.7109375" customWidth="1"/>
    <col min="13" max="13" width="22.28515625" customWidth="1"/>
    <col min="14" max="14" width="29.28515625" customWidth="1"/>
    <col min="15" max="15" width="11" customWidth="1"/>
    <col min="16" max="16" width="24" customWidth="1"/>
    <col min="17" max="17" width="13" customWidth="1"/>
    <col min="18" max="18" width="20" customWidth="1"/>
    <col min="19" max="19" width="22" customWidth="1"/>
    <col min="20" max="20" width="30.85546875" customWidth="1"/>
    <col min="21" max="21" width="24" customWidth="1"/>
    <col min="22" max="22" width="13.28515625" customWidth="1"/>
    <col min="23" max="23" width="21" customWidth="1"/>
    <col min="24" max="24" width="23.42578125" customWidth="1"/>
    <col min="25" max="25" width="18.140625" customWidth="1"/>
    <col min="26" max="26" width="32" customWidth="1"/>
    <col min="27" max="27" width="33.42578125" customWidth="1"/>
    <col min="28" max="28" width="16.42578125" customWidth="1"/>
    <col min="29" max="29" width="26" customWidth="1"/>
    <col min="30" max="30" width="26.42578125" customWidth="1"/>
    <col min="31" max="31" width="24.42578125" customWidth="1"/>
    <col min="32" max="32" width="23.140625" customWidth="1"/>
    <col min="33" max="33" width="21.7109375" customWidth="1"/>
    <col min="34" max="34" width="23" customWidth="1"/>
    <col min="35" max="35" width="21.85546875" customWidth="1"/>
    <col min="36" max="36" width="20.85546875" customWidth="1"/>
    <col min="37" max="37" width="27.5703125" customWidth="1"/>
    <col min="38" max="38" width="20" customWidth="1"/>
    <col min="39" max="39" width="14.5703125" customWidth="1"/>
    <col min="40" max="40" width="10" customWidth="1"/>
    <col min="41" max="41" width="27" customWidth="1"/>
    <col min="42" max="42" width="12" customWidth="1"/>
    <col min="43" max="43" width="55" customWidth="1"/>
  </cols>
  <sheetData>
    <row r="1" spans="1:43" ht="18" customHeight="1">
      <c r="A1" s="1" t="s">
        <v>11</v>
      </c>
    </row>
    <row r="2" spans="1:43">
      <c r="A2" s="3" t="s">
        <v>12</v>
      </c>
    </row>
    <row r="3" spans="1:43">
      <c r="A3" s="66" t="s">
        <v>13</v>
      </c>
      <c r="B3" s="66"/>
      <c r="C3" s="66"/>
      <c r="D3" s="66"/>
      <c r="E3" s="66"/>
      <c r="F3" s="66" t="s">
        <v>14</v>
      </c>
      <c r="G3" s="66"/>
      <c r="H3" s="66"/>
      <c r="I3" s="67" t="s">
        <v>15</v>
      </c>
      <c r="J3" s="67"/>
      <c r="K3" s="67"/>
      <c r="L3" s="67"/>
      <c r="M3" s="67"/>
      <c r="N3" s="67"/>
      <c r="O3" s="68" t="s">
        <v>16</v>
      </c>
      <c r="P3" s="68"/>
      <c r="Q3" s="68"/>
      <c r="R3" s="68"/>
      <c r="S3" s="68"/>
      <c r="T3" s="68"/>
      <c r="U3" s="68"/>
      <c r="V3" s="69" t="s">
        <v>17</v>
      </c>
      <c r="W3" s="69"/>
      <c r="X3" s="69"/>
      <c r="Y3" s="69"/>
      <c r="Z3" s="69"/>
      <c r="AA3" s="69"/>
      <c r="AB3" s="4" t="s">
        <v>18</v>
      </c>
      <c r="AC3" s="62" t="s">
        <v>19</v>
      </c>
      <c r="AD3" s="62"/>
      <c r="AE3" s="62"/>
      <c r="AF3" s="63" t="s">
        <v>20</v>
      </c>
      <c r="AG3" s="63"/>
      <c r="AH3" s="63"/>
      <c r="AI3" s="63"/>
      <c r="AJ3" s="63"/>
      <c r="AK3" s="64" t="s">
        <v>21</v>
      </c>
      <c r="AL3" s="64"/>
      <c r="AM3" s="64"/>
      <c r="AN3" s="65" t="s">
        <v>22</v>
      </c>
      <c r="AO3" s="65"/>
      <c r="AP3" s="65"/>
      <c r="AQ3" s="65"/>
    </row>
    <row r="4" spans="1:43" ht="48" customHeight="1">
      <c r="A4" s="30" t="s">
        <v>23</v>
      </c>
      <c r="B4" s="31" t="s">
        <v>24</v>
      </c>
      <c r="C4" s="31" t="s">
        <v>25</v>
      </c>
      <c r="D4" s="31" t="s">
        <v>26</v>
      </c>
      <c r="E4" s="31" t="s">
        <v>27</v>
      </c>
      <c r="F4" s="31" t="s">
        <v>28</v>
      </c>
      <c r="G4" s="31" t="s">
        <v>29</v>
      </c>
      <c r="H4" s="31" t="s">
        <v>30</v>
      </c>
      <c r="I4" s="31" t="s">
        <v>31</v>
      </c>
      <c r="J4" s="31" t="s">
        <v>32</v>
      </c>
      <c r="K4" s="31" t="s">
        <v>33</v>
      </c>
      <c r="L4" s="31" t="s">
        <v>34</v>
      </c>
      <c r="M4" s="31" t="s">
        <v>35</v>
      </c>
      <c r="N4" s="31" t="s">
        <v>36</v>
      </c>
      <c r="O4" s="31" t="s">
        <v>37</v>
      </c>
      <c r="P4" s="31" t="s">
        <v>38</v>
      </c>
      <c r="Q4" s="31" t="s">
        <v>39</v>
      </c>
      <c r="R4" s="31" t="s">
        <v>40</v>
      </c>
      <c r="S4" s="31" t="s">
        <v>41</v>
      </c>
      <c r="T4" s="31" t="s">
        <v>42</v>
      </c>
      <c r="U4" s="31" t="s">
        <v>43</v>
      </c>
      <c r="V4" s="31" t="s">
        <v>44</v>
      </c>
      <c r="W4" s="31" t="s">
        <v>45</v>
      </c>
      <c r="X4" s="31" t="s">
        <v>46</v>
      </c>
      <c r="Y4" s="31" t="s">
        <v>47</v>
      </c>
      <c r="Z4" s="31" t="s">
        <v>48</v>
      </c>
      <c r="AA4" s="31" t="s">
        <v>49</v>
      </c>
      <c r="AB4" s="31" t="s">
        <v>50</v>
      </c>
      <c r="AC4" s="31" t="s">
        <v>51</v>
      </c>
      <c r="AD4" s="31" t="s">
        <v>52</v>
      </c>
      <c r="AE4" s="31" t="s">
        <v>53</v>
      </c>
      <c r="AF4" s="31" t="s">
        <v>54</v>
      </c>
      <c r="AG4" s="31" t="s">
        <v>55</v>
      </c>
      <c r="AH4" s="31" t="s">
        <v>56</v>
      </c>
      <c r="AI4" s="31" t="s">
        <v>57</v>
      </c>
      <c r="AJ4" s="31" t="s">
        <v>58</v>
      </c>
      <c r="AK4" s="31" t="s">
        <v>59</v>
      </c>
      <c r="AL4" s="31" t="s">
        <v>21</v>
      </c>
      <c r="AM4" s="31" t="s">
        <v>60</v>
      </c>
      <c r="AN4" s="31" t="s">
        <v>61</v>
      </c>
      <c r="AO4" s="31" t="s">
        <v>62</v>
      </c>
      <c r="AP4" s="31" t="s">
        <v>63</v>
      </c>
      <c r="AQ4" s="32" t="s">
        <v>64</v>
      </c>
    </row>
    <row r="5" spans="1:43">
      <c r="A5" s="28">
        <v>195761</v>
      </c>
      <c r="B5" s="5" t="s">
        <v>186</v>
      </c>
      <c r="C5" s="5" t="s">
        <v>187</v>
      </c>
      <c r="D5" s="5" t="s">
        <v>67</v>
      </c>
      <c r="E5" s="5" t="s">
        <v>68</v>
      </c>
      <c r="F5" s="5"/>
      <c r="G5" s="5"/>
      <c r="H5" s="5"/>
      <c r="I5" s="6">
        <v>145</v>
      </c>
      <c r="J5" s="7">
        <v>44297</v>
      </c>
      <c r="K5" s="8" t="str">
        <f>IF(B5="","",IF(AND(I5="",J5=""),"Unknown",IF(OR(AND(ISNUMBER(I5),I5=0),AND(ISNUMBER(J5),J5&lt;=EDATE('Scoring Settings'!$B$4,-'Scoring Settings'!$B$5))),"Not in use",IF(AND(ISNUMBER(I5),I5&lt;'Scoring Settings'!$B$6),"Low use","Active"))))</f>
        <v>Active</v>
      </c>
      <c r="L5" s="5">
        <v>4</v>
      </c>
      <c r="M5" s="5">
        <v>2</v>
      </c>
      <c r="N5" s="5" t="s">
        <v>190</v>
      </c>
      <c r="O5" s="5" t="s">
        <v>191</v>
      </c>
      <c r="P5" s="5" t="s">
        <v>192</v>
      </c>
      <c r="Q5" s="9">
        <v>0</v>
      </c>
      <c r="R5" s="5" t="s">
        <v>193</v>
      </c>
      <c r="S5" s="5" t="s">
        <v>194</v>
      </c>
      <c r="T5" s="5" t="s">
        <v>195</v>
      </c>
      <c r="U5" s="7">
        <v>44742</v>
      </c>
      <c r="V5" s="5" t="s">
        <v>135</v>
      </c>
      <c r="W5" s="6">
        <v>230</v>
      </c>
      <c r="X5" s="5" t="s">
        <v>80</v>
      </c>
      <c r="Y5" s="9">
        <v>10</v>
      </c>
      <c r="Z5" s="5" t="s">
        <v>80</v>
      </c>
      <c r="AA5" s="5" t="s">
        <v>123</v>
      </c>
      <c r="AB5" s="9">
        <v>15</v>
      </c>
      <c r="AC5" s="5" t="s">
        <v>80</v>
      </c>
      <c r="AD5" s="5" t="s">
        <v>80</v>
      </c>
      <c r="AE5" s="5" t="s">
        <v>79</v>
      </c>
      <c r="AF5" s="10">
        <v>7000</v>
      </c>
      <c r="AG5" s="7">
        <v>48548</v>
      </c>
      <c r="AH5" s="10">
        <v>6500</v>
      </c>
      <c r="AI5" s="10">
        <v>5500</v>
      </c>
      <c r="AJ5" s="11">
        <f t="shared" ref="AJ5:AJ68" si="0">IF(AND(ISNUMBER(AH5),ISNUMBER(AI5),N(AI5)&gt;0),AH5/AI5*12,"")</f>
        <v>14.181818181818183</v>
      </c>
      <c r="AK5" s="12">
        <f>IF(B5="","",OR(K5="Not in use",K5="Low use")+AND(N5&lt;&gt;"",N5&lt;&gt;"TBD")+AND(ISNUMBER(U5),U5&lt;=EDATE('Scoring Settings'!$B$4,'Scoring Settings'!$B$8))+AND(ISNUMBER(L5),L5&lt;='Scoring Settings'!$B$7))</f>
        <v>1</v>
      </c>
      <c r="AL5" s="5" t="s">
        <v>2217</v>
      </c>
      <c r="AM5" s="8" t="str">
        <f>IF(B5="","",IF(Z5="N","Easy",IF(OR(AND(ISNUMBER(AB5),AB5&gt;'Scoring Settings'!$B$11),AND(ISNUMBER(W5),W5&gt;'Scoring Settings'!$B$12),AND(ISNUMBER(M5),M5&lt;='Scoring Settings'!$B$13)),"High","Medium")))</f>
        <v>High</v>
      </c>
      <c r="AN5" s="5" t="s">
        <v>196</v>
      </c>
      <c r="AO5" s="7">
        <v>44377</v>
      </c>
      <c r="AP5" s="5" t="s">
        <v>359</v>
      </c>
      <c r="AQ5" s="29" t="s">
        <v>198</v>
      </c>
    </row>
    <row r="6" spans="1:43">
      <c r="A6" s="28">
        <v>38051</v>
      </c>
      <c r="B6" s="5" t="s">
        <v>274</v>
      </c>
      <c r="C6" s="5" t="s">
        <v>225</v>
      </c>
      <c r="D6" s="5" t="s">
        <v>67</v>
      </c>
      <c r="E6" s="5" t="s">
        <v>68</v>
      </c>
      <c r="F6" s="5"/>
      <c r="G6" s="5"/>
      <c r="H6" s="5"/>
      <c r="I6" s="6">
        <v>0</v>
      </c>
      <c r="J6" s="7">
        <v>44003</v>
      </c>
      <c r="K6" s="8" t="str">
        <f>IF(B6="","",IF(AND(I6="",J6=""),"Unknown",IF(OR(AND(ISNUMBER(I6),I6=0),AND(ISNUMBER(J6),J6&lt;=EDATE('Scoring Settings'!$B$4,-'Scoring Settings'!$B$5))),"Not in use",IF(AND(ISNUMBER(I6),I6&lt;'Scoring Settings'!$B$6),"Low use","Active"))))</f>
        <v>Not in use</v>
      </c>
      <c r="L6" s="5">
        <v>2</v>
      </c>
      <c r="M6" s="5">
        <v>4</v>
      </c>
      <c r="N6" s="5"/>
      <c r="O6" s="5" t="s">
        <v>130</v>
      </c>
      <c r="P6" s="5" t="s">
        <v>275</v>
      </c>
      <c r="Q6" s="9">
        <v>4</v>
      </c>
      <c r="R6" s="5" t="s">
        <v>132</v>
      </c>
      <c r="S6" s="5" t="s">
        <v>133</v>
      </c>
      <c r="T6" s="5" t="s">
        <v>195</v>
      </c>
      <c r="U6" s="7">
        <v>44227</v>
      </c>
      <c r="V6" s="5" t="s">
        <v>135</v>
      </c>
      <c r="W6" s="6">
        <v>230</v>
      </c>
      <c r="X6" s="5" t="s">
        <v>80</v>
      </c>
      <c r="Y6" s="9">
        <v>7</v>
      </c>
      <c r="Z6" s="5" t="s">
        <v>80</v>
      </c>
      <c r="AA6" s="5" t="s">
        <v>205</v>
      </c>
      <c r="AB6" s="9">
        <v>3</v>
      </c>
      <c r="AC6" s="5" t="s">
        <v>82</v>
      </c>
      <c r="AD6" s="5" t="s">
        <v>79</v>
      </c>
      <c r="AE6" s="5" t="s">
        <v>79</v>
      </c>
      <c r="AF6" s="10">
        <v>55000</v>
      </c>
      <c r="AG6" s="7">
        <v>46599</v>
      </c>
      <c r="AH6" s="10">
        <v>42000</v>
      </c>
      <c r="AI6" s="10">
        <v>39500</v>
      </c>
      <c r="AJ6" s="11">
        <f t="shared" si="0"/>
        <v>12.759493670886075</v>
      </c>
      <c r="AK6" s="12">
        <f>IF(B6="","",OR(K6="Not in use",K6="Low use")+AND(N6&lt;&gt;"",N6&lt;&gt;"TBD")+AND(ISNUMBER(U6),U6&lt;=EDATE('Scoring Settings'!$B$4,'Scoring Settings'!$B$8))+AND(ISNUMBER(L6),L6&lt;='Scoring Settings'!$B$7))</f>
        <v>3</v>
      </c>
      <c r="AL6" s="5" t="s">
        <v>96</v>
      </c>
      <c r="AM6" s="8" t="str">
        <f>IF(B6="","",IF(Z6="N","Easy",IF(OR(AND(ISNUMBER(AB6),AB6&gt;'Scoring Settings'!$B$11),AND(ISNUMBER(W6),W6&gt;'Scoring Settings'!$B$12),AND(ISNUMBER(M6),M6&lt;='Scoring Settings'!$B$13)),"High","Medium")))</f>
        <v>Medium</v>
      </c>
      <c r="AN6" s="5" t="s">
        <v>196</v>
      </c>
      <c r="AO6" s="7">
        <v>44561</v>
      </c>
      <c r="AP6" s="5" t="s">
        <v>197</v>
      </c>
      <c r="AQ6" s="29" t="s">
        <v>276</v>
      </c>
    </row>
    <row r="7" spans="1:43" ht="42.75">
      <c r="A7" s="28">
        <v>126849</v>
      </c>
      <c r="B7" s="5" t="s">
        <v>304</v>
      </c>
      <c r="C7" s="5" t="s">
        <v>305</v>
      </c>
      <c r="D7" s="5" t="s">
        <v>297</v>
      </c>
      <c r="E7" s="5" t="s">
        <v>68</v>
      </c>
      <c r="F7" s="5"/>
      <c r="G7" s="5"/>
      <c r="H7" s="5"/>
      <c r="I7" s="6">
        <v>19</v>
      </c>
      <c r="J7" s="7">
        <v>44182</v>
      </c>
      <c r="K7" s="8" t="str">
        <f>IF(B7="","",IF(AND(I7="",J7=""),"Unknown",IF(OR(AND(ISNUMBER(I7),I7=0),AND(ISNUMBER(J7),J7&lt;=EDATE('Scoring Settings'!$B$4,-'Scoring Settings'!$B$5))),"Not in use",IF(AND(ISNUMBER(I7),I7&lt;'Scoring Settings'!$B$6),"Low use","Active"))))</f>
        <v>Low use</v>
      </c>
      <c r="L7" s="5">
        <v>4</v>
      </c>
      <c r="M7" s="5">
        <v>1</v>
      </c>
      <c r="N7" s="5" t="s">
        <v>306</v>
      </c>
      <c r="O7" s="5" t="s">
        <v>73</v>
      </c>
      <c r="P7" s="5" t="s">
        <v>307</v>
      </c>
      <c r="Q7" s="9">
        <v>1</v>
      </c>
      <c r="R7" s="5" t="s">
        <v>72</v>
      </c>
      <c r="S7" s="5" t="s">
        <v>308</v>
      </c>
      <c r="T7" s="5" t="s">
        <v>72</v>
      </c>
      <c r="U7" s="7">
        <v>45209</v>
      </c>
      <c r="V7" s="5" t="s">
        <v>95</v>
      </c>
      <c r="W7" s="6">
        <v>540</v>
      </c>
      <c r="X7" s="5" t="s">
        <v>80</v>
      </c>
      <c r="Y7" s="9">
        <v>7</v>
      </c>
      <c r="Z7" s="5" t="s">
        <v>79</v>
      </c>
      <c r="AA7" s="5" t="s">
        <v>110</v>
      </c>
      <c r="AB7" s="9">
        <v>18</v>
      </c>
      <c r="AC7" s="5" t="s">
        <v>82</v>
      </c>
      <c r="AD7" s="5" t="s">
        <v>82</v>
      </c>
      <c r="AE7" s="5" t="s">
        <v>79</v>
      </c>
      <c r="AF7" s="10">
        <v>49500</v>
      </c>
      <c r="AG7" s="7">
        <v>48426</v>
      </c>
      <c r="AH7" s="10">
        <v>82500</v>
      </c>
      <c r="AI7" s="10">
        <v>39500</v>
      </c>
      <c r="AJ7" s="11">
        <f t="shared" si="0"/>
        <v>25.063291139240505</v>
      </c>
      <c r="AK7" s="12">
        <f>IF(B7="","",OR(K7="Not in use",K7="Low use")+AND(N7&lt;&gt;"",N7&lt;&gt;"TBD")+AND(ISNUMBER(U7),U7&lt;=EDATE('Scoring Settings'!$B$4,'Scoring Settings'!$B$8))+AND(ISNUMBER(L7),L7&lt;='Scoring Settings'!$B$7))</f>
        <v>2</v>
      </c>
      <c r="AL7" s="5" t="s">
        <v>2217</v>
      </c>
      <c r="AM7" s="8" t="str">
        <f>IF(B7="","",IF(Z7="N","Easy",IF(OR(AND(ISNUMBER(AB7),AB7&gt;'Scoring Settings'!$B$11),AND(ISNUMBER(W7),W7&gt;'Scoring Settings'!$B$12),AND(ISNUMBER(M7),M7&lt;='Scoring Settings'!$B$13)),"High","Medium")))</f>
        <v>Easy</v>
      </c>
      <c r="AN7" s="5" t="s">
        <v>196</v>
      </c>
      <c r="AO7" s="7">
        <v>44500</v>
      </c>
      <c r="AP7" s="5" t="s">
        <v>359</v>
      </c>
      <c r="AQ7" s="29" t="s">
        <v>309</v>
      </c>
    </row>
    <row r="8" spans="1:43">
      <c r="A8" s="28">
        <v>87175</v>
      </c>
      <c r="B8" s="5" t="s">
        <v>320</v>
      </c>
      <c r="C8" s="5" t="s">
        <v>156</v>
      </c>
      <c r="D8" s="5" t="s">
        <v>139</v>
      </c>
      <c r="E8" s="5" t="s">
        <v>68</v>
      </c>
      <c r="F8" s="5"/>
      <c r="G8" s="5"/>
      <c r="H8" s="5"/>
      <c r="I8" s="6">
        <v>122</v>
      </c>
      <c r="J8" s="7">
        <v>44270</v>
      </c>
      <c r="K8" s="8" t="str">
        <f>IF(B8="","",IF(AND(I8="",J8=""),"Unknown",IF(OR(AND(ISNUMBER(I8),I8=0),AND(ISNUMBER(J8),J8&lt;=EDATE('Scoring Settings'!$B$4,-'Scoring Settings'!$B$5))),"Not in use",IF(AND(ISNUMBER(I8),I8&lt;'Scoring Settings'!$B$6),"Low use","Active"))))</f>
        <v>Active</v>
      </c>
      <c r="L8" s="5">
        <v>2</v>
      </c>
      <c r="M8" s="5">
        <v>4</v>
      </c>
      <c r="N8" s="5" t="s">
        <v>216</v>
      </c>
      <c r="O8" s="5" t="s">
        <v>130</v>
      </c>
      <c r="P8" s="5" t="s">
        <v>321</v>
      </c>
      <c r="Q8" s="9">
        <v>4</v>
      </c>
      <c r="R8" s="5" t="s">
        <v>239</v>
      </c>
      <c r="S8" s="5" t="s">
        <v>240</v>
      </c>
      <c r="T8" s="5" t="s">
        <v>134</v>
      </c>
      <c r="U8" s="7">
        <v>44316</v>
      </c>
      <c r="V8" s="5" t="s">
        <v>95</v>
      </c>
      <c r="W8" s="6">
        <v>22</v>
      </c>
      <c r="X8" s="5" t="s">
        <v>80</v>
      </c>
      <c r="Y8" s="9">
        <v>10</v>
      </c>
      <c r="Z8" s="5" t="s">
        <v>79</v>
      </c>
      <c r="AA8" s="5" t="s">
        <v>110</v>
      </c>
      <c r="AB8" s="9">
        <v>3</v>
      </c>
      <c r="AC8" s="5" t="s">
        <v>80</v>
      </c>
      <c r="AD8" s="5" t="s">
        <v>79</v>
      </c>
      <c r="AE8" s="5" t="s">
        <v>80</v>
      </c>
      <c r="AF8" s="10">
        <v>38500</v>
      </c>
      <c r="AG8" s="7">
        <v>47542</v>
      </c>
      <c r="AH8" s="10">
        <v>40500</v>
      </c>
      <c r="AI8" s="10">
        <v>33500</v>
      </c>
      <c r="AJ8" s="11">
        <f t="shared" si="0"/>
        <v>14.507462686567163</v>
      </c>
      <c r="AK8" s="12">
        <f>IF(B8="","",OR(K8="Not in use",K8="Low use")+AND(N8&lt;&gt;"",N8&lt;&gt;"TBD")+AND(ISNUMBER(U8),U8&lt;=EDATE('Scoring Settings'!$B$4,'Scoring Settings'!$B$8))+AND(ISNUMBER(L8),L8&lt;='Scoring Settings'!$B$7))</f>
        <v>3</v>
      </c>
      <c r="AL8" s="5" t="s">
        <v>223</v>
      </c>
      <c r="AM8" s="8" t="str">
        <f>IF(B8="","",IF(Z8="N","Easy",IF(OR(AND(ISNUMBER(AB8),AB8&gt;'Scoring Settings'!$B$11),AND(ISNUMBER(W8),W8&gt;'Scoring Settings'!$B$12),AND(ISNUMBER(M8),M8&lt;='Scoring Settings'!$B$13)),"High","Medium")))</f>
        <v>Easy</v>
      </c>
      <c r="AN8" s="5" t="s">
        <v>196</v>
      </c>
      <c r="AO8" s="7">
        <v>44347</v>
      </c>
      <c r="AP8" s="5" t="s">
        <v>322</v>
      </c>
      <c r="AQ8" s="29" t="s">
        <v>323</v>
      </c>
    </row>
    <row r="9" spans="1:43" ht="28.5">
      <c r="A9" s="28">
        <v>57496</v>
      </c>
      <c r="B9" s="5" t="s">
        <v>355</v>
      </c>
      <c r="C9" s="5" t="s">
        <v>287</v>
      </c>
      <c r="D9" s="5" t="s">
        <v>162</v>
      </c>
      <c r="E9" s="5" t="s">
        <v>68</v>
      </c>
      <c r="F9" s="5"/>
      <c r="G9" s="5"/>
      <c r="H9" s="5"/>
      <c r="I9" s="6">
        <v>449</v>
      </c>
      <c r="J9" s="7">
        <v>44309</v>
      </c>
      <c r="K9" s="8" t="str">
        <f>IF(B9="","",IF(AND(I9="",J9=""),"Unknown",IF(OR(AND(ISNUMBER(I9),I9=0),AND(ISNUMBER(J9),J9&lt;=EDATE('Scoring Settings'!$B$4,-'Scoring Settings'!$B$5))),"Not in use",IF(AND(ISNUMBER(I9),I9&lt;'Scoring Settings'!$B$6),"Low use","Active"))))</f>
        <v>Active</v>
      </c>
      <c r="L9" s="5">
        <v>3</v>
      </c>
      <c r="M9" s="5">
        <v>4</v>
      </c>
      <c r="N9" s="5" t="s">
        <v>289</v>
      </c>
      <c r="O9" s="5" t="s">
        <v>73</v>
      </c>
      <c r="P9" s="5" t="s">
        <v>357</v>
      </c>
      <c r="Q9" s="9">
        <v>2</v>
      </c>
      <c r="R9" s="5" t="s">
        <v>358</v>
      </c>
      <c r="S9" s="5" t="s">
        <v>133</v>
      </c>
      <c r="T9" s="5" t="s">
        <v>72</v>
      </c>
      <c r="U9" s="7">
        <v>43555</v>
      </c>
      <c r="V9" s="5" t="s">
        <v>95</v>
      </c>
      <c r="W9" s="6">
        <v>21</v>
      </c>
      <c r="X9" s="5" t="s">
        <v>79</v>
      </c>
      <c r="Y9" s="9">
        <v>2</v>
      </c>
      <c r="Z9" s="5" t="s">
        <v>80</v>
      </c>
      <c r="AA9" s="5" t="s">
        <v>185</v>
      </c>
      <c r="AB9" s="9">
        <v>2</v>
      </c>
      <c r="AC9" s="5" t="s">
        <v>79</v>
      </c>
      <c r="AD9" s="5" t="s">
        <v>82</v>
      </c>
      <c r="AE9" s="5" t="s">
        <v>80</v>
      </c>
      <c r="AF9" s="10">
        <v>24500</v>
      </c>
      <c r="AG9" s="7">
        <v>49460</v>
      </c>
      <c r="AH9" s="10">
        <v>25000</v>
      </c>
      <c r="AI9" s="10">
        <v>18500</v>
      </c>
      <c r="AJ9" s="11">
        <f t="shared" si="0"/>
        <v>16.216216216216218</v>
      </c>
      <c r="AK9" s="12">
        <f>IF(B9="","",OR(K9="Not in use",K9="Low use")+AND(N9&lt;&gt;"",N9&lt;&gt;"TBD")+AND(ISNUMBER(U9),U9&lt;=EDATE('Scoring Settings'!$B$4,'Scoring Settings'!$B$8))+AND(ISNUMBER(L9),L9&lt;='Scoring Settings'!$B$7))</f>
        <v>2</v>
      </c>
      <c r="AL9" s="5" t="s">
        <v>2217</v>
      </c>
      <c r="AM9" s="8" t="str">
        <f>IF(B9="","",IF(Z9="N","Easy",IF(OR(AND(ISNUMBER(AB9),AB9&gt;'Scoring Settings'!$B$11),AND(ISNUMBER(W9),W9&gt;'Scoring Settings'!$B$12),AND(ISNUMBER(M9),M9&lt;='Scoring Settings'!$B$13)),"High","Medium")))</f>
        <v>Medium</v>
      </c>
      <c r="AN9" s="5" t="s">
        <v>196</v>
      </c>
      <c r="AO9" s="7">
        <v>44377</v>
      </c>
      <c r="AP9" s="5" t="s">
        <v>359</v>
      </c>
      <c r="AQ9" s="29" t="s">
        <v>360</v>
      </c>
    </row>
    <row r="10" spans="1:43" ht="42.75" customHeight="1">
      <c r="A10" s="28">
        <v>151951</v>
      </c>
      <c r="B10" s="5" t="s">
        <v>370</v>
      </c>
      <c r="C10" s="5" t="s">
        <v>371</v>
      </c>
      <c r="D10" s="5" t="s">
        <v>162</v>
      </c>
      <c r="E10" s="5" t="s">
        <v>68</v>
      </c>
      <c r="F10" s="5"/>
      <c r="G10" s="5"/>
      <c r="H10" s="5"/>
      <c r="I10" s="6">
        <v>0</v>
      </c>
      <c r="J10" s="7">
        <v>44305</v>
      </c>
      <c r="K10" s="8" t="str">
        <f>IF(B10="","",IF(AND(I10="",J10=""),"Unknown",IF(OR(AND(ISNUMBER(I10),I10=0),AND(ISNUMBER(J10),J10&lt;=EDATE('Scoring Settings'!$B$4,-'Scoring Settings'!$B$5))),"Not in use",IF(AND(ISNUMBER(I10),I10&lt;'Scoring Settings'!$B$6),"Low use","Active"))))</f>
        <v>Not in use</v>
      </c>
      <c r="L10" s="5">
        <v>3</v>
      </c>
      <c r="M10" s="5">
        <v>4</v>
      </c>
      <c r="N10" s="5" t="s">
        <v>289</v>
      </c>
      <c r="O10" s="5" t="s">
        <v>143</v>
      </c>
      <c r="P10" s="5" t="s">
        <v>144</v>
      </c>
      <c r="Q10" s="9">
        <v>0</v>
      </c>
      <c r="R10" s="5" t="s">
        <v>145</v>
      </c>
      <c r="S10" s="5" t="s">
        <v>145</v>
      </c>
      <c r="T10" s="5" t="s">
        <v>146</v>
      </c>
      <c r="U10" s="7">
        <v>45777</v>
      </c>
      <c r="V10" s="5" t="s">
        <v>78</v>
      </c>
      <c r="W10" s="6">
        <v>220</v>
      </c>
      <c r="X10" s="5" t="s">
        <v>79</v>
      </c>
      <c r="Y10" s="9">
        <v>3</v>
      </c>
      <c r="Z10" s="5" t="s">
        <v>80</v>
      </c>
      <c r="AA10" s="5" t="s">
        <v>147</v>
      </c>
      <c r="AB10" s="9">
        <v>0</v>
      </c>
      <c r="AC10" s="5" t="s">
        <v>80</v>
      </c>
      <c r="AD10" s="5" t="s">
        <v>82</v>
      </c>
      <c r="AE10" s="5" t="s">
        <v>80</v>
      </c>
      <c r="AF10" s="10">
        <v>37000</v>
      </c>
      <c r="AG10" s="7">
        <v>48548</v>
      </c>
      <c r="AH10" s="10">
        <v>59000</v>
      </c>
      <c r="AI10" s="10">
        <v>14500</v>
      </c>
      <c r="AJ10" s="11">
        <f t="shared" si="0"/>
        <v>48.827586206896548</v>
      </c>
      <c r="AK10" s="12">
        <f>IF(B10="","",OR(K10="Not in use",K10="Low use")+AND(N10&lt;&gt;"",N10&lt;&gt;"TBD")+AND(ISNUMBER(U10),U10&lt;=EDATE('Scoring Settings'!$B$4,'Scoring Settings'!$B$8))+AND(ISNUMBER(L10),L10&lt;='Scoring Settings'!$B$7))</f>
        <v>2</v>
      </c>
      <c r="AL10" s="5" t="s">
        <v>96</v>
      </c>
      <c r="AM10" s="8" t="str">
        <f>IF(B10="","",IF(Z10="N","Easy",IF(OR(AND(ISNUMBER(AB10),AB10&gt;'Scoring Settings'!$B$11),AND(ISNUMBER(W10),W10&gt;'Scoring Settings'!$B$12),AND(ISNUMBER(M10),M10&lt;='Scoring Settings'!$B$13)),"High","Medium")))</f>
        <v>Medium</v>
      </c>
      <c r="AN10" s="5" t="s">
        <v>196</v>
      </c>
      <c r="AO10" s="7">
        <v>44316</v>
      </c>
      <c r="AP10" s="5" t="s">
        <v>372</v>
      </c>
      <c r="AQ10" s="29" t="s">
        <v>373</v>
      </c>
    </row>
    <row r="11" spans="1:43">
      <c r="A11" s="28">
        <v>105155</v>
      </c>
      <c r="B11" s="5" t="s">
        <v>374</v>
      </c>
      <c r="C11" s="5" t="s">
        <v>338</v>
      </c>
      <c r="D11" s="5" t="s">
        <v>139</v>
      </c>
      <c r="E11" s="5" t="s">
        <v>311</v>
      </c>
      <c r="F11" s="5"/>
      <c r="G11" s="5"/>
      <c r="H11" s="5"/>
      <c r="I11" s="6">
        <v>0</v>
      </c>
      <c r="J11" s="7">
        <v>44271</v>
      </c>
      <c r="K11" s="8" t="str">
        <f>IF(B11="","",IF(AND(I11="",J11=""),"Unknown",IF(OR(AND(ISNUMBER(I11),I11=0),AND(ISNUMBER(J11),J11&lt;=EDATE('Scoring Settings'!$B$4,-'Scoring Settings'!$B$5))),"Not in use",IF(AND(ISNUMBER(I11),I11&lt;'Scoring Settings'!$B$6),"Low use","Active"))))</f>
        <v>Not in use</v>
      </c>
      <c r="L11" s="5">
        <v>1</v>
      </c>
      <c r="M11" s="5">
        <v>4</v>
      </c>
      <c r="N11" s="5"/>
      <c r="O11" s="5" t="s">
        <v>191</v>
      </c>
      <c r="P11" s="5" t="s">
        <v>192</v>
      </c>
      <c r="Q11" s="9">
        <v>0</v>
      </c>
      <c r="R11" s="5" t="s">
        <v>193</v>
      </c>
      <c r="S11" s="5" t="s">
        <v>318</v>
      </c>
      <c r="T11" s="5" t="s">
        <v>195</v>
      </c>
      <c r="U11" s="7"/>
      <c r="V11" s="5" t="s">
        <v>135</v>
      </c>
      <c r="W11" s="6">
        <v>100</v>
      </c>
      <c r="X11" s="5" t="s">
        <v>79</v>
      </c>
      <c r="Y11" s="9">
        <v>1</v>
      </c>
      <c r="Z11" s="5" t="s">
        <v>79</v>
      </c>
      <c r="AA11" s="5" t="s">
        <v>110</v>
      </c>
      <c r="AB11" s="9">
        <v>2</v>
      </c>
      <c r="AC11" s="5" t="s">
        <v>79</v>
      </c>
      <c r="AD11" s="5" t="s">
        <v>80</v>
      </c>
      <c r="AE11" s="5" t="s">
        <v>79</v>
      </c>
      <c r="AF11" s="10">
        <v>170000</v>
      </c>
      <c r="AG11" s="7">
        <v>46234</v>
      </c>
      <c r="AH11" s="10">
        <v>20000</v>
      </c>
      <c r="AI11" s="10">
        <v>97000</v>
      </c>
      <c r="AJ11" s="11">
        <f t="shared" si="0"/>
        <v>2.4742268041237114</v>
      </c>
      <c r="AK11" s="12">
        <f>IF(B11="","",OR(K11="Not in use",K11="Low use")+AND(N11&lt;&gt;"",N11&lt;&gt;"TBD")+AND(ISNUMBER(U11),U11&lt;=EDATE('Scoring Settings'!$B$4,'Scoring Settings'!$B$8))+AND(ISNUMBER(L11),L11&lt;='Scoring Settings'!$B$7))</f>
        <v>2</v>
      </c>
      <c r="AL11" s="5" t="s">
        <v>223</v>
      </c>
      <c r="AM11" s="8" t="str">
        <f>IF(B11="","",IF(Z11="N","Easy",IF(OR(AND(ISNUMBER(AB11),AB11&gt;'Scoring Settings'!$B$11),AND(ISNUMBER(W11),W11&gt;'Scoring Settings'!$B$12),AND(ISNUMBER(M11),M11&lt;='Scoring Settings'!$B$13)),"High","Medium")))</f>
        <v>Easy</v>
      </c>
      <c r="AN11" s="5" t="s">
        <v>196</v>
      </c>
      <c r="AO11" s="7">
        <v>44286</v>
      </c>
      <c r="AP11" s="5" t="s">
        <v>372</v>
      </c>
      <c r="AQ11" s="29" t="s">
        <v>375</v>
      </c>
    </row>
    <row r="12" spans="1:43" ht="28.5">
      <c r="A12" s="28">
        <v>32005</v>
      </c>
      <c r="B12" s="5" t="s">
        <v>376</v>
      </c>
      <c r="C12" s="5" t="s">
        <v>270</v>
      </c>
      <c r="D12" s="5" t="s">
        <v>139</v>
      </c>
      <c r="E12" s="5" t="s">
        <v>68</v>
      </c>
      <c r="F12" s="5"/>
      <c r="G12" s="5"/>
      <c r="H12" s="5"/>
      <c r="I12" s="6">
        <v>0</v>
      </c>
      <c r="J12" s="7">
        <v>44245</v>
      </c>
      <c r="K12" s="8" t="str">
        <f>IF(B12="","",IF(AND(I12="",J12=""),"Unknown",IF(OR(AND(ISNUMBER(I12),I12=0),AND(ISNUMBER(J12),J12&lt;=EDATE('Scoring Settings'!$B$4,-'Scoring Settings'!$B$5))),"Not in use",IF(AND(ISNUMBER(I12),I12&lt;'Scoring Settings'!$B$6),"Low use","Active"))))</f>
        <v>Not in use</v>
      </c>
      <c r="L12" s="5">
        <v>3</v>
      </c>
      <c r="M12" s="5">
        <v>3</v>
      </c>
      <c r="N12" s="5" t="s">
        <v>377</v>
      </c>
      <c r="O12" s="5" t="s">
        <v>143</v>
      </c>
      <c r="P12" s="5" t="s">
        <v>144</v>
      </c>
      <c r="Q12" s="9">
        <v>0</v>
      </c>
      <c r="R12" s="5" t="s">
        <v>145</v>
      </c>
      <c r="S12" s="5" t="s">
        <v>145</v>
      </c>
      <c r="T12" s="5" t="s">
        <v>146</v>
      </c>
      <c r="U12" s="7"/>
      <c r="V12" s="5" t="s">
        <v>135</v>
      </c>
      <c r="W12" s="6">
        <v>170</v>
      </c>
      <c r="X12" s="5" t="s">
        <v>79</v>
      </c>
      <c r="Y12" s="9">
        <v>2</v>
      </c>
      <c r="Z12" s="5" t="s">
        <v>79</v>
      </c>
      <c r="AA12" s="5" t="s">
        <v>110</v>
      </c>
      <c r="AB12" s="9">
        <v>8</v>
      </c>
      <c r="AC12" s="5" t="s">
        <v>82</v>
      </c>
      <c r="AD12" s="5" t="s">
        <v>82</v>
      </c>
      <c r="AE12" s="5" t="s">
        <v>79</v>
      </c>
      <c r="AF12" s="10">
        <v>234500</v>
      </c>
      <c r="AG12" s="7">
        <v>46203</v>
      </c>
      <c r="AH12" s="10">
        <v>54000</v>
      </c>
      <c r="AI12" s="10">
        <v>246500</v>
      </c>
      <c r="AJ12" s="11">
        <f t="shared" si="0"/>
        <v>2.6288032454361057</v>
      </c>
      <c r="AK12" s="12">
        <f>IF(B12="","",OR(K12="Not in use",K12="Low use")+AND(N12&lt;&gt;"",N12&lt;&gt;"TBD")+AND(ISNUMBER(U12),U12&lt;=EDATE('Scoring Settings'!$B$4,'Scoring Settings'!$B$8))+AND(ISNUMBER(L12),L12&lt;='Scoring Settings'!$B$7))</f>
        <v>2</v>
      </c>
      <c r="AL12" s="5" t="s">
        <v>2217</v>
      </c>
      <c r="AM12" s="8" t="str">
        <f>IF(B12="","",IF(Z12="N","Easy",IF(OR(AND(ISNUMBER(AB12),AB12&gt;'Scoring Settings'!$B$11),AND(ISNUMBER(W12),W12&gt;'Scoring Settings'!$B$12),AND(ISNUMBER(M12),M12&lt;='Scoring Settings'!$B$13)),"High","Medium")))</f>
        <v>Easy</v>
      </c>
      <c r="AN12" s="5" t="s">
        <v>196</v>
      </c>
      <c r="AO12" s="7">
        <v>44255</v>
      </c>
      <c r="AP12" s="5" t="s">
        <v>372</v>
      </c>
      <c r="AQ12" s="29" t="s">
        <v>378</v>
      </c>
    </row>
    <row r="13" spans="1:43" ht="28.5" customHeight="1">
      <c r="A13" s="28">
        <v>187888</v>
      </c>
      <c r="B13" s="5" t="s">
        <v>379</v>
      </c>
      <c r="C13" s="5" t="s">
        <v>380</v>
      </c>
      <c r="D13" s="5" t="s">
        <v>102</v>
      </c>
      <c r="E13" s="5" t="s">
        <v>311</v>
      </c>
      <c r="F13" s="5"/>
      <c r="G13" s="5"/>
      <c r="H13" s="5"/>
      <c r="I13" s="6">
        <v>0</v>
      </c>
      <c r="J13" s="7">
        <v>44310</v>
      </c>
      <c r="K13" s="8" t="str">
        <f>IF(B13="","",IF(AND(I13="",J13=""),"Unknown",IF(OR(AND(ISNUMBER(I13),I13=0),AND(ISNUMBER(J13),J13&lt;=EDATE('Scoring Settings'!$B$4,-'Scoring Settings'!$B$5))),"Not in use",IF(AND(ISNUMBER(I13),I13&lt;'Scoring Settings'!$B$6),"Low use","Active"))))</f>
        <v>Not in use</v>
      </c>
      <c r="L13" s="5">
        <v>3</v>
      </c>
      <c r="M13" s="5">
        <v>3</v>
      </c>
      <c r="N13" s="5" t="s">
        <v>381</v>
      </c>
      <c r="O13" s="5" t="s">
        <v>73</v>
      </c>
      <c r="P13" s="5" t="s">
        <v>382</v>
      </c>
      <c r="Q13" s="9">
        <v>1</v>
      </c>
      <c r="R13" s="5" t="s">
        <v>132</v>
      </c>
      <c r="S13" s="5" t="s">
        <v>133</v>
      </c>
      <c r="T13" s="5" t="s">
        <v>122</v>
      </c>
      <c r="U13" s="7">
        <v>44227</v>
      </c>
      <c r="V13" s="5" t="s">
        <v>135</v>
      </c>
      <c r="W13" s="6">
        <v>230</v>
      </c>
      <c r="X13" s="5" t="s">
        <v>80</v>
      </c>
      <c r="Y13" s="9">
        <v>10</v>
      </c>
      <c r="Z13" s="5" t="s">
        <v>79</v>
      </c>
      <c r="AA13" s="5" t="s">
        <v>110</v>
      </c>
      <c r="AB13" s="9">
        <v>8</v>
      </c>
      <c r="AC13" s="5" t="s">
        <v>79</v>
      </c>
      <c r="AD13" s="5" t="s">
        <v>82</v>
      </c>
      <c r="AE13" s="5" t="s">
        <v>82</v>
      </c>
      <c r="AF13" s="10">
        <v>123000</v>
      </c>
      <c r="AG13" s="7">
        <v>45777</v>
      </c>
      <c r="AH13" s="10">
        <v>12000</v>
      </c>
      <c r="AI13" s="10">
        <v>161000</v>
      </c>
      <c r="AJ13" s="11">
        <f t="shared" si="0"/>
        <v>0.89440993788819878</v>
      </c>
      <c r="AK13" s="12">
        <f>IF(B13="","",OR(K13="Not in use",K13="Low use")+AND(N13&lt;&gt;"",N13&lt;&gt;"TBD")+AND(ISNUMBER(U13),U13&lt;=EDATE('Scoring Settings'!$B$4,'Scoring Settings'!$B$8))+AND(ISNUMBER(L13),L13&lt;='Scoring Settings'!$B$7))</f>
        <v>3</v>
      </c>
      <c r="AL13" s="5" t="s">
        <v>223</v>
      </c>
      <c r="AM13" s="8" t="str">
        <f>IF(B13="","",IF(Z13="N","Easy",IF(OR(AND(ISNUMBER(AB13),AB13&gt;'Scoring Settings'!$B$11),AND(ISNUMBER(W13),W13&gt;'Scoring Settings'!$B$12),AND(ISNUMBER(M13),M13&lt;='Scoring Settings'!$B$13)),"High","Medium")))</f>
        <v>Easy</v>
      </c>
      <c r="AN13" s="5" t="s">
        <v>196</v>
      </c>
      <c r="AO13" s="7">
        <v>44316</v>
      </c>
      <c r="AP13" s="5" t="s">
        <v>372</v>
      </c>
      <c r="AQ13" s="29" t="s">
        <v>383</v>
      </c>
    </row>
    <row r="14" spans="1:43">
      <c r="A14" s="28">
        <v>80130</v>
      </c>
      <c r="B14" s="5" t="s">
        <v>398</v>
      </c>
      <c r="C14" s="5" t="s">
        <v>101</v>
      </c>
      <c r="D14" s="5" t="s">
        <v>102</v>
      </c>
      <c r="E14" s="5" t="s">
        <v>68</v>
      </c>
      <c r="F14" s="5"/>
      <c r="G14" s="5"/>
      <c r="H14" s="5"/>
      <c r="I14" s="6">
        <v>0</v>
      </c>
      <c r="J14" s="7">
        <v>44115</v>
      </c>
      <c r="K14" s="8" t="str">
        <f>IF(B14="","",IF(AND(I14="",J14=""),"Unknown",IF(OR(AND(ISNUMBER(I14),I14=0),AND(ISNUMBER(J14),J14&lt;=EDATE('Scoring Settings'!$B$4,-'Scoring Settings'!$B$5))),"Not in use",IF(AND(ISNUMBER(I14),I14&lt;'Scoring Settings'!$B$6),"Low use","Active"))))</f>
        <v>Not in use</v>
      </c>
      <c r="L14" s="5">
        <v>1</v>
      </c>
      <c r="M14" s="5">
        <v>3</v>
      </c>
      <c r="N14" s="5" t="s">
        <v>72</v>
      </c>
      <c r="O14" s="5" t="s">
        <v>73</v>
      </c>
      <c r="P14" s="5" t="s">
        <v>255</v>
      </c>
      <c r="Q14" s="9">
        <v>4</v>
      </c>
      <c r="R14" s="5" t="s">
        <v>75</v>
      </c>
      <c r="S14" s="5" t="s">
        <v>76</v>
      </c>
      <c r="T14" s="5" t="s">
        <v>72</v>
      </c>
      <c r="U14" s="7">
        <v>46399</v>
      </c>
      <c r="V14" s="5" t="s">
        <v>135</v>
      </c>
      <c r="W14" s="6">
        <v>990</v>
      </c>
      <c r="X14" s="5" t="s">
        <v>80</v>
      </c>
      <c r="Y14" s="9">
        <v>7</v>
      </c>
      <c r="Z14" s="5" t="s">
        <v>80</v>
      </c>
      <c r="AA14" s="5" t="s">
        <v>123</v>
      </c>
      <c r="AB14" s="9">
        <v>4</v>
      </c>
      <c r="AC14" s="5" t="s">
        <v>82</v>
      </c>
      <c r="AD14" s="5" t="s">
        <v>82</v>
      </c>
      <c r="AE14" s="5" t="s">
        <v>79</v>
      </c>
      <c r="AF14" s="10">
        <v>65000</v>
      </c>
      <c r="AG14" s="7">
        <v>46965</v>
      </c>
      <c r="AH14" s="10">
        <v>94500</v>
      </c>
      <c r="AI14" s="10">
        <v>53500</v>
      </c>
      <c r="AJ14" s="11">
        <f t="shared" si="0"/>
        <v>21.196261682242991</v>
      </c>
      <c r="AK14" s="12">
        <f>IF(B14="","",OR(K14="Not in use",K14="Low use")+AND(N14&lt;&gt;"",N14&lt;&gt;"TBD")+AND(ISNUMBER(U14),U14&lt;=EDATE('Scoring Settings'!$B$4,'Scoring Settings'!$B$8))+AND(ISNUMBER(L14),L14&lt;='Scoring Settings'!$B$7))</f>
        <v>2</v>
      </c>
      <c r="AL14" s="5" t="s">
        <v>96</v>
      </c>
      <c r="AM14" s="8" t="str">
        <f>IF(B14="","",IF(Z14="N","Easy",IF(OR(AND(ISNUMBER(AB14),AB14&gt;'Scoring Settings'!$B$11),AND(ISNUMBER(W14),W14&gt;'Scoring Settings'!$B$12),AND(ISNUMBER(M14),M14&lt;='Scoring Settings'!$B$13)),"High","Medium")))</f>
        <v>Medium</v>
      </c>
      <c r="AN14" s="5" t="s">
        <v>196</v>
      </c>
      <c r="AO14" s="7">
        <v>44408</v>
      </c>
      <c r="AP14" s="5" t="s">
        <v>359</v>
      </c>
      <c r="AQ14" s="29" t="s">
        <v>399</v>
      </c>
    </row>
    <row r="15" spans="1:43">
      <c r="A15" s="28">
        <v>37239</v>
      </c>
      <c r="B15" s="5" t="s">
        <v>444</v>
      </c>
      <c r="C15" s="5" t="s">
        <v>293</v>
      </c>
      <c r="D15" s="5" t="s">
        <v>162</v>
      </c>
      <c r="E15" s="5" t="s">
        <v>311</v>
      </c>
      <c r="F15" s="5"/>
      <c r="G15" s="5"/>
      <c r="H15" s="5"/>
      <c r="I15" s="6">
        <v>1202</v>
      </c>
      <c r="J15" s="7">
        <v>44304</v>
      </c>
      <c r="K15" s="8" t="str">
        <f>IF(B15="","",IF(AND(I15="",J15=""),"Unknown",IF(OR(AND(ISNUMBER(I15),I15=0),AND(ISNUMBER(J15),J15&lt;=EDATE('Scoring Settings'!$B$4,-'Scoring Settings'!$B$5))),"Not in use",IF(AND(ISNUMBER(I15),I15&lt;'Scoring Settings'!$B$6),"Low use","Active"))))</f>
        <v>Active</v>
      </c>
      <c r="L15" s="5">
        <v>1</v>
      </c>
      <c r="M15" s="5">
        <v>4</v>
      </c>
      <c r="N15" s="5" t="s">
        <v>416</v>
      </c>
      <c r="O15" s="5" t="s">
        <v>73</v>
      </c>
      <c r="P15" s="5" t="s">
        <v>445</v>
      </c>
      <c r="Q15" s="9">
        <v>3</v>
      </c>
      <c r="R15" s="5" t="s">
        <v>358</v>
      </c>
      <c r="S15" s="5" t="s">
        <v>72</v>
      </c>
      <c r="T15" s="5" t="s">
        <v>184</v>
      </c>
      <c r="U15" s="7" t="s">
        <v>72</v>
      </c>
      <c r="V15" s="5" t="s">
        <v>135</v>
      </c>
      <c r="W15" s="6">
        <v>100</v>
      </c>
      <c r="X15" s="5" t="s">
        <v>79</v>
      </c>
      <c r="Y15" s="9">
        <v>1</v>
      </c>
      <c r="Z15" s="5" t="s">
        <v>79</v>
      </c>
      <c r="AA15" s="5" t="s">
        <v>110</v>
      </c>
      <c r="AB15" s="9">
        <v>0</v>
      </c>
      <c r="AC15" s="5" t="s">
        <v>79</v>
      </c>
      <c r="AD15" s="5" t="s">
        <v>82</v>
      </c>
      <c r="AE15" s="5" t="s">
        <v>82</v>
      </c>
      <c r="AF15" s="10">
        <v>55000</v>
      </c>
      <c r="AG15" s="7">
        <v>47330</v>
      </c>
      <c r="AH15" s="10">
        <v>47500</v>
      </c>
      <c r="AI15" s="10">
        <v>51000</v>
      </c>
      <c r="AJ15" s="11">
        <f t="shared" si="0"/>
        <v>11.176470588235293</v>
      </c>
      <c r="AK15" s="12">
        <f>IF(B15="","",OR(K15="Not in use",K15="Low use")+AND(N15&lt;&gt;"",N15&lt;&gt;"TBD")+AND(ISNUMBER(U15),U15&lt;=EDATE('Scoring Settings'!$B$4,'Scoring Settings'!$B$8))+AND(ISNUMBER(L15),L15&lt;='Scoring Settings'!$B$7))</f>
        <v>2</v>
      </c>
      <c r="AL15" s="5" t="s">
        <v>223</v>
      </c>
      <c r="AM15" s="8" t="str">
        <f>IF(B15="","",IF(Z15="N","Easy",IF(OR(AND(ISNUMBER(AB15),AB15&gt;'Scoring Settings'!$B$11),AND(ISNUMBER(W15),W15&gt;'Scoring Settings'!$B$12),AND(ISNUMBER(M15),M15&lt;='Scoring Settings'!$B$13)),"High","Medium")))</f>
        <v>Easy</v>
      </c>
      <c r="AN15" s="5" t="s">
        <v>196</v>
      </c>
      <c r="AO15" s="7">
        <v>44439</v>
      </c>
      <c r="AP15" s="5" t="s">
        <v>359</v>
      </c>
      <c r="AQ15" s="29" t="s">
        <v>252</v>
      </c>
    </row>
    <row r="16" spans="1:43">
      <c r="A16" s="28">
        <v>43206</v>
      </c>
      <c r="B16" s="5" t="s">
        <v>457</v>
      </c>
      <c r="C16" s="5" t="s">
        <v>172</v>
      </c>
      <c r="D16" s="5" t="s">
        <v>162</v>
      </c>
      <c r="E16" s="5" t="s">
        <v>68</v>
      </c>
      <c r="F16" s="5"/>
      <c r="G16" s="5"/>
      <c r="H16" s="5"/>
      <c r="I16" s="6">
        <v>22</v>
      </c>
      <c r="J16" s="7">
        <v>44204</v>
      </c>
      <c r="K16" s="8" t="str">
        <f>IF(B16="","",IF(AND(I16="",J16=""),"Unknown",IF(OR(AND(ISNUMBER(I16),I16=0),AND(ISNUMBER(J16),J16&lt;=EDATE('Scoring Settings'!$B$4,-'Scoring Settings'!$B$5))),"Not in use",IF(AND(ISNUMBER(I16),I16&lt;'Scoring Settings'!$B$6),"Low use","Active"))))</f>
        <v>Low use</v>
      </c>
      <c r="L16" s="5">
        <v>4</v>
      </c>
      <c r="M16" s="5">
        <v>2</v>
      </c>
      <c r="N16" s="5" t="s">
        <v>458</v>
      </c>
      <c r="O16" s="5" t="s">
        <v>73</v>
      </c>
      <c r="P16" s="5" t="s">
        <v>459</v>
      </c>
      <c r="Q16" s="9">
        <v>6</v>
      </c>
      <c r="R16" s="5" t="s">
        <v>330</v>
      </c>
      <c r="S16" s="5" t="s">
        <v>331</v>
      </c>
      <c r="T16" s="5" t="s">
        <v>109</v>
      </c>
      <c r="U16" s="7">
        <v>45046</v>
      </c>
      <c r="V16" s="5" t="s">
        <v>135</v>
      </c>
      <c r="W16" s="6">
        <v>67</v>
      </c>
      <c r="X16" s="5" t="s">
        <v>80</v>
      </c>
      <c r="Y16" s="9">
        <v>7</v>
      </c>
      <c r="Z16" s="5" t="s">
        <v>79</v>
      </c>
      <c r="AA16" s="5" t="s">
        <v>110</v>
      </c>
      <c r="AB16" s="9">
        <v>26</v>
      </c>
      <c r="AC16" s="5" t="s">
        <v>79</v>
      </c>
      <c r="AD16" s="5" t="s">
        <v>82</v>
      </c>
      <c r="AE16" s="5" t="s">
        <v>82</v>
      </c>
      <c r="AF16" s="10">
        <v>95000</v>
      </c>
      <c r="AG16" s="7">
        <v>47026</v>
      </c>
      <c r="AH16" s="10">
        <v>87500</v>
      </c>
      <c r="AI16" s="10">
        <v>71500</v>
      </c>
      <c r="AJ16" s="11">
        <f t="shared" si="0"/>
        <v>14.685314685314685</v>
      </c>
      <c r="AK16" s="12">
        <f>IF(B16="","",OR(K16="Not in use",K16="Low use")+AND(N16&lt;&gt;"",N16&lt;&gt;"TBD")+AND(ISNUMBER(U16),U16&lt;=EDATE('Scoring Settings'!$B$4,'Scoring Settings'!$B$8))+AND(ISNUMBER(L16),L16&lt;='Scoring Settings'!$B$7))</f>
        <v>2</v>
      </c>
      <c r="AL16" s="5" t="s">
        <v>2217</v>
      </c>
      <c r="AM16" s="8" t="str">
        <f>IF(B16="","",IF(Z16="N","Easy",IF(OR(AND(ISNUMBER(AB16),AB16&gt;'Scoring Settings'!$B$11),AND(ISNUMBER(W16),W16&gt;'Scoring Settings'!$B$12),AND(ISNUMBER(M16),M16&lt;='Scoring Settings'!$B$13)),"High","Medium")))</f>
        <v>Easy</v>
      </c>
      <c r="AN16" s="5" t="s">
        <v>196</v>
      </c>
      <c r="AO16" s="7">
        <v>44408</v>
      </c>
      <c r="AP16" s="5" t="s">
        <v>359</v>
      </c>
      <c r="AQ16" s="29" t="s">
        <v>460</v>
      </c>
    </row>
    <row r="17" spans="1:43">
      <c r="A17" s="28">
        <v>93717</v>
      </c>
      <c r="B17" s="5" t="s">
        <v>463</v>
      </c>
      <c r="C17" s="5" t="s">
        <v>464</v>
      </c>
      <c r="D17" s="5" t="s">
        <v>88</v>
      </c>
      <c r="E17" s="5" t="s">
        <v>68</v>
      </c>
      <c r="F17" s="5"/>
      <c r="G17" s="5"/>
      <c r="H17" s="5"/>
      <c r="I17" s="6">
        <v>5</v>
      </c>
      <c r="J17" s="7">
        <v>43952</v>
      </c>
      <c r="K17" s="8" t="str">
        <f>IF(B17="","",IF(AND(I17="",J17=""),"Unknown",IF(OR(AND(ISNUMBER(I17),I17=0),AND(ISNUMBER(J17),J17&lt;=EDATE('Scoring Settings'!$B$4,-'Scoring Settings'!$B$5))),"Not in use",IF(AND(ISNUMBER(I17),I17&lt;'Scoring Settings'!$B$6),"Low use","Active"))))</f>
        <v>Not in use</v>
      </c>
      <c r="L17" s="5">
        <v>2</v>
      </c>
      <c r="M17" s="5">
        <v>3</v>
      </c>
      <c r="N17" s="5" t="s">
        <v>180</v>
      </c>
      <c r="O17" s="5" t="s">
        <v>73</v>
      </c>
      <c r="P17" s="5" t="s">
        <v>465</v>
      </c>
      <c r="Q17" s="9">
        <v>4</v>
      </c>
      <c r="R17" s="5" t="s">
        <v>251</v>
      </c>
      <c r="S17" s="5" t="s">
        <v>133</v>
      </c>
      <c r="T17" s="5" t="s">
        <v>109</v>
      </c>
      <c r="U17" s="7">
        <v>44165</v>
      </c>
      <c r="V17" s="5" t="s">
        <v>95</v>
      </c>
      <c r="W17" s="6">
        <v>260</v>
      </c>
      <c r="X17" s="5" t="s">
        <v>79</v>
      </c>
      <c r="Y17" s="9">
        <v>3</v>
      </c>
      <c r="Z17" s="5" t="s">
        <v>80</v>
      </c>
      <c r="AA17" s="5" t="s">
        <v>205</v>
      </c>
      <c r="AB17" s="9">
        <v>4</v>
      </c>
      <c r="AC17" s="5" t="s">
        <v>82</v>
      </c>
      <c r="AD17" s="5" t="s">
        <v>82</v>
      </c>
      <c r="AE17" s="5" t="s">
        <v>79</v>
      </c>
      <c r="AF17" s="10">
        <v>50000</v>
      </c>
      <c r="AG17" s="7">
        <v>45747</v>
      </c>
      <c r="AH17" s="10">
        <v>25000</v>
      </c>
      <c r="AI17" s="10">
        <v>28500</v>
      </c>
      <c r="AJ17" s="11">
        <f t="shared" si="0"/>
        <v>10.526315789473683</v>
      </c>
      <c r="AK17" s="12">
        <f>IF(B17="","",OR(K17="Not in use",K17="Low use")+AND(N17&lt;&gt;"",N17&lt;&gt;"TBD")+AND(ISNUMBER(U17),U17&lt;=EDATE('Scoring Settings'!$B$4,'Scoring Settings'!$B$8))+AND(ISNUMBER(L17),L17&lt;='Scoring Settings'!$B$7))</f>
        <v>4</v>
      </c>
      <c r="AL17" s="5" t="s">
        <v>96</v>
      </c>
      <c r="AM17" s="8" t="str">
        <f>IF(B17="","",IF(Z17="N","Easy",IF(OR(AND(ISNUMBER(AB17),AB17&gt;'Scoring Settings'!$B$11),AND(ISNUMBER(W17),W17&gt;'Scoring Settings'!$B$12),AND(ISNUMBER(M17),M17&lt;='Scoring Settings'!$B$13)),"High","Medium")))</f>
        <v>Medium</v>
      </c>
      <c r="AN17" s="5" t="s">
        <v>196</v>
      </c>
      <c r="AO17" s="7">
        <v>44530</v>
      </c>
      <c r="AP17" s="5" t="s">
        <v>359</v>
      </c>
      <c r="AQ17" s="29" t="s">
        <v>276</v>
      </c>
    </row>
    <row r="18" spans="1:43">
      <c r="A18" s="28">
        <v>45114</v>
      </c>
      <c r="B18" s="5" t="s">
        <v>469</v>
      </c>
      <c r="C18" s="5" t="s">
        <v>470</v>
      </c>
      <c r="D18" s="5" t="s">
        <v>297</v>
      </c>
      <c r="E18" s="5" t="s">
        <v>68</v>
      </c>
      <c r="F18" s="5"/>
      <c r="G18" s="5"/>
      <c r="H18" s="5"/>
      <c r="I18" s="6">
        <v>11</v>
      </c>
      <c r="J18" s="7">
        <v>44298</v>
      </c>
      <c r="K18" s="8" t="str">
        <f>IF(B18="","",IF(AND(I18="",J18=""),"Unknown",IF(OR(AND(ISNUMBER(I18),I18=0),AND(ISNUMBER(J18),J18&lt;=EDATE('Scoring Settings'!$B$4,-'Scoring Settings'!$B$5))),"Not in use",IF(AND(ISNUMBER(I18),I18&lt;'Scoring Settings'!$B$6),"Low use","Active"))))</f>
        <v>Low use</v>
      </c>
      <c r="L18" s="5">
        <v>2</v>
      </c>
      <c r="M18" s="5">
        <v>3</v>
      </c>
      <c r="N18" s="5"/>
      <c r="O18" s="5" t="s">
        <v>191</v>
      </c>
      <c r="P18" s="5" t="s">
        <v>192</v>
      </c>
      <c r="Q18" s="9">
        <v>0</v>
      </c>
      <c r="R18" s="5" t="s">
        <v>193</v>
      </c>
      <c r="S18" s="5" t="s">
        <v>318</v>
      </c>
      <c r="T18" s="5" t="s">
        <v>195</v>
      </c>
      <c r="U18" s="7">
        <v>44742</v>
      </c>
      <c r="V18" s="5" t="s">
        <v>95</v>
      </c>
      <c r="W18" s="6">
        <v>140</v>
      </c>
      <c r="X18" s="5" t="s">
        <v>80</v>
      </c>
      <c r="Y18" s="9">
        <v>10</v>
      </c>
      <c r="Z18" s="5" t="s">
        <v>79</v>
      </c>
      <c r="AA18" s="5" t="s">
        <v>110</v>
      </c>
      <c r="AB18" s="9">
        <v>3</v>
      </c>
      <c r="AC18" s="5" t="s">
        <v>82</v>
      </c>
      <c r="AD18" s="5" t="s">
        <v>79</v>
      </c>
      <c r="AE18" s="5" t="s">
        <v>80</v>
      </c>
      <c r="AF18" s="10">
        <v>8500</v>
      </c>
      <c r="AG18" s="7">
        <v>46783</v>
      </c>
      <c r="AH18" s="10">
        <v>9000</v>
      </c>
      <c r="AI18" s="10">
        <v>77500</v>
      </c>
      <c r="AJ18" s="11">
        <f t="shared" si="0"/>
        <v>1.3935483870967742</v>
      </c>
      <c r="AK18" s="12">
        <f>IF(B18="","",OR(K18="Not in use",K18="Low use")+AND(N18&lt;&gt;"",N18&lt;&gt;"TBD")+AND(ISNUMBER(U18),U18&lt;=EDATE('Scoring Settings'!$B$4,'Scoring Settings'!$B$8))+AND(ISNUMBER(L18),L18&lt;='Scoring Settings'!$B$7))</f>
        <v>2</v>
      </c>
      <c r="AL18" s="5" t="s">
        <v>223</v>
      </c>
      <c r="AM18" s="8" t="str">
        <f>IF(B18="","",IF(Z18="N","Easy",IF(OR(AND(ISNUMBER(AB18),AB18&gt;'Scoring Settings'!$B$11),AND(ISNUMBER(W18),W18&gt;'Scoring Settings'!$B$12),AND(ISNUMBER(M18),M18&lt;='Scoring Settings'!$B$13)),"High","Medium")))</f>
        <v>Easy</v>
      </c>
      <c r="AN18" s="5" t="s">
        <v>196</v>
      </c>
      <c r="AO18" s="7">
        <v>44347</v>
      </c>
      <c r="AP18" s="5" t="s">
        <v>322</v>
      </c>
      <c r="AQ18" s="29" t="s">
        <v>323</v>
      </c>
    </row>
    <row r="19" spans="1:43">
      <c r="A19" s="28">
        <v>99137</v>
      </c>
      <c r="B19" s="5" t="s">
        <v>480</v>
      </c>
      <c r="C19" s="5" t="s">
        <v>242</v>
      </c>
      <c r="D19" s="5" t="s">
        <v>115</v>
      </c>
      <c r="E19" s="5" t="s">
        <v>68</v>
      </c>
      <c r="F19" s="5"/>
      <c r="G19" s="5"/>
      <c r="H19" s="5"/>
      <c r="I19" s="6">
        <v>0</v>
      </c>
      <c r="J19" s="7">
        <v>44279</v>
      </c>
      <c r="K19" s="8" t="str">
        <f>IF(B19="","",IF(AND(I19="",J19=""),"Unknown",IF(OR(AND(ISNUMBER(I19),I19=0),AND(ISNUMBER(J19),J19&lt;=EDATE('Scoring Settings'!$B$4,-'Scoring Settings'!$B$5))),"Not in use",IF(AND(ISNUMBER(I19),I19&lt;'Scoring Settings'!$B$6),"Low use","Active"))))</f>
        <v>Not in use</v>
      </c>
      <c r="L19" s="5">
        <v>1</v>
      </c>
      <c r="M19" s="5">
        <v>3</v>
      </c>
      <c r="N19" s="5" t="s">
        <v>72</v>
      </c>
      <c r="O19" s="5" t="s">
        <v>73</v>
      </c>
      <c r="P19" s="5" t="s">
        <v>481</v>
      </c>
      <c r="Q19" s="9">
        <v>4</v>
      </c>
      <c r="R19" s="5" t="s">
        <v>166</v>
      </c>
      <c r="S19" s="5" t="s">
        <v>167</v>
      </c>
      <c r="T19" s="5" t="s">
        <v>77</v>
      </c>
      <c r="U19" s="7">
        <v>45482</v>
      </c>
      <c r="V19" s="5" t="s">
        <v>95</v>
      </c>
      <c r="W19" s="6">
        <v>55</v>
      </c>
      <c r="X19" s="5" t="s">
        <v>80</v>
      </c>
      <c r="Y19" s="9">
        <v>10</v>
      </c>
      <c r="Z19" s="5" t="s">
        <v>79</v>
      </c>
      <c r="AA19" s="5" t="s">
        <v>110</v>
      </c>
      <c r="AB19" s="9">
        <v>2</v>
      </c>
      <c r="AC19" s="5" t="s">
        <v>82</v>
      </c>
      <c r="AD19" s="5" t="s">
        <v>79</v>
      </c>
      <c r="AE19" s="5" t="s">
        <v>82</v>
      </c>
      <c r="AF19" s="10">
        <v>55000</v>
      </c>
      <c r="AG19" s="7">
        <v>47938</v>
      </c>
      <c r="AH19" s="10">
        <v>53000</v>
      </c>
      <c r="AI19" s="10">
        <v>95500</v>
      </c>
      <c r="AJ19" s="11">
        <f t="shared" si="0"/>
        <v>6.6596858638743459</v>
      </c>
      <c r="AK19" s="12">
        <f>IF(B19="","",OR(K19="Not in use",K19="Low use")+AND(N19&lt;&gt;"",N19&lt;&gt;"TBD")+AND(ISNUMBER(U19),U19&lt;=EDATE('Scoring Settings'!$B$4,'Scoring Settings'!$B$8))+AND(ISNUMBER(L19),L19&lt;='Scoring Settings'!$B$7))</f>
        <v>2</v>
      </c>
      <c r="AL19" s="5" t="s">
        <v>223</v>
      </c>
      <c r="AM19" s="8" t="str">
        <f>IF(B19="","",IF(Z19="N","Easy",IF(OR(AND(ISNUMBER(AB19),AB19&gt;'Scoring Settings'!$B$11),AND(ISNUMBER(W19),W19&gt;'Scoring Settings'!$B$12),AND(ISNUMBER(M19),M19&lt;='Scoring Settings'!$B$13)),"High","Medium")))</f>
        <v>Easy</v>
      </c>
      <c r="AN19" s="5" t="s">
        <v>196</v>
      </c>
      <c r="AO19" s="7">
        <v>44286</v>
      </c>
      <c r="AP19" s="5" t="s">
        <v>372</v>
      </c>
      <c r="AQ19" s="29" t="s">
        <v>375</v>
      </c>
    </row>
    <row r="20" spans="1:43" ht="28.5">
      <c r="A20" s="28">
        <v>85637</v>
      </c>
      <c r="B20" s="5" t="s">
        <v>490</v>
      </c>
      <c r="C20" s="5" t="s">
        <v>491</v>
      </c>
      <c r="D20" s="5" t="s">
        <v>67</v>
      </c>
      <c r="E20" s="5" t="s">
        <v>311</v>
      </c>
      <c r="F20" s="5"/>
      <c r="G20" s="5"/>
      <c r="H20" s="5"/>
      <c r="I20" s="6">
        <v>2400</v>
      </c>
      <c r="J20" s="7">
        <v>44316</v>
      </c>
      <c r="K20" s="8" t="str">
        <f>IF(B20="","",IF(AND(I20="",J20=""),"Unknown",IF(OR(AND(ISNUMBER(I20),I20=0),AND(ISNUMBER(J20),J20&lt;=EDATE('Scoring Settings'!$B$4,-'Scoring Settings'!$B$5))),"Not in use",IF(AND(ISNUMBER(I20),I20&lt;'Scoring Settings'!$B$6),"Low use","Active"))))</f>
        <v>Active</v>
      </c>
      <c r="L20" s="5">
        <v>5</v>
      </c>
      <c r="M20" s="5">
        <v>1</v>
      </c>
      <c r="N20" s="5" t="s">
        <v>211</v>
      </c>
      <c r="O20" s="5" t="s">
        <v>73</v>
      </c>
      <c r="P20" s="5" t="s">
        <v>492</v>
      </c>
      <c r="Q20" s="9">
        <v>6</v>
      </c>
      <c r="R20" s="5" t="s">
        <v>358</v>
      </c>
      <c r="S20" s="5" t="s">
        <v>133</v>
      </c>
      <c r="T20" s="5" t="s">
        <v>184</v>
      </c>
      <c r="U20" s="7">
        <v>46022</v>
      </c>
      <c r="V20" s="5" t="s">
        <v>135</v>
      </c>
      <c r="W20" s="6">
        <v>4500</v>
      </c>
      <c r="X20" s="5" t="s">
        <v>80</v>
      </c>
      <c r="Y20" s="9">
        <v>10</v>
      </c>
      <c r="Z20" s="5" t="s">
        <v>79</v>
      </c>
      <c r="AA20" s="5" t="s">
        <v>110</v>
      </c>
      <c r="AB20" s="9">
        <v>85</v>
      </c>
      <c r="AC20" s="5" t="s">
        <v>80</v>
      </c>
      <c r="AD20" s="5" t="s">
        <v>80</v>
      </c>
      <c r="AE20" s="5" t="s">
        <v>82</v>
      </c>
      <c r="AF20" s="10">
        <v>650000</v>
      </c>
      <c r="AG20" s="7">
        <v>46387</v>
      </c>
      <c r="AH20" s="10">
        <v>32200000</v>
      </c>
      <c r="AI20" s="10">
        <v>520000</v>
      </c>
      <c r="AJ20" s="11">
        <f t="shared" si="0"/>
        <v>743.07692307692309</v>
      </c>
      <c r="AK20" s="12">
        <f>IF(B20="","",OR(K20="Not in use",K20="Low use")+AND(N20&lt;&gt;"",N20&lt;&gt;"TBD")+AND(ISNUMBER(U20),U20&lt;=EDATE('Scoring Settings'!$B$4,'Scoring Settings'!$B$8))+AND(ISNUMBER(L20),L20&lt;='Scoring Settings'!$B$7))</f>
        <v>1</v>
      </c>
      <c r="AL20" s="5" t="s">
        <v>223</v>
      </c>
      <c r="AM20" s="8" t="str">
        <f>IF(B20="","",IF(Z20="N","Easy",IF(OR(AND(ISNUMBER(AB20),AB20&gt;'Scoring Settings'!$B$11),AND(ISNUMBER(W20),W20&gt;'Scoring Settings'!$B$12),AND(ISNUMBER(M20),M20&lt;='Scoring Settings'!$B$13)),"High","Medium")))</f>
        <v>Easy</v>
      </c>
      <c r="AN20" s="5" t="s">
        <v>196</v>
      </c>
      <c r="AO20" s="7">
        <v>44500</v>
      </c>
      <c r="AP20" s="5" t="s">
        <v>359</v>
      </c>
      <c r="AQ20" s="29" t="s">
        <v>493</v>
      </c>
    </row>
    <row r="21" spans="1:43">
      <c r="A21" s="28">
        <v>138296</v>
      </c>
      <c r="B21" s="5" t="s">
        <v>494</v>
      </c>
      <c r="C21" s="5" t="s">
        <v>495</v>
      </c>
      <c r="D21" s="5" t="s">
        <v>162</v>
      </c>
      <c r="E21" s="5" t="s">
        <v>298</v>
      </c>
      <c r="F21" s="5"/>
      <c r="G21" s="5"/>
      <c r="H21" s="5"/>
      <c r="I21" s="6">
        <v>8</v>
      </c>
      <c r="J21" s="7">
        <v>44168</v>
      </c>
      <c r="K21" s="8" t="str">
        <f>IF(B21="","",IF(AND(I21="",J21=""),"Unknown",IF(OR(AND(ISNUMBER(I21),I21=0),AND(ISNUMBER(J21),J21&lt;=EDATE('Scoring Settings'!$B$4,-'Scoring Settings'!$B$5))),"Not in use",IF(AND(ISNUMBER(I21),I21&lt;'Scoring Settings'!$B$6),"Low use","Active"))))</f>
        <v>Low use</v>
      </c>
      <c r="L21" s="5">
        <v>5</v>
      </c>
      <c r="M21" s="5">
        <v>1</v>
      </c>
      <c r="N21" s="5" t="s">
        <v>175</v>
      </c>
      <c r="O21" s="5" t="s">
        <v>73</v>
      </c>
      <c r="P21" s="5" t="s">
        <v>496</v>
      </c>
      <c r="Q21" s="9">
        <v>5</v>
      </c>
      <c r="R21" s="5" t="s">
        <v>478</v>
      </c>
      <c r="S21" s="5" t="s">
        <v>479</v>
      </c>
      <c r="T21" s="5" t="s">
        <v>72</v>
      </c>
      <c r="U21" s="7">
        <v>43844</v>
      </c>
      <c r="V21" s="5" t="s">
        <v>135</v>
      </c>
      <c r="W21" s="6">
        <v>19</v>
      </c>
      <c r="X21" s="5" t="s">
        <v>79</v>
      </c>
      <c r="Y21" s="9">
        <v>7</v>
      </c>
      <c r="Z21" s="5" t="s">
        <v>80</v>
      </c>
      <c r="AA21" s="5" t="s">
        <v>205</v>
      </c>
      <c r="AB21" s="9">
        <v>35</v>
      </c>
      <c r="AC21" s="5" t="s">
        <v>82</v>
      </c>
      <c r="AD21" s="5" t="s">
        <v>79</v>
      </c>
      <c r="AE21" s="5" t="s">
        <v>82</v>
      </c>
      <c r="AF21" s="10">
        <v>195000</v>
      </c>
      <c r="AG21" s="7">
        <v>47999</v>
      </c>
      <c r="AH21" s="10">
        <v>245000</v>
      </c>
      <c r="AI21" s="10">
        <v>267500</v>
      </c>
      <c r="AJ21" s="11">
        <f t="shared" si="0"/>
        <v>10.990654205607477</v>
      </c>
      <c r="AK21" s="12">
        <f>IF(B21="","",OR(K21="Not in use",K21="Low use")+AND(N21&lt;&gt;"",N21&lt;&gt;"TBD")+AND(ISNUMBER(U21),U21&lt;=EDATE('Scoring Settings'!$B$4,'Scoring Settings'!$B$8))+AND(ISNUMBER(L21),L21&lt;='Scoring Settings'!$B$7))</f>
        <v>3</v>
      </c>
      <c r="AL21" s="5" t="s">
        <v>2217</v>
      </c>
      <c r="AM21" s="8" t="str">
        <f>IF(B21="","",IF(Z21="N","Easy",IF(OR(AND(ISNUMBER(AB21),AB21&gt;'Scoring Settings'!$B$11),AND(ISNUMBER(W21),W21&gt;'Scoring Settings'!$B$12),AND(ISNUMBER(M21),M21&lt;='Scoring Settings'!$B$13)),"High","Medium")))</f>
        <v>High</v>
      </c>
      <c r="AN21" s="5" t="s">
        <v>196</v>
      </c>
      <c r="AO21" s="7">
        <v>44469</v>
      </c>
      <c r="AP21" s="5" t="s">
        <v>359</v>
      </c>
      <c r="AQ21" s="29" t="s">
        <v>497</v>
      </c>
    </row>
    <row r="22" spans="1:43">
      <c r="A22" s="28">
        <v>166902</v>
      </c>
      <c r="B22" s="5" t="s">
        <v>504</v>
      </c>
      <c r="C22" s="5" t="s">
        <v>325</v>
      </c>
      <c r="D22" s="5" t="s">
        <v>139</v>
      </c>
      <c r="E22" s="5" t="s">
        <v>68</v>
      </c>
      <c r="F22" s="5"/>
      <c r="G22" s="5"/>
      <c r="H22" s="5"/>
      <c r="I22" s="6">
        <v>0</v>
      </c>
      <c r="J22" s="7">
        <v>43732</v>
      </c>
      <c r="K22" s="8" t="str">
        <f>IF(B22="","",IF(AND(I22="",J22=""),"Unknown",IF(OR(AND(ISNUMBER(I22),I22=0),AND(ISNUMBER(J22),J22&lt;=EDATE('Scoring Settings'!$B$4,-'Scoring Settings'!$B$5))),"Not in use",IF(AND(ISNUMBER(I22),I22&lt;'Scoring Settings'!$B$6),"Low use","Active"))))</f>
        <v>Not in use</v>
      </c>
      <c r="L22" s="5">
        <v>2</v>
      </c>
      <c r="M22" s="5">
        <v>3</v>
      </c>
      <c r="N22" s="5"/>
      <c r="O22" s="5" t="s">
        <v>73</v>
      </c>
      <c r="P22" s="5" t="s">
        <v>505</v>
      </c>
      <c r="Q22" s="9">
        <v>4</v>
      </c>
      <c r="R22" s="5" t="s">
        <v>478</v>
      </c>
      <c r="S22" s="5" t="s">
        <v>479</v>
      </c>
      <c r="T22" s="5" t="s">
        <v>184</v>
      </c>
      <c r="U22" s="7">
        <v>43844</v>
      </c>
      <c r="V22" s="5" t="s">
        <v>95</v>
      </c>
      <c r="W22" s="6">
        <v>110</v>
      </c>
      <c r="X22" s="5" t="s">
        <v>79</v>
      </c>
      <c r="Y22" s="9">
        <v>7</v>
      </c>
      <c r="Z22" s="5" t="s">
        <v>79</v>
      </c>
      <c r="AA22" s="5" t="s">
        <v>110</v>
      </c>
      <c r="AB22" s="9">
        <v>2</v>
      </c>
      <c r="AC22" s="5" t="s">
        <v>79</v>
      </c>
      <c r="AD22" s="5" t="s">
        <v>82</v>
      </c>
      <c r="AE22" s="5" t="s">
        <v>79</v>
      </c>
      <c r="AF22" s="10">
        <v>80000</v>
      </c>
      <c r="AG22" s="7">
        <v>45777</v>
      </c>
      <c r="AH22" s="10">
        <v>39000</v>
      </c>
      <c r="AI22" s="10">
        <v>77000</v>
      </c>
      <c r="AJ22" s="11">
        <f t="shared" si="0"/>
        <v>6.0779220779220768</v>
      </c>
      <c r="AK22" s="12">
        <f>IF(B22="","",OR(K22="Not in use",K22="Low use")+AND(N22&lt;&gt;"",N22&lt;&gt;"TBD")+AND(ISNUMBER(U22),U22&lt;=EDATE('Scoring Settings'!$B$4,'Scoring Settings'!$B$8))+AND(ISNUMBER(L22),L22&lt;='Scoring Settings'!$B$7))</f>
        <v>3</v>
      </c>
      <c r="AL22" s="5" t="s">
        <v>223</v>
      </c>
      <c r="AM22" s="8" t="str">
        <f>IF(B22="","",IF(Z22="N","Easy",IF(OR(AND(ISNUMBER(AB22),AB22&gt;'Scoring Settings'!$B$11),AND(ISNUMBER(W22),W22&gt;'Scoring Settings'!$B$12),AND(ISNUMBER(M22),M22&lt;='Scoring Settings'!$B$13)),"High","Medium")))</f>
        <v>Easy</v>
      </c>
      <c r="AN22" s="5" t="s">
        <v>196</v>
      </c>
      <c r="AO22" s="7">
        <v>44469</v>
      </c>
      <c r="AP22" s="5" t="s">
        <v>359</v>
      </c>
      <c r="AQ22" s="29" t="s">
        <v>252</v>
      </c>
    </row>
    <row r="23" spans="1:43">
      <c r="A23" s="28">
        <v>18048</v>
      </c>
      <c r="B23" s="5" t="s">
        <v>524</v>
      </c>
      <c r="C23" s="5" t="s">
        <v>338</v>
      </c>
      <c r="D23" s="5" t="s">
        <v>139</v>
      </c>
      <c r="E23" s="5" t="s">
        <v>68</v>
      </c>
      <c r="F23" s="5"/>
      <c r="G23" s="5"/>
      <c r="H23" s="5"/>
      <c r="I23" s="6">
        <v>22</v>
      </c>
      <c r="J23" s="7">
        <v>44230</v>
      </c>
      <c r="K23" s="8" t="str">
        <f>IF(B23="","",IF(AND(I23="",J23=""),"Unknown",IF(OR(AND(ISNUMBER(I23),I23=0),AND(ISNUMBER(J23),J23&lt;=EDATE('Scoring Settings'!$B$4,-'Scoring Settings'!$B$5))),"Not in use",IF(AND(ISNUMBER(I23),I23&lt;'Scoring Settings'!$B$6),"Low use","Active"))))</f>
        <v>Low use</v>
      </c>
      <c r="L23" s="5">
        <v>3</v>
      </c>
      <c r="M23" s="5">
        <v>3</v>
      </c>
      <c r="N23" s="5" t="s">
        <v>72</v>
      </c>
      <c r="O23" s="5" t="s">
        <v>143</v>
      </c>
      <c r="P23" s="5" t="s">
        <v>144</v>
      </c>
      <c r="Q23" s="9">
        <v>0</v>
      </c>
      <c r="R23" s="5" t="s">
        <v>145</v>
      </c>
      <c r="S23" s="5" t="s">
        <v>145</v>
      </c>
      <c r="T23" s="5" t="s">
        <v>146</v>
      </c>
      <c r="U23" s="7"/>
      <c r="V23" s="5" t="s">
        <v>78</v>
      </c>
      <c r="W23" s="6">
        <v>120</v>
      </c>
      <c r="X23" s="5" t="s">
        <v>79</v>
      </c>
      <c r="Y23" s="9">
        <v>3</v>
      </c>
      <c r="Z23" s="5" t="s">
        <v>80</v>
      </c>
      <c r="AA23" s="5" t="s">
        <v>81</v>
      </c>
      <c r="AB23" s="9">
        <v>8</v>
      </c>
      <c r="AC23" s="5" t="s">
        <v>82</v>
      </c>
      <c r="AD23" s="5" t="s">
        <v>82</v>
      </c>
      <c r="AE23" s="5" t="s">
        <v>82</v>
      </c>
      <c r="AF23" s="10">
        <v>90000</v>
      </c>
      <c r="AG23" s="7">
        <v>48487</v>
      </c>
      <c r="AH23" s="10">
        <v>52500</v>
      </c>
      <c r="AI23" s="10">
        <v>32500</v>
      </c>
      <c r="AJ23" s="11">
        <f t="shared" si="0"/>
        <v>19.384615384615387</v>
      </c>
      <c r="AK23" s="12">
        <f>IF(B23="","",OR(K23="Not in use",K23="Low use")+AND(N23&lt;&gt;"",N23&lt;&gt;"TBD")+AND(ISNUMBER(U23),U23&lt;=EDATE('Scoring Settings'!$B$4,'Scoring Settings'!$B$8))+AND(ISNUMBER(L23),L23&lt;='Scoring Settings'!$B$7))</f>
        <v>1</v>
      </c>
      <c r="AL23" s="5" t="s">
        <v>96</v>
      </c>
      <c r="AM23" s="8" t="str">
        <f>IF(B23="","",IF(Z23="N","Easy",IF(OR(AND(ISNUMBER(AB23),AB23&gt;'Scoring Settings'!$B$11),AND(ISNUMBER(W23),W23&gt;'Scoring Settings'!$B$12),AND(ISNUMBER(M23),M23&lt;='Scoring Settings'!$B$13)),"High","Medium")))</f>
        <v>High</v>
      </c>
      <c r="AN23" s="5" t="s">
        <v>196</v>
      </c>
      <c r="AO23" s="7">
        <v>44408</v>
      </c>
      <c r="AP23" s="5" t="s">
        <v>359</v>
      </c>
      <c r="AQ23" s="29" t="s">
        <v>486</v>
      </c>
    </row>
    <row r="24" spans="1:43">
      <c r="A24" s="28">
        <v>161444</v>
      </c>
      <c r="B24" s="5" t="s">
        <v>532</v>
      </c>
      <c r="C24" s="5" t="s">
        <v>13</v>
      </c>
      <c r="D24" s="5" t="s">
        <v>162</v>
      </c>
      <c r="E24" s="5" t="s">
        <v>68</v>
      </c>
      <c r="F24" s="5"/>
      <c r="G24" s="5"/>
      <c r="H24" s="5"/>
      <c r="I24" s="6">
        <v>44</v>
      </c>
      <c r="J24" s="7">
        <v>44274</v>
      </c>
      <c r="K24" s="8" t="str">
        <f>IF(B24="","",IF(AND(I24="",J24=""),"Unknown",IF(OR(AND(ISNUMBER(I24),I24=0),AND(ISNUMBER(J24),J24&lt;=EDATE('Scoring Settings'!$B$4,-'Scoring Settings'!$B$5))),"Not in use",IF(AND(ISNUMBER(I24),I24&lt;'Scoring Settings'!$B$6),"Low use","Active"))))</f>
        <v>Active</v>
      </c>
      <c r="L24" s="5">
        <v>3</v>
      </c>
      <c r="M24" s="5">
        <v>2</v>
      </c>
      <c r="N24" s="5" t="s">
        <v>533</v>
      </c>
      <c r="O24" s="5" t="s">
        <v>73</v>
      </c>
      <c r="P24" s="5" t="s">
        <v>534</v>
      </c>
      <c r="Q24" s="9">
        <v>6</v>
      </c>
      <c r="R24" s="5" t="s">
        <v>358</v>
      </c>
      <c r="S24" s="5" t="s">
        <v>133</v>
      </c>
      <c r="T24" s="5" t="s">
        <v>109</v>
      </c>
      <c r="U24" s="7">
        <v>43555</v>
      </c>
      <c r="V24" s="5" t="s">
        <v>135</v>
      </c>
      <c r="W24" s="6">
        <v>30</v>
      </c>
      <c r="X24" s="5" t="s">
        <v>79</v>
      </c>
      <c r="Y24" s="9">
        <v>7</v>
      </c>
      <c r="Z24" s="5" t="s">
        <v>80</v>
      </c>
      <c r="AA24" s="5" t="s">
        <v>185</v>
      </c>
      <c r="AB24" s="9">
        <v>12</v>
      </c>
      <c r="AC24" s="5" t="s">
        <v>82</v>
      </c>
      <c r="AD24" s="5" t="s">
        <v>82</v>
      </c>
      <c r="AE24" s="5" t="s">
        <v>79</v>
      </c>
      <c r="AF24" s="10">
        <v>125000</v>
      </c>
      <c r="AG24" s="7">
        <v>46265</v>
      </c>
      <c r="AH24" s="10">
        <v>256000</v>
      </c>
      <c r="AI24" s="10">
        <v>84000</v>
      </c>
      <c r="AJ24" s="11">
        <f t="shared" si="0"/>
        <v>36.571428571428569</v>
      </c>
      <c r="AK24" s="12">
        <f>IF(B24="","",OR(K24="Not in use",K24="Low use")+AND(N24&lt;&gt;"",N24&lt;&gt;"TBD")+AND(ISNUMBER(U24),U24&lt;=EDATE('Scoring Settings'!$B$4,'Scoring Settings'!$B$8))+AND(ISNUMBER(L24),L24&lt;='Scoring Settings'!$B$7))</f>
        <v>2</v>
      </c>
      <c r="AL24" s="5" t="s">
        <v>96</v>
      </c>
      <c r="AM24" s="8" t="str">
        <f>IF(B24="","",IF(Z24="N","Easy",IF(OR(AND(ISNUMBER(AB24),AB24&gt;'Scoring Settings'!$B$11),AND(ISNUMBER(W24),W24&gt;'Scoring Settings'!$B$12),AND(ISNUMBER(M24),M24&lt;='Scoring Settings'!$B$13)),"High","Medium")))</f>
        <v>High</v>
      </c>
      <c r="AN24" s="5" t="s">
        <v>196</v>
      </c>
      <c r="AO24" s="7">
        <v>44408</v>
      </c>
      <c r="AP24" s="5" t="s">
        <v>359</v>
      </c>
      <c r="AQ24" s="29" t="s">
        <v>276</v>
      </c>
    </row>
    <row r="25" spans="1:43">
      <c r="A25" s="28">
        <v>186996</v>
      </c>
      <c r="B25" s="5" t="s">
        <v>542</v>
      </c>
      <c r="C25" s="5" t="s">
        <v>390</v>
      </c>
      <c r="D25" s="5" t="s">
        <v>88</v>
      </c>
      <c r="E25" s="5" t="s">
        <v>68</v>
      </c>
      <c r="F25" s="5"/>
      <c r="G25" s="5"/>
      <c r="H25" s="5"/>
      <c r="I25" s="6">
        <v>11</v>
      </c>
      <c r="J25" s="7">
        <v>44170</v>
      </c>
      <c r="K25" s="8" t="str">
        <f>IF(B25="","",IF(AND(I25="",J25=""),"Unknown",IF(OR(AND(ISNUMBER(I25),I25=0),AND(ISNUMBER(J25),J25&lt;=EDATE('Scoring Settings'!$B$4,-'Scoring Settings'!$B$5))),"Not in use",IF(AND(ISNUMBER(I25),I25&lt;'Scoring Settings'!$B$6),"Low use","Active"))))</f>
        <v>Low use</v>
      </c>
      <c r="L25" s="5">
        <v>2</v>
      </c>
      <c r="M25" s="5">
        <v>4</v>
      </c>
      <c r="N25" s="5" t="s">
        <v>543</v>
      </c>
      <c r="O25" s="5" t="s">
        <v>73</v>
      </c>
      <c r="P25" s="5" t="s">
        <v>544</v>
      </c>
      <c r="Q25" s="9">
        <v>2</v>
      </c>
      <c r="R25" s="5" t="s">
        <v>107</v>
      </c>
      <c r="S25" s="5" t="s">
        <v>108</v>
      </c>
      <c r="T25" s="5" t="s">
        <v>72</v>
      </c>
      <c r="U25" s="7">
        <v>43655</v>
      </c>
      <c r="V25" s="5" t="s">
        <v>135</v>
      </c>
      <c r="W25" s="6">
        <v>160</v>
      </c>
      <c r="X25" s="5" t="s">
        <v>79</v>
      </c>
      <c r="Y25" s="9">
        <v>2</v>
      </c>
      <c r="Z25" s="5" t="s">
        <v>80</v>
      </c>
      <c r="AA25" s="5" t="s">
        <v>205</v>
      </c>
      <c r="AB25" s="9">
        <v>3</v>
      </c>
      <c r="AC25" s="5" t="s">
        <v>82</v>
      </c>
      <c r="AD25" s="5" t="s">
        <v>82</v>
      </c>
      <c r="AE25" s="5" t="s">
        <v>80</v>
      </c>
      <c r="AF25" s="10">
        <v>28500</v>
      </c>
      <c r="AG25" s="7">
        <v>47542</v>
      </c>
      <c r="AH25" s="10">
        <v>16000</v>
      </c>
      <c r="AI25" s="10">
        <v>22000</v>
      </c>
      <c r="AJ25" s="11">
        <f t="shared" si="0"/>
        <v>8.7272727272727266</v>
      </c>
      <c r="AK25" s="12">
        <f>IF(B25="","",OR(K25="Not in use",K25="Low use")+AND(N25&lt;&gt;"",N25&lt;&gt;"TBD")+AND(ISNUMBER(U25),U25&lt;=EDATE('Scoring Settings'!$B$4,'Scoring Settings'!$B$8))+AND(ISNUMBER(L25),L25&lt;='Scoring Settings'!$B$7))</f>
        <v>4</v>
      </c>
      <c r="AL25" s="5" t="s">
        <v>2217</v>
      </c>
      <c r="AM25" s="8" t="str">
        <f>IF(B25="","",IF(Z25="N","Easy",IF(OR(AND(ISNUMBER(AB25),AB25&gt;'Scoring Settings'!$B$11),AND(ISNUMBER(W25),W25&gt;'Scoring Settings'!$B$12),AND(ISNUMBER(M25),M25&lt;='Scoring Settings'!$B$13)),"High","Medium")))</f>
        <v>Medium</v>
      </c>
      <c r="AN25" s="5" t="s">
        <v>196</v>
      </c>
      <c r="AO25" s="7">
        <v>44500</v>
      </c>
      <c r="AP25" s="5" t="s">
        <v>359</v>
      </c>
      <c r="AQ25" s="29" t="s">
        <v>545</v>
      </c>
    </row>
    <row r="26" spans="1:43">
      <c r="A26" s="28">
        <v>18964</v>
      </c>
      <c r="B26" s="5" t="s">
        <v>593</v>
      </c>
      <c r="C26" s="5" t="s">
        <v>316</v>
      </c>
      <c r="D26" s="5" t="s">
        <v>67</v>
      </c>
      <c r="E26" s="5" t="s">
        <v>298</v>
      </c>
      <c r="F26" s="5"/>
      <c r="G26" s="5"/>
      <c r="H26" s="5"/>
      <c r="I26" s="6">
        <v>0</v>
      </c>
      <c r="J26" s="7">
        <v>44251</v>
      </c>
      <c r="K26" s="8" t="str">
        <f>IF(B26="","",IF(AND(I26="",J26=""),"Unknown",IF(OR(AND(ISNUMBER(I26),I26=0),AND(ISNUMBER(J26),J26&lt;=EDATE('Scoring Settings'!$B$4,-'Scoring Settings'!$B$5))),"Not in use",IF(AND(ISNUMBER(I26),I26&lt;'Scoring Settings'!$B$6),"Low use","Active"))))</f>
        <v>Not in use</v>
      </c>
      <c r="L26" s="5">
        <v>2</v>
      </c>
      <c r="M26" s="5">
        <v>4</v>
      </c>
      <c r="N26" s="5"/>
      <c r="O26" s="5" t="s">
        <v>130</v>
      </c>
      <c r="P26" s="5" t="s">
        <v>594</v>
      </c>
      <c r="Q26" s="9">
        <v>3</v>
      </c>
      <c r="R26" s="5" t="s">
        <v>239</v>
      </c>
      <c r="S26" s="5" t="s">
        <v>240</v>
      </c>
      <c r="T26" s="5" t="s">
        <v>195</v>
      </c>
      <c r="U26" s="7">
        <v>44316</v>
      </c>
      <c r="V26" s="5" t="s">
        <v>135</v>
      </c>
      <c r="W26" s="6">
        <v>710</v>
      </c>
      <c r="X26" s="5" t="s">
        <v>80</v>
      </c>
      <c r="Y26" s="9">
        <v>7</v>
      </c>
      <c r="Z26" s="5" t="s">
        <v>79</v>
      </c>
      <c r="AA26" s="5" t="s">
        <v>110</v>
      </c>
      <c r="AB26" s="9">
        <v>2</v>
      </c>
      <c r="AC26" s="5" t="s">
        <v>80</v>
      </c>
      <c r="AD26" s="5" t="s">
        <v>79</v>
      </c>
      <c r="AE26" s="5" t="s">
        <v>82</v>
      </c>
      <c r="AF26" s="10">
        <v>32000</v>
      </c>
      <c r="AG26" s="7">
        <v>49582</v>
      </c>
      <c r="AH26" s="10">
        <v>30000</v>
      </c>
      <c r="AI26" s="10">
        <v>91000</v>
      </c>
      <c r="AJ26" s="11">
        <f t="shared" si="0"/>
        <v>3.9560439560439562</v>
      </c>
      <c r="AK26" s="12">
        <f>IF(B26="","",OR(K26="Not in use",K26="Low use")+AND(N26&lt;&gt;"",N26&lt;&gt;"TBD")+AND(ISNUMBER(U26),U26&lt;=EDATE('Scoring Settings'!$B$4,'Scoring Settings'!$B$8))+AND(ISNUMBER(L26),L26&lt;='Scoring Settings'!$B$7))</f>
        <v>3</v>
      </c>
      <c r="AL26" s="5" t="s">
        <v>223</v>
      </c>
      <c r="AM26" s="8" t="str">
        <f>IF(B26="","",IF(Z26="N","Easy",IF(OR(AND(ISNUMBER(AB26),AB26&gt;'Scoring Settings'!$B$11),AND(ISNUMBER(W26),W26&gt;'Scoring Settings'!$B$12),AND(ISNUMBER(M26),M26&lt;='Scoring Settings'!$B$13)),"High","Medium")))</f>
        <v>Easy</v>
      </c>
      <c r="AN26" s="5" t="s">
        <v>196</v>
      </c>
      <c r="AO26" s="7">
        <v>44377</v>
      </c>
      <c r="AP26" s="5" t="s">
        <v>359</v>
      </c>
      <c r="AQ26" s="29" t="s">
        <v>595</v>
      </c>
    </row>
    <row r="27" spans="1:43">
      <c r="A27" s="28">
        <v>23920</v>
      </c>
      <c r="B27" s="5" t="s">
        <v>609</v>
      </c>
      <c r="C27" s="5" t="s">
        <v>599</v>
      </c>
      <c r="D27" s="5" t="s">
        <v>67</v>
      </c>
      <c r="E27" s="5" t="s">
        <v>68</v>
      </c>
      <c r="F27" s="5"/>
      <c r="G27" s="5"/>
      <c r="H27" s="5"/>
      <c r="I27" s="6">
        <v>0</v>
      </c>
      <c r="J27" s="7">
        <v>44234</v>
      </c>
      <c r="K27" s="8" t="str">
        <f>IF(B27="","",IF(AND(I27="",J27=""),"Unknown",IF(OR(AND(ISNUMBER(I27),I27=0),AND(ISNUMBER(J27),J27&lt;=EDATE('Scoring Settings'!$B$4,-'Scoring Settings'!$B$5))),"Not in use",IF(AND(ISNUMBER(I27),I27&lt;'Scoring Settings'!$B$6),"Low use","Active"))))</f>
        <v>Not in use</v>
      </c>
      <c r="L27" s="5">
        <v>3</v>
      </c>
      <c r="M27" s="5">
        <v>4</v>
      </c>
      <c r="N27" s="5"/>
      <c r="O27" s="5" t="s">
        <v>73</v>
      </c>
      <c r="P27" s="5" t="s">
        <v>610</v>
      </c>
      <c r="Q27" s="9">
        <v>2</v>
      </c>
      <c r="R27" s="5" t="s">
        <v>107</v>
      </c>
      <c r="S27" s="5" t="s">
        <v>108</v>
      </c>
      <c r="T27" s="5" t="s">
        <v>122</v>
      </c>
      <c r="U27" s="7">
        <v>43655</v>
      </c>
      <c r="V27" s="5" t="s">
        <v>95</v>
      </c>
      <c r="W27" s="6">
        <v>1100</v>
      </c>
      <c r="X27" s="5" t="s">
        <v>80</v>
      </c>
      <c r="Y27" s="9">
        <v>7</v>
      </c>
      <c r="Z27" s="5" t="s">
        <v>79</v>
      </c>
      <c r="AA27" s="5" t="s">
        <v>110</v>
      </c>
      <c r="AB27" s="9">
        <v>2</v>
      </c>
      <c r="AC27" s="5" t="s">
        <v>79</v>
      </c>
      <c r="AD27" s="5" t="s">
        <v>80</v>
      </c>
      <c r="AE27" s="5" t="s">
        <v>80</v>
      </c>
      <c r="AF27" s="10">
        <v>45000</v>
      </c>
      <c r="AG27" s="7">
        <v>48152</v>
      </c>
      <c r="AH27" s="10">
        <v>35000</v>
      </c>
      <c r="AI27" s="10">
        <v>38000</v>
      </c>
      <c r="AJ27" s="11">
        <f t="shared" si="0"/>
        <v>11.052631578947368</v>
      </c>
      <c r="AK27" s="12">
        <f>IF(B27="","",OR(K27="Not in use",K27="Low use")+AND(N27&lt;&gt;"",N27&lt;&gt;"TBD")+AND(ISNUMBER(U27),U27&lt;=EDATE('Scoring Settings'!$B$4,'Scoring Settings'!$B$8))+AND(ISNUMBER(L27),L27&lt;='Scoring Settings'!$B$7))</f>
        <v>2</v>
      </c>
      <c r="AL27" s="5" t="s">
        <v>223</v>
      </c>
      <c r="AM27" s="8" t="str">
        <f>IF(B27="","",IF(Z27="N","Easy",IF(OR(AND(ISNUMBER(AB27),AB27&gt;'Scoring Settings'!$B$11),AND(ISNUMBER(W27),W27&gt;'Scoring Settings'!$B$12),AND(ISNUMBER(M27),M27&lt;='Scoring Settings'!$B$13)),"High","Medium")))</f>
        <v>Easy</v>
      </c>
      <c r="AN27" s="5" t="s">
        <v>196</v>
      </c>
      <c r="AO27" s="7">
        <v>44255</v>
      </c>
      <c r="AP27" s="5" t="s">
        <v>372</v>
      </c>
      <c r="AQ27" s="29" t="s">
        <v>611</v>
      </c>
    </row>
    <row r="28" spans="1:43">
      <c r="A28" s="28">
        <v>136942</v>
      </c>
      <c r="B28" s="5" t="s">
        <v>613</v>
      </c>
      <c r="C28" s="5" t="s">
        <v>470</v>
      </c>
      <c r="D28" s="5" t="s">
        <v>297</v>
      </c>
      <c r="E28" s="5" t="s">
        <v>68</v>
      </c>
      <c r="F28" s="5"/>
      <c r="G28" s="5"/>
      <c r="H28" s="5"/>
      <c r="I28" s="6">
        <v>83</v>
      </c>
      <c r="J28" s="7">
        <v>44296</v>
      </c>
      <c r="K28" s="8" t="str">
        <f>IF(B28="","",IF(AND(I28="",J28=""),"Unknown",IF(OR(AND(ISNUMBER(I28),I28=0),AND(ISNUMBER(J28),J28&lt;=EDATE('Scoring Settings'!$B$4,-'Scoring Settings'!$B$5))),"Not in use",IF(AND(ISNUMBER(I28),I28&lt;'Scoring Settings'!$B$6),"Low use","Active"))))</f>
        <v>Active</v>
      </c>
      <c r="L28" s="5">
        <v>1</v>
      </c>
      <c r="M28" s="5">
        <v>4</v>
      </c>
      <c r="N28" s="5" t="s">
        <v>575</v>
      </c>
      <c r="O28" s="5" t="s">
        <v>73</v>
      </c>
      <c r="P28" s="5" t="s">
        <v>614</v>
      </c>
      <c r="Q28" s="9">
        <v>3</v>
      </c>
      <c r="R28" s="5" t="s">
        <v>251</v>
      </c>
      <c r="S28" s="5" t="s">
        <v>133</v>
      </c>
      <c r="T28" s="5" t="s">
        <v>184</v>
      </c>
      <c r="U28" s="7">
        <v>44165</v>
      </c>
      <c r="V28" s="5" t="s">
        <v>135</v>
      </c>
      <c r="W28" s="6">
        <v>3</v>
      </c>
      <c r="X28" s="5" t="s">
        <v>80</v>
      </c>
      <c r="Y28" s="9">
        <v>7</v>
      </c>
      <c r="Z28" s="5" t="s">
        <v>80</v>
      </c>
      <c r="AA28" s="5" t="s">
        <v>81</v>
      </c>
      <c r="AB28" s="9">
        <v>2</v>
      </c>
      <c r="AC28" s="5" t="s">
        <v>80</v>
      </c>
      <c r="AD28" s="5" t="s">
        <v>80</v>
      </c>
      <c r="AE28" s="5" t="s">
        <v>82</v>
      </c>
      <c r="AF28" s="10">
        <v>33000</v>
      </c>
      <c r="AG28" s="7">
        <v>45991</v>
      </c>
      <c r="AH28" s="10">
        <v>35000</v>
      </c>
      <c r="AI28" s="10">
        <v>25500</v>
      </c>
      <c r="AJ28" s="11">
        <f t="shared" si="0"/>
        <v>16.470588235294116</v>
      </c>
      <c r="AK28" s="12">
        <f>IF(B28="","",OR(K28="Not in use",K28="Low use")+AND(N28&lt;&gt;"",N28&lt;&gt;"TBD")+AND(ISNUMBER(U28),U28&lt;=EDATE('Scoring Settings'!$B$4,'Scoring Settings'!$B$8))+AND(ISNUMBER(L28),L28&lt;='Scoring Settings'!$B$7))</f>
        <v>3</v>
      </c>
      <c r="AL28" s="5" t="s">
        <v>2217</v>
      </c>
      <c r="AM28" s="8" t="str">
        <f>IF(B28="","",IF(Z28="N","Easy",IF(OR(AND(ISNUMBER(AB28),AB28&gt;'Scoring Settings'!$B$11),AND(ISNUMBER(W28),W28&gt;'Scoring Settings'!$B$12),AND(ISNUMBER(M28),M28&lt;='Scoring Settings'!$B$13)),"High","Medium")))</f>
        <v>Medium</v>
      </c>
      <c r="AN28" s="5" t="s">
        <v>196</v>
      </c>
      <c r="AO28" s="7">
        <v>44408</v>
      </c>
      <c r="AP28" s="5" t="s">
        <v>359</v>
      </c>
      <c r="AQ28" s="29" t="s">
        <v>615</v>
      </c>
    </row>
    <row r="29" spans="1:43">
      <c r="A29" s="28">
        <v>98378</v>
      </c>
      <c r="B29" s="5" t="s">
        <v>616</v>
      </c>
      <c r="C29" s="5" t="s">
        <v>296</v>
      </c>
      <c r="D29" s="5" t="s">
        <v>297</v>
      </c>
      <c r="E29" s="5" t="s">
        <v>68</v>
      </c>
      <c r="F29" s="5"/>
      <c r="G29" s="5"/>
      <c r="H29" s="5"/>
      <c r="I29" s="6">
        <v>317</v>
      </c>
      <c r="J29" s="7">
        <v>44308</v>
      </c>
      <c r="K29" s="8" t="str">
        <f>IF(B29="","",IF(AND(I29="",J29=""),"Unknown",IF(OR(AND(ISNUMBER(I29),I29=0),AND(ISNUMBER(J29),J29&lt;=EDATE('Scoring Settings'!$B$4,-'Scoring Settings'!$B$5))),"Not in use",IF(AND(ISNUMBER(I29),I29&lt;'Scoring Settings'!$B$6),"Low use","Active"))))</f>
        <v>Active</v>
      </c>
      <c r="L29" s="5">
        <v>3</v>
      </c>
      <c r="M29" s="5">
        <v>4</v>
      </c>
      <c r="N29" s="5" t="s">
        <v>617</v>
      </c>
      <c r="O29" s="5" t="s">
        <v>73</v>
      </c>
      <c r="P29" s="5" t="s">
        <v>618</v>
      </c>
      <c r="Q29" s="9">
        <v>2</v>
      </c>
      <c r="R29" s="5" t="s">
        <v>478</v>
      </c>
      <c r="S29" s="5" t="s">
        <v>479</v>
      </c>
      <c r="T29" s="5" t="s">
        <v>77</v>
      </c>
      <c r="U29" s="7">
        <v>43844</v>
      </c>
      <c r="V29" s="5" t="s">
        <v>135</v>
      </c>
      <c r="W29" s="6">
        <v>62</v>
      </c>
      <c r="X29" s="5" t="s">
        <v>80</v>
      </c>
      <c r="Y29" s="9">
        <v>7</v>
      </c>
      <c r="Z29" s="5" t="s">
        <v>80</v>
      </c>
      <c r="AA29" s="5" t="s">
        <v>185</v>
      </c>
      <c r="AB29" s="9">
        <v>0</v>
      </c>
      <c r="AC29" s="5" t="s">
        <v>79</v>
      </c>
      <c r="AD29" s="5" t="s">
        <v>79</v>
      </c>
      <c r="AE29" s="5" t="s">
        <v>79</v>
      </c>
      <c r="AF29" s="10">
        <v>47500</v>
      </c>
      <c r="AG29" s="7">
        <v>46783</v>
      </c>
      <c r="AH29" s="10">
        <v>40000</v>
      </c>
      <c r="AI29" s="10">
        <v>33500</v>
      </c>
      <c r="AJ29" s="11">
        <f t="shared" si="0"/>
        <v>14.328358208955223</v>
      </c>
      <c r="AK29" s="12">
        <f>IF(B29="","",OR(K29="Not in use",K29="Low use")+AND(N29&lt;&gt;"",N29&lt;&gt;"TBD")+AND(ISNUMBER(U29),U29&lt;=EDATE('Scoring Settings'!$B$4,'Scoring Settings'!$B$8))+AND(ISNUMBER(L29),L29&lt;='Scoring Settings'!$B$7))</f>
        <v>2</v>
      </c>
      <c r="AL29" s="5" t="s">
        <v>2217</v>
      </c>
      <c r="AM29" s="8" t="str">
        <f>IF(B29="","",IF(Z29="N","Easy",IF(OR(AND(ISNUMBER(AB29),AB29&gt;'Scoring Settings'!$B$11),AND(ISNUMBER(W29),W29&gt;'Scoring Settings'!$B$12),AND(ISNUMBER(M29),M29&lt;='Scoring Settings'!$B$13)),"High","Medium")))</f>
        <v>Medium</v>
      </c>
      <c r="AN29" s="5" t="s">
        <v>196</v>
      </c>
      <c r="AO29" s="7">
        <v>44469</v>
      </c>
      <c r="AP29" s="5" t="s">
        <v>359</v>
      </c>
      <c r="AQ29" s="29" t="s">
        <v>619</v>
      </c>
    </row>
    <row r="30" spans="1:43">
      <c r="A30" s="28">
        <v>84815</v>
      </c>
      <c r="B30" s="5" t="s">
        <v>627</v>
      </c>
      <c r="C30" s="5" t="s">
        <v>208</v>
      </c>
      <c r="D30" s="5" t="s">
        <v>67</v>
      </c>
      <c r="E30" s="5" t="s">
        <v>311</v>
      </c>
      <c r="F30" s="5"/>
      <c r="G30" s="5"/>
      <c r="H30" s="5"/>
      <c r="I30" s="6">
        <v>100</v>
      </c>
      <c r="J30" s="7">
        <v>44278</v>
      </c>
      <c r="K30" s="8" t="str">
        <f>IF(B30="","",IF(AND(I30="",J30=""),"Unknown",IF(OR(AND(ISNUMBER(I30),I30=0),AND(ISNUMBER(J30),J30&lt;=EDATE('Scoring Settings'!$B$4,-'Scoring Settings'!$B$5))),"Not in use",IF(AND(ISNUMBER(I30),I30&lt;'Scoring Settings'!$B$6),"Low use","Active"))))</f>
        <v>Active</v>
      </c>
      <c r="L30" s="5">
        <v>3</v>
      </c>
      <c r="M30" s="5">
        <v>3</v>
      </c>
      <c r="N30" s="5"/>
      <c r="O30" s="5" t="s">
        <v>143</v>
      </c>
      <c r="P30" s="5" t="s">
        <v>144</v>
      </c>
      <c r="Q30" s="9">
        <v>0</v>
      </c>
      <c r="R30" s="5" t="s">
        <v>145</v>
      </c>
      <c r="S30" s="5" t="s">
        <v>145</v>
      </c>
      <c r="T30" s="5" t="s">
        <v>146</v>
      </c>
      <c r="U30" s="7">
        <v>46203</v>
      </c>
      <c r="V30" s="5" t="s">
        <v>95</v>
      </c>
      <c r="W30" s="6">
        <v>93</v>
      </c>
      <c r="X30" s="5" t="s">
        <v>80</v>
      </c>
      <c r="Y30" s="9">
        <v>7</v>
      </c>
      <c r="Z30" s="5" t="s">
        <v>80</v>
      </c>
      <c r="AA30" s="5" t="s">
        <v>185</v>
      </c>
      <c r="AB30" s="9">
        <v>8</v>
      </c>
      <c r="AC30" s="5" t="s">
        <v>80</v>
      </c>
      <c r="AD30" s="5" t="s">
        <v>82</v>
      </c>
      <c r="AE30" s="5" t="s">
        <v>82</v>
      </c>
      <c r="AF30" s="10">
        <v>31500</v>
      </c>
      <c r="AG30" s="7">
        <v>47118</v>
      </c>
      <c r="AH30" s="10">
        <v>32500</v>
      </c>
      <c r="AI30" s="10">
        <v>73000</v>
      </c>
      <c r="AJ30" s="11">
        <f t="shared" si="0"/>
        <v>5.3424657534246576</v>
      </c>
      <c r="AK30" s="12">
        <f>IF(B30="","",OR(K30="Not in use",K30="Low use")+AND(N30&lt;&gt;"",N30&lt;&gt;"TBD")+AND(ISNUMBER(U30),U30&lt;=EDATE('Scoring Settings'!$B$4,'Scoring Settings'!$B$8))+AND(ISNUMBER(L30),L30&lt;='Scoring Settings'!$B$7))</f>
        <v>0</v>
      </c>
      <c r="AL30" s="5" t="s">
        <v>96</v>
      </c>
      <c r="AM30" s="8" t="str">
        <f>IF(B30="","",IF(Z30="N","Easy",IF(OR(AND(ISNUMBER(AB30),AB30&gt;'Scoring Settings'!$B$11),AND(ISNUMBER(W30),W30&gt;'Scoring Settings'!$B$12),AND(ISNUMBER(M30),M30&lt;='Scoring Settings'!$B$13)),"High","Medium")))</f>
        <v>High</v>
      </c>
      <c r="AN30" s="5" t="s">
        <v>196</v>
      </c>
      <c r="AO30" s="7">
        <v>44347</v>
      </c>
      <c r="AP30" s="5" t="s">
        <v>372</v>
      </c>
      <c r="AQ30" s="29" t="s">
        <v>628</v>
      </c>
    </row>
    <row r="31" spans="1:43">
      <c r="A31" s="28">
        <v>164470</v>
      </c>
      <c r="B31" s="5" t="s">
        <v>629</v>
      </c>
      <c r="C31" s="5" t="s">
        <v>126</v>
      </c>
      <c r="D31" s="5" t="s">
        <v>88</v>
      </c>
      <c r="E31" s="5" t="s">
        <v>68</v>
      </c>
      <c r="F31" s="5"/>
      <c r="G31" s="5"/>
      <c r="H31" s="5"/>
      <c r="I31" s="6">
        <v>0</v>
      </c>
      <c r="J31" s="7">
        <v>44250</v>
      </c>
      <c r="K31" s="8" t="str">
        <f>IF(B31="","",IF(AND(I31="",J31=""),"Unknown",IF(OR(AND(ISNUMBER(I31),I31=0),AND(ISNUMBER(J31),J31&lt;=EDATE('Scoring Settings'!$B$4,-'Scoring Settings'!$B$5))),"Not in use",IF(AND(ISNUMBER(I31),I31&lt;'Scoring Settings'!$B$6),"Low use","Active"))))</f>
        <v>Not in use</v>
      </c>
      <c r="L31" s="5">
        <v>3</v>
      </c>
      <c r="M31" s="5">
        <v>3</v>
      </c>
      <c r="N31" s="5"/>
      <c r="O31" s="5" t="s">
        <v>73</v>
      </c>
      <c r="P31" s="5" t="s">
        <v>630</v>
      </c>
      <c r="Q31" s="9">
        <v>3</v>
      </c>
      <c r="R31" s="5" t="s">
        <v>239</v>
      </c>
      <c r="S31" s="5" t="s">
        <v>240</v>
      </c>
      <c r="T31" s="5" t="s">
        <v>109</v>
      </c>
      <c r="U31" s="7">
        <v>44316</v>
      </c>
      <c r="V31" s="5" t="s">
        <v>135</v>
      </c>
      <c r="W31" s="6">
        <v>200</v>
      </c>
      <c r="X31" s="5" t="s">
        <v>79</v>
      </c>
      <c r="Y31" s="9">
        <v>3</v>
      </c>
      <c r="Z31" s="5" t="s">
        <v>79</v>
      </c>
      <c r="AA31" s="5" t="s">
        <v>110</v>
      </c>
      <c r="AB31" s="9">
        <v>2</v>
      </c>
      <c r="AC31" s="5" t="s">
        <v>80</v>
      </c>
      <c r="AD31" s="5" t="s">
        <v>80</v>
      </c>
      <c r="AE31" s="5" t="s">
        <v>82</v>
      </c>
      <c r="AF31" s="10">
        <v>55000</v>
      </c>
      <c r="AG31" s="7">
        <v>47726</v>
      </c>
      <c r="AH31" s="10">
        <v>53500</v>
      </c>
      <c r="AI31" s="10">
        <v>54000</v>
      </c>
      <c r="AJ31" s="11">
        <f t="shared" si="0"/>
        <v>11.888888888888889</v>
      </c>
      <c r="AK31" s="12">
        <f>IF(B31="","",OR(K31="Not in use",K31="Low use")+AND(N31&lt;&gt;"",N31&lt;&gt;"TBD")+AND(ISNUMBER(U31),U31&lt;=EDATE('Scoring Settings'!$B$4,'Scoring Settings'!$B$8))+AND(ISNUMBER(L31),L31&lt;='Scoring Settings'!$B$7))</f>
        <v>2</v>
      </c>
      <c r="AL31" s="5" t="s">
        <v>223</v>
      </c>
      <c r="AM31" s="8" t="str">
        <f>IF(B31="","",IF(Z31="N","Easy",IF(OR(AND(ISNUMBER(AB31),AB31&gt;'Scoring Settings'!$B$11),AND(ISNUMBER(W31),W31&gt;'Scoring Settings'!$B$12),AND(ISNUMBER(M31),M31&lt;='Scoring Settings'!$B$13)),"High","Medium")))</f>
        <v>Easy</v>
      </c>
      <c r="AN31" s="5" t="s">
        <v>196</v>
      </c>
      <c r="AO31" s="7">
        <v>44255</v>
      </c>
      <c r="AP31" s="5" t="s">
        <v>372</v>
      </c>
      <c r="AQ31" s="29" t="s">
        <v>611</v>
      </c>
    </row>
    <row r="32" spans="1:43">
      <c r="A32" s="28">
        <v>65070</v>
      </c>
      <c r="B32" s="5" t="s">
        <v>633</v>
      </c>
      <c r="C32" s="5" t="s">
        <v>634</v>
      </c>
      <c r="D32" s="5" t="s">
        <v>297</v>
      </c>
      <c r="E32" s="5" t="s">
        <v>68</v>
      </c>
      <c r="F32" s="5"/>
      <c r="G32" s="5"/>
      <c r="H32" s="5"/>
      <c r="I32" s="6">
        <v>0</v>
      </c>
      <c r="J32" s="7">
        <v>44241</v>
      </c>
      <c r="K32" s="8" t="str">
        <f>IF(B32="","",IF(AND(I32="",J32=""),"Unknown",IF(OR(AND(ISNUMBER(I32),I32=0),AND(ISNUMBER(J32),J32&lt;=EDATE('Scoring Settings'!$B$4,-'Scoring Settings'!$B$5))),"Not in use",IF(AND(ISNUMBER(I32),I32&lt;'Scoring Settings'!$B$6),"Low use","Active"))))</f>
        <v>Not in use</v>
      </c>
      <c r="L32" s="5">
        <v>1</v>
      </c>
      <c r="M32" s="5">
        <v>4</v>
      </c>
      <c r="N32" s="5"/>
      <c r="O32" s="5" t="s">
        <v>143</v>
      </c>
      <c r="P32" s="5" t="s">
        <v>144</v>
      </c>
      <c r="Q32" s="9">
        <v>0</v>
      </c>
      <c r="R32" s="5" t="s">
        <v>145</v>
      </c>
      <c r="S32" s="5" t="s">
        <v>145</v>
      </c>
      <c r="T32" s="5" t="s">
        <v>146</v>
      </c>
      <c r="U32" s="7"/>
      <c r="V32" s="5" t="s">
        <v>135</v>
      </c>
      <c r="W32" s="6">
        <v>180</v>
      </c>
      <c r="X32" s="5" t="s">
        <v>80</v>
      </c>
      <c r="Y32" s="9">
        <v>5</v>
      </c>
      <c r="Z32" s="5" t="s">
        <v>80</v>
      </c>
      <c r="AA32" s="5" t="s">
        <v>205</v>
      </c>
      <c r="AB32" s="9">
        <v>1</v>
      </c>
      <c r="AC32" s="5" t="s">
        <v>82</v>
      </c>
      <c r="AD32" s="5" t="s">
        <v>80</v>
      </c>
      <c r="AE32" s="5" t="s">
        <v>82</v>
      </c>
      <c r="AF32" s="10">
        <v>42500</v>
      </c>
      <c r="AG32" s="7">
        <v>49552</v>
      </c>
      <c r="AH32" s="10">
        <v>53500</v>
      </c>
      <c r="AI32" s="10">
        <v>18500</v>
      </c>
      <c r="AJ32" s="11">
        <f t="shared" si="0"/>
        <v>34.702702702702709</v>
      </c>
      <c r="AK32" s="12">
        <f>IF(B32="","",OR(K32="Not in use",K32="Low use")+AND(N32&lt;&gt;"",N32&lt;&gt;"TBD")+AND(ISNUMBER(U32),U32&lt;=EDATE('Scoring Settings'!$B$4,'Scoring Settings'!$B$8))+AND(ISNUMBER(L32),L32&lt;='Scoring Settings'!$B$7))</f>
        <v>2</v>
      </c>
      <c r="AL32" s="5" t="s">
        <v>96</v>
      </c>
      <c r="AM32" s="8" t="str">
        <f>IF(B32="","",IF(Z32="N","Easy",IF(OR(AND(ISNUMBER(AB32),AB32&gt;'Scoring Settings'!$B$11),AND(ISNUMBER(W32),W32&gt;'Scoring Settings'!$B$12),AND(ISNUMBER(M32),M32&lt;='Scoring Settings'!$B$13)),"High","Medium")))</f>
        <v>Medium</v>
      </c>
      <c r="AN32" s="5" t="s">
        <v>196</v>
      </c>
      <c r="AO32" s="7">
        <v>44530</v>
      </c>
      <c r="AP32" s="5" t="s">
        <v>359</v>
      </c>
      <c r="AQ32" s="29" t="s">
        <v>276</v>
      </c>
    </row>
    <row r="33" spans="1:43">
      <c r="A33" s="28">
        <v>97953</v>
      </c>
      <c r="B33" s="5" t="s">
        <v>644</v>
      </c>
      <c r="C33" s="5" t="s">
        <v>126</v>
      </c>
      <c r="D33" s="5" t="s">
        <v>88</v>
      </c>
      <c r="E33" s="5" t="s">
        <v>68</v>
      </c>
      <c r="F33" s="5"/>
      <c r="G33" s="5"/>
      <c r="H33" s="5"/>
      <c r="I33" s="6">
        <v>581</v>
      </c>
      <c r="J33" s="7">
        <v>44277</v>
      </c>
      <c r="K33" s="8" t="str">
        <f>IF(B33="","",IF(AND(I33="",J33=""),"Unknown",IF(OR(AND(ISNUMBER(I33),I33=0),AND(ISNUMBER(J33),J33&lt;=EDATE('Scoring Settings'!$B$4,-'Scoring Settings'!$B$5))),"Not in use",IF(AND(ISNUMBER(I33),I33&lt;'Scoring Settings'!$B$6),"Low use","Active"))))</f>
        <v>Active</v>
      </c>
      <c r="L33" s="5">
        <v>4</v>
      </c>
      <c r="M33" s="5">
        <v>1</v>
      </c>
      <c r="N33" s="5" t="s">
        <v>474</v>
      </c>
      <c r="O33" s="5" t="s">
        <v>191</v>
      </c>
      <c r="P33" s="5" t="s">
        <v>192</v>
      </c>
      <c r="Q33" s="9">
        <v>0</v>
      </c>
      <c r="R33" s="5" t="s">
        <v>193</v>
      </c>
      <c r="S33" s="5" t="s">
        <v>318</v>
      </c>
      <c r="T33" s="5" t="s">
        <v>195</v>
      </c>
      <c r="U33" s="7">
        <v>44742</v>
      </c>
      <c r="V33" s="5" t="s">
        <v>135</v>
      </c>
      <c r="W33" s="6">
        <v>870</v>
      </c>
      <c r="X33" s="5" t="s">
        <v>79</v>
      </c>
      <c r="Y33" s="9">
        <v>7</v>
      </c>
      <c r="Z33" s="5" t="s">
        <v>79</v>
      </c>
      <c r="AA33" s="5" t="s">
        <v>110</v>
      </c>
      <c r="AB33" s="9">
        <v>60</v>
      </c>
      <c r="AC33" s="5" t="s">
        <v>79</v>
      </c>
      <c r="AD33" s="5" t="s">
        <v>82</v>
      </c>
      <c r="AE33" s="5" t="s">
        <v>80</v>
      </c>
      <c r="AF33" s="10">
        <v>80000</v>
      </c>
      <c r="AG33" s="7">
        <v>48669</v>
      </c>
      <c r="AH33" s="10">
        <v>122000</v>
      </c>
      <c r="AI33" s="10">
        <v>49500</v>
      </c>
      <c r="AJ33" s="11">
        <f t="shared" si="0"/>
        <v>29.575757575757574</v>
      </c>
      <c r="AK33" s="12">
        <f>IF(B33="","",OR(K33="Not in use",K33="Low use")+AND(N33&lt;&gt;"",N33&lt;&gt;"TBD")+AND(ISNUMBER(U33),U33&lt;=EDATE('Scoring Settings'!$B$4,'Scoring Settings'!$B$8))+AND(ISNUMBER(L33),L33&lt;='Scoring Settings'!$B$7))</f>
        <v>1</v>
      </c>
      <c r="AL33" s="5" t="s">
        <v>2217</v>
      </c>
      <c r="AM33" s="8" t="str">
        <f>IF(B33="","",IF(Z33="N","Easy",IF(OR(AND(ISNUMBER(AB33),AB33&gt;'Scoring Settings'!$B$11),AND(ISNUMBER(W33),W33&gt;'Scoring Settings'!$B$12),AND(ISNUMBER(M33),M33&lt;='Scoring Settings'!$B$13)),"High","Medium")))</f>
        <v>Easy</v>
      </c>
      <c r="AN33" s="5" t="s">
        <v>196</v>
      </c>
      <c r="AO33" s="7">
        <v>44500</v>
      </c>
      <c r="AP33" s="5" t="s">
        <v>359</v>
      </c>
      <c r="AQ33" s="29" t="s">
        <v>537</v>
      </c>
    </row>
    <row r="34" spans="1:43">
      <c r="A34" s="28">
        <v>143504</v>
      </c>
      <c r="B34" s="5" t="s">
        <v>651</v>
      </c>
      <c r="C34" s="5" t="s">
        <v>296</v>
      </c>
      <c r="D34" s="5" t="s">
        <v>297</v>
      </c>
      <c r="E34" s="5" t="s">
        <v>68</v>
      </c>
      <c r="F34" s="5"/>
      <c r="G34" s="5"/>
      <c r="H34" s="5"/>
      <c r="I34" s="6">
        <v>96</v>
      </c>
      <c r="J34" s="7">
        <v>44277</v>
      </c>
      <c r="K34" s="8" t="str">
        <f>IF(B34="","",IF(AND(I34="",J34=""),"Unknown",IF(OR(AND(ISNUMBER(I34),I34=0),AND(ISNUMBER(J34),J34&lt;=EDATE('Scoring Settings'!$B$4,-'Scoring Settings'!$B$5))),"Not in use",IF(AND(ISNUMBER(I34),I34&lt;'Scoring Settings'!$B$6),"Low use","Active"))))</f>
        <v>Active</v>
      </c>
      <c r="L34" s="5">
        <v>3</v>
      </c>
      <c r="M34" s="5">
        <v>3</v>
      </c>
      <c r="N34" s="5" t="s">
        <v>652</v>
      </c>
      <c r="O34" s="5" t="s">
        <v>73</v>
      </c>
      <c r="P34" s="5" t="s">
        <v>653</v>
      </c>
      <c r="Q34" s="9">
        <v>1</v>
      </c>
      <c r="R34" s="5" t="s">
        <v>166</v>
      </c>
      <c r="S34" s="5" t="s">
        <v>308</v>
      </c>
      <c r="T34" s="5" t="s">
        <v>109</v>
      </c>
      <c r="U34" s="7">
        <v>45209</v>
      </c>
      <c r="V34" s="5" t="s">
        <v>95</v>
      </c>
      <c r="W34" s="6">
        <v>89</v>
      </c>
      <c r="X34" s="5" t="s">
        <v>80</v>
      </c>
      <c r="Y34" s="9">
        <v>10</v>
      </c>
      <c r="Z34" s="5" t="s">
        <v>79</v>
      </c>
      <c r="AA34" s="5" t="s">
        <v>110</v>
      </c>
      <c r="AB34" s="9">
        <v>1</v>
      </c>
      <c r="AC34" s="5" t="s">
        <v>79</v>
      </c>
      <c r="AD34" s="5" t="s">
        <v>82</v>
      </c>
      <c r="AE34" s="5" t="s">
        <v>80</v>
      </c>
      <c r="AF34" s="10">
        <v>26000</v>
      </c>
      <c r="AG34" s="7">
        <v>47968</v>
      </c>
      <c r="AH34" s="10">
        <v>14500</v>
      </c>
      <c r="AI34" s="10">
        <v>78500</v>
      </c>
      <c r="AJ34" s="11">
        <f t="shared" si="0"/>
        <v>2.2165605095541401</v>
      </c>
      <c r="AK34" s="12">
        <f>IF(B34="","",OR(K34="Not in use",K34="Low use")+AND(N34&lt;&gt;"",N34&lt;&gt;"TBD")+AND(ISNUMBER(U34),U34&lt;=EDATE('Scoring Settings'!$B$4,'Scoring Settings'!$B$8))+AND(ISNUMBER(L34),L34&lt;='Scoring Settings'!$B$7))</f>
        <v>1</v>
      </c>
      <c r="AL34" s="5" t="s">
        <v>2217</v>
      </c>
      <c r="AM34" s="8" t="str">
        <f>IF(B34="","",IF(Z34="N","Easy",IF(OR(AND(ISNUMBER(AB34),AB34&gt;'Scoring Settings'!$B$11),AND(ISNUMBER(W34),W34&gt;'Scoring Settings'!$B$12),AND(ISNUMBER(M34),M34&lt;='Scoring Settings'!$B$13)),"High","Medium")))</f>
        <v>Easy</v>
      </c>
      <c r="AN34" s="5" t="s">
        <v>196</v>
      </c>
      <c r="AO34" s="7">
        <v>44500</v>
      </c>
      <c r="AP34" s="5" t="s">
        <v>359</v>
      </c>
      <c r="AQ34" s="29" t="s">
        <v>654</v>
      </c>
    </row>
    <row r="35" spans="1:43">
      <c r="A35" s="28">
        <v>88761</v>
      </c>
      <c r="B35" s="5" t="s">
        <v>677</v>
      </c>
      <c r="C35" s="5" t="s">
        <v>301</v>
      </c>
      <c r="D35" s="5" t="s">
        <v>162</v>
      </c>
      <c r="E35" s="5" t="s">
        <v>68</v>
      </c>
      <c r="F35" s="5"/>
      <c r="G35" s="5"/>
      <c r="H35" s="5"/>
      <c r="I35" s="6">
        <v>10</v>
      </c>
      <c r="J35" s="7">
        <v>44310</v>
      </c>
      <c r="K35" s="8" t="str">
        <f>IF(B35="","",IF(AND(I35="",J35=""),"Unknown",IF(OR(AND(ISNUMBER(I35),I35=0),AND(ISNUMBER(J35),J35&lt;=EDATE('Scoring Settings'!$B$4,-'Scoring Settings'!$B$5))),"Not in use",IF(AND(ISNUMBER(I35),I35&lt;'Scoring Settings'!$B$6),"Low use","Active"))))</f>
        <v>Low use</v>
      </c>
      <c r="L35" s="5">
        <v>1</v>
      </c>
      <c r="M35" s="5">
        <v>3</v>
      </c>
      <c r="N35" s="5" t="s">
        <v>678</v>
      </c>
      <c r="O35" s="5" t="s">
        <v>130</v>
      </c>
      <c r="P35" s="5" t="s">
        <v>679</v>
      </c>
      <c r="Q35" s="9">
        <v>2</v>
      </c>
      <c r="R35" s="5" t="s">
        <v>93</v>
      </c>
      <c r="S35" s="5" t="s">
        <v>72</v>
      </c>
      <c r="T35" s="5" t="s">
        <v>134</v>
      </c>
      <c r="U35" s="7">
        <v>44561</v>
      </c>
      <c r="V35" s="5" t="s">
        <v>95</v>
      </c>
      <c r="W35" s="6">
        <v>48</v>
      </c>
      <c r="X35" s="5" t="s">
        <v>79</v>
      </c>
      <c r="Y35" s="9">
        <v>7</v>
      </c>
      <c r="Z35" s="5" t="s">
        <v>79</v>
      </c>
      <c r="AA35" s="5" t="s">
        <v>110</v>
      </c>
      <c r="AB35" s="9">
        <v>5</v>
      </c>
      <c r="AC35" s="5" t="s">
        <v>82</v>
      </c>
      <c r="AD35" s="5" t="s">
        <v>79</v>
      </c>
      <c r="AE35" s="5" t="s">
        <v>79</v>
      </c>
      <c r="AF35" s="10">
        <v>16000</v>
      </c>
      <c r="AG35" s="7">
        <v>46507</v>
      </c>
      <c r="AH35" s="10">
        <v>6500</v>
      </c>
      <c r="AI35" s="10">
        <v>75000</v>
      </c>
      <c r="AJ35" s="11">
        <f t="shared" si="0"/>
        <v>1.04</v>
      </c>
      <c r="AK35" s="12">
        <f>IF(B35="","",OR(K35="Not in use",K35="Low use")+AND(N35&lt;&gt;"",N35&lt;&gt;"TBD")+AND(ISNUMBER(U35),U35&lt;=EDATE('Scoring Settings'!$B$4,'Scoring Settings'!$B$8))+AND(ISNUMBER(L35),L35&lt;='Scoring Settings'!$B$7))</f>
        <v>4</v>
      </c>
      <c r="AL35" s="5" t="s">
        <v>223</v>
      </c>
      <c r="AM35" s="8" t="str">
        <f>IF(B35="","",IF(Z35="N","Easy",IF(OR(AND(ISNUMBER(AB35),AB35&gt;'Scoring Settings'!$B$11),AND(ISNUMBER(W35),W35&gt;'Scoring Settings'!$B$12),AND(ISNUMBER(M35),M35&lt;='Scoring Settings'!$B$13)),"High","Medium")))</f>
        <v>Easy</v>
      </c>
      <c r="AN35" s="5" t="s">
        <v>196</v>
      </c>
      <c r="AO35" s="7">
        <v>44347</v>
      </c>
      <c r="AP35" s="5" t="s">
        <v>372</v>
      </c>
      <c r="AQ35" s="29" t="s">
        <v>499</v>
      </c>
    </row>
    <row r="36" spans="1:43">
      <c r="A36" s="28">
        <v>145984</v>
      </c>
      <c r="B36" s="5" t="s">
        <v>708</v>
      </c>
      <c r="C36" s="5" t="s">
        <v>126</v>
      </c>
      <c r="D36" s="5" t="s">
        <v>88</v>
      </c>
      <c r="E36" s="5" t="s">
        <v>68</v>
      </c>
      <c r="F36" s="5"/>
      <c r="G36" s="5"/>
      <c r="H36" s="5"/>
      <c r="I36" s="6">
        <v>4</v>
      </c>
      <c r="J36" s="7">
        <v>44263</v>
      </c>
      <c r="K36" s="8" t="str">
        <f>IF(B36="","",IF(AND(I36="",J36=""),"Unknown",IF(OR(AND(ISNUMBER(I36),I36=0),AND(ISNUMBER(J36),J36&lt;=EDATE('Scoring Settings'!$B$4,-'Scoring Settings'!$B$5))),"Not in use",IF(AND(ISNUMBER(I36),I36&lt;'Scoring Settings'!$B$6),"Low use","Active"))))</f>
        <v>Low use</v>
      </c>
      <c r="L36" s="5">
        <v>2</v>
      </c>
      <c r="M36" s="5">
        <v>4</v>
      </c>
      <c r="N36" s="5" t="s">
        <v>72</v>
      </c>
      <c r="O36" s="5" t="s">
        <v>73</v>
      </c>
      <c r="P36" s="5" t="s">
        <v>709</v>
      </c>
      <c r="Q36" s="9">
        <v>1</v>
      </c>
      <c r="R36" s="5" t="s">
        <v>251</v>
      </c>
      <c r="S36" s="5" t="s">
        <v>133</v>
      </c>
      <c r="T36" s="5" t="s">
        <v>72</v>
      </c>
      <c r="U36" s="7">
        <v>44165</v>
      </c>
      <c r="V36" s="5" t="s">
        <v>135</v>
      </c>
      <c r="W36" s="6">
        <v>8</v>
      </c>
      <c r="X36" s="5" t="s">
        <v>79</v>
      </c>
      <c r="Y36" s="9">
        <v>5</v>
      </c>
      <c r="Z36" s="5" t="s">
        <v>79</v>
      </c>
      <c r="AA36" s="5" t="s">
        <v>110</v>
      </c>
      <c r="AB36" s="9">
        <v>1</v>
      </c>
      <c r="AC36" s="5" t="s">
        <v>80</v>
      </c>
      <c r="AD36" s="5" t="s">
        <v>79</v>
      </c>
      <c r="AE36" s="5" t="s">
        <v>80</v>
      </c>
      <c r="AF36" s="10">
        <v>29500</v>
      </c>
      <c r="AG36" s="7">
        <v>47726</v>
      </c>
      <c r="AH36" s="10">
        <v>32000</v>
      </c>
      <c r="AI36" s="10">
        <v>88500</v>
      </c>
      <c r="AJ36" s="11">
        <f t="shared" si="0"/>
        <v>4.3389830508474576</v>
      </c>
      <c r="AK36" s="12">
        <f>IF(B36="","",OR(K36="Not in use",K36="Low use")+AND(N36&lt;&gt;"",N36&lt;&gt;"TBD")+AND(ISNUMBER(U36),U36&lt;=EDATE('Scoring Settings'!$B$4,'Scoring Settings'!$B$8))+AND(ISNUMBER(L36),L36&lt;='Scoring Settings'!$B$7))</f>
        <v>3</v>
      </c>
      <c r="AL36" s="5" t="s">
        <v>223</v>
      </c>
      <c r="AM36" s="8" t="str">
        <f>IF(B36="","",IF(Z36="N","Easy",IF(OR(AND(ISNUMBER(AB36),AB36&gt;'Scoring Settings'!$B$11),AND(ISNUMBER(W36),W36&gt;'Scoring Settings'!$B$12),AND(ISNUMBER(M36),M36&lt;='Scoring Settings'!$B$13)),"High","Medium")))</f>
        <v>Easy</v>
      </c>
      <c r="AN36" s="5" t="s">
        <v>196</v>
      </c>
      <c r="AO36" s="7">
        <v>44500</v>
      </c>
      <c r="AP36" s="5" t="s">
        <v>359</v>
      </c>
      <c r="AQ36" s="29" t="s">
        <v>499</v>
      </c>
    </row>
    <row r="37" spans="1:43">
      <c r="A37" s="28">
        <v>140092</v>
      </c>
      <c r="B37" s="5" t="s">
        <v>728</v>
      </c>
      <c r="C37" s="5" t="s">
        <v>338</v>
      </c>
      <c r="D37" s="5" t="s">
        <v>139</v>
      </c>
      <c r="E37" s="5" t="s">
        <v>68</v>
      </c>
      <c r="F37" s="5"/>
      <c r="G37" s="5"/>
      <c r="H37" s="5"/>
      <c r="I37" s="6">
        <v>19</v>
      </c>
      <c r="J37" s="7">
        <v>44311</v>
      </c>
      <c r="K37" s="8" t="str">
        <f>IF(B37="","",IF(AND(I37="",J37=""),"Unknown",IF(OR(AND(ISNUMBER(I37),I37=0),AND(ISNUMBER(J37),J37&lt;=EDATE('Scoring Settings'!$B$4,-'Scoring Settings'!$B$5))),"Not in use",IF(AND(ISNUMBER(I37),I37&lt;'Scoring Settings'!$B$6),"Low use","Active"))))</f>
        <v>Low use</v>
      </c>
      <c r="L37" s="5">
        <v>2</v>
      </c>
      <c r="M37" s="5">
        <v>4</v>
      </c>
      <c r="N37" s="5" t="s">
        <v>72</v>
      </c>
      <c r="O37" s="5" t="s">
        <v>73</v>
      </c>
      <c r="P37" s="5" t="s">
        <v>729</v>
      </c>
      <c r="Q37" s="9">
        <v>2</v>
      </c>
      <c r="R37" s="5" t="s">
        <v>358</v>
      </c>
      <c r="S37" s="5" t="s">
        <v>133</v>
      </c>
      <c r="T37" s="5" t="s">
        <v>184</v>
      </c>
      <c r="U37" s="7">
        <v>43555</v>
      </c>
      <c r="V37" s="5" t="s">
        <v>135</v>
      </c>
      <c r="W37" s="6">
        <v>450</v>
      </c>
      <c r="X37" s="5" t="s">
        <v>80</v>
      </c>
      <c r="Y37" s="9">
        <v>10</v>
      </c>
      <c r="Z37" s="5" t="s">
        <v>80</v>
      </c>
      <c r="AA37" s="5" t="s">
        <v>205</v>
      </c>
      <c r="AB37" s="9">
        <v>3</v>
      </c>
      <c r="AC37" s="5" t="s">
        <v>82</v>
      </c>
      <c r="AD37" s="5" t="s">
        <v>79</v>
      </c>
      <c r="AE37" s="5" t="s">
        <v>82</v>
      </c>
      <c r="AF37" s="10">
        <v>31500</v>
      </c>
      <c r="AG37" s="7">
        <v>48273</v>
      </c>
      <c r="AH37" s="10">
        <v>30500</v>
      </c>
      <c r="AI37" s="10">
        <v>89000</v>
      </c>
      <c r="AJ37" s="11">
        <f t="shared" si="0"/>
        <v>4.1123595505617976</v>
      </c>
      <c r="AK37" s="12">
        <f>IF(B37="","",OR(K37="Not in use",K37="Low use")+AND(N37&lt;&gt;"",N37&lt;&gt;"TBD")+AND(ISNUMBER(U37),U37&lt;=EDATE('Scoring Settings'!$B$4,'Scoring Settings'!$B$8))+AND(ISNUMBER(L37),L37&lt;='Scoring Settings'!$B$7))</f>
        <v>3</v>
      </c>
      <c r="AL37" s="5" t="s">
        <v>96</v>
      </c>
      <c r="AM37" s="8" t="str">
        <f>IF(B37="","",IF(Z37="N","Easy",IF(OR(AND(ISNUMBER(AB37),AB37&gt;'Scoring Settings'!$B$11),AND(ISNUMBER(W37),W37&gt;'Scoring Settings'!$B$12),AND(ISNUMBER(M37),M37&lt;='Scoring Settings'!$B$13)),"High","Medium")))</f>
        <v>Medium</v>
      </c>
      <c r="AN37" s="5" t="s">
        <v>196</v>
      </c>
      <c r="AO37" s="7">
        <v>44530</v>
      </c>
      <c r="AP37" s="5" t="s">
        <v>359</v>
      </c>
      <c r="AQ37" s="29" t="s">
        <v>276</v>
      </c>
    </row>
    <row r="38" spans="1:43">
      <c r="A38" s="28">
        <v>180343</v>
      </c>
      <c r="B38" s="5" t="s">
        <v>736</v>
      </c>
      <c r="C38" s="5" t="s">
        <v>423</v>
      </c>
      <c r="D38" s="5" t="s">
        <v>67</v>
      </c>
      <c r="E38" s="5" t="s">
        <v>68</v>
      </c>
      <c r="F38" s="5"/>
      <c r="G38" s="5"/>
      <c r="H38" s="5"/>
      <c r="I38" s="6">
        <v>0</v>
      </c>
      <c r="J38" s="7">
        <v>44243</v>
      </c>
      <c r="K38" s="8" t="str">
        <f>IF(B38="","",IF(AND(I38="",J38=""),"Unknown",IF(OR(AND(ISNUMBER(I38),I38=0),AND(ISNUMBER(J38),J38&lt;=EDATE('Scoring Settings'!$B$4,-'Scoring Settings'!$B$5))),"Not in use",IF(AND(ISNUMBER(I38),I38&lt;'Scoring Settings'!$B$6),"Low use","Active"))))</f>
        <v>Not in use</v>
      </c>
      <c r="L38" s="5">
        <v>1</v>
      </c>
      <c r="M38" s="5">
        <v>4</v>
      </c>
      <c r="N38" s="5"/>
      <c r="O38" s="5" t="s">
        <v>73</v>
      </c>
      <c r="P38" s="5" t="s">
        <v>737</v>
      </c>
      <c r="Q38" s="9">
        <v>3</v>
      </c>
      <c r="R38" s="5" t="s">
        <v>478</v>
      </c>
      <c r="S38" s="5" t="s">
        <v>479</v>
      </c>
      <c r="T38" s="5" t="s">
        <v>109</v>
      </c>
      <c r="U38" s="7">
        <v>43844</v>
      </c>
      <c r="V38" s="5" t="s">
        <v>135</v>
      </c>
      <c r="W38" s="6">
        <v>13050</v>
      </c>
      <c r="X38" s="5" t="s">
        <v>80</v>
      </c>
      <c r="Y38" s="9">
        <v>10</v>
      </c>
      <c r="Z38" s="5" t="s">
        <v>80</v>
      </c>
      <c r="AA38" s="5" t="s">
        <v>81</v>
      </c>
      <c r="AB38" s="9">
        <v>3</v>
      </c>
      <c r="AC38" s="5" t="s">
        <v>79</v>
      </c>
      <c r="AD38" s="5" t="s">
        <v>79</v>
      </c>
      <c r="AE38" s="5" t="s">
        <v>82</v>
      </c>
      <c r="AF38" s="10">
        <v>40500</v>
      </c>
      <c r="AG38" s="7">
        <v>48730</v>
      </c>
      <c r="AH38" s="10">
        <v>306500</v>
      </c>
      <c r="AI38" s="10">
        <v>63500</v>
      </c>
      <c r="AJ38" s="11">
        <f t="shared" si="0"/>
        <v>57.921259842519689</v>
      </c>
      <c r="AK38" s="12">
        <f>IF(B38="","",OR(K38="Not in use",K38="Low use")+AND(N38&lt;&gt;"",N38&lt;&gt;"TBD")+AND(ISNUMBER(U38),U38&lt;=EDATE('Scoring Settings'!$B$4,'Scoring Settings'!$B$8))+AND(ISNUMBER(L38),L38&lt;='Scoring Settings'!$B$7))</f>
        <v>3</v>
      </c>
      <c r="AL38" s="5" t="s">
        <v>96</v>
      </c>
      <c r="AM38" s="8" t="str">
        <f>IF(B38="","",IF(Z38="N","Easy",IF(OR(AND(ISNUMBER(AB38),AB38&gt;'Scoring Settings'!$B$11),AND(ISNUMBER(W38),W38&gt;'Scoring Settings'!$B$12),AND(ISNUMBER(M38),M38&lt;='Scoring Settings'!$B$13)),"High","Medium")))</f>
        <v>High</v>
      </c>
      <c r="AN38" s="5" t="s">
        <v>196</v>
      </c>
      <c r="AO38" s="7">
        <v>44255</v>
      </c>
      <c r="AP38" s="5" t="s">
        <v>372</v>
      </c>
      <c r="AQ38" s="29" t="s">
        <v>738</v>
      </c>
    </row>
    <row r="39" spans="1:43">
      <c r="A39" s="28">
        <v>34980</v>
      </c>
      <c r="B39" s="5" t="s">
        <v>765</v>
      </c>
      <c r="C39" s="5" t="s">
        <v>522</v>
      </c>
      <c r="D39" s="5" t="s">
        <v>297</v>
      </c>
      <c r="E39" s="5" t="s">
        <v>68</v>
      </c>
      <c r="F39" s="5"/>
      <c r="G39" s="5"/>
      <c r="H39" s="5"/>
      <c r="I39" s="6">
        <v>11</v>
      </c>
      <c r="J39" s="7">
        <v>44229</v>
      </c>
      <c r="K39" s="8" t="str">
        <f>IF(B39="","",IF(AND(I39="",J39=""),"Unknown",IF(OR(AND(ISNUMBER(I39),I39=0),AND(ISNUMBER(J39),J39&lt;=EDATE('Scoring Settings'!$B$4,-'Scoring Settings'!$B$5))),"Not in use",IF(AND(ISNUMBER(I39),I39&lt;'Scoring Settings'!$B$6),"Low use","Active"))))</f>
        <v>Low use</v>
      </c>
      <c r="L39" s="5">
        <v>2</v>
      </c>
      <c r="M39" s="5">
        <v>4</v>
      </c>
      <c r="N39" s="5" t="s">
        <v>306</v>
      </c>
      <c r="O39" s="5" t="s">
        <v>73</v>
      </c>
      <c r="P39" s="5" t="s">
        <v>766</v>
      </c>
      <c r="Q39" s="9">
        <v>3</v>
      </c>
      <c r="R39" s="5" t="s">
        <v>239</v>
      </c>
      <c r="S39" s="5" t="s">
        <v>240</v>
      </c>
      <c r="T39" s="5" t="s">
        <v>109</v>
      </c>
      <c r="U39" s="7">
        <v>44316</v>
      </c>
      <c r="V39" s="5" t="s">
        <v>135</v>
      </c>
      <c r="W39" s="6">
        <v>1</v>
      </c>
      <c r="X39" s="5" t="s">
        <v>80</v>
      </c>
      <c r="Y39" s="9">
        <v>7</v>
      </c>
      <c r="Z39" s="5" t="s">
        <v>79</v>
      </c>
      <c r="AA39" s="5" t="s">
        <v>110</v>
      </c>
      <c r="AB39" s="9">
        <v>3</v>
      </c>
      <c r="AC39" s="5" t="s">
        <v>79</v>
      </c>
      <c r="AD39" s="5" t="s">
        <v>79</v>
      </c>
      <c r="AE39" s="5" t="s">
        <v>80</v>
      </c>
      <c r="AF39" s="10">
        <v>45500</v>
      </c>
      <c r="AG39" s="7">
        <v>46721</v>
      </c>
      <c r="AH39" s="10">
        <v>36000</v>
      </c>
      <c r="AI39" s="10">
        <v>55000</v>
      </c>
      <c r="AJ39" s="11">
        <f t="shared" si="0"/>
        <v>7.8545454545454545</v>
      </c>
      <c r="AK39" s="12">
        <f>IF(B39="","",OR(K39="Not in use",K39="Low use")+AND(N39&lt;&gt;"",N39&lt;&gt;"TBD")+AND(ISNUMBER(U39),U39&lt;=EDATE('Scoring Settings'!$B$4,'Scoring Settings'!$B$8))+AND(ISNUMBER(L39),L39&lt;='Scoring Settings'!$B$7))</f>
        <v>4</v>
      </c>
      <c r="AL39" s="5" t="s">
        <v>223</v>
      </c>
      <c r="AM39" s="8" t="str">
        <f>IF(B39="","",IF(Z39="N","Easy",IF(OR(AND(ISNUMBER(AB39),AB39&gt;'Scoring Settings'!$B$11),AND(ISNUMBER(W39),W39&gt;'Scoring Settings'!$B$12),AND(ISNUMBER(M39),M39&lt;='Scoring Settings'!$B$13)),"High","Medium")))</f>
        <v>Easy</v>
      </c>
      <c r="AN39" s="5" t="s">
        <v>196</v>
      </c>
      <c r="AO39" s="7">
        <v>44469</v>
      </c>
      <c r="AP39" s="5" t="s">
        <v>359</v>
      </c>
      <c r="AQ39" s="29" t="s">
        <v>252</v>
      </c>
    </row>
    <row r="40" spans="1:43">
      <c r="A40" s="28">
        <v>23345</v>
      </c>
      <c r="B40" s="5" t="s">
        <v>781</v>
      </c>
      <c r="C40" s="5" t="s">
        <v>338</v>
      </c>
      <c r="D40" s="5" t="s">
        <v>139</v>
      </c>
      <c r="E40" s="5" t="s">
        <v>68</v>
      </c>
      <c r="F40" s="5"/>
      <c r="G40" s="5"/>
      <c r="H40" s="5"/>
      <c r="I40" s="6">
        <v>7</v>
      </c>
      <c r="J40" s="7">
        <v>44209</v>
      </c>
      <c r="K40" s="8" t="str">
        <f>IF(B40="","",IF(AND(I40="",J40=""),"Unknown",IF(OR(AND(ISNUMBER(I40),I40=0),AND(ISNUMBER(J40),J40&lt;=EDATE('Scoring Settings'!$B$4,-'Scoring Settings'!$B$5))),"Not in use",IF(AND(ISNUMBER(I40),I40&lt;'Scoring Settings'!$B$6),"Low use","Active"))))</f>
        <v>Low use</v>
      </c>
      <c r="L40" s="5">
        <v>1</v>
      </c>
      <c r="M40" s="5">
        <v>4</v>
      </c>
      <c r="N40" s="5"/>
      <c r="O40" s="5" t="s">
        <v>73</v>
      </c>
      <c r="P40" s="5" t="s">
        <v>782</v>
      </c>
      <c r="Q40" s="9">
        <v>1</v>
      </c>
      <c r="R40" s="5" t="s">
        <v>75</v>
      </c>
      <c r="S40" s="5" t="s">
        <v>76</v>
      </c>
      <c r="T40" s="5" t="s">
        <v>77</v>
      </c>
      <c r="U40" s="7">
        <v>46399</v>
      </c>
      <c r="V40" s="5" t="s">
        <v>95</v>
      </c>
      <c r="W40" s="6">
        <v>180</v>
      </c>
      <c r="X40" s="5" t="s">
        <v>80</v>
      </c>
      <c r="Y40" s="9">
        <v>10</v>
      </c>
      <c r="Z40" s="5" t="s">
        <v>80</v>
      </c>
      <c r="AA40" s="5" t="s">
        <v>205</v>
      </c>
      <c r="AB40" s="9">
        <v>2</v>
      </c>
      <c r="AC40" s="5" t="s">
        <v>82</v>
      </c>
      <c r="AD40" s="5" t="s">
        <v>82</v>
      </c>
      <c r="AE40" s="5" t="s">
        <v>82</v>
      </c>
      <c r="AF40" s="10">
        <v>11500</v>
      </c>
      <c r="AG40" s="7">
        <v>47603</v>
      </c>
      <c r="AH40" s="10">
        <v>14000</v>
      </c>
      <c r="AI40" s="10">
        <v>68500</v>
      </c>
      <c r="AJ40" s="11">
        <f t="shared" si="0"/>
        <v>2.4525547445255476</v>
      </c>
      <c r="AK40" s="12">
        <f>IF(B40="","",OR(K40="Not in use",K40="Low use")+AND(N40&lt;&gt;"",N40&lt;&gt;"TBD")+AND(ISNUMBER(U40),U40&lt;=EDATE('Scoring Settings'!$B$4,'Scoring Settings'!$B$8))+AND(ISNUMBER(L40),L40&lt;='Scoring Settings'!$B$7))</f>
        <v>2</v>
      </c>
      <c r="AL40" s="5" t="s">
        <v>96</v>
      </c>
      <c r="AM40" s="8" t="str">
        <f>IF(B40="","",IF(Z40="N","Easy",IF(OR(AND(ISNUMBER(AB40),AB40&gt;'Scoring Settings'!$B$11),AND(ISNUMBER(W40),W40&gt;'Scoring Settings'!$B$12),AND(ISNUMBER(M40),M40&lt;='Scoring Settings'!$B$13)),"High","Medium")))</f>
        <v>Medium</v>
      </c>
      <c r="AN40" s="5" t="s">
        <v>196</v>
      </c>
      <c r="AO40" s="7">
        <v>44530</v>
      </c>
      <c r="AP40" s="5" t="s">
        <v>359</v>
      </c>
      <c r="AQ40" s="29" t="s">
        <v>669</v>
      </c>
    </row>
    <row r="41" spans="1:43">
      <c r="A41" s="28">
        <v>123490</v>
      </c>
      <c r="B41" s="5" t="s">
        <v>807</v>
      </c>
      <c r="C41" s="5" t="s">
        <v>325</v>
      </c>
      <c r="D41" s="5" t="s">
        <v>139</v>
      </c>
      <c r="E41" s="5" t="s">
        <v>68</v>
      </c>
      <c r="F41" s="5"/>
      <c r="G41" s="5"/>
      <c r="H41" s="5"/>
      <c r="I41" s="6">
        <v>0</v>
      </c>
      <c r="J41" s="7">
        <v>44309</v>
      </c>
      <c r="K41" s="8" t="str">
        <f>IF(B41="","",IF(AND(I41="",J41=""),"Unknown",IF(OR(AND(ISNUMBER(I41),I41=0),AND(ISNUMBER(J41),J41&lt;=EDATE('Scoring Settings'!$B$4,-'Scoring Settings'!$B$5))),"Not in use",IF(AND(ISNUMBER(I41),I41&lt;'Scoring Settings'!$B$6),"Low use","Active"))))</f>
        <v>Not in use</v>
      </c>
      <c r="L41" s="5">
        <v>2</v>
      </c>
      <c r="M41" s="5">
        <v>3</v>
      </c>
      <c r="N41" s="5" t="s">
        <v>401</v>
      </c>
      <c r="O41" s="5" t="s">
        <v>130</v>
      </c>
      <c r="P41" s="5" t="s">
        <v>808</v>
      </c>
      <c r="Q41" s="9">
        <v>3</v>
      </c>
      <c r="R41" s="5" t="s">
        <v>75</v>
      </c>
      <c r="S41" s="5" t="s">
        <v>76</v>
      </c>
      <c r="T41" s="5" t="s">
        <v>168</v>
      </c>
      <c r="U41" s="7">
        <v>46399</v>
      </c>
      <c r="V41" s="5" t="s">
        <v>135</v>
      </c>
      <c r="W41" s="6">
        <v>390</v>
      </c>
      <c r="X41" s="5" t="s">
        <v>80</v>
      </c>
      <c r="Y41" s="9">
        <v>7</v>
      </c>
      <c r="Z41" s="5" t="s">
        <v>79</v>
      </c>
      <c r="AA41" s="5" t="s">
        <v>110</v>
      </c>
      <c r="AB41" s="9">
        <v>4</v>
      </c>
      <c r="AC41" s="5" t="s">
        <v>79</v>
      </c>
      <c r="AD41" s="5" t="s">
        <v>82</v>
      </c>
      <c r="AE41" s="5" t="s">
        <v>79</v>
      </c>
      <c r="AF41" s="10">
        <v>30500</v>
      </c>
      <c r="AG41" s="7">
        <v>49248</v>
      </c>
      <c r="AH41" s="10">
        <v>34500</v>
      </c>
      <c r="AI41" s="10">
        <v>29000</v>
      </c>
      <c r="AJ41" s="11">
        <f t="shared" si="0"/>
        <v>14.275862068965518</v>
      </c>
      <c r="AK41" s="12">
        <f>IF(B41="","",OR(K41="Not in use",K41="Low use")+AND(N41&lt;&gt;"",N41&lt;&gt;"TBD")+AND(ISNUMBER(U41),U41&lt;=EDATE('Scoring Settings'!$B$4,'Scoring Settings'!$B$8))+AND(ISNUMBER(L41),L41&lt;='Scoring Settings'!$B$7))</f>
        <v>3</v>
      </c>
      <c r="AL41" s="5" t="s">
        <v>223</v>
      </c>
      <c r="AM41" s="8" t="str">
        <f>IF(B41="","",IF(Z41="N","Easy",IF(OR(AND(ISNUMBER(AB41),AB41&gt;'Scoring Settings'!$B$11),AND(ISNUMBER(W41),W41&gt;'Scoring Settings'!$B$12),AND(ISNUMBER(M41),M41&lt;='Scoring Settings'!$B$13)),"High","Medium")))</f>
        <v>Easy</v>
      </c>
      <c r="AN41" s="5" t="s">
        <v>196</v>
      </c>
      <c r="AO41" s="7">
        <v>44316</v>
      </c>
      <c r="AP41" s="5" t="s">
        <v>372</v>
      </c>
      <c r="AQ41" s="29" t="s">
        <v>383</v>
      </c>
    </row>
    <row r="42" spans="1:43">
      <c r="A42" s="28">
        <v>187110</v>
      </c>
      <c r="B42" s="5" t="s">
        <v>821</v>
      </c>
      <c r="C42" s="5" t="s">
        <v>325</v>
      </c>
      <c r="D42" s="5" t="s">
        <v>139</v>
      </c>
      <c r="E42" s="5" t="s">
        <v>68</v>
      </c>
      <c r="F42" s="5"/>
      <c r="G42" s="5"/>
      <c r="H42" s="5"/>
      <c r="I42" s="6">
        <v>0</v>
      </c>
      <c r="J42" s="7">
        <v>44234</v>
      </c>
      <c r="K42" s="8" t="str">
        <f>IF(B42="","",IF(AND(I42="",J42=""),"Unknown",IF(OR(AND(ISNUMBER(I42),I42=0),AND(ISNUMBER(J42),J42&lt;=EDATE('Scoring Settings'!$B$4,-'Scoring Settings'!$B$5))),"Not in use",IF(AND(ISNUMBER(I42),I42&lt;'Scoring Settings'!$B$6),"Low use","Active"))))</f>
        <v>Not in use</v>
      </c>
      <c r="L42" s="5">
        <v>4</v>
      </c>
      <c r="M42" s="5">
        <v>3</v>
      </c>
      <c r="N42" s="5" t="s">
        <v>350</v>
      </c>
      <c r="O42" s="5" t="s">
        <v>73</v>
      </c>
      <c r="P42" s="5" t="s">
        <v>822</v>
      </c>
      <c r="Q42" s="9">
        <v>4</v>
      </c>
      <c r="R42" s="5" t="s">
        <v>239</v>
      </c>
      <c r="S42" s="5" t="s">
        <v>240</v>
      </c>
      <c r="T42" s="5" t="s">
        <v>72</v>
      </c>
      <c r="U42" s="7">
        <v>44316</v>
      </c>
      <c r="V42" s="5" t="s">
        <v>95</v>
      </c>
      <c r="W42" s="6">
        <v>310</v>
      </c>
      <c r="X42" s="5" t="s">
        <v>79</v>
      </c>
      <c r="Y42" s="9">
        <v>3</v>
      </c>
      <c r="Z42" s="5" t="s">
        <v>79</v>
      </c>
      <c r="AA42" s="5" t="s">
        <v>110</v>
      </c>
      <c r="AB42" s="9">
        <v>5</v>
      </c>
      <c r="AC42" s="5" t="s">
        <v>80</v>
      </c>
      <c r="AD42" s="5" t="s">
        <v>79</v>
      </c>
      <c r="AE42" s="5" t="s">
        <v>79</v>
      </c>
      <c r="AF42" s="10">
        <v>43000</v>
      </c>
      <c r="AG42" s="7">
        <v>45869</v>
      </c>
      <c r="AH42" s="10">
        <v>49000</v>
      </c>
      <c r="AI42" s="10">
        <v>35000</v>
      </c>
      <c r="AJ42" s="11">
        <f t="shared" si="0"/>
        <v>16.799999999999997</v>
      </c>
      <c r="AK42" s="12">
        <f>IF(B42="","",OR(K42="Not in use",K42="Low use")+AND(N42&lt;&gt;"",N42&lt;&gt;"TBD")+AND(ISNUMBER(U42),U42&lt;=EDATE('Scoring Settings'!$B$4,'Scoring Settings'!$B$8))+AND(ISNUMBER(L42),L42&lt;='Scoring Settings'!$B$7))</f>
        <v>3</v>
      </c>
      <c r="AL42" s="5" t="s">
        <v>2217</v>
      </c>
      <c r="AM42" s="8" t="str">
        <f>IF(B42="","",IF(Z42="N","Easy",IF(OR(AND(ISNUMBER(AB42),AB42&gt;'Scoring Settings'!$B$11),AND(ISNUMBER(W42),W42&gt;'Scoring Settings'!$B$12),AND(ISNUMBER(M42),M42&lt;='Scoring Settings'!$B$13)),"High","Medium")))</f>
        <v>Easy</v>
      </c>
      <c r="AN42" s="5" t="s">
        <v>196</v>
      </c>
      <c r="AO42" s="7">
        <v>44255</v>
      </c>
      <c r="AP42" s="5" t="s">
        <v>372</v>
      </c>
      <c r="AQ42" s="29" t="s">
        <v>823</v>
      </c>
    </row>
    <row r="43" spans="1:43">
      <c r="A43" s="28">
        <v>122617</v>
      </c>
      <c r="B43" s="5" t="s">
        <v>838</v>
      </c>
      <c r="C43" s="5" t="s">
        <v>230</v>
      </c>
      <c r="D43" s="5" t="s">
        <v>115</v>
      </c>
      <c r="E43" s="5" t="s">
        <v>68</v>
      </c>
      <c r="F43" s="5"/>
      <c r="G43" s="5"/>
      <c r="H43" s="5"/>
      <c r="I43" s="6">
        <v>0</v>
      </c>
      <c r="J43" s="7">
        <v>44224</v>
      </c>
      <c r="K43" s="8" t="str">
        <f>IF(B43="","",IF(AND(I43="",J43=""),"Unknown",IF(OR(AND(ISNUMBER(I43),I43=0),AND(ISNUMBER(J43),J43&lt;=EDATE('Scoring Settings'!$B$4,-'Scoring Settings'!$B$5))),"Not in use",IF(AND(ISNUMBER(I43),I43&lt;'Scoring Settings'!$B$6),"Low use","Active"))))</f>
        <v>Not in use</v>
      </c>
      <c r="L43" s="5">
        <v>2</v>
      </c>
      <c r="M43" s="5">
        <v>4</v>
      </c>
      <c r="N43" s="5" t="s">
        <v>549</v>
      </c>
      <c r="O43" s="5" t="s">
        <v>130</v>
      </c>
      <c r="P43" s="5" t="s">
        <v>839</v>
      </c>
      <c r="Q43" s="9">
        <v>1</v>
      </c>
      <c r="R43" s="5" t="s">
        <v>335</v>
      </c>
      <c r="S43" s="5" t="s">
        <v>336</v>
      </c>
      <c r="T43" s="5" t="s">
        <v>168</v>
      </c>
      <c r="U43" s="7">
        <v>45473</v>
      </c>
      <c r="V43" s="5" t="s">
        <v>135</v>
      </c>
      <c r="W43" s="6">
        <v>430</v>
      </c>
      <c r="X43" s="5" t="s">
        <v>80</v>
      </c>
      <c r="Y43" s="9">
        <v>5</v>
      </c>
      <c r="Z43" s="5" t="s">
        <v>80</v>
      </c>
      <c r="AA43" s="5" t="s">
        <v>185</v>
      </c>
      <c r="AB43" s="9">
        <v>0</v>
      </c>
      <c r="AC43" s="5" t="s">
        <v>82</v>
      </c>
      <c r="AD43" s="5" t="s">
        <v>80</v>
      </c>
      <c r="AE43" s="5" t="s">
        <v>80</v>
      </c>
      <c r="AF43" s="10">
        <v>13000</v>
      </c>
      <c r="AG43" s="7">
        <v>48487</v>
      </c>
      <c r="AH43" s="10">
        <v>13000</v>
      </c>
      <c r="AI43" s="10">
        <v>8500</v>
      </c>
      <c r="AJ43" s="11">
        <f t="shared" si="0"/>
        <v>18.352941176470587</v>
      </c>
      <c r="AK43" s="12">
        <f>IF(B43="","",OR(K43="Not in use",K43="Low use")+AND(N43&lt;&gt;"",N43&lt;&gt;"TBD")+AND(ISNUMBER(U43),U43&lt;=EDATE('Scoring Settings'!$B$4,'Scoring Settings'!$B$8))+AND(ISNUMBER(L43),L43&lt;='Scoring Settings'!$B$7))</f>
        <v>3</v>
      </c>
      <c r="AL43" s="5" t="s">
        <v>96</v>
      </c>
      <c r="AM43" s="8" t="str">
        <f>IF(B43="","",IF(Z43="N","Easy",IF(OR(AND(ISNUMBER(AB43),AB43&gt;'Scoring Settings'!$B$11),AND(ISNUMBER(W43),W43&gt;'Scoring Settings'!$B$12),AND(ISNUMBER(M43),M43&lt;='Scoring Settings'!$B$13)),"High","Medium")))</f>
        <v>Medium</v>
      </c>
      <c r="AN43" s="5" t="s">
        <v>196</v>
      </c>
      <c r="AO43" s="7">
        <v>44227</v>
      </c>
      <c r="AP43" s="5" t="s">
        <v>372</v>
      </c>
      <c r="AQ43" s="29" t="s">
        <v>840</v>
      </c>
    </row>
    <row r="44" spans="1:43">
      <c r="A44" s="28">
        <v>111142</v>
      </c>
      <c r="B44" s="5" t="s">
        <v>853</v>
      </c>
      <c r="C44" s="5" t="s">
        <v>338</v>
      </c>
      <c r="D44" s="5" t="s">
        <v>139</v>
      </c>
      <c r="E44" s="5" t="s">
        <v>311</v>
      </c>
      <c r="F44" s="5"/>
      <c r="G44" s="5"/>
      <c r="H44" s="5"/>
      <c r="I44" s="6">
        <v>0</v>
      </c>
      <c r="J44" s="7">
        <v>43932</v>
      </c>
      <c r="K44" s="8" t="str">
        <f>IF(B44="","",IF(AND(I44="",J44=""),"Unknown",IF(OR(AND(ISNUMBER(I44),I44=0),AND(ISNUMBER(J44),J44&lt;=EDATE('Scoring Settings'!$B$4,-'Scoring Settings'!$B$5))),"Not in use",IF(AND(ISNUMBER(I44),I44&lt;'Scoring Settings'!$B$6),"Low use","Active"))))</f>
        <v>Not in use</v>
      </c>
      <c r="L44" s="5">
        <v>3</v>
      </c>
      <c r="M44" s="5">
        <v>3</v>
      </c>
      <c r="N44" s="5"/>
      <c r="O44" s="5" t="s">
        <v>73</v>
      </c>
      <c r="P44" s="5" t="s">
        <v>854</v>
      </c>
      <c r="Q44" s="9">
        <v>2</v>
      </c>
      <c r="R44" s="5" t="s">
        <v>358</v>
      </c>
      <c r="S44" s="5" t="s">
        <v>133</v>
      </c>
      <c r="T44" s="5" t="s">
        <v>122</v>
      </c>
      <c r="U44" s="7">
        <v>43555</v>
      </c>
      <c r="V44" s="5" t="s">
        <v>78</v>
      </c>
      <c r="W44" s="6">
        <v>9</v>
      </c>
      <c r="X44" s="5" t="s">
        <v>79</v>
      </c>
      <c r="Y44" s="9">
        <v>3</v>
      </c>
      <c r="Z44" s="5" t="s">
        <v>79</v>
      </c>
      <c r="AA44" s="5" t="s">
        <v>110</v>
      </c>
      <c r="AB44" s="9">
        <v>4</v>
      </c>
      <c r="AC44" s="5" t="s">
        <v>79</v>
      </c>
      <c r="AD44" s="5" t="s">
        <v>80</v>
      </c>
      <c r="AE44" s="5" t="s">
        <v>79</v>
      </c>
      <c r="AF44" s="10">
        <v>26000</v>
      </c>
      <c r="AG44" s="7">
        <v>48791</v>
      </c>
      <c r="AH44" s="10">
        <v>17500</v>
      </c>
      <c r="AI44" s="10">
        <v>22000</v>
      </c>
      <c r="AJ44" s="11">
        <f t="shared" si="0"/>
        <v>9.545454545454545</v>
      </c>
      <c r="AK44" s="12">
        <f>IF(B44="","",OR(K44="Not in use",K44="Low use")+AND(N44&lt;&gt;"",N44&lt;&gt;"TBD")+AND(ISNUMBER(U44),U44&lt;=EDATE('Scoring Settings'!$B$4,'Scoring Settings'!$B$8))+AND(ISNUMBER(L44),L44&lt;='Scoring Settings'!$B$7))</f>
        <v>2</v>
      </c>
      <c r="AL44" s="5" t="s">
        <v>223</v>
      </c>
      <c r="AM44" s="8" t="str">
        <f>IF(B44="","",IF(Z44="N","Easy",IF(OR(AND(ISNUMBER(AB44),AB44&gt;'Scoring Settings'!$B$11),AND(ISNUMBER(W44),W44&gt;'Scoring Settings'!$B$12),AND(ISNUMBER(M44),M44&lt;='Scoring Settings'!$B$13)),"High","Medium")))</f>
        <v>Easy</v>
      </c>
      <c r="AN44" s="5" t="s">
        <v>196</v>
      </c>
      <c r="AO44" s="7">
        <v>44408</v>
      </c>
      <c r="AP44" s="5" t="s">
        <v>359</v>
      </c>
      <c r="AQ44" s="29" t="s">
        <v>499</v>
      </c>
    </row>
    <row r="45" spans="1:43" ht="57">
      <c r="A45" s="28">
        <v>104856</v>
      </c>
      <c r="B45" s="5" t="s">
        <v>855</v>
      </c>
      <c r="C45" s="5" t="s">
        <v>114</v>
      </c>
      <c r="D45" s="5" t="s">
        <v>115</v>
      </c>
      <c r="E45" s="5" t="s">
        <v>68</v>
      </c>
      <c r="F45" s="5"/>
      <c r="G45" s="5"/>
      <c r="H45" s="5"/>
      <c r="I45" s="6">
        <v>8</v>
      </c>
      <c r="J45" s="7">
        <v>44272</v>
      </c>
      <c r="K45" s="8" t="str">
        <f>IF(B45="","",IF(AND(I45="",J45=""),"Unknown",IF(OR(AND(ISNUMBER(I45),I45=0),AND(ISNUMBER(J45),J45&lt;=EDATE('Scoring Settings'!$B$4,-'Scoring Settings'!$B$5))),"Not in use",IF(AND(ISNUMBER(I45),I45&lt;'Scoring Settings'!$B$6),"Low use","Active"))))</f>
        <v>Low use</v>
      </c>
      <c r="L45" s="5">
        <v>4</v>
      </c>
      <c r="M45" s="5">
        <v>3</v>
      </c>
      <c r="N45" s="5" t="s">
        <v>856</v>
      </c>
      <c r="O45" s="5" t="s">
        <v>73</v>
      </c>
      <c r="P45" s="5" t="s">
        <v>857</v>
      </c>
      <c r="Q45" s="9">
        <v>2</v>
      </c>
      <c r="R45" s="5" t="s">
        <v>245</v>
      </c>
      <c r="S45" s="5" t="s">
        <v>246</v>
      </c>
      <c r="T45" s="5" t="s">
        <v>77</v>
      </c>
      <c r="U45" s="7">
        <v>45777</v>
      </c>
      <c r="V45" s="5" t="s">
        <v>135</v>
      </c>
      <c r="W45" s="6">
        <v>300</v>
      </c>
      <c r="X45" s="5" t="s">
        <v>79</v>
      </c>
      <c r="Y45" s="9">
        <v>5</v>
      </c>
      <c r="Z45" s="5" t="s">
        <v>80</v>
      </c>
      <c r="AA45" s="5" t="s">
        <v>185</v>
      </c>
      <c r="AB45" s="9">
        <v>3</v>
      </c>
      <c r="AC45" s="5" t="s">
        <v>80</v>
      </c>
      <c r="AD45" s="5" t="s">
        <v>79</v>
      </c>
      <c r="AE45" s="5" t="s">
        <v>80</v>
      </c>
      <c r="AF45" s="10">
        <v>99500</v>
      </c>
      <c r="AG45" s="7">
        <v>46630</v>
      </c>
      <c r="AH45" s="10">
        <v>36000</v>
      </c>
      <c r="AI45" s="10">
        <v>74500</v>
      </c>
      <c r="AJ45" s="11">
        <f t="shared" si="0"/>
        <v>5.7986577181208059</v>
      </c>
      <c r="AK45" s="12">
        <f>IF(B45="","",OR(K45="Not in use",K45="Low use")+AND(N45&lt;&gt;"",N45&lt;&gt;"TBD")+AND(ISNUMBER(U45),U45&lt;=EDATE('Scoring Settings'!$B$4,'Scoring Settings'!$B$8))+AND(ISNUMBER(L45),L45&lt;='Scoring Settings'!$B$7))</f>
        <v>2</v>
      </c>
      <c r="AL45" s="5" t="s">
        <v>2217</v>
      </c>
      <c r="AM45" s="8" t="str">
        <f>IF(B45="","",IF(Z45="N","Easy",IF(OR(AND(ISNUMBER(AB45),AB45&gt;'Scoring Settings'!$B$11),AND(ISNUMBER(W45),W45&gt;'Scoring Settings'!$B$12),AND(ISNUMBER(M45),M45&lt;='Scoring Settings'!$B$13)),"High","Medium")))</f>
        <v>Medium</v>
      </c>
      <c r="AN45" s="5" t="s">
        <v>196</v>
      </c>
      <c r="AO45" s="7">
        <v>44408</v>
      </c>
      <c r="AP45" s="5" t="s">
        <v>359</v>
      </c>
      <c r="AQ45" s="29" t="s">
        <v>858</v>
      </c>
    </row>
    <row r="46" spans="1:43">
      <c r="A46" s="28">
        <v>51568</v>
      </c>
      <c r="B46" s="5" t="s">
        <v>874</v>
      </c>
      <c r="C46" s="5" t="s">
        <v>699</v>
      </c>
      <c r="D46" s="5" t="s">
        <v>297</v>
      </c>
      <c r="E46" s="5" t="s">
        <v>68</v>
      </c>
      <c r="F46" s="5"/>
      <c r="G46" s="5"/>
      <c r="H46" s="5"/>
      <c r="I46" s="6">
        <v>0</v>
      </c>
      <c r="J46" s="7">
        <v>44267</v>
      </c>
      <c r="K46" s="8" t="str">
        <f>IF(B46="","",IF(AND(I46="",J46=""),"Unknown",IF(OR(AND(ISNUMBER(I46),I46=0),AND(ISNUMBER(J46),J46&lt;=EDATE('Scoring Settings'!$B$4,-'Scoring Settings'!$B$5))),"Not in use",IF(AND(ISNUMBER(I46),I46&lt;'Scoring Settings'!$B$6),"Low use","Active"))))</f>
        <v>Not in use</v>
      </c>
      <c r="L46" s="5">
        <v>2</v>
      </c>
      <c r="M46" s="5">
        <v>3</v>
      </c>
      <c r="N46" s="5"/>
      <c r="O46" s="5" t="s">
        <v>73</v>
      </c>
      <c r="P46" s="5" t="s">
        <v>875</v>
      </c>
      <c r="Q46" s="9">
        <v>1</v>
      </c>
      <c r="R46" s="5" t="s">
        <v>182</v>
      </c>
      <c r="S46" s="5" t="s">
        <v>72</v>
      </c>
      <c r="T46" s="5" t="s">
        <v>77</v>
      </c>
      <c r="U46" s="7">
        <v>42855</v>
      </c>
      <c r="V46" s="5" t="s">
        <v>135</v>
      </c>
      <c r="W46" s="6">
        <v>190</v>
      </c>
      <c r="X46" s="5" t="s">
        <v>79</v>
      </c>
      <c r="Y46" s="9">
        <v>3</v>
      </c>
      <c r="Z46" s="5" t="s">
        <v>80</v>
      </c>
      <c r="AA46" s="5" t="s">
        <v>185</v>
      </c>
      <c r="AB46" s="9">
        <v>5</v>
      </c>
      <c r="AC46" s="5" t="s">
        <v>82</v>
      </c>
      <c r="AD46" s="5" t="s">
        <v>82</v>
      </c>
      <c r="AE46" s="5" t="s">
        <v>82</v>
      </c>
      <c r="AF46" s="10">
        <v>39000</v>
      </c>
      <c r="AG46" s="7">
        <v>48760</v>
      </c>
      <c r="AH46" s="10">
        <v>37500</v>
      </c>
      <c r="AI46" s="10">
        <v>28500</v>
      </c>
      <c r="AJ46" s="11">
        <f t="shared" si="0"/>
        <v>15.789473684210527</v>
      </c>
      <c r="AK46" s="12">
        <f>IF(B46="","",OR(K46="Not in use",K46="Low use")+AND(N46&lt;&gt;"",N46&lt;&gt;"TBD")+AND(ISNUMBER(U46),U46&lt;=EDATE('Scoring Settings'!$B$4,'Scoring Settings'!$B$8))+AND(ISNUMBER(L46),L46&lt;='Scoring Settings'!$B$7))</f>
        <v>3</v>
      </c>
      <c r="AL46" s="5" t="s">
        <v>96</v>
      </c>
      <c r="AM46" s="8" t="str">
        <f>IF(B46="","",IF(Z46="N","Easy",IF(OR(AND(ISNUMBER(AB46),AB46&gt;'Scoring Settings'!$B$11),AND(ISNUMBER(W46),W46&gt;'Scoring Settings'!$B$12),AND(ISNUMBER(M46),M46&lt;='Scoring Settings'!$B$13)),"High","Medium")))</f>
        <v>Medium</v>
      </c>
      <c r="AN46" s="5" t="s">
        <v>196</v>
      </c>
      <c r="AO46" s="7">
        <v>44286</v>
      </c>
      <c r="AP46" s="5" t="s">
        <v>372</v>
      </c>
      <c r="AQ46" s="29" t="s">
        <v>876</v>
      </c>
    </row>
    <row r="47" spans="1:43">
      <c r="A47" s="28">
        <v>195565</v>
      </c>
      <c r="B47" s="5" t="s">
        <v>892</v>
      </c>
      <c r="C47" s="5" t="s">
        <v>225</v>
      </c>
      <c r="D47" s="5" t="s">
        <v>67</v>
      </c>
      <c r="E47" s="5" t="s">
        <v>68</v>
      </c>
      <c r="F47" s="5"/>
      <c r="G47" s="5"/>
      <c r="H47" s="5"/>
      <c r="I47" s="6">
        <v>149</v>
      </c>
      <c r="J47" s="7">
        <v>44315</v>
      </c>
      <c r="K47" s="8" t="str">
        <f>IF(B47="","",IF(AND(I47="",J47=""),"Unknown",IF(OR(AND(ISNUMBER(I47),I47=0),AND(ISNUMBER(J47),J47&lt;=EDATE('Scoring Settings'!$B$4,-'Scoring Settings'!$B$5))),"Not in use",IF(AND(ISNUMBER(I47),I47&lt;'Scoring Settings'!$B$6),"Low use","Active"))))</f>
        <v>Active</v>
      </c>
      <c r="L47" s="5">
        <v>3</v>
      </c>
      <c r="M47" s="5">
        <v>4</v>
      </c>
      <c r="N47" s="5" t="s">
        <v>893</v>
      </c>
      <c r="O47" s="5" t="s">
        <v>73</v>
      </c>
      <c r="P47" s="5" t="s">
        <v>894</v>
      </c>
      <c r="Q47" s="9">
        <v>3</v>
      </c>
      <c r="R47" s="5" t="s">
        <v>166</v>
      </c>
      <c r="S47" s="5" t="s">
        <v>167</v>
      </c>
      <c r="T47" s="5" t="s">
        <v>184</v>
      </c>
      <c r="U47" s="7" t="s">
        <v>72</v>
      </c>
      <c r="V47" s="5" t="s">
        <v>95</v>
      </c>
      <c r="W47" s="6">
        <v>170</v>
      </c>
      <c r="X47" s="5" t="s">
        <v>80</v>
      </c>
      <c r="Y47" s="9">
        <v>10</v>
      </c>
      <c r="Z47" s="5" t="s">
        <v>79</v>
      </c>
      <c r="AA47" s="5" t="s">
        <v>110</v>
      </c>
      <c r="AB47" s="9">
        <v>0</v>
      </c>
      <c r="AC47" s="5" t="s">
        <v>79</v>
      </c>
      <c r="AD47" s="5" t="s">
        <v>79</v>
      </c>
      <c r="AE47" s="5" t="s">
        <v>79</v>
      </c>
      <c r="AF47" s="10">
        <v>48500</v>
      </c>
      <c r="AG47" s="7">
        <v>46356</v>
      </c>
      <c r="AH47" s="10">
        <v>38500</v>
      </c>
      <c r="AI47" s="10">
        <v>43000</v>
      </c>
      <c r="AJ47" s="11">
        <f t="shared" si="0"/>
        <v>10.744186046511629</v>
      </c>
      <c r="AK47" s="12">
        <f>IF(B47="","",OR(K47="Not in use",K47="Low use")+AND(N47&lt;&gt;"",N47&lt;&gt;"TBD")+AND(ISNUMBER(U47),U47&lt;=EDATE('Scoring Settings'!$B$4,'Scoring Settings'!$B$8))+AND(ISNUMBER(L47),L47&lt;='Scoring Settings'!$B$7))</f>
        <v>1</v>
      </c>
      <c r="AL47" s="5" t="s">
        <v>2217</v>
      </c>
      <c r="AM47" s="8" t="str">
        <f>IF(B47="","",IF(Z47="N","Easy",IF(OR(AND(ISNUMBER(AB47),AB47&gt;'Scoring Settings'!$B$11),AND(ISNUMBER(W47),W47&gt;'Scoring Settings'!$B$12),AND(ISNUMBER(M47),M47&lt;='Scoring Settings'!$B$13)),"High","Medium")))</f>
        <v>Easy</v>
      </c>
      <c r="AN47" s="5" t="s">
        <v>196</v>
      </c>
      <c r="AO47" s="7">
        <v>44439</v>
      </c>
      <c r="AP47" s="5" t="s">
        <v>359</v>
      </c>
      <c r="AQ47" s="29" t="s">
        <v>895</v>
      </c>
    </row>
    <row r="48" spans="1:43">
      <c r="A48" s="28">
        <v>48049</v>
      </c>
      <c r="B48" s="5" t="s">
        <v>914</v>
      </c>
      <c r="C48" s="5" t="s">
        <v>515</v>
      </c>
      <c r="D48" s="5" t="s">
        <v>102</v>
      </c>
      <c r="E48" s="5" t="s">
        <v>298</v>
      </c>
      <c r="F48" s="5"/>
      <c r="G48" s="5"/>
      <c r="H48" s="5"/>
      <c r="I48" s="6">
        <v>0</v>
      </c>
      <c r="J48" s="7">
        <v>44292</v>
      </c>
      <c r="K48" s="8" t="str">
        <f>IF(B48="","",IF(AND(I48="",J48=""),"Unknown",IF(OR(AND(ISNUMBER(I48),I48=0),AND(ISNUMBER(J48),J48&lt;=EDATE('Scoring Settings'!$B$4,-'Scoring Settings'!$B$5))),"Not in use",IF(AND(ISNUMBER(I48),I48&lt;'Scoring Settings'!$B$6),"Low use","Active"))))</f>
        <v>Not in use</v>
      </c>
      <c r="L48" s="5">
        <v>2</v>
      </c>
      <c r="M48" s="5">
        <v>4</v>
      </c>
      <c r="N48" s="5"/>
      <c r="O48" s="5" t="s">
        <v>73</v>
      </c>
      <c r="P48" s="5" t="s">
        <v>915</v>
      </c>
      <c r="Q48" s="9">
        <v>1</v>
      </c>
      <c r="R48" s="5" t="s">
        <v>132</v>
      </c>
      <c r="S48" s="5" t="s">
        <v>133</v>
      </c>
      <c r="T48" s="5" t="s">
        <v>184</v>
      </c>
      <c r="U48" s="7">
        <v>44227</v>
      </c>
      <c r="V48" s="5" t="s">
        <v>135</v>
      </c>
      <c r="W48" s="6">
        <v>67</v>
      </c>
      <c r="X48" s="5" t="s">
        <v>80</v>
      </c>
      <c r="Y48" s="9">
        <v>7</v>
      </c>
      <c r="Z48" s="5" t="s">
        <v>80</v>
      </c>
      <c r="AA48" s="5" t="s">
        <v>123</v>
      </c>
      <c r="AB48" s="9">
        <v>0</v>
      </c>
      <c r="AC48" s="5" t="s">
        <v>80</v>
      </c>
      <c r="AD48" s="5" t="s">
        <v>82</v>
      </c>
      <c r="AE48" s="5" t="s">
        <v>79</v>
      </c>
      <c r="AF48" s="10">
        <v>84500</v>
      </c>
      <c r="AG48" s="7">
        <v>46234</v>
      </c>
      <c r="AH48" s="10">
        <v>10000</v>
      </c>
      <c r="AI48" s="10">
        <v>89500</v>
      </c>
      <c r="AJ48" s="11">
        <f t="shared" si="0"/>
        <v>1.3407821229050279</v>
      </c>
      <c r="AK48" s="12">
        <f>IF(B48="","",OR(K48="Not in use",K48="Low use")+AND(N48&lt;&gt;"",N48&lt;&gt;"TBD")+AND(ISNUMBER(U48),U48&lt;=EDATE('Scoring Settings'!$B$4,'Scoring Settings'!$B$8))+AND(ISNUMBER(L48),L48&lt;='Scoring Settings'!$B$7))</f>
        <v>3</v>
      </c>
      <c r="AL48" s="5" t="s">
        <v>96</v>
      </c>
      <c r="AM48" s="8" t="str">
        <f>IF(B48="","",IF(Z48="N","Easy",IF(OR(AND(ISNUMBER(AB48),AB48&gt;'Scoring Settings'!$B$11),AND(ISNUMBER(W48),W48&gt;'Scoring Settings'!$B$12),AND(ISNUMBER(M48),M48&lt;='Scoring Settings'!$B$13)),"High","Medium")))</f>
        <v>Medium</v>
      </c>
      <c r="AN48" s="5" t="s">
        <v>196</v>
      </c>
      <c r="AO48" s="7">
        <v>44316</v>
      </c>
      <c r="AP48" s="5" t="s">
        <v>372</v>
      </c>
      <c r="AQ48" s="29" t="s">
        <v>373</v>
      </c>
    </row>
    <row r="49" spans="1:43">
      <c r="A49" s="28">
        <v>59643</v>
      </c>
      <c r="B49" s="5" t="s">
        <v>916</v>
      </c>
      <c r="C49" s="5" t="s">
        <v>453</v>
      </c>
      <c r="D49" s="5" t="s">
        <v>67</v>
      </c>
      <c r="E49" s="5" t="s">
        <v>311</v>
      </c>
      <c r="F49" s="5"/>
      <c r="G49" s="5"/>
      <c r="H49" s="5"/>
      <c r="I49" s="6">
        <v>0</v>
      </c>
      <c r="J49" s="7">
        <v>44233</v>
      </c>
      <c r="K49" s="8" t="str">
        <f>IF(B49="","",IF(AND(I49="",J49=""),"Unknown",IF(OR(AND(ISNUMBER(I49),I49=0),AND(ISNUMBER(J49),J49&lt;=EDATE('Scoring Settings'!$B$4,-'Scoring Settings'!$B$5))),"Not in use",IF(AND(ISNUMBER(I49),I49&lt;'Scoring Settings'!$B$6),"Low use","Active"))))</f>
        <v>Not in use</v>
      </c>
      <c r="L49" s="5">
        <v>1</v>
      </c>
      <c r="M49" s="5">
        <v>4</v>
      </c>
      <c r="N49" s="5"/>
      <c r="O49" s="5" t="s">
        <v>73</v>
      </c>
      <c r="P49" s="5" t="s">
        <v>917</v>
      </c>
      <c r="Q49" s="9">
        <v>2</v>
      </c>
      <c r="R49" s="5" t="s">
        <v>107</v>
      </c>
      <c r="S49" s="5" t="s">
        <v>108</v>
      </c>
      <c r="T49" s="5" t="s">
        <v>77</v>
      </c>
      <c r="U49" s="7">
        <v>43655</v>
      </c>
      <c r="V49" s="5" t="s">
        <v>95</v>
      </c>
      <c r="W49" s="6">
        <v>65</v>
      </c>
      <c r="X49" s="5" t="s">
        <v>80</v>
      </c>
      <c r="Y49" s="9">
        <v>7</v>
      </c>
      <c r="Z49" s="5" t="s">
        <v>80</v>
      </c>
      <c r="AA49" s="5" t="s">
        <v>205</v>
      </c>
      <c r="AB49" s="9">
        <v>0</v>
      </c>
      <c r="AC49" s="5" t="s">
        <v>79</v>
      </c>
      <c r="AD49" s="5" t="s">
        <v>80</v>
      </c>
      <c r="AE49" s="5" t="s">
        <v>80</v>
      </c>
      <c r="AF49" s="10">
        <v>39500</v>
      </c>
      <c r="AG49" s="7">
        <v>47026</v>
      </c>
      <c r="AH49" s="10">
        <v>25000</v>
      </c>
      <c r="AI49" s="10">
        <v>32500</v>
      </c>
      <c r="AJ49" s="11">
        <f t="shared" si="0"/>
        <v>9.2307692307692317</v>
      </c>
      <c r="AK49" s="12">
        <f>IF(B49="","",OR(K49="Not in use",K49="Low use")+AND(N49&lt;&gt;"",N49&lt;&gt;"TBD")+AND(ISNUMBER(U49),U49&lt;=EDATE('Scoring Settings'!$B$4,'Scoring Settings'!$B$8))+AND(ISNUMBER(L49),L49&lt;='Scoring Settings'!$B$7))</f>
        <v>3</v>
      </c>
      <c r="AL49" s="5" t="s">
        <v>96</v>
      </c>
      <c r="AM49" s="8" t="str">
        <f>IF(B49="","",IF(Z49="N","Easy",IF(OR(AND(ISNUMBER(AB49),AB49&gt;'Scoring Settings'!$B$11),AND(ISNUMBER(W49),W49&gt;'Scoring Settings'!$B$12),AND(ISNUMBER(M49),M49&lt;='Scoring Settings'!$B$13)),"High","Medium")))</f>
        <v>Medium</v>
      </c>
      <c r="AN49" s="5" t="s">
        <v>196</v>
      </c>
      <c r="AO49" s="7">
        <v>44255</v>
      </c>
      <c r="AP49" s="5" t="s">
        <v>372</v>
      </c>
      <c r="AQ49" s="29" t="s">
        <v>738</v>
      </c>
    </row>
    <row r="50" spans="1:43">
      <c r="A50" s="28">
        <v>135505</v>
      </c>
      <c r="B50" s="5" t="s">
        <v>922</v>
      </c>
      <c r="C50" s="5" t="s">
        <v>495</v>
      </c>
      <c r="D50" s="5" t="s">
        <v>162</v>
      </c>
      <c r="E50" s="5" t="s">
        <v>68</v>
      </c>
      <c r="F50" s="5"/>
      <c r="G50" s="5"/>
      <c r="H50" s="5"/>
      <c r="I50" s="6">
        <v>3</v>
      </c>
      <c r="J50" s="7">
        <v>44207</v>
      </c>
      <c r="K50" s="8" t="str">
        <f>IF(B50="","",IF(AND(I50="",J50=""),"Unknown",IF(OR(AND(ISNUMBER(I50),I50=0),AND(ISNUMBER(J50),J50&lt;=EDATE('Scoring Settings'!$B$4,-'Scoring Settings'!$B$5))),"Not in use",IF(AND(ISNUMBER(I50),I50&lt;'Scoring Settings'!$B$6),"Low use","Active"))))</f>
        <v>Low use</v>
      </c>
      <c r="L50" s="5">
        <v>1</v>
      </c>
      <c r="M50" s="5">
        <v>3</v>
      </c>
      <c r="N50" s="5"/>
      <c r="O50" s="5" t="s">
        <v>73</v>
      </c>
      <c r="P50" s="5" t="s">
        <v>923</v>
      </c>
      <c r="Q50" s="9">
        <v>2</v>
      </c>
      <c r="R50" s="5" t="s">
        <v>166</v>
      </c>
      <c r="S50" s="5" t="s">
        <v>564</v>
      </c>
      <c r="T50" s="5" t="s">
        <v>72</v>
      </c>
      <c r="U50" s="7">
        <v>44754</v>
      </c>
      <c r="V50" s="5" t="s">
        <v>135</v>
      </c>
      <c r="W50" s="6">
        <v>17</v>
      </c>
      <c r="X50" s="5" t="s">
        <v>79</v>
      </c>
      <c r="Y50" s="9">
        <v>3</v>
      </c>
      <c r="Z50" s="5" t="s">
        <v>79</v>
      </c>
      <c r="AA50" s="5" t="s">
        <v>110</v>
      </c>
      <c r="AB50" s="9">
        <v>6</v>
      </c>
      <c r="AC50" s="5" t="s">
        <v>82</v>
      </c>
      <c r="AD50" s="5" t="s">
        <v>79</v>
      </c>
      <c r="AE50" s="5" t="s">
        <v>80</v>
      </c>
      <c r="AF50" s="10">
        <v>47000</v>
      </c>
      <c r="AG50" s="7">
        <v>46660</v>
      </c>
      <c r="AH50" s="10">
        <v>64000</v>
      </c>
      <c r="AI50" s="10">
        <v>50000</v>
      </c>
      <c r="AJ50" s="11">
        <f t="shared" si="0"/>
        <v>15.36</v>
      </c>
      <c r="AK50" s="12">
        <f>IF(B50="","",OR(K50="Not in use",K50="Low use")+AND(N50&lt;&gt;"",N50&lt;&gt;"TBD")+AND(ISNUMBER(U50),U50&lt;=EDATE('Scoring Settings'!$B$4,'Scoring Settings'!$B$8))+AND(ISNUMBER(L50),L50&lt;='Scoring Settings'!$B$7))</f>
        <v>2</v>
      </c>
      <c r="AL50" s="5" t="s">
        <v>223</v>
      </c>
      <c r="AM50" s="8" t="str">
        <f>IF(B50="","",IF(Z50="N","Easy",IF(OR(AND(ISNUMBER(AB50),AB50&gt;'Scoring Settings'!$B$11),AND(ISNUMBER(W50),W50&gt;'Scoring Settings'!$B$12),AND(ISNUMBER(M50),M50&lt;='Scoring Settings'!$B$13)),"High","Medium")))</f>
        <v>Easy</v>
      </c>
      <c r="AN50" s="5" t="s">
        <v>196</v>
      </c>
      <c r="AO50" s="7">
        <v>44530</v>
      </c>
      <c r="AP50" s="5" t="s">
        <v>359</v>
      </c>
      <c r="AQ50" s="29" t="s">
        <v>499</v>
      </c>
    </row>
    <row r="51" spans="1:43">
      <c r="A51" s="28">
        <v>54551</v>
      </c>
      <c r="B51" s="5" t="s">
        <v>968</v>
      </c>
      <c r="C51" s="5" t="s">
        <v>338</v>
      </c>
      <c r="D51" s="5" t="s">
        <v>139</v>
      </c>
      <c r="E51" s="5" t="s">
        <v>311</v>
      </c>
      <c r="F51" s="5"/>
      <c r="G51" s="5"/>
      <c r="H51" s="5"/>
      <c r="I51" s="6">
        <v>10</v>
      </c>
      <c r="J51" s="7">
        <v>44313</v>
      </c>
      <c r="K51" s="8" t="str">
        <f>IF(B51="","",IF(AND(I51="",J51=""),"Unknown",IF(OR(AND(ISNUMBER(I51),I51=0),AND(ISNUMBER(J51),J51&lt;=EDATE('Scoring Settings'!$B$4,-'Scoring Settings'!$B$5))),"Not in use",IF(AND(ISNUMBER(I51),I51&lt;'Scoring Settings'!$B$6),"Low use","Active"))))</f>
        <v>Low use</v>
      </c>
      <c r="L51" s="5">
        <v>2</v>
      </c>
      <c r="M51" s="5">
        <v>4</v>
      </c>
      <c r="N51" s="5"/>
      <c r="O51" s="5" t="s">
        <v>73</v>
      </c>
      <c r="P51" s="5" t="s">
        <v>969</v>
      </c>
      <c r="Q51" s="9">
        <v>4</v>
      </c>
      <c r="R51" s="5" t="s">
        <v>239</v>
      </c>
      <c r="S51" s="5" t="s">
        <v>240</v>
      </c>
      <c r="T51" s="5" t="s">
        <v>77</v>
      </c>
      <c r="U51" s="7">
        <v>44316</v>
      </c>
      <c r="V51" s="5" t="s">
        <v>95</v>
      </c>
      <c r="W51" s="6">
        <v>37</v>
      </c>
      <c r="X51" s="5" t="s">
        <v>79</v>
      </c>
      <c r="Y51" s="9">
        <v>5</v>
      </c>
      <c r="Z51" s="5" t="s">
        <v>79</v>
      </c>
      <c r="AA51" s="5" t="s">
        <v>110</v>
      </c>
      <c r="AB51" s="9">
        <v>3</v>
      </c>
      <c r="AC51" s="5" t="s">
        <v>82</v>
      </c>
      <c r="AD51" s="5" t="s">
        <v>80</v>
      </c>
      <c r="AE51" s="5" t="s">
        <v>82</v>
      </c>
      <c r="AF51" s="10">
        <v>65000</v>
      </c>
      <c r="AG51" s="7">
        <v>47726</v>
      </c>
      <c r="AH51" s="10">
        <v>51500</v>
      </c>
      <c r="AI51" s="10">
        <v>54000</v>
      </c>
      <c r="AJ51" s="11">
        <f t="shared" si="0"/>
        <v>11.444444444444445</v>
      </c>
      <c r="AK51" s="12">
        <f>IF(B51="","",OR(K51="Not in use",K51="Low use")+AND(N51&lt;&gt;"",N51&lt;&gt;"TBD")+AND(ISNUMBER(U51),U51&lt;=EDATE('Scoring Settings'!$B$4,'Scoring Settings'!$B$8))+AND(ISNUMBER(L51),L51&lt;='Scoring Settings'!$B$7))</f>
        <v>3</v>
      </c>
      <c r="AL51" s="5" t="s">
        <v>223</v>
      </c>
      <c r="AM51" s="8" t="str">
        <f>IF(B51="","",IF(Z51="N","Easy",IF(OR(AND(ISNUMBER(AB51),AB51&gt;'Scoring Settings'!$B$11),AND(ISNUMBER(W51),W51&gt;'Scoring Settings'!$B$12),AND(ISNUMBER(M51),M51&lt;='Scoring Settings'!$B$13)),"High","Medium")))</f>
        <v>Easy</v>
      </c>
      <c r="AN51" s="5" t="s">
        <v>196</v>
      </c>
      <c r="AO51" s="7">
        <v>44500</v>
      </c>
      <c r="AP51" s="5" t="s">
        <v>359</v>
      </c>
      <c r="AQ51" s="29" t="s">
        <v>688</v>
      </c>
    </row>
    <row r="52" spans="1:43">
      <c r="A52" s="28">
        <v>104516</v>
      </c>
      <c r="B52" s="5" t="s">
        <v>993</v>
      </c>
      <c r="C52" s="5" t="s">
        <v>234</v>
      </c>
      <c r="D52" s="5" t="s">
        <v>102</v>
      </c>
      <c r="E52" s="5" t="s">
        <v>68</v>
      </c>
      <c r="F52" s="5"/>
      <c r="G52" s="5"/>
      <c r="H52" s="5"/>
      <c r="I52" s="6">
        <v>1</v>
      </c>
      <c r="J52" s="7">
        <v>43744</v>
      </c>
      <c r="K52" s="8" t="str">
        <f>IF(B52="","",IF(AND(I52="",J52=""),"Unknown",IF(OR(AND(ISNUMBER(I52),I52=0),AND(ISNUMBER(J52),J52&lt;=EDATE('Scoring Settings'!$B$4,-'Scoring Settings'!$B$5))),"Not in use",IF(AND(ISNUMBER(I52),I52&lt;'Scoring Settings'!$B$6),"Low use","Active"))))</f>
        <v>Not in use</v>
      </c>
      <c r="L52" s="5">
        <v>2</v>
      </c>
      <c r="M52" s="5">
        <v>3</v>
      </c>
      <c r="N52" s="5"/>
      <c r="O52" s="5" t="s">
        <v>73</v>
      </c>
      <c r="P52" s="5" t="s">
        <v>994</v>
      </c>
      <c r="Q52" s="9">
        <v>1</v>
      </c>
      <c r="R52" s="5" t="s">
        <v>251</v>
      </c>
      <c r="S52" s="5" t="s">
        <v>133</v>
      </c>
      <c r="T52" s="5" t="s">
        <v>184</v>
      </c>
      <c r="U52" s="7">
        <v>44165</v>
      </c>
      <c r="V52" s="5" t="s">
        <v>135</v>
      </c>
      <c r="W52" s="6">
        <v>190</v>
      </c>
      <c r="X52" s="5" t="s">
        <v>80</v>
      </c>
      <c r="Y52" s="9">
        <v>10</v>
      </c>
      <c r="Z52" s="5" t="s">
        <v>80</v>
      </c>
      <c r="AA52" s="5" t="s">
        <v>81</v>
      </c>
      <c r="AB52" s="9">
        <v>4</v>
      </c>
      <c r="AC52" s="5" t="s">
        <v>80</v>
      </c>
      <c r="AD52" s="5" t="s">
        <v>79</v>
      </c>
      <c r="AE52" s="5" t="s">
        <v>80</v>
      </c>
      <c r="AF52" s="10">
        <v>81500</v>
      </c>
      <c r="AG52" s="7">
        <v>49460</v>
      </c>
      <c r="AH52" s="10">
        <v>14500</v>
      </c>
      <c r="AI52" s="10">
        <v>87500</v>
      </c>
      <c r="AJ52" s="11">
        <f t="shared" si="0"/>
        <v>1.9885714285714284</v>
      </c>
      <c r="AK52" s="12">
        <f>IF(B52="","",OR(K52="Not in use",K52="Low use")+AND(N52&lt;&gt;"",N52&lt;&gt;"TBD")+AND(ISNUMBER(U52),U52&lt;=EDATE('Scoring Settings'!$B$4,'Scoring Settings'!$B$8))+AND(ISNUMBER(L52),L52&lt;='Scoring Settings'!$B$7))</f>
        <v>3</v>
      </c>
      <c r="AL52" s="5" t="s">
        <v>96</v>
      </c>
      <c r="AM52" s="8" t="str">
        <f>IF(B52="","",IF(Z52="N","Easy",IF(OR(AND(ISNUMBER(AB52),AB52&gt;'Scoring Settings'!$B$11),AND(ISNUMBER(W52),W52&gt;'Scoring Settings'!$B$12),AND(ISNUMBER(M52),M52&lt;='Scoring Settings'!$B$13)),"High","Medium")))</f>
        <v>Medium</v>
      </c>
      <c r="AN52" s="5" t="s">
        <v>196</v>
      </c>
      <c r="AO52" s="7">
        <v>44347</v>
      </c>
      <c r="AP52" s="5" t="s">
        <v>372</v>
      </c>
      <c r="AQ52" s="29" t="s">
        <v>399</v>
      </c>
    </row>
    <row r="53" spans="1:43">
      <c r="A53" s="28">
        <v>32726</v>
      </c>
      <c r="B53" s="5" t="s">
        <v>997</v>
      </c>
      <c r="C53" s="5" t="s">
        <v>699</v>
      </c>
      <c r="D53" s="5" t="s">
        <v>297</v>
      </c>
      <c r="E53" s="5" t="s">
        <v>298</v>
      </c>
      <c r="F53" s="5"/>
      <c r="G53" s="5"/>
      <c r="H53" s="5"/>
      <c r="I53" s="6">
        <v>0</v>
      </c>
      <c r="J53" s="7">
        <v>44261</v>
      </c>
      <c r="K53" s="8" t="str">
        <f>IF(B53="","",IF(AND(I53="",J53=""),"Unknown",IF(OR(AND(ISNUMBER(I53),I53=0),AND(ISNUMBER(J53),J53&lt;=EDATE('Scoring Settings'!$B$4,-'Scoring Settings'!$B$5))),"Not in use",IF(AND(ISNUMBER(I53),I53&lt;'Scoring Settings'!$B$6),"Low use","Active"))))</f>
        <v>Not in use</v>
      </c>
      <c r="L53" s="5">
        <v>2</v>
      </c>
      <c r="M53" s="5">
        <v>4</v>
      </c>
      <c r="N53" s="5" t="s">
        <v>827</v>
      </c>
      <c r="O53" s="5" t="s">
        <v>130</v>
      </c>
      <c r="P53" s="5" t="s">
        <v>998</v>
      </c>
      <c r="Q53" s="9">
        <v>3</v>
      </c>
      <c r="R53" s="5" t="s">
        <v>239</v>
      </c>
      <c r="S53" s="5" t="s">
        <v>240</v>
      </c>
      <c r="T53" s="5" t="s">
        <v>195</v>
      </c>
      <c r="U53" s="7">
        <v>44316</v>
      </c>
      <c r="V53" s="5" t="s">
        <v>95</v>
      </c>
      <c r="W53" s="6">
        <v>120</v>
      </c>
      <c r="X53" s="5" t="s">
        <v>80</v>
      </c>
      <c r="Y53" s="9">
        <v>5</v>
      </c>
      <c r="Z53" s="5" t="s">
        <v>79</v>
      </c>
      <c r="AA53" s="5" t="s">
        <v>110</v>
      </c>
      <c r="AB53" s="9">
        <v>3</v>
      </c>
      <c r="AC53" s="5" t="s">
        <v>82</v>
      </c>
      <c r="AD53" s="5" t="s">
        <v>82</v>
      </c>
      <c r="AE53" s="5" t="s">
        <v>79</v>
      </c>
      <c r="AF53" s="10">
        <v>130500</v>
      </c>
      <c r="AG53" s="7">
        <v>47177</v>
      </c>
      <c r="AH53" s="10">
        <v>17000</v>
      </c>
      <c r="AI53" s="10">
        <v>109000</v>
      </c>
      <c r="AJ53" s="11">
        <f t="shared" si="0"/>
        <v>1.871559633027523</v>
      </c>
      <c r="AK53" s="12">
        <f>IF(B53="","",OR(K53="Not in use",K53="Low use")+AND(N53&lt;&gt;"",N53&lt;&gt;"TBD")+AND(ISNUMBER(U53),U53&lt;=EDATE('Scoring Settings'!$B$4,'Scoring Settings'!$B$8))+AND(ISNUMBER(L53),L53&lt;='Scoring Settings'!$B$7))</f>
        <v>4</v>
      </c>
      <c r="AL53" s="5" t="s">
        <v>223</v>
      </c>
      <c r="AM53" s="8" t="str">
        <f>IF(B53="","",IF(Z53="N","Easy",IF(OR(AND(ISNUMBER(AB53),AB53&gt;'Scoring Settings'!$B$11),AND(ISNUMBER(W53),W53&gt;'Scoring Settings'!$B$12),AND(ISNUMBER(M53),M53&lt;='Scoring Settings'!$B$13)),"High","Medium")))</f>
        <v>Easy</v>
      </c>
      <c r="AN53" s="5" t="s">
        <v>196</v>
      </c>
      <c r="AO53" s="7">
        <v>44286</v>
      </c>
      <c r="AP53" s="5" t="s">
        <v>372</v>
      </c>
      <c r="AQ53" s="29" t="s">
        <v>375</v>
      </c>
    </row>
    <row r="54" spans="1:43" ht="28.5">
      <c r="A54" s="28">
        <v>71025</v>
      </c>
      <c r="B54" s="5" t="s">
        <v>1010</v>
      </c>
      <c r="C54" s="5" t="s">
        <v>1011</v>
      </c>
      <c r="D54" s="5" t="s">
        <v>67</v>
      </c>
      <c r="E54" s="5" t="s">
        <v>68</v>
      </c>
      <c r="F54" s="5"/>
      <c r="G54" s="5"/>
      <c r="H54" s="5"/>
      <c r="I54" s="6">
        <v>140</v>
      </c>
      <c r="J54" s="7">
        <v>44309</v>
      </c>
      <c r="K54" s="8" t="str">
        <f>IF(B54="","",IF(AND(I54="",J54=""),"Unknown",IF(OR(AND(ISNUMBER(I54),I54=0),AND(ISNUMBER(J54),J54&lt;=EDATE('Scoring Settings'!$B$4,-'Scoring Settings'!$B$5))),"Not in use",IF(AND(ISNUMBER(I54),I54&lt;'Scoring Settings'!$B$6),"Low use","Active"))))</f>
        <v>Active</v>
      </c>
      <c r="L54" s="5">
        <v>3</v>
      </c>
      <c r="M54" s="5">
        <v>2</v>
      </c>
      <c r="N54" s="5" t="s">
        <v>1012</v>
      </c>
      <c r="O54" s="5" t="s">
        <v>73</v>
      </c>
      <c r="P54" s="5" t="s">
        <v>1013</v>
      </c>
      <c r="Q54" s="9">
        <v>4</v>
      </c>
      <c r="R54" s="5" t="s">
        <v>358</v>
      </c>
      <c r="S54" s="5" t="s">
        <v>1014</v>
      </c>
      <c r="T54" s="5" t="s">
        <v>184</v>
      </c>
      <c r="U54" s="7">
        <v>44196</v>
      </c>
      <c r="V54" s="5" t="s">
        <v>135</v>
      </c>
      <c r="W54" s="6">
        <v>3200</v>
      </c>
      <c r="X54" s="5" t="s">
        <v>79</v>
      </c>
      <c r="Y54" s="9">
        <v>7</v>
      </c>
      <c r="Z54" s="5" t="s">
        <v>80</v>
      </c>
      <c r="AA54" s="5" t="s">
        <v>205</v>
      </c>
      <c r="AB54" s="9">
        <v>24</v>
      </c>
      <c r="AC54" s="5" t="s">
        <v>80</v>
      </c>
      <c r="AD54" s="5" t="s">
        <v>82</v>
      </c>
      <c r="AE54" s="5" t="s">
        <v>80</v>
      </c>
      <c r="AF54" s="10">
        <v>210000</v>
      </c>
      <c r="AG54" s="7">
        <v>47118</v>
      </c>
      <c r="AH54" s="10">
        <v>260000</v>
      </c>
      <c r="AI54" s="10">
        <v>170000</v>
      </c>
      <c r="AJ54" s="11">
        <f t="shared" si="0"/>
        <v>18.352941176470587</v>
      </c>
      <c r="AK54" s="12">
        <f>IF(B54="","",OR(K54="Not in use",K54="Low use")+AND(N54&lt;&gt;"",N54&lt;&gt;"TBD")+AND(ISNUMBER(U54),U54&lt;=EDATE('Scoring Settings'!$B$4,'Scoring Settings'!$B$8))+AND(ISNUMBER(L54),L54&lt;='Scoring Settings'!$B$7))</f>
        <v>2</v>
      </c>
      <c r="AL54" s="5" t="s">
        <v>96</v>
      </c>
      <c r="AM54" s="8" t="str">
        <f>IF(B54="","",IF(Z54="N","Easy",IF(OR(AND(ISNUMBER(AB54),AB54&gt;'Scoring Settings'!$B$11),AND(ISNUMBER(W54),W54&gt;'Scoring Settings'!$B$12),AND(ISNUMBER(M54),M54&lt;='Scoring Settings'!$B$13)),"High","Medium")))</f>
        <v>High</v>
      </c>
      <c r="AN54" s="5" t="s">
        <v>196</v>
      </c>
      <c r="AO54" s="7">
        <v>44377</v>
      </c>
      <c r="AP54" s="5" t="s">
        <v>359</v>
      </c>
      <c r="AQ54" s="29" t="s">
        <v>1015</v>
      </c>
    </row>
    <row r="55" spans="1:43">
      <c r="A55" s="28">
        <v>104583</v>
      </c>
      <c r="B55" s="5" t="s">
        <v>1033</v>
      </c>
      <c r="C55" s="5" t="s">
        <v>265</v>
      </c>
      <c r="D55" s="5" t="s">
        <v>102</v>
      </c>
      <c r="E55" s="5" t="s">
        <v>68</v>
      </c>
      <c r="F55" s="5"/>
      <c r="G55" s="5"/>
      <c r="H55" s="5"/>
      <c r="I55" s="6">
        <v>0</v>
      </c>
      <c r="J55" s="7">
        <v>44273</v>
      </c>
      <c r="K55" s="8" t="str">
        <f>IF(B55="","",IF(AND(I55="",J55=""),"Unknown",IF(OR(AND(ISNUMBER(I55),I55=0),AND(ISNUMBER(J55),J55&lt;=EDATE('Scoring Settings'!$B$4,-'Scoring Settings'!$B$5))),"Not in use",IF(AND(ISNUMBER(I55),I55&lt;'Scoring Settings'!$B$6),"Low use","Active"))))</f>
        <v>Not in use</v>
      </c>
      <c r="L55" s="5">
        <v>4</v>
      </c>
      <c r="M55" s="5">
        <v>1</v>
      </c>
      <c r="N55" s="5" t="s">
        <v>784</v>
      </c>
      <c r="O55" s="5" t="s">
        <v>130</v>
      </c>
      <c r="P55" s="5" t="s">
        <v>1034</v>
      </c>
      <c r="Q55" s="9">
        <v>1</v>
      </c>
      <c r="R55" s="5" t="s">
        <v>132</v>
      </c>
      <c r="S55" s="5" t="s">
        <v>133</v>
      </c>
      <c r="T55" s="5" t="s">
        <v>134</v>
      </c>
      <c r="U55" s="7">
        <v>44227</v>
      </c>
      <c r="V55" s="5" t="s">
        <v>135</v>
      </c>
      <c r="W55" s="6">
        <v>140</v>
      </c>
      <c r="X55" s="5" t="s">
        <v>80</v>
      </c>
      <c r="Y55" s="9">
        <v>7</v>
      </c>
      <c r="Z55" s="5" t="s">
        <v>79</v>
      </c>
      <c r="AA55" s="5" t="s">
        <v>110</v>
      </c>
      <c r="AB55" s="9">
        <v>41</v>
      </c>
      <c r="AC55" s="5" t="s">
        <v>79</v>
      </c>
      <c r="AD55" s="5" t="s">
        <v>82</v>
      </c>
      <c r="AE55" s="5" t="s">
        <v>79</v>
      </c>
      <c r="AF55" s="10">
        <v>25000</v>
      </c>
      <c r="AG55" s="7">
        <v>49248</v>
      </c>
      <c r="AH55" s="10">
        <v>60500</v>
      </c>
      <c r="AI55" s="10">
        <v>17500</v>
      </c>
      <c r="AJ55" s="11">
        <f t="shared" si="0"/>
        <v>41.485714285714288</v>
      </c>
      <c r="AK55" s="12">
        <f>IF(B55="","",OR(K55="Not in use",K55="Low use")+AND(N55&lt;&gt;"",N55&lt;&gt;"TBD")+AND(ISNUMBER(U55),U55&lt;=EDATE('Scoring Settings'!$B$4,'Scoring Settings'!$B$8))+AND(ISNUMBER(L55),L55&lt;='Scoring Settings'!$B$7))</f>
        <v>3</v>
      </c>
      <c r="AL55" s="5" t="s">
        <v>2217</v>
      </c>
      <c r="AM55" s="8" t="str">
        <f>IF(B55="","",IF(Z55="N","Easy",IF(OR(AND(ISNUMBER(AB55),AB55&gt;'Scoring Settings'!$B$11),AND(ISNUMBER(W55),W55&gt;'Scoring Settings'!$B$12),AND(ISNUMBER(M55),M55&lt;='Scoring Settings'!$B$13)),"High","Medium")))</f>
        <v>Easy</v>
      </c>
      <c r="AN55" s="5" t="s">
        <v>196</v>
      </c>
      <c r="AO55" s="7">
        <v>44286</v>
      </c>
      <c r="AP55" s="5" t="s">
        <v>372</v>
      </c>
      <c r="AQ55" s="29" t="s">
        <v>1035</v>
      </c>
    </row>
    <row r="56" spans="1:43">
      <c r="A56" s="28">
        <v>134806</v>
      </c>
      <c r="B56" s="5" t="s">
        <v>1074</v>
      </c>
      <c r="C56" s="5" t="s">
        <v>453</v>
      </c>
      <c r="D56" s="5" t="s">
        <v>67</v>
      </c>
      <c r="E56" s="5" t="s">
        <v>68</v>
      </c>
      <c r="F56" s="5"/>
      <c r="G56" s="5"/>
      <c r="H56" s="5"/>
      <c r="I56" s="6">
        <v>15</v>
      </c>
      <c r="J56" s="7">
        <v>44283</v>
      </c>
      <c r="K56" s="8" t="str">
        <f>IF(B56="","",IF(AND(I56="",J56=""),"Unknown",IF(OR(AND(ISNUMBER(I56),I56=0),AND(ISNUMBER(J56),J56&lt;=EDATE('Scoring Settings'!$B$4,-'Scoring Settings'!$B$5))),"Not in use",IF(AND(ISNUMBER(I56),I56&lt;'Scoring Settings'!$B$6),"Low use","Active"))))</f>
        <v>Low use</v>
      </c>
      <c r="L56" s="5">
        <v>3</v>
      </c>
      <c r="M56" s="5">
        <v>4</v>
      </c>
      <c r="N56" s="5"/>
      <c r="O56" s="5" t="s">
        <v>73</v>
      </c>
      <c r="P56" s="5" t="s">
        <v>917</v>
      </c>
      <c r="Q56" s="9">
        <v>2</v>
      </c>
      <c r="R56" s="5" t="s">
        <v>251</v>
      </c>
      <c r="S56" s="5" t="s">
        <v>133</v>
      </c>
      <c r="T56" s="5" t="s">
        <v>72</v>
      </c>
      <c r="U56" s="7">
        <v>44165</v>
      </c>
      <c r="V56" s="5" t="s">
        <v>135</v>
      </c>
      <c r="W56" s="6">
        <v>640</v>
      </c>
      <c r="X56" s="5" t="s">
        <v>80</v>
      </c>
      <c r="Y56" s="9">
        <v>5</v>
      </c>
      <c r="Z56" s="5" t="s">
        <v>80</v>
      </c>
      <c r="AA56" s="5" t="s">
        <v>205</v>
      </c>
      <c r="AB56" s="9">
        <v>1</v>
      </c>
      <c r="AC56" s="5" t="s">
        <v>82</v>
      </c>
      <c r="AD56" s="5" t="s">
        <v>80</v>
      </c>
      <c r="AE56" s="5" t="s">
        <v>79</v>
      </c>
      <c r="AF56" s="10">
        <v>37000</v>
      </c>
      <c r="AG56" s="7">
        <v>47879</v>
      </c>
      <c r="AH56" s="10">
        <v>34500</v>
      </c>
      <c r="AI56" s="10">
        <v>28000</v>
      </c>
      <c r="AJ56" s="11">
        <f t="shared" si="0"/>
        <v>14.785714285714286</v>
      </c>
      <c r="AK56" s="12">
        <f>IF(B56="","",OR(K56="Not in use",K56="Low use")+AND(N56&lt;&gt;"",N56&lt;&gt;"TBD")+AND(ISNUMBER(U56),U56&lt;=EDATE('Scoring Settings'!$B$4,'Scoring Settings'!$B$8))+AND(ISNUMBER(L56),L56&lt;='Scoring Settings'!$B$7))</f>
        <v>2</v>
      </c>
      <c r="AL56" s="5" t="s">
        <v>96</v>
      </c>
      <c r="AM56" s="8" t="str">
        <f>IF(B56="","",IF(Z56="N","Easy",IF(OR(AND(ISNUMBER(AB56),AB56&gt;'Scoring Settings'!$B$11),AND(ISNUMBER(W56),W56&gt;'Scoring Settings'!$B$12),AND(ISNUMBER(M56),M56&lt;='Scoring Settings'!$B$13)),"High","Medium")))</f>
        <v>Medium</v>
      </c>
      <c r="AN56" s="5" t="s">
        <v>196</v>
      </c>
      <c r="AO56" s="7">
        <v>44439</v>
      </c>
      <c r="AP56" s="5" t="s">
        <v>359</v>
      </c>
      <c r="AQ56" s="29" t="s">
        <v>276</v>
      </c>
    </row>
    <row r="57" spans="1:43">
      <c r="A57" s="28">
        <v>154544</v>
      </c>
      <c r="B57" s="5" t="s">
        <v>1077</v>
      </c>
      <c r="C57" s="5" t="s">
        <v>262</v>
      </c>
      <c r="D57" s="5" t="s">
        <v>67</v>
      </c>
      <c r="E57" s="5" t="s">
        <v>68</v>
      </c>
      <c r="F57" s="5"/>
      <c r="G57" s="5"/>
      <c r="H57" s="5"/>
      <c r="I57" s="6">
        <v>0</v>
      </c>
      <c r="J57" s="7">
        <v>44301</v>
      </c>
      <c r="K57" s="8" t="str">
        <f>IF(B57="","",IF(AND(I57="",J57=""),"Unknown",IF(OR(AND(ISNUMBER(I57),I57=0),AND(ISNUMBER(J57),J57&lt;=EDATE('Scoring Settings'!$B$4,-'Scoring Settings'!$B$5))),"Not in use",IF(AND(ISNUMBER(I57),I57&lt;'Scoring Settings'!$B$6),"Low use","Active"))))</f>
        <v>Not in use</v>
      </c>
      <c r="L57" s="5">
        <v>1</v>
      </c>
      <c r="M57" s="5">
        <v>4</v>
      </c>
      <c r="N57" s="5" t="s">
        <v>72</v>
      </c>
      <c r="O57" s="5" t="s">
        <v>130</v>
      </c>
      <c r="P57" s="5" t="s">
        <v>1078</v>
      </c>
      <c r="Q57" s="9">
        <v>1</v>
      </c>
      <c r="R57" s="5" t="s">
        <v>182</v>
      </c>
      <c r="S57" s="5" t="s">
        <v>183</v>
      </c>
      <c r="T57" s="5" t="s">
        <v>195</v>
      </c>
      <c r="U57" s="7">
        <v>42855</v>
      </c>
      <c r="V57" s="5" t="s">
        <v>95</v>
      </c>
      <c r="W57" s="6">
        <v>9</v>
      </c>
      <c r="X57" s="5" t="s">
        <v>80</v>
      </c>
      <c r="Y57" s="9">
        <v>5</v>
      </c>
      <c r="Z57" s="5" t="s">
        <v>79</v>
      </c>
      <c r="AA57" s="5" t="s">
        <v>110</v>
      </c>
      <c r="AB57" s="9">
        <v>0</v>
      </c>
      <c r="AC57" s="5" t="s">
        <v>82</v>
      </c>
      <c r="AD57" s="5" t="s">
        <v>79</v>
      </c>
      <c r="AE57" s="5" t="s">
        <v>80</v>
      </c>
      <c r="AF57" s="10">
        <v>15000</v>
      </c>
      <c r="AG57" s="7">
        <v>46142</v>
      </c>
      <c r="AH57" s="10">
        <v>14500</v>
      </c>
      <c r="AI57" s="10">
        <v>13500</v>
      </c>
      <c r="AJ57" s="11">
        <f t="shared" si="0"/>
        <v>12.888888888888889</v>
      </c>
      <c r="AK57" s="12">
        <f>IF(B57="","",OR(K57="Not in use",K57="Low use")+AND(N57&lt;&gt;"",N57&lt;&gt;"TBD")+AND(ISNUMBER(U57),U57&lt;=EDATE('Scoring Settings'!$B$4,'Scoring Settings'!$B$8))+AND(ISNUMBER(L57),L57&lt;='Scoring Settings'!$B$7))</f>
        <v>3</v>
      </c>
      <c r="AL57" s="5" t="s">
        <v>223</v>
      </c>
      <c r="AM57" s="8" t="str">
        <f>IF(B57="","",IF(Z57="N","Easy",IF(OR(AND(ISNUMBER(AB57),AB57&gt;'Scoring Settings'!$B$11),AND(ISNUMBER(W57),W57&gt;'Scoring Settings'!$B$12),AND(ISNUMBER(M57),M57&lt;='Scoring Settings'!$B$13)),"High","Medium")))</f>
        <v>Easy</v>
      </c>
      <c r="AN57" s="5" t="s">
        <v>196</v>
      </c>
      <c r="AO57" s="7">
        <v>44316</v>
      </c>
      <c r="AP57" s="5" t="s">
        <v>372</v>
      </c>
      <c r="AQ57" s="29" t="s">
        <v>383</v>
      </c>
    </row>
    <row r="58" spans="1:43">
      <c r="A58" s="28">
        <v>31628</v>
      </c>
      <c r="B58" s="5" t="s">
        <v>1081</v>
      </c>
      <c r="C58" s="5" t="s">
        <v>138</v>
      </c>
      <c r="D58" s="5" t="s">
        <v>139</v>
      </c>
      <c r="E58" s="5" t="s">
        <v>68</v>
      </c>
      <c r="F58" s="5"/>
      <c r="G58" s="5"/>
      <c r="H58" s="5"/>
      <c r="I58" s="6">
        <v>0</v>
      </c>
      <c r="J58" s="7">
        <v>44207</v>
      </c>
      <c r="K58" s="8" t="str">
        <f>IF(B58="","",IF(AND(I58="",J58=""),"Unknown",IF(OR(AND(ISNUMBER(I58),I58=0),AND(ISNUMBER(J58),J58&lt;=EDATE('Scoring Settings'!$B$4,-'Scoring Settings'!$B$5))),"Not in use",IF(AND(ISNUMBER(I58),I58&lt;'Scoring Settings'!$B$6),"Low use","Active"))))</f>
        <v>Not in use</v>
      </c>
      <c r="L58" s="5">
        <v>3</v>
      </c>
      <c r="M58" s="5">
        <v>3</v>
      </c>
      <c r="N58" s="5"/>
      <c r="O58" s="5" t="s">
        <v>73</v>
      </c>
      <c r="P58" s="5" t="s">
        <v>1082</v>
      </c>
      <c r="Q58" s="9">
        <v>4</v>
      </c>
      <c r="R58" s="5" t="s">
        <v>182</v>
      </c>
      <c r="S58" s="5" t="s">
        <v>183</v>
      </c>
      <c r="T58" s="5" t="s">
        <v>122</v>
      </c>
      <c r="U58" s="7">
        <v>42855</v>
      </c>
      <c r="V58" s="5" t="s">
        <v>135</v>
      </c>
      <c r="W58" s="6">
        <v>37</v>
      </c>
      <c r="X58" s="5" t="s">
        <v>79</v>
      </c>
      <c r="Y58" s="9">
        <v>1</v>
      </c>
      <c r="Z58" s="5" t="s">
        <v>79</v>
      </c>
      <c r="AA58" s="5" t="s">
        <v>110</v>
      </c>
      <c r="AB58" s="9">
        <v>5</v>
      </c>
      <c r="AC58" s="5" t="s">
        <v>80</v>
      </c>
      <c r="AD58" s="5" t="s">
        <v>82</v>
      </c>
      <c r="AE58" s="5" t="s">
        <v>82</v>
      </c>
      <c r="AF58" s="10">
        <v>35500</v>
      </c>
      <c r="AG58" s="7">
        <v>45716</v>
      </c>
      <c r="AH58" s="10">
        <v>29000</v>
      </c>
      <c r="AI58" s="10">
        <v>32500</v>
      </c>
      <c r="AJ58" s="11">
        <f t="shared" si="0"/>
        <v>10.707692307692309</v>
      </c>
      <c r="AK58" s="12">
        <f>IF(B58="","",OR(K58="Not in use",K58="Low use")+AND(N58&lt;&gt;"",N58&lt;&gt;"TBD")+AND(ISNUMBER(U58),U58&lt;=EDATE('Scoring Settings'!$B$4,'Scoring Settings'!$B$8))+AND(ISNUMBER(L58),L58&lt;='Scoring Settings'!$B$7))</f>
        <v>2</v>
      </c>
      <c r="AL58" s="5" t="s">
        <v>223</v>
      </c>
      <c r="AM58" s="8" t="str">
        <f>IF(B58="","",IF(Z58="N","Easy",IF(OR(AND(ISNUMBER(AB58),AB58&gt;'Scoring Settings'!$B$11),AND(ISNUMBER(W58),W58&gt;'Scoring Settings'!$B$12),AND(ISNUMBER(M58),M58&lt;='Scoring Settings'!$B$13)),"High","Medium")))</f>
        <v>Easy</v>
      </c>
      <c r="AN58" s="5" t="s">
        <v>196</v>
      </c>
      <c r="AO58" s="7">
        <v>44377</v>
      </c>
      <c r="AP58" s="5" t="s">
        <v>359</v>
      </c>
      <c r="AQ58" s="29" t="s">
        <v>252</v>
      </c>
    </row>
    <row r="59" spans="1:43">
      <c r="A59" s="28">
        <v>83626</v>
      </c>
      <c r="B59" s="5" t="s">
        <v>1090</v>
      </c>
      <c r="C59" s="5" t="s">
        <v>151</v>
      </c>
      <c r="D59" s="5" t="s">
        <v>102</v>
      </c>
      <c r="E59" s="5" t="s">
        <v>68</v>
      </c>
      <c r="F59" s="5"/>
      <c r="G59" s="5"/>
      <c r="H59" s="5"/>
      <c r="I59" s="6">
        <v>0</v>
      </c>
      <c r="J59" s="7">
        <v>44211</v>
      </c>
      <c r="K59" s="8" t="str">
        <f>IF(B59="","",IF(AND(I59="",J59=""),"Unknown",IF(OR(AND(ISNUMBER(I59),I59=0),AND(ISNUMBER(J59),J59&lt;=EDATE('Scoring Settings'!$B$4,-'Scoring Settings'!$B$5))),"Not in use",IF(AND(ISNUMBER(I59),I59&lt;'Scoring Settings'!$B$6),"Low use","Active"))))</f>
        <v>Not in use</v>
      </c>
      <c r="L59" s="5">
        <v>2</v>
      </c>
      <c r="M59" s="5">
        <v>3</v>
      </c>
      <c r="N59" s="5"/>
      <c r="O59" s="5" t="s">
        <v>73</v>
      </c>
      <c r="P59" s="5" t="s">
        <v>1091</v>
      </c>
      <c r="Q59" s="9">
        <v>4</v>
      </c>
      <c r="R59" s="5" t="s">
        <v>251</v>
      </c>
      <c r="S59" s="5" t="s">
        <v>133</v>
      </c>
      <c r="T59" s="5" t="s">
        <v>77</v>
      </c>
      <c r="U59" s="7">
        <v>44165</v>
      </c>
      <c r="V59" s="5" t="s">
        <v>78</v>
      </c>
      <c r="W59" s="6">
        <v>160</v>
      </c>
      <c r="X59" s="5" t="s">
        <v>80</v>
      </c>
      <c r="Y59" s="9">
        <v>10</v>
      </c>
      <c r="Z59" s="5" t="s">
        <v>80</v>
      </c>
      <c r="AA59" s="5" t="s">
        <v>185</v>
      </c>
      <c r="AB59" s="9">
        <v>8</v>
      </c>
      <c r="AC59" s="5" t="s">
        <v>82</v>
      </c>
      <c r="AD59" s="5" t="s">
        <v>82</v>
      </c>
      <c r="AE59" s="5" t="s">
        <v>79</v>
      </c>
      <c r="AF59" s="10">
        <v>55000</v>
      </c>
      <c r="AG59" s="7">
        <v>45991</v>
      </c>
      <c r="AH59" s="10">
        <v>59500</v>
      </c>
      <c r="AI59" s="10">
        <v>37000</v>
      </c>
      <c r="AJ59" s="11">
        <f t="shared" si="0"/>
        <v>19.297297297297298</v>
      </c>
      <c r="AK59" s="12">
        <f>IF(B59="","",OR(K59="Not in use",K59="Low use")+AND(N59&lt;&gt;"",N59&lt;&gt;"TBD")+AND(ISNUMBER(U59),U59&lt;=EDATE('Scoring Settings'!$B$4,'Scoring Settings'!$B$8))+AND(ISNUMBER(L59),L59&lt;='Scoring Settings'!$B$7))</f>
        <v>3</v>
      </c>
      <c r="AL59" s="5" t="s">
        <v>96</v>
      </c>
      <c r="AM59" s="8" t="str">
        <f>IF(B59="","",IF(Z59="N","Easy",IF(OR(AND(ISNUMBER(AB59),AB59&gt;'Scoring Settings'!$B$11),AND(ISNUMBER(W59),W59&gt;'Scoring Settings'!$B$12),AND(ISNUMBER(M59),M59&lt;='Scoring Settings'!$B$13)),"High","Medium")))</f>
        <v>High</v>
      </c>
      <c r="AN59" s="5" t="s">
        <v>196</v>
      </c>
      <c r="AO59" s="7">
        <v>44227</v>
      </c>
      <c r="AP59" s="5" t="s">
        <v>372</v>
      </c>
      <c r="AQ59" s="29" t="s">
        <v>840</v>
      </c>
    </row>
    <row r="60" spans="1:43">
      <c r="A60" s="28">
        <v>56965</v>
      </c>
      <c r="B60" s="5" t="s">
        <v>1103</v>
      </c>
      <c r="C60" s="5" t="s">
        <v>380</v>
      </c>
      <c r="D60" s="5" t="s">
        <v>102</v>
      </c>
      <c r="E60" s="5" t="s">
        <v>68</v>
      </c>
      <c r="F60" s="5"/>
      <c r="G60" s="5"/>
      <c r="H60" s="5"/>
      <c r="I60" s="6">
        <v>10</v>
      </c>
      <c r="J60" s="7">
        <v>44283</v>
      </c>
      <c r="K60" s="8" t="str">
        <f>IF(B60="","",IF(AND(I60="",J60=""),"Unknown",IF(OR(AND(ISNUMBER(I60),I60=0),AND(ISNUMBER(J60),J60&lt;=EDATE('Scoring Settings'!$B$4,-'Scoring Settings'!$B$5))),"Not in use",IF(AND(ISNUMBER(I60),I60&lt;'Scoring Settings'!$B$6),"Low use","Active"))))</f>
        <v>Low use</v>
      </c>
      <c r="L60" s="5">
        <v>3</v>
      </c>
      <c r="M60" s="5">
        <v>4</v>
      </c>
      <c r="N60" s="5" t="s">
        <v>254</v>
      </c>
      <c r="O60" s="5" t="s">
        <v>130</v>
      </c>
      <c r="P60" s="5" t="s">
        <v>702</v>
      </c>
      <c r="Q60" s="9">
        <v>3</v>
      </c>
      <c r="R60" s="5" t="s">
        <v>182</v>
      </c>
      <c r="S60" s="5" t="s">
        <v>183</v>
      </c>
      <c r="T60" s="5" t="s">
        <v>134</v>
      </c>
      <c r="U60" s="7">
        <v>42855</v>
      </c>
      <c r="V60" s="5" t="s">
        <v>135</v>
      </c>
      <c r="W60" s="6">
        <v>54</v>
      </c>
      <c r="X60" s="5" t="s">
        <v>80</v>
      </c>
      <c r="Y60" s="9">
        <v>10</v>
      </c>
      <c r="Z60" s="5" t="s">
        <v>79</v>
      </c>
      <c r="AA60" s="5" t="s">
        <v>110</v>
      </c>
      <c r="AB60" s="9">
        <v>3</v>
      </c>
      <c r="AC60" s="5" t="s">
        <v>82</v>
      </c>
      <c r="AD60" s="5" t="s">
        <v>80</v>
      </c>
      <c r="AE60" s="5" t="s">
        <v>79</v>
      </c>
      <c r="AF60" s="10">
        <v>19500</v>
      </c>
      <c r="AG60" s="7">
        <v>49613</v>
      </c>
      <c r="AH60" s="10">
        <v>19500</v>
      </c>
      <c r="AI60" s="10">
        <v>16000</v>
      </c>
      <c r="AJ60" s="11">
        <f t="shared" si="0"/>
        <v>14.625</v>
      </c>
      <c r="AK60" s="12">
        <f>IF(B60="","",OR(K60="Not in use",K60="Low use")+AND(N60&lt;&gt;"",N60&lt;&gt;"TBD")+AND(ISNUMBER(U60),U60&lt;=EDATE('Scoring Settings'!$B$4,'Scoring Settings'!$B$8))+AND(ISNUMBER(L60),L60&lt;='Scoring Settings'!$B$7))</f>
        <v>3</v>
      </c>
      <c r="AL60" s="5" t="s">
        <v>2217</v>
      </c>
      <c r="AM60" s="8" t="str">
        <f>IF(B60="","",IF(Z60="N","Easy",IF(OR(AND(ISNUMBER(AB60),AB60&gt;'Scoring Settings'!$B$11),AND(ISNUMBER(W60),W60&gt;'Scoring Settings'!$B$12),AND(ISNUMBER(M60),M60&lt;='Scoring Settings'!$B$13)),"High","Medium")))</f>
        <v>Easy</v>
      </c>
      <c r="AN60" s="5" t="s">
        <v>196</v>
      </c>
      <c r="AO60" s="7">
        <v>44530</v>
      </c>
      <c r="AP60" s="5" t="s">
        <v>359</v>
      </c>
      <c r="AQ60" s="29" t="s">
        <v>1104</v>
      </c>
    </row>
    <row r="61" spans="1:43">
      <c r="A61" s="28">
        <v>59395</v>
      </c>
      <c r="B61" s="5" t="s">
        <v>1118</v>
      </c>
      <c r="C61" s="5" t="s">
        <v>423</v>
      </c>
      <c r="D61" s="5" t="s">
        <v>67</v>
      </c>
      <c r="E61" s="5" t="s">
        <v>68</v>
      </c>
      <c r="F61" s="5"/>
      <c r="G61" s="5"/>
      <c r="H61" s="5"/>
      <c r="I61" s="6">
        <v>17</v>
      </c>
      <c r="J61" s="7">
        <v>44181</v>
      </c>
      <c r="K61" s="8" t="str">
        <f>IF(B61="","",IF(AND(I61="",J61=""),"Unknown",IF(OR(AND(ISNUMBER(I61),I61=0),AND(ISNUMBER(J61),J61&lt;=EDATE('Scoring Settings'!$B$4,-'Scoring Settings'!$B$5))),"Not in use",IF(AND(ISNUMBER(I61),I61&lt;'Scoring Settings'!$B$6),"Low use","Active"))))</f>
        <v>Low use</v>
      </c>
      <c r="L61" s="5">
        <v>3</v>
      </c>
      <c r="M61" s="5">
        <v>2</v>
      </c>
      <c r="N61" s="5" t="s">
        <v>912</v>
      </c>
      <c r="O61" s="5" t="s">
        <v>73</v>
      </c>
      <c r="P61" s="5" t="s">
        <v>1119</v>
      </c>
      <c r="Q61" s="9">
        <v>5</v>
      </c>
      <c r="R61" s="5" t="s">
        <v>245</v>
      </c>
      <c r="S61" s="5" t="s">
        <v>246</v>
      </c>
      <c r="T61" s="5" t="s">
        <v>122</v>
      </c>
      <c r="U61" s="7">
        <v>45777</v>
      </c>
      <c r="V61" s="5" t="s">
        <v>135</v>
      </c>
      <c r="W61" s="6">
        <v>13</v>
      </c>
      <c r="X61" s="5" t="s">
        <v>79</v>
      </c>
      <c r="Y61" s="9">
        <v>3</v>
      </c>
      <c r="Z61" s="5" t="s">
        <v>79</v>
      </c>
      <c r="AA61" s="5" t="s">
        <v>110</v>
      </c>
      <c r="AB61" s="9">
        <v>27</v>
      </c>
      <c r="AC61" s="5" t="s">
        <v>82</v>
      </c>
      <c r="AD61" s="5" t="s">
        <v>80</v>
      </c>
      <c r="AE61" s="5" t="s">
        <v>82</v>
      </c>
      <c r="AF61" s="10">
        <v>70000</v>
      </c>
      <c r="AG61" s="7">
        <v>48273</v>
      </c>
      <c r="AH61" s="10">
        <v>121000</v>
      </c>
      <c r="AI61" s="10">
        <v>57000</v>
      </c>
      <c r="AJ61" s="11">
        <f t="shared" si="0"/>
        <v>25.473684210526315</v>
      </c>
      <c r="AK61" s="12">
        <f>IF(B61="","",OR(K61="Not in use",K61="Low use")+AND(N61&lt;&gt;"",N61&lt;&gt;"TBD")+AND(ISNUMBER(U61),U61&lt;=EDATE('Scoring Settings'!$B$4,'Scoring Settings'!$B$8))+AND(ISNUMBER(L61),L61&lt;='Scoring Settings'!$B$7))</f>
        <v>2</v>
      </c>
      <c r="AL61" s="5" t="s">
        <v>2217</v>
      </c>
      <c r="AM61" s="8" t="str">
        <f>IF(B61="","",IF(Z61="N","Easy",IF(OR(AND(ISNUMBER(AB61),AB61&gt;'Scoring Settings'!$B$11),AND(ISNUMBER(W61),W61&gt;'Scoring Settings'!$B$12),AND(ISNUMBER(M61),M61&lt;='Scoring Settings'!$B$13)),"High","Medium")))</f>
        <v>Easy</v>
      </c>
      <c r="AN61" s="5" t="s">
        <v>196</v>
      </c>
      <c r="AO61" s="7">
        <v>44377</v>
      </c>
      <c r="AP61" s="5" t="s">
        <v>359</v>
      </c>
      <c r="AQ61" s="29" t="s">
        <v>1120</v>
      </c>
    </row>
    <row r="62" spans="1:43">
      <c r="A62" s="28">
        <v>29248</v>
      </c>
      <c r="B62" s="5" t="s">
        <v>1152</v>
      </c>
      <c r="C62" s="5" t="s">
        <v>187</v>
      </c>
      <c r="D62" s="5" t="s">
        <v>67</v>
      </c>
      <c r="E62" s="5" t="s">
        <v>68</v>
      </c>
      <c r="F62" s="5"/>
      <c r="G62" s="5"/>
      <c r="H62" s="5"/>
      <c r="I62" s="6">
        <v>3</v>
      </c>
      <c r="J62" s="7">
        <v>44198</v>
      </c>
      <c r="K62" s="8" t="str">
        <f>IF(B62="","",IF(AND(I62="",J62=""),"Unknown",IF(OR(AND(ISNUMBER(I62),I62=0),AND(ISNUMBER(J62),J62&lt;=EDATE('Scoring Settings'!$B$4,-'Scoring Settings'!$B$5))),"Not in use",IF(AND(ISNUMBER(I62),I62&lt;'Scoring Settings'!$B$6),"Low use","Active"))))</f>
        <v>Low use</v>
      </c>
      <c r="L62" s="5">
        <v>2</v>
      </c>
      <c r="M62" s="5">
        <v>3</v>
      </c>
      <c r="N62" s="5"/>
      <c r="O62" s="5" t="s">
        <v>73</v>
      </c>
      <c r="P62" s="5" t="s">
        <v>749</v>
      </c>
      <c r="Q62" s="9">
        <v>4</v>
      </c>
      <c r="R62" s="5" t="s">
        <v>132</v>
      </c>
      <c r="S62" s="5" t="s">
        <v>133</v>
      </c>
      <c r="T62" s="5" t="s">
        <v>109</v>
      </c>
      <c r="U62" s="7">
        <v>44227</v>
      </c>
      <c r="V62" s="5" t="s">
        <v>135</v>
      </c>
      <c r="W62" s="6">
        <v>1</v>
      </c>
      <c r="X62" s="5" t="s">
        <v>79</v>
      </c>
      <c r="Y62" s="9">
        <v>2</v>
      </c>
      <c r="Z62" s="5" t="s">
        <v>79</v>
      </c>
      <c r="AA62" s="5" t="s">
        <v>110</v>
      </c>
      <c r="AB62" s="9">
        <v>8</v>
      </c>
      <c r="AC62" s="5" t="s">
        <v>79</v>
      </c>
      <c r="AD62" s="5" t="s">
        <v>79</v>
      </c>
      <c r="AE62" s="5" t="s">
        <v>79</v>
      </c>
      <c r="AF62" s="10">
        <v>55000</v>
      </c>
      <c r="AG62" s="7">
        <v>46477</v>
      </c>
      <c r="AH62" s="10">
        <v>78500</v>
      </c>
      <c r="AI62" s="10">
        <v>48000</v>
      </c>
      <c r="AJ62" s="11">
        <f t="shared" si="0"/>
        <v>19.625</v>
      </c>
      <c r="AK62" s="12">
        <f>IF(B62="","",OR(K62="Not in use",K62="Low use")+AND(N62&lt;&gt;"",N62&lt;&gt;"TBD")+AND(ISNUMBER(U62),U62&lt;=EDATE('Scoring Settings'!$B$4,'Scoring Settings'!$B$8))+AND(ISNUMBER(L62),L62&lt;='Scoring Settings'!$B$7))</f>
        <v>3</v>
      </c>
      <c r="AL62" s="5" t="s">
        <v>223</v>
      </c>
      <c r="AM62" s="8" t="str">
        <f>IF(B62="","",IF(Z62="N","Easy",IF(OR(AND(ISNUMBER(AB62),AB62&gt;'Scoring Settings'!$B$11),AND(ISNUMBER(W62),W62&gt;'Scoring Settings'!$B$12),AND(ISNUMBER(M62),M62&lt;='Scoring Settings'!$B$13)),"High","Medium")))</f>
        <v>Easy</v>
      </c>
      <c r="AN62" s="5" t="s">
        <v>196</v>
      </c>
      <c r="AO62" s="7">
        <v>44561</v>
      </c>
      <c r="AP62" s="5" t="s">
        <v>197</v>
      </c>
      <c r="AQ62" s="29" t="s">
        <v>499</v>
      </c>
    </row>
    <row r="63" spans="1:43" ht="28.5">
      <c r="A63" s="28">
        <v>15356</v>
      </c>
      <c r="B63" s="5" t="s">
        <v>1157</v>
      </c>
      <c r="C63" s="5" t="s">
        <v>470</v>
      </c>
      <c r="D63" s="5" t="s">
        <v>297</v>
      </c>
      <c r="E63" s="5" t="s">
        <v>68</v>
      </c>
      <c r="F63" s="5"/>
      <c r="G63" s="5"/>
      <c r="H63" s="5"/>
      <c r="I63" s="6">
        <v>5200</v>
      </c>
      <c r="J63" s="7">
        <v>44315</v>
      </c>
      <c r="K63" s="8" t="str">
        <f>IF(B63="","",IF(AND(I63="",J63=""),"Unknown",IF(OR(AND(ISNUMBER(I63),I63=0),AND(ISNUMBER(J63),J63&lt;=EDATE('Scoring Settings'!$B$4,-'Scoring Settings'!$B$5))),"Not in use",IF(AND(ISNUMBER(I63),I63&lt;'Scoring Settings'!$B$6),"Low use","Active"))))</f>
        <v>Active</v>
      </c>
      <c r="L63" s="5">
        <v>3</v>
      </c>
      <c r="M63" s="5">
        <v>2</v>
      </c>
      <c r="N63" s="5" t="s">
        <v>1158</v>
      </c>
      <c r="O63" s="5" t="s">
        <v>130</v>
      </c>
      <c r="P63" s="5" t="s">
        <v>1159</v>
      </c>
      <c r="Q63" s="9">
        <v>3</v>
      </c>
      <c r="R63" s="5" t="s">
        <v>75</v>
      </c>
      <c r="S63" s="5" t="s">
        <v>121</v>
      </c>
      <c r="T63" s="5" t="s">
        <v>168</v>
      </c>
      <c r="U63" s="7">
        <v>46217</v>
      </c>
      <c r="V63" s="5" t="s">
        <v>135</v>
      </c>
      <c r="W63" s="6">
        <v>900</v>
      </c>
      <c r="X63" s="5" t="s">
        <v>80</v>
      </c>
      <c r="Y63" s="9">
        <v>7</v>
      </c>
      <c r="Z63" s="5" t="s">
        <v>80</v>
      </c>
      <c r="AA63" s="5" t="s">
        <v>205</v>
      </c>
      <c r="AB63" s="9">
        <v>18</v>
      </c>
      <c r="AC63" s="5" t="s">
        <v>80</v>
      </c>
      <c r="AD63" s="5" t="s">
        <v>80</v>
      </c>
      <c r="AE63" s="5" t="s">
        <v>82</v>
      </c>
      <c r="AF63" s="10">
        <v>320000</v>
      </c>
      <c r="AG63" s="7">
        <v>46477</v>
      </c>
      <c r="AH63" s="10">
        <v>210000</v>
      </c>
      <c r="AI63" s="10">
        <v>260000</v>
      </c>
      <c r="AJ63" s="11">
        <f t="shared" si="0"/>
        <v>9.6923076923076934</v>
      </c>
      <c r="AK63" s="12">
        <f>IF(B63="","",OR(K63="Not in use",K63="Low use")+AND(N63&lt;&gt;"",N63&lt;&gt;"TBD")+AND(ISNUMBER(U63),U63&lt;=EDATE('Scoring Settings'!$B$4,'Scoring Settings'!$B$8))+AND(ISNUMBER(L63),L63&lt;='Scoring Settings'!$B$7))</f>
        <v>1</v>
      </c>
      <c r="AL63" s="5" t="s">
        <v>2217</v>
      </c>
      <c r="AM63" s="8" t="str">
        <f>IF(B63="","",IF(Z63="N","Easy",IF(OR(AND(ISNUMBER(AB63),AB63&gt;'Scoring Settings'!$B$11),AND(ISNUMBER(W63),W63&gt;'Scoring Settings'!$B$12),AND(ISNUMBER(M63),M63&lt;='Scoring Settings'!$B$13)),"High","Medium")))</f>
        <v>High</v>
      </c>
      <c r="AN63" s="5" t="s">
        <v>196</v>
      </c>
      <c r="AO63" s="7">
        <v>44316</v>
      </c>
      <c r="AP63" s="5" t="s">
        <v>372</v>
      </c>
      <c r="AQ63" s="29" t="s">
        <v>1160</v>
      </c>
    </row>
    <row r="64" spans="1:43">
      <c r="A64" s="28">
        <v>16966</v>
      </c>
      <c r="B64" s="5" t="s">
        <v>1166</v>
      </c>
      <c r="C64" s="5" t="s">
        <v>287</v>
      </c>
      <c r="D64" s="5" t="s">
        <v>162</v>
      </c>
      <c r="E64" s="5" t="s">
        <v>68</v>
      </c>
      <c r="F64" s="5"/>
      <c r="G64" s="5"/>
      <c r="H64" s="5"/>
      <c r="I64" s="6">
        <v>10</v>
      </c>
      <c r="J64" s="7">
        <v>44224</v>
      </c>
      <c r="K64" s="8" t="str">
        <f>IF(B64="","",IF(AND(I64="",J64=""),"Unknown",IF(OR(AND(ISNUMBER(I64),I64=0),AND(ISNUMBER(J64),J64&lt;=EDATE('Scoring Settings'!$B$4,-'Scoring Settings'!$B$5))),"Not in use",IF(AND(ISNUMBER(I64),I64&lt;'Scoring Settings'!$B$6),"Low use","Active"))))</f>
        <v>Low use</v>
      </c>
      <c r="L64" s="5">
        <v>2</v>
      </c>
      <c r="M64" s="5">
        <v>4</v>
      </c>
      <c r="N64" s="5" t="s">
        <v>1167</v>
      </c>
      <c r="O64" s="5" t="s">
        <v>73</v>
      </c>
      <c r="P64" s="5" t="s">
        <v>1168</v>
      </c>
      <c r="Q64" s="9">
        <v>4</v>
      </c>
      <c r="R64" s="5" t="s">
        <v>75</v>
      </c>
      <c r="S64" s="5" t="s">
        <v>76</v>
      </c>
      <c r="T64" s="5" t="s">
        <v>109</v>
      </c>
      <c r="U64" s="7">
        <v>46399</v>
      </c>
      <c r="V64" s="5" t="s">
        <v>78</v>
      </c>
      <c r="W64" s="6">
        <v>350</v>
      </c>
      <c r="X64" s="5" t="s">
        <v>79</v>
      </c>
      <c r="Y64" s="9">
        <v>2</v>
      </c>
      <c r="Z64" s="5" t="s">
        <v>79</v>
      </c>
      <c r="AA64" s="5" t="s">
        <v>110</v>
      </c>
      <c r="AB64" s="9">
        <v>3</v>
      </c>
      <c r="AC64" s="5" t="s">
        <v>79</v>
      </c>
      <c r="AD64" s="5" t="s">
        <v>80</v>
      </c>
      <c r="AE64" s="5" t="s">
        <v>82</v>
      </c>
      <c r="AF64" s="10">
        <v>31500</v>
      </c>
      <c r="AG64" s="7">
        <v>46568</v>
      </c>
      <c r="AH64" s="10">
        <v>40000</v>
      </c>
      <c r="AI64" s="10">
        <v>26500</v>
      </c>
      <c r="AJ64" s="11">
        <f t="shared" si="0"/>
        <v>18.113207547169814</v>
      </c>
      <c r="AK64" s="12">
        <f>IF(B64="","",OR(K64="Not in use",K64="Low use")+AND(N64&lt;&gt;"",N64&lt;&gt;"TBD")+AND(ISNUMBER(U64),U64&lt;=EDATE('Scoring Settings'!$B$4,'Scoring Settings'!$B$8))+AND(ISNUMBER(L64),L64&lt;='Scoring Settings'!$B$7))</f>
        <v>3</v>
      </c>
      <c r="AL64" s="5" t="s">
        <v>223</v>
      </c>
      <c r="AM64" s="8" t="str">
        <f>IF(B64="","",IF(Z64="N","Easy",IF(OR(AND(ISNUMBER(AB64),AB64&gt;'Scoring Settings'!$B$11),AND(ISNUMBER(W64),W64&gt;'Scoring Settings'!$B$12),AND(ISNUMBER(M64),M64&lt;='Scoring Settings'!$B$13)),"High","Medium")))</f>
        <v>Easy</v>
      </c>
      <c r="AN64" s="5" t="s">
        <v>196</v>
      </c>
      <c r="AO64" s="7">
        <v>44439</v>
      </c>
      <c r="AP64" s="5" t="s">
        <v>359</v>
      </c>
      <c r="AQ64" s="29" t="s">
        <v>688</v>
      </c>
    </row>
    <row r="65" spans="1:43" ht="28.5">
      <c r="A65" s="28">
        <v>64942</v>
      </c>
      <c r="B65" s="5" t="s">
        <v>1190</v>
      </c>
      <c r="C65" s="5" t="s">
        <v>343</v>
      </c>
      <c r="D65" s="5" t="s">
        <v>102</v>
      </c>
      <c r="E65" s="5" t="s">
        <v>68</v>
      </c>
      <c r="F65" s="5"/>
      <c r="G65" s="5"/>
      <c r="H65" s="5"/>
      <c r="I65" s="6">
        <v>187</v>
      </c>
      <c r="J65" s="7">
        <v>44297</v>
      </c>
      <c r="K65" s="8" t="str">
        <f>IF(B65="","",IF(AND(I65="",J65=""),"Unknown",IF(OR(AND(ISNUMBER(I65),I65=0),AND(ISNUMBER(J65),J65&lt;=EDATE('Scoring Settings'!$B$4,-'Scoring Settings'!$B$5))),"Not in use",IF(AND(ISNUMBER(I65),I65&lt;'Scoring Settings'!$B$6),"Low use","Active"))))</f>
        <v>Active</v>
      </c>
      <c r="L65" s="5">
        <v>2</v>
      </c>
      <c r="M65" s="5">
        <v>4</v>
      </c>
      <c r="N65" s="5" t="s">
        <v>784</v>
      </c>
      <c r="O65" s="5" t="s">
        <v>73</v>
      </c>
      <c r="P65" s="5" t="s">
        <v>1191</v>
      </c>
      <c r="Q65" s="9">
        <v>4</v>
      </c>
      <c r="R65" s="5" t="s">
        <v>478</v>
      </c>
      <c r="S65" s="5" t="s">
        <v>479</v>
      </c>
      <c r="T65" s="5" t="s">
        <v>77</v>
      </c>
      <c r="U65" s="7">
        <v>43844</v>
      </c>
      <c r="V65" s="5" t="s">
        <v>78</v>
      </c>
      <c r="W65" s="6">
        <v>16</v>
      </c>
      <c r="X65" s="5" t="s">
        <v>79</v>
      </c>
      <c r="Y65" s="9">
        <v>7</v>
      </c>
      <c r="Z65" s="5" t="s">
        <v>79</v>
      </c>
      <c r="AA65" s="5" t="s">
        <v>110</v>
      </c>
      <c r="AB65" s="9">
        <v>3</v>
      </c>
      <c r="AC65" s="5" t="s">
        <v>80</v>
      </c>
      <c r="AD65" s="5" t="s">
        <v>79</v>
      </c>
      <c r="AE65" s="5" t="s">
        <v>79</v>
      </c>
      <c r="AF65" s="10">
        <v>40500</v>
      </c>
      <c r="AG65" s="7">
        <v>47664</v>
      </c>
      <c r="AH65" s="10">
        <v>19500</v>
      </c>
      <c r="AI65" s="10">
        <v>35500</v>
      </c>
      <c r="AJ65" s="11">
        <f t="shared" si="0"/>
        <v>6.591549295774648</v>
      </c>
      <c r="AK65" s="12">
        <f>IF(B65="","",OR(K65="Not in use",K65="Low use")+AND(N65&lt;&gt;"",N65&lt;&gt;"TBD")+AND(ISNUMBER(U65),U65&lt;=EDATE('Scoring Settings'!$B$4,'Scoring Settings'!$B$8))+AND(ISNUMBER(L65),L65&lt;='Scoring Settings'!$B$7))</f>
        <v>3</v>
      </c>
      <c r="AL65" s="5" t="s">
        <v>2217</v>
      </c>
      <c r="AM65" s="8" t="str">
        <f>IF(B65="","",IF(Z65="N","Easy",IF(OR(AND(ISNUMBER(AB65),AB65&gt;'Scoring Settings'!$B$11),AND(ISNUMBER(W65),W65&gt;'Scoring Settings'!$B$12),AND(ISNUMBER(M65),M65&lt;='Scoring Settings'!$B$13)),"High","Medium")))</f>
        <v>Easy</v>
      </c>
      <c r="AN65" s="5" t="s">
        <v>196</v>
      </c>
      <c r="AO65" s="7">
        <v>44500</v>
      </c>
      <c r="AP65" s="5" t="s">
        <v>359</v>
      </c>
      <c r="AQ65" s="29" t="s">
        <v>1192</v>
      </c>
    </row>
    <row r="66" spans="1:43">
      <c r="A66" s="28">
        <v>123642</v>
      </c>
      <c r="B66" s="5" t="s">
        <v>1199</v>
      </c>
      <c r="C66" s="5" t="s">
        <v>172</v>
      </c>
      <c r="D66" s="5" t="s">
        <v>162</v>
      </c>
      <c r="E66" s="5" t="s">
        <v>298</v>
      </c>
      <c r="F66" s="5"/>
      <c r="G66" s="5"/>
      <c r="H66" s="5"/>
      <c r="I66" s="6">
        <v>25</v>
      </c>
      <c r="J66" s="7">
        <v>44312</v>
      </c>
      <c r="K66" s="8" t="str">
        <f>IF(B66="","",IF(AND(I66="",J66=""),"Unknown",IF(OR(AND(ISNUMBER(I66),I66=0),AND(ISNUMBER(J66),J66&lt;=EDATE('Scoring Settings'!$B$4,-'Scoring Settings'!$B$5))),"Not in use",IF(AND(ISNUMBER(I66),I66&lt;'Scoring Settings'!$B$6),"Low use","Active"))))</f>
        <v>Active</v>
      </c>
      <c r="L66" s="5">
        <v>2</v>
      </c>
      <c r="M66" s="5">
        <v>4</v>
      </c>
      <c r="N66" s="5"/>
      <c r="O66" s="5" t="s">
        <v>191</v>
      </c>
      <c r="P66" s="5" t="s">
        <v>192</v>
      </c>
      <c r="Q66" s="9">
        <v>0</v>
      </c>
      <c r="R66" s="5" t="s">
        <v>193</v>
      </c>
      <c r="S66" s="5" t="s">
        <v>194</v>
      </c>
      <c r="T66" s="5" t="s">
        <v>195</v>
      </c>
      <c r="U66" s="7"/>
      <c r="V66" s="5" t="s">
        <v>135</v>
      </c>
      <c r="W66" s="6">
        <v>91</v>
      </c>
      <c r="X66" s="5" t="s">
        <v>80</v>
      </c>
      <c r="Y66" s="9">
        <v>7</v>
      </c>
      <c r="Z66" s="5" t="s">
        <v>80</v>
      </c>
      <c r="AA66" s="5" t="s">
        <v>81</v>
      </c>
      <c r="AB66" s="9">
        <v>3</v>
      </c>
      <c r="AC66" s="5" t="s">
        <v>80</v>
      </c>
      <c r="AD66" s="5" t="s">
        <v>79</v>
      </c>
      <c r="AE66" s="5" t="s">
        <v>82</v>
      </c>
      <c r="AF66" s="10">
        <v>22000</v>
      </c>
      <c r="AG66" s="7">
        <v>47452</v>
      </c>
      <c r="AH66" s="10">
        <v>31000</v>
      </c>
      <c r="AI66" s="10">
        <v>13500</v>
      </c>
      <c r="AJ66" s="11">
        <f t="shared" si="0"/>
        <v>27.555555555555557</v>
      </c>
      <c r="AK66" s="12">
        <f>IF(B66="","",OR(K66="Not in use",K66="Low use")+AND(N66&lt;&gt;"",N66&lt;&gt;"TBD")+AND(ISNUMBER(U66),U66&lt;=EDATE('Scoring Settings'!$B$4,'Scoring Settings'!$B$8))+AND(ISNUMBER(L66),L66&lt;='Scoring Settings'!$B$7))</f>
        <v>1</v>
      </c>
      <c r="AL66" s="5" t="s">
        <v>96</v>
      </c>
      <c r="AM66" s="8" t="str">
        <f>IF(B66="","",IF(Z66="N","Easy",IF(OR(AND(ISNUMBER(AB66),AB66&gt;'Scoring Settings'!$B$11),AND(ISNUMBER(W66),W66&gt;'Scoring Settings'!$B$12),AND(ISNUMBER(M66),M66&lt;='Scoring Settings'!$B$13)),"High","Medium")))</f>
        <v>Medium</v>
      </c>
      <c r="AN66" s="5" t="s">
        <v>196</v>
      </c>
      <c r="AO66" s="7">
        <v>44316</v>
      </c>
      <c r="AP66" s="5" t="s">
        <v>372</v>
      </c>
      <c r="AQ66" s="29" t="s">
        <v>1200</v>
      </c>
    </row>
    <row r="67" spans="1:43">
      <c r="A67" s="28">
        <v>81239</v>
      </c>
      <c r="B67" s="5" t="s">
        <v>1235</v>
      </c>
      <c r="C67" s="5" t="s">
        <v>325</v>
      </c>
      <c r="D67" s="5" t="s">
        <v>139</v>
      </c>
      <c r="E67" s="5" t="s">
        <v>68</v>
      </c>
      <c r="F67" s="5"/>
      <c r="G67" s="5"/>
      <c r="H67" s="5"/>
      <c r="I67" s="6">
        <v>6</v>
      </c>
      <c r="J67" s="7">
        <v>43782</v>
      </c>
      <c r="K67" s="8" t="str">
        <f>IF(B67="","",IF(AND(I67="",J67=""),"Unknown",IF(OR(AND(ISNUMBER(I67),I67=0),AND(ISNUMBER(J67),J67&lt;=EDATE('Scoring Settings'!$B$4,-'Scoring Settings'!$B$5))),"Not in use",IF(AND(ISNUMBER(I67),I67&lt;'Scoring Settings'!$B$6),"Low use","Active"))))</f>
        <v>Not in use</v>
      </c>
      <c r="L67" s="5">
        <v>3</v>
      </c>
      <c r="M67" s="5">
        <v>3</v>
      </c>
      <c r="N67" s="5" t="s">
        <v>72</v>
      </c>
      <c r="O67" s="5" t="s">
        <v>73</v>
      </c>
      <c r="P67" s="5" t="s">
        <v>1236</v>
      </c>
      <c r="Q67" s="9">
        <v>1</v>
      </c>
      <c r="R67" s="5" t="s">
        <v>132</v>
      </c>
      <c r="S67" s="5" t="s">
        <v>133</v>
      </c>
      <c r="T67" s="5" t="s">
        <v>77</v>
      </c>
      <c r="U67" s="7">
        <v>44227</v>
      </c>
      <c r="V67" s="5" t="s">
        <v>135</v>
      </c>
      <c r="W67" s="6">
        <v>27</v>
      </c>
      <c r="X67" s="5" t="s">
        <v>80</v>
      </c>
      <c r="Y67" s="9">
        <v>7</v>
      </c>
      <c r="Z67" s="5" t="s">
        <v>80</v>
      </c>
      <c r="AA67" s="5" t="s">
        <v>185</v>
      </c>
      <c r="AB67" s="9">
        <v>6</v>
      </c>
      <c r="AC67" s="5" t="s">
        <v>82</v>
      </c>
      <c r="AD67" s="5" t="s">
        <v>82</v>
      </c>
      <c r="AE67" s="5" t="s">
        <v>80</v>
      </c>
      <c r="AF67" s="10">
        <v>22000</v>
      </c>
      <c r="AG67" s="7">
        <v>46507</v>
      </c>
      <c r="AH67" s="10">
        <v>11500</v>
      </c>
      <c r="AI67" s="10">
        <v>16000</v>
      </c>
      <c r="AJ67" s="11">
        <f t="shared" si="0"/>
        <v>8.625</v>
      </c>
      <c r="AK67" s="12">
        <f>IF(B67="","",OR(K67="Not in use",K67="Low use")+AND(N67&lt;&gt;"",N67&lt;&gt;"TBD")+AND(ISNUMBER(U67),U67&lt;=EDATE('Scoring Settings'!$B$4,'Scoring Settings'!$B$8))+AND(ISNUMBER(L67),L67&lt;='Scoring Settings'!$B$7))</f>
        <v>2</v>
      </c>
      <c r="AL67" s="5" t="s">
        <v>96</v>
      </c>
      <c r="AM67" s="8" t="str">
        <f>IF(B67="","",IF(Z67="N","Easy",IF(OR(AND(ISNUMBER(AB67),AB67&gt;'Scoring Settings'!$B$11),AND(ISNUMBER(W67),W67&gt;'Scoring Settings'!$B$12),AND(ISNUMBER(M67),M67&lt;='Scoring Settings'!$B$13)),"High","Medium")))</f>
        <v>High</v>
      </c>
      <c r="AN67" s="5" t="s">
        <v>196</v>
      </c>
      <c r="AO67" s="7">
        <v>44377</v>
      </c>
      <c r="AP67" s="5" t="s">
        <v>359</v>
      </c>
      <c r="AQ67" s="29" t="s">
        <v>399</v>
      </c>
    </row>
    <row r="68" spans="1:43">
      <c r="A68" s="28">
        <v>178002</v>
      </c>
      <c r="B68" s="5" t="s">
        <v>1252</v>
      </c>
      <c r="C68" s="5" t="s">
        <v>599</v>
      </c>
      <c r="D68" s="5" t="s">
        <v>67</v>
      </c>
      <c r="E68" s="5" t="s">
        <v>68</v>
      </c>
      <c r="F68" s="5"/>
      <c r="G68" s="5"/>
      <c r="H68" s="5"/>
      <c r="I68" s="6">
        <v>10</v>
      </c>
      <c r="J68" s="7">
        <v>44260</v>
      </c>
      <c r="K68" s="8" t="str">
        <f>IF(B68="","",IF(AND(I68="",J68=""),"Unknown",IF(OR(AND(ISNUMBER(I68),I68=0),AND(ISNUMBER(J68),J68&lt;=EDATE('Scoring Settings'!$B$4,-'Scoring Settings'!$B$5))),"Not in use",IF(AND(ISNUMBER(I68),I68&lt;'Scoring Settings'!$B$6),"Low use","Active"))))</f>
        <v>Low use</v>
      </c>
      <c r="L68" s="5">
        <v>1</v>
      </c>
      <c r="M68" s="5">
        <v>4</v>
      </c>
      <c r="N68" s="5"/>
      <c r="O68" s="5" t="s">
        <v>73</v>
      </c>
      <c r="P68" s="5" t="s">
        <v>1253</v>
      </c>
      <c r="Q68" s="9">
        <v>3</v>
      </c>
      <c r="R68" s="5" t="s">
        <v>166</v>
      </c>
      <c r="S68" s="5" t="s">
        <v>167</v>
      </c>
      <c r="T68" s="5" t="s">
        <v>122</v>
      </c>
      <c r="U68" s="7">
        <v>45482</v>
      </c>
      <c r="V68" s="5" t="s">
        <v>135</v>
      </c>
      <c r="W68" s="6">
        <v>5</v>
      </c>
      <c r="X68" s="5" t="s">
        <v>80</v>
      </c>
      <c r="Y68" s="9">
        <v>10</v>
      </c>
      <c r="Z68" s="5" t="s">
        <v>79</v>
      </c>
      <c r="AA68" s="5" t="s">
        <v>110</v>
      </c>
      <c r="AB68" s="9">
        <v>1</v>
      </c>
      <c r="AC68" s="5" t="s">
        <v>79</v>
      </c>
      <c r="AD68" s="5" t="s">
        <v>80</v>
      </c>
      <c r="AE68" s="5" t="s">
        <v>82</v>
      </c>
      <c r="AF68" s="10">
        <v>65000</v>
      </c>
      <c r="AG68" s="7">
        <v>48579</v>
      </c>
      <c r="AH68" s="10">
        <v>41000</v>
      </c>
      <c r="AI68" s="10">
        <v>59000</v>
      </c>
      <c r="AJ68" s="11">
        <f t="shared" si="0"/>
        <v>8.3389830508474585</v>
      </c>
      <c r="AK68" s="12">
        <f>IF(B68="","",OR(K68="Not in use",K68="Low use")+AND(N68&lt;&gt;"",N68&lt;&gt;"TBD")+AND(ISNUMBER(U68),U68&lt;=EDATE('Scoring Settings'!$B$4,'Scoring Settings'!$B$8))+AND(ISNUMBER(L68),L68&lt;='Scoring Settings'!$B$7))</f>
        <v>2</v>
      </c>
      <c r="AL68" s="5" t="s">
        <v>223</v>
      </c>
      <c r="AM68" s="8" t="str">
        <f>IF(B68="","",IF(Z68="N","Easy",IF(OR(AND(ISNUMBER(AB68),AB68&gt;'Scoring Settings'!$B$11),AND(ISNUMBER(W68),W68&gt;'Scoring Settings'!$B$12),AND(ISNUMBER(M68),M68&lt;='Scoring Settings'!$B$13)),"High","Medium")))</f>
        <v>Easy</v>
      </c>
      <c r="AN68" s="5" t="s">
        <v>196</v>
      </c>
      <c r="AO68" s="7">
        <v>44439</v>
      </c>
      <c r="AP68" s="5" t="s">
        <v>359</v>
      </c>
      <c r="AQ68" s="29" t="s">
        <v>688</v>
      </c>
    </row>
    <row r="69" spans="1:43">
      <c r="A69" s="28">
        <v>94745</v>
      </c>
      <c r="B69" s="5" t="s">
        <v>1256</v>
      </c>
      <c r="C69" s="5" t="s">
        <v>293</v>
      </c>
      <c r="D69" s="5" t="s">
        <v>162</v>
      </c>
      <c r="E69" s="5" t="s">
        <v>68</v>
      </c>
      <c r="F69" s="5"/>
      <c r="G69" s="5"/>
      <c r="H69" s="5"/>
      <c r="I69" s="6">
        <v>25</v>
      </c>
      <c r="J69" s="7">
        <v>44271</v>
      </c>
      <c r="K69" s="8" t="str">
        <f>IF(B69="","",IF(AND(I69="",J69=""),"Unknown",IF(OR(AND(ISNUMBER(I69),I69=0),AND(ISNUMBER(J69),J69&lt;=EDATE('Scoring Settings'!$B$4,-'Scoring Settings'!$B$5))),"Not in use",IF(AND(ISNUMBER(I69),I69&lt;'Scoring Settings'!$B$6),"Low use","Active"))))</f>
        <v>Active</v>
      </c>
      <c r="L69" s="5">
        <v>5</v>
      </c>
      <c r="M69" s="5">
        <v>2</v>
      </c>
      <c r="N69" s="5" t="s">
        <v>533</v>
      </c>
      <c r="O69" s="5" t="s">
        <v>73</v>
      </c>
      <c r="P69" s="5" t="s">
        <v>1257</v>
      </c>
      <c r="Q69" s="9">
        <v>3</v>
      </c>
      <c r="R69" s="5" t="s">
        <v>239</v>
      </c>
      <c r="S69" s="5" t="s">
        <v>240</v>
      </c>
      <c r="T69" s="5" t="s">
        <v>109</v>
      </c>
      <c r="U69" s="7">
        <v>44316</v>
      </c>
      <c r="V69" s="5" t="s">
        <v>95</v>
      </c>
      <c r="W69" s="6">
        <v>10570</v>
      </c>
      <c r="X69" s="5" t="s">
        <v>79</v>
      </c>
      <c r="Y69" s="9">
        <v>5</v>
      </c>
      <c r="Z69" s="5" t="s">
        <v>79</v>
      </c>
      <c r="AA69" s="5" t="s">
        <v>110</v>
      </c>
      <c r="AB69" s="9">
        <v>13</v>
      </c>
      <c r="AC69" s="5" t="s">
        <v>79</v>
      </c>
      <c r="AD69" s="5" t="s">
        <v>82</v>
      </c>
      <c r="AE69" s="5" t="s">
        <v>79</v>
      </c>
      <c r="AF69" s="10">
        <v>60000</v>
      </c>
      <c r="AG69" s="7">
        <v>47603</v>
      </c>
      <c r="AH69" s="10">
        <v>103500</v>
      </c>
      <c r="AI69" s="10">
        <v>47500</v>
      </c>
      <c r="AJ69" s="11">
        <f t="shared" ref="AJ69:AJ132" si="1">IF(AND(ISNUMBER(AH69),ISNUMBER(AI69),N(AI69)&gt;0),AH69/AI69*12,"")</f>
        <v>26.147368421052633</v>
      </c>
      <c r="AK69" s="12">
        <f>IF(B69="","",OR(K69="Not in use",K69="Low use")+AND(N69&lt;&gt;"",N69&lt;&gt;"TBD")+AND(ISNUMBER(U69),U69&lt;=EDATE('Scoring Settings'!$B$4,'Scoring Settings'!$B$8))+AND(ISNUMBER(L69),L69&lt;='Scoring Settings'!$B$7))</f>
        <v>2</v>
      </c>
      <c r="AL69" s="5" t="s">
        <v>2217</v>
      </c>
      <c r="AM69" s="8" t="str">
        <f>IF(B69="","",IF(Z69="N","Easy",IF(OR(AND(ISNUMBER(AB69),AB69&gt;'Scoring Settings'!$B$11),AND(ISNUMBER(W69),W69&gt;'Scoring Settings'!$B$12),AND(ISNUMBER(M69),M69&lt;='Scoring Settings'!$B$13)),"High","Medium")))</f>
        <v>Easy</v>
      </c>
      <c r="AN69" s="5" t="s">
        <v>196</v>
      </c>
      <c r="AO69" s="7">
        <v>44469</v>
      </c>
      <c r="AP69" s="5" t="s">
        <v>359</v>
      </c>
      <c r="AQ69" s="29" t="s">
        <v>619</v>
      </c>
    </row>
    <row r="70" spans="1:43">
      <c r="A70" s="28">
        <v>70067</v>
      </c>
      <c r="B70" s="5" t="s">
        <v>1260</v>
      </c>
      <c r="C70" s="5" t="s">
        <v>296</v>
      </c>
      <c r="D70" s="5" t="s">
        <v>297</v>
      </c>
      <c r="E70" s="5" t="s">
        <v>68</v>
      </c>
      <c r="F70" s="5"/>
      <c r="G70" s="5"/>
      <c r="H70" s="5"/>
      <c r="I70" s="6">
        <v>20</v>
      </c>
      <c r="J70" s="7">
        <v>44198</v>
      </c>
      <c r="K70" s="8" t="str">
        <f>IF(B70="","",IF(AND(I70="",J70=""),"Unknown",IF(OR(AND(ISNUMBER(I70),I70=0),AND(ISNUMBER(J70),J70&lt;=EDATE('Scoring Settings'!$B$4,-'Scoring Settings'!$B$5))),"Not in use",IF(AND(ISNUMBER(I70),I70&lt;'Scoring Settings'!$B$6),"Low use","Active"))))</f>
        <v>Low use</v>
      </c>
      <c r="L70" s="5">
        <v>3</v>
      </c>
      <c r="M70" s="5">
        <v>4</v>
      </c>
      <c r="N70" s="5"/>
      <c r="O70" s="5" t="s">
        <v>73</v>
      </c>
      <c r="P70" s="5" t="s">
        <v>1261</v>
      </c>
      <c r="Q70" s="9">
        <v>2</v>
      </c>
      <c r="R70" s="5" t="s">
        <v>166</v>
      </c>
      <c r="S70" s="5" t="s">
        <v>564</v>
      </c>
      <c r="T70" s="5" t="s">
        <v>109</v>
      </c>
      <c r="U70" s="7">
        <v>44754</v>
      </c>
      <c r="V70" s="5" t="s">
        <v>135</v>
      </c>
      <c r="W70" s="6">
        <v>570</v>
      </c>
      <c r="X70" s="5" t="s">
        <v>80</v>
      </c>
      <c r="Y70" s="9">
        <v>7</v>
      </c>
      <c r="Z70" s="5" t="s">
        <v>79</v>
      </c>
      <c r="AA70" s="5" t="s">
        <v>110</v>
      </c>
      <c r="AB70" s="9">
        <v>3</v>
      </c>
      <c r="AC70" s="5" t="s">
        <v>82</v>
      </c>
      <c r="AD70" s="5" t="s">
        <v>82</v>
      </c>
      <c r="AE70" s="5" t="s">
        <v>80</v>
      </c>
      <c r="AF70" s="10">
        <v>33000</v>
      </c>
      <c r="AG70" s="7">
        <v>49125</v>
      </c>
      <c r="AH70" s="10">
        <v>44000</v>
      </c>
      <c r="AI70" s="10">
        <v>30500</v>
      </c>
      <c r="AJ70" s="11">
        <f t="shared" si="1"/>
        <v>17.311475409836067</v>
      </c>
      <c r="AK70" s="12">
        <f>IF(B70="","",OR(K70="Not in use",K70="Low use")+AND(N70&lt;&gt;"",N70&lt;&gt;"TBD")+AND(ISNUMBER(U70),U70&lt;=EDATE('Scoring Settings'!$B$4,'Scoring Settings'!$B$8))+AND(ISNUMBER(L70),L70&lt;='Scoring Settings'!$B$7))</f>
        <v>1</v>
      </c>
      <c r="AL70" s="5" t="s">
        <v>223</v>
      </c>
      <c r="AM70" s="8" t="str">
        <f>IF(B70="","",IF(Z70="N","Easy",IF(OR(AND(ISNUMBER(AB70),AB70&gt;'Scoring Settings'!$B$11),AND(ISNUMBER(W70),W70&gt;'Scoring Settings'!$B$12),AND(ISNUMBER(M70),M70&lt;='Scoring Settings'!$B$13)),"High","Medium")))</f>
        <v>Easy</v>
      </c>
      <c r="AN70" s="5" t="s">
        <v>196</v>
      </c>
      <c r="AO70" s="7">
        <v>44408</v>
      </c>
      <c r="AP70" s="5" t="s">
        <v>359</v>
      </c>
      <c r="AQ70" s="29" t="s">
        <v>499</v>
      </c>
    </row>
    <row r="71" spans="1:43">
      <c r="A71" s="28">
        <v>195793</v>
      </c>
      <c r="B71" s="5" t="s">
        <v>1263</v>
      </c>
      <c r="C71" s="5" t="s">
        <v>371</v>
      </c>
      <c r="D71" s="5" t="s">
        <v>162</v>
      </c>
      <c r="E71" s="5" t="s">
        <v>68</v>
      </c>
      <c r="F71" s="5"/>
      <c r="G71" s="5"/>
      <c r="H71" s="5"/>
      <c r="I71" s="6">
        <v>0</v>
      </c>
      <c r="J71" s="7">
        <v>44233</v>
      </c>
      <c r="K71" s="8" t="str">
        <f>IF(B71="","",IF(AND(I71="",J71=""),"Unknown",IF(OR(AND(ISNUMBER(I71),I71=0),AND(ISNUMBER(J71),J71&lt;=EDATE('Scoring Settings'!$B$4,-'Scoring Settings'!$B$5))),"Not in use",IF(AND(ISNUMBER(I71),I71&lt;'Scoring Settings'!$B$6),"Low use","Active"))))</f>
        <v>Not in use</v>
      </c>
      <c r="L71" s="5">
        <v>2</v>
      </c>
      <c r="M71" s="5">
        <v>4</v>
      </c>
      <c r="N71" s="5" t="s">
        <v>533</v>
      </c>
      <c r="O71" s="5" t="s">
        <v>73</v>
      </c>
      <c r="P71" s="5" t="s">
        <v>1165</v>
      </c>
      <c r="Q71" s="9">
        <v>1</v>
      </c>
      <c r="R71" s="5" t="s">
        <v>93</v>
      </c>
      <c r="S71" s="5" t="s">
        <v>94</v>
      </c>
      <c r="T71" s="5" t="s">
        <v>184</v>
      </c>
      <c r="U71" s="7">
        <v>44561</v>
      </c>
      <c r="V71" s="5" t="s">
        <v>135</v>
      </c>
      <c r="W71" s="6">
        <v>1470</v>
      </c>
      <c r="X71" s="5" t="s">
        <v>79</v>
      </c>
      <c r="Y71" s="9">
        <v>3</v>
      </c>
      <c r="Z71" s="5" t="s">
        <v>80</v>
      </c>
      <c r="AA71" s="5" t="s">
        <v>205</v>
      </c>
      <c r="AB71" s="9">
        <v>1</v>
      </c>
      <c r="AC71" s="5" t="s">
        <v>79</v>
      </c>
      <c r="AD71" s="5" t="s">
        <v>82</v>
      </c>
      <c r="AE71" s="5" t="s">
        <v>82</v>
      </c>
      <c r="AF71" s="10">
        <v>34500</v>
      </c>
      <c r="AG71" s="7">
        <v>49095</v>
      </c>
      <c r="AH71" s="10">
        <v>51000</v>
      </c>
      <c r="AI71" s="10">
        <v>19000</v>
      </c>
      <c r="AJ71" s="11">
        <f t="shared" si="1"/>
        <v>32.210526315789473</v>
      </c>
      <c r="AK71" s="12">
        <f>IF(B71="","",OR(K71="Not in use",K71="Low use")+AND(N71&lt;&gt;"",N71&lt;&gt;"TBD")+AND(ISNUMBER(U71),U71&lt;=EDATE('Scoring Settings'!$B$4,'Scoring Settings'!$B$8))+AND(ISNUMBER(L71),L71&lt;='Scoring Settings'!$B$7))</f>
        <v>4</v>
      </c>
      <c r="AL71" s="5" t="s">
        <v>96</v>
      </c>
      <c r="AM71" s="8" t="str">
        <f>IF(B71="","",IF(Z71="N","Easy",IF(OR(AND(ISNUMBER(AB71),AB71&gt;'Scoring Settings'!$B$11),AND(ISNUMBER(W71),W71&gt;'Scoring Settings'!$B$12),AND(ISNUMBER(M71),M71&lt;='Scoring Settings'!$B$13)),"High","Medium")))</f>
        <v>High</v>
      </c>
      <c r="AN71" s="5" t="s">
        <v>196</v>
      </c>
      <c r="AO71" s="7">
        <v>44255</v>
      </c>
      <c r="AP71" s="5" t="s">
        <v>372</v>
      </c>
      <c r="AQ71" s="29" t="s">
        <v>738</v>
      </c>
    </row>
    <row r="72" spans="1:43">
      <c r="A72" s="28">
        <v>140270</v>
      </c>
      <c r="B72" s="5" t="s">
        <v>1267</v>
      </c>
      <c r="C72" s="5" t="s">
        <v>230</v>
      </c>
      <c r="D72" s="5" t="s">
        <v>115</v>
      </c>
      <c r="E72" s="5" t="s">
        <v>68</v>
      </c>
      <c r="F72" s="5"/>
      <c r="G72" s="5"/>
      <c r="H72" s="5"/>
      <c r="I72" s="6">
        <v>377</v>
      </c>
      <c r="J72" s="7">
        <v>44307</v>
      </c>
      <c r="K72" s="8" t="str">
        <f>IF(B72="","",IF(AND(I72="",J72=""),"Unknown",IF(OR(AND(ISNUMBER(I72),I72=0),AND(ISNUMBER(J72),J72&lt;=EDATE('Scoring Settings'!$B$4,-'Scoring Settings'!$B$5))),"Not in use",IF(AND(ISNUMBER(I72),I72&lt;'Scoring Settings'!$B$6),"Low use","Active"))))</f>
        <v>Active</v>
      </c>
      <c r="L72" s="5">
        <v>3</v>
      </c>
      <c r="M72" s="5">
        <v>4</v>
      </c>
      <c r="N72" s="5" t="s">
        <v>549</v>
      </c>
      <c r="O72" s="5" t="s">
        <v>73</v>
      </c>
      <c r="P72" s="5" t="s">
        <v>1268</v>
      </c>
      <c r="Q72" s="9">
        <v>2</v>
      </c>
      <c r="R72" s="5" t="s">
        <v>72</v>
      </c>
      <c r="S72" s="5" t="s">
        <v>204</v>
      </c>
      <c r="T72" s="5" t="s">
        <v>77</v>
      </c>
      <c r="U72" s="7">
        <v>47269</v>
      </c>
      <c r="V72" s="5" t="s">
        <v>78</v>
      </c>
      <c r="W72" s="6">
        <v>65</v>
      </c>
      <c r="X72" s="5" t="s">
        <v>80</v>
      </c>
      <c r="Y72" s="9">
        <v>10</v>
      </c>
      <c r="Z72" s="5" t="s">
        <v>80</v>
      </c>
      <c r="AA72" s="5" t="s">
        <v>81</v>
      </c>
      <c r="AB72" s="9">
        <v>1</v>
      </c>
      <c r="AC72" s="5" t="s">
        <v>79</v>
      </c>
      <c r="AD72" s="5" t="s">
        <v>82</v>
      </c>
      <c r="AE72" s="5" t="s">
        <v>80</v>
      </c>
      <c r="AF72" s="10">
        <v>25000</v>
      </c>
      <c r="AG72" s="7">
        <v>47330</v>
      </c>
      <c r="AH72" s="10">
        <v>22500</v>
      </c>
      <c r="AI72" s="10">
        <v>15500</v>
      </c>
      <c r="AJ72" s="11">
        <f t="shared" si="1"/>
        <v>17.41935483870968</v>
      </c>
      <c r="AK72" s="12">
        <f>IF(B72="","",OR(K72="Not in use",K72="Low use")+AND(N72&lt;&gt;"",N72&lt;&gt;"TBD")+AND(ISNUMBER(U72),U72&lt;=EDATE('Scoring Settings'!$B$4,'Scoring Settings'!$B$8))+AND(ISNUMBER(L72),L72&lt;='Scoring Settings'!$B$7))</f>
        <v>1</v>
      </c>
      <c r="AL72" s="5" t="s">
        <v>2217</v>
      </c>
      <c r="AM72" s="8" t="str">
        <f>IF(B72="","",IF(Z72="N","Easy",IF(OR(AND(ISNUMBER(AB72),AB72&gt;'Scoring Settings'!$B$11),AND(ISNUMBER(W72),W72&gt;'Scoring Settings'!$B$12),AND(ISNUMBER(M72),M72&lt;='Scoring Settings'!$B$13)),"High","Medium")))</f>
        <v>Medium</v>
      </c>
      <c r="AN72" s="5" t="s">
        <v>196</v>
      </c>
      <c r="AO72" s="7">
        <v>44347</v>
      </c>
      <c r="AP72" s="5" t="s">
        <v>322</v>
      </c>
      <c r="AQ72" s="29" t="s">
        <v>1269</v>
      </c>
    </row>
    <row r="73" spans="1:43">
      <c r="A73" s="28">
        <v>16909</v>
      </c>
      <c r="B73" s="5" t="s">
        <v>1276</v>
      </c>
      <c r="C73" s="5" t="s">
        <v>409</v>
      </c>
      <c r="D73" s="5" t="s">
        <v>115</v>
      </c>
      <c r="E73" s="5" t="s">
        <v>311</v>
      </c>
      <c r="F73" s="5"/>
      <c r="G73" s="5"/>
      <c r="H73" s="5"/>
      <c r="I73" s="6">
        <v>0</v>
      </c>
      <c r="J73" s="7">
        <v>44205</v>
      </c>
      <c r="K73" s="8" t="str">
        <f>IF(B73="","",IF(AND(I73="",J73=""),"Unknown",IF(OR(AND(ISNUMBER(I73),I73=0),AND(ISNUMBER(J73),J73&lt;=EDATE('Scoring Settings'!$B$4,-'Scoring Settings'!$B$5))),"Not in use",IF(AND(ISNUMBER(I73),I73&lt;'Scoring Settings'!$B$6),"Low use","Active"))))</f>
        <v>Not in use</v>
      </c>
      <c r="L73" s="5">
        <v>2</v>
      </c>
      <c r="M73" s="5">
        <v>4</v>
      </c>
      <c r="N73" s="5"/>
      <c r="O73" s="5" t="s">
        <v>73</v>
      </c>
      <c r="P73" s="5" t="s">
        <v>1277</v>
      </c>
      <c r="Q73" s="9">
        <v>4</v>
      </c>
      <c r="R73" s="5" t="s">
        <v>335</v>
      </c>
      <c r="S73" s="5" t="s">
        <v>336</v>
      </c>
      <c r="T73" s="5" t="s">
        <v>184</v>
      </c>
      <c r="U73" s="7">
        <v>45473</v>
      </c>
      <c r="V73" s="5" t="s">
        <v>135</v>
      </c>
      <c r="W73" s="6">
        <v>320</v>
      </c>
      <c r="X73" s="5" t="s">
        <v>80</v>
      </c>
      <c r="Y73" s="9">
        <v>5</v>
      </c>
      <c r="Z73" s="5" t="s">
        <v>80</v>
      </c>
      <c r="AA73" s="5" t="s">
        <v>147</v>
      </c>
      <c r="AB73" s="9">
        <v>2</v>
      </c>
      <c r="AC73" s="5" t="s">
        <v>80</v>
      </c>
      <c r="AD73" s="5" t="s">
        <v>79</v>
      </c>
      <c r="AE73" s="5" t="s">
        <v>79</v>
      </c>
      <c r="AF73" s="10">
        <v>55000</v>
      </c>
      <c r="AG73" s="7">
        <v>45961</v>
      </c>
      <c r="AH73" s="10">
        <v>27500</v>
      </c>
      <c r="AI73" s="10">
        <v>38500</v>
      </c>
      <c r="AJ73" s="11">
        <f t="shared" si="1"/>
        <v>8.5714285714285712</v>
      </c>
      <c r="AK73" s="12">
        <f>IF(B73="","",OR(K73="Not in use",K73="Low use")+AND(N73&lt;&gt;"",N73&lt;&gt;"TBD")+AND(ISNUMBER(U73),U73&lt;=EDATE('Scoring Settings'!$B$4,'Scoring Settings'!$B$8))+AND(ISNUMBER(L73),L73&lt;='Scoring Settings'!$B$7))</f>
        <v>2</v>
      </c>
      <c r="AL73" s="5" t="s">
        <v>96</v>
      </c>
      <c r="AM73" s="8" t="str">
        <f>IF(B73="","",IF(Z73="N","Easy",IF(OR(AND(ISNUMBER(AB73),AB73&gt;'Scoring Settings'!$B$11),AND(ISNUMBER(W73),W73&gt;'Scoring Settings'!$B$12),AND(ISNUMBER(M73),M73&lt;='Scoring Settings'!$B$13)),"High","Medium")))</f>
        <v>Medium</v>
      </c>
      <c r="AN73" s="5" t="s">
        <v>196</v>
      </c>
      <c r="AO73" s="7">
        <v>44227</v>
      </c>
      <c r="AP73" s="5" t="s">
        <v>372</v>
      </c>
      <c r="AQ73" s="29" t="s">
        <v>840</v>
      </c>
    </row>
    <row r="74" spans="1:43">
      <c r="A74" s="28">
        <v>98914</v>
      </c>
      <c r="B74" s="5" t="s">
        <v>1278</v>
      </c>
      <c r="C74" s="5" t="s">
        <v>667</v>
      </c>
      <c r="D74" s="5" t="s">
        <v>115</v>
      </c>
      <c r="E74" s="5" t="s">
        <v>68</v>
      </c>
      <c r="F74" s="5"/>
      <c r="G74" s="5"/>
      <c r="H74" s="5"/>
      <c r="I74" s="6">
        <v>8</v>
      </c>
      <c r="J74" s="7">
        <v>44243</v>
      </c>
      <c r="K74" s="8" t="str">
        <f>IF(B74="","",IF(AND(I74="",J74=""),"Unknown",IF(OR(AND(ISNUMBER(I74),I74=0),AND(ISNUMBER(J74),J74&lt;=EDATE('Scoring Settings'!$B$4,-'Scoring Settings'!$B$5))),"Not in use",IF(AND(ISNUMBER(I74),I74&lt;'Scoring Settings'!$B$6),"Low use","Active"))))</f>
        <v>Low use</v>
      </c>
      <c r="L74" s="5">
        <v>3</v>
      </c>
      <c r="M74" s="5">
        <v>3</v>
      </c>
      <c r="N74" s="5" t="s">
        <v>1008</v>
      </c>
      <c r="O74" s="5" t="s">
        <v>73</v>
      </c>
      <c r="P74" s="5" t="s">
        <v>1076</v>
      </c>
      <c r="Q74" s="9">
        <v>3</v>
      </c>
      <c r="R74" s="5" t="s">
        <v>478</v>
      </c>
      <c r="S74" s="5" t="s">
        <v>479</v>
      </c>
      <c r="T74" s="5" t="s">
        <v>184</v>
      </c>
      <c r="U74" s="7">
        <v>43844</v>
      </c>
      <c r="V74" s="5" t="s">
        <v>135</v>
      </c>
      <c r="W74" s="6">
        <v>38</v>
      </c>
      <c r="X74" s="5" t="s">
        <v>79</v>
      </c>
      <c r="Y74" s="9">
        <v>7</v>
      </c>
      <c r="Z74" s="5" t="s">
        <v>79</v>
      </c>
      <c r="AA74" s="5" t="s">
        <v>110</v>
      </c>
      <c r="AB74" s="9">
        <v>3</v>
      </c>
      <c r="AC74" s="5" t="s">
        <v>79</v>
      </c>
      <c r="AD74" s="5" t="s">
        <v>82</v>
      </c>
      <c r="AE74" s="5" t="s">
        <v>82</v>
      </c>
      <c r="AF74" s="10">
        <v>60000</v>
      </c>
      <c r="AG74" s="7">
        <v>48304</v>
      </c>
      <c r="AH74" s="10">
        <v>67500</v>
      </c>
      <c r="AI74" s="10">
        <v>55500</v>
      </c>
      <c r="AJ74" s="11">
        <f t="shared" si="1"/>
        <v>14.594594594594595</v>
      </c>
      <c r="AK74" s="12">
        <f>IF(B74="","",OR(K74="Not in use",K74="Low use")+AND(N74&lt;&gt;"",N74&lt;&gt;"TBD")+AND(ISNUMBER(U74),U74&lt;=EDATE('Scoring Settings'!$B$4,'Scoring Settings'!$B$8))+AND(ISNUMBER(L74),L74&lt;='Scoring Settings'!$B$7))</f>
        <v>3</v>
      </c>
      <c r="AL74" s="5" t="s">
        <v>223</v>
      </c>
      <c r="AM74" s="8" t="str">
        <f>IF(B74="","",IF(Z74="N","Easy",IF(OR(AND(ISNUMBER(AB74),AB74&gt;'Scoring Settings'!$B$11),AND(ISNUMBER(W74),W74&gt;'Scoring Settings'!$B$12),AND(ISNUMBER(M74),M74&lt;='Scoring Settings'!$B$13)),"High","Medium")))</f>
        <v>Easy</v>
      </c>
      <c r="AN74" s="5" t="s">
        <v>196</v>
      </c>
      <c r="AO74" s="7">
        <v>44500</v>
      </c>
      <c r="AP74" s="5" t="s">
        <v>359</v>
      </c>
      <c r="AQ74" s="29" t="s">
        <v>499</v>
      </c>
    </row>
    <row r="75" spans="1:43">
      <c r="A75" s="28">
        <v>31080</v>
      </c>
      <c r="B75" s="5" t="s">
        <v>1284</v>
      </c>
      <c r="C75" s="5" t="s">
        <v>557</v>
      </c>
      <c r="D75" s="5" t="s">
        <v>297</v>
      </c>
      <c r="E75" s="5" t="s">
        <v>311</v>
      </c>
      <c r="F75" s="5"/>
      <c r="G75" s="5"/>
      <c r="H75" s="5"/>
      <c r="I75" s="6">
        <v>0</v>
      </c>
      <c r="J75" s="7">
        <v>44239</v>
      </c>
      <c r="K75" s="8" t="str">
        <f>IF(B75="","",IF(AND(I75="",J75=""),"Unknown",IF(OR(AND(ISNUMBER(I75),I75=0),AND(ISNUMBER(J75),J75&lt;=EDATE('Scoring Settings'!$B$4,-'Scoring Settings'!$B$5))),"Not in use",IF(AND(ISNUMBER(I75),I75&lt;'Scoring Settings'!$B$6),"Low use","Active"))))</f>
        <v>Not in use</v>
      </c>
      <c r="L75" s="5">
        <v>2</v>
      </c>
      <c r="M75" s="5">
        <v>3</v>
      </c>
      <c r="N75" s="5"/>
      <c r="O75" s="5" t="s">
        <v>73</v>
      </c>
      <c r="P75" s="5" t="s">
        <v>1285</v>
      </c>
      <c r="Q75" s="9">
        <v>2</v>
      </c>
      <c r="R75" s="5" t="s">
        <v>132</v>
      </c>
      <c r="S75" s="5" t="s">
        <v>133</v>
      </c>
      <c r="T75" s="5" t="s">
        <v>184</v>
      </c>
      <c r="U75" s="7">
        <v>44227</v>
      </c>
      <c r="V75" s="5" t="s">
        <v>135</v>
      </c>
      <c r="W75" s="6">
        <v>22</v>
      </c>
      <c r="X75" s="5" t="s">
        <v>80</v>
      </c>
      <c r="Y75" s="9">
        <v>10</v>
      </c>
      <c r="Z75" s="5" t="s">
        <v>80</v>
      </c>
      <c r="AA75" s="5" t="s">
        <v>205</v>
      </c>
      <c r="AB75" s="9">
        <v>8</v>
      </c>
      <c r="AC75" s="5" t="s">
        <v>82</v>
      </c>
      <c r="AD75" s="5" t="s">
        <v>82</v>
      </c>
      <c r="AE75" s="5" t="s">
        <v>82</v>
      </c>
      <c r="AF75" s="10">
        <v>21500</v>
      </c>
      <c r="AG75" s="7">
        <v>48548</v>
      </c>
      <c r="AH75" s="10">
        <v>13000</v>
      </c>
      <c r="AI75" s="10">
        <v>13500</v>
      </c>
      <c r="AJ75" s="11">
        <f t="shared" si="1"/>
        <v>11.555555555555555</v>
      </c>
      <c r="AK75" s="12">
        <f>IF(B75="","",OR(K75="Not in use",K75="Low use")+AND(N75&lt;&gt;"",N75&lt;&gt;"TBD")+AND(ISNUMBER(U75),U75&lt;=EDATE('Scoring Settings'!$B$4,'Scoring Settings'!$B$8))+AND(ISNUMBER(L75),L75&lt;='Scoring Settings'!$B$7))</f>
        <v>3</v>
      </c>
      <c r="AL75" s="5" t="s">
        <v>96</v>
      </c>
      <c r="AM75" s="8" t="str">
        <f>IF(B75="","",IF(Z75="N","Easy",IF(OR(AND(ISNUMBER(AB75),AB75&gt;'Scoring Settings'!$B$11),AND(ISNUMBER(W75),W75&gt;'Scoring Settings'!$B$12),AND(ISNUMBER(M75),M75&lt;='Scoring Settings'!$B$13)),"High","Medium")))</f>
        <v>High</v>
      </c>
      <c r="AN75" s="5" t="s">
        <v>196</v>
      </c>
      <c r="AO75" s="7">
        <v>44255</v>
      </c>
      <c r="AP75" s="5" t="s">
        <v>372</v>
      </c>
      <c r="AQ75" s="29" t="s">
        <v>738</v>
      </c>
    </row>
    <row r="76" spans="1:43">
      <c r="A76" s="28">
        <v>182350</v>
      </c>
      <c r="B76" s="5" t="s">
        <v>1286</v>
      </c>
      <c r="C76" s="5" t="s">
        <v>101</v>
      </c>
      <c r="D76" s="5" t="s">
        <v>102</v>
      </c>
      <c r="E76" s="5" t="s">
        <v>68</v>
      </c>
      <c r="F76" s="5"/>
      <c r="G76" s="5"/>
      <c r="H76" s="5"/>
      <c r="I76" s="6">
        <v>20</v>
      </c>
      <c r="J76" s="7">
        <v>44295</v>
      </c>
      <c r="K76" s="8" t="str">
        <f>IF(B76="","",IF(AND(I76="",J76=""),"Unknown",IF(OR(AND(ISNUMBER(I76),I76=0),AND(ISNUMBER(J76),J76&lt;=EDATE('Scoring Settings'!$B$4,-'Scoring Settings'!$B$5))),"Not in use",IF(AND(ISNUMBER(I76),I76&lt;'Scoring Settings'!$B$6),"Low use","Active"))))</f>
        <v>Low use</v>
      </c>
      <c r="L76" s="5">
        <v>4</v>
      </c>
      <c r="M76" s="5">
        <v>3</v>
      </c>
      <c r="N76" s="5"/>
      <c r="O76" s="5" t="s">
        <v>191</v>
      </c>
      <c r="P76" s="5" t="s">
        <v>192</v>
      </c>
      <c r="Q76" s="9">
        <v>0</v>
      </c>
      <c r="R76" s="5" t="s">
        <v>193</v>
      </c>
      <c r="S76" s="5" t="s">
        <v>318</v>
      </c>
      <c r="T76" s="5" t="s">
        <v>195</v>
      </c>
      <c r="U76" s="7"/>
      <c r="V76" s="5" t="s">
        <v>135</v>
      </c>
      <c r="W76" s="6">
        <v>13</v>
      </c>
      <c r="X76" s="5" t="s">
        <v>79</v>
      </c>
      <c r="Y76" s="9">
        <v>3</v>
      </c>
      <c r="Z76" s="5" t="s">
        <v>79</v>
      </c>
      <c r="AA76" s="5" t="s">
        <v>110</v>
      </c>
      <c r="AB76" s="9">
        <v>6</v>
      </c>
      <c r="AC76" s="5" t="s">
        <v>82</v>
      </c>
      <c r="AD76" s="5" t="s">
        <v>82</v>
      </c>
      <c r="AE76" s="5" t="s">
        <v>79</v>
      </c>
      <c r="AF76" s="10">
        <v>12000</v>
      </c>
      <c r="AG76" s="7">
        <v>47422</v>
      </c>
      <c r="AH76" s="10">
        <v>8500</v>
      </c>
      <c r="AI76" s="10">
        <v>11000</v>
      </c>
      <c r="AJ76" s="11">
        <f t="shared" si="1"/>
        <v>9.2727272727272734</v>
      </c>
      <c r="AK76" s="12">
        <f>IF(B76="","",OR(K76="Not in use",K76="Low use")+AND(N76&lt;&gt;"",N76&lt;&gt;"TBD")+AND(ISNUMBER(U76),U76&lt;=EDATE('Scoring Settings'!$B$4,'Scoring Settings'!$B$8))+AND(ISNUMBER(L76),L76&lt;='Scoring Settings'!$B$7))</f>
        <v>1</v>
      </c>
      <c r="AL76" s="5" t="s">
        <v>223</v>
      </c>
      <c r="AM76" s="8" t="str">
        <f>IF(B76="","",IF(Z76="N","Easy",IF(OR(AND(ISNUMBER(AB76),AB76&gt;'Scoring Settings'!$B$11),AND(ISNUMBER(W76),W76&gt;'Scoring Settings'!$B$12),AND(ISNUMBER(M76),M76&lt;='Scoring Settings'!$B$13)),"High","Medium")))</f>
        <v>Easy</v>
      </c>
      <c r="AN76" s="5" t="s">
        <v>196</v>
      </c>
      <c r="AO76" s="7">
        <v>44408</v>
      </c>
      <c r="AP76" s="5" t="s">
        <v>359</v>
      </c>
      <c r="AQ76" s="29" t="s">
        <v>688</v>
      </c>
    </row>
    <row r="77" spans="1:43">
      <c r="A77" s="28">
        <v>196046</v>
      </c>
      <c r="B77" s="5" t="s">
        <v>1288</v>
      </c>
      <c r="C77" s="5" t="s">
        <v>296</v>
      </c>
      <c r="D77" s="5" t="s">
        <v>297</v>
      </c>
      <c r="E77" s="5" t="s">
        <v>68</v>
      </c>
      <c r="F77" s="5"/>
      <c r="G77" s="5"/>
      <c r="H77" s="5"/>
      <c r="I77" s="6">
        <v>2</v>
      </c>
      <c r="J77" s="7">
        <v>43781</v>
      </c>
      <c r="K77" s="8" t="str">
        <f>IF(B77="","",IF(AND(I77="",J77=""),"Unknown",IF(OR(AND(ISNUMBER(I77),I77=0),AND(ISNUMBER(J77),J77&lt;=EDATE('Scoring Settings'!$B$4,-'Scoring Settings'!$B$5))),"Not in use",IF(AND(ISNUMBER(I77),I77&lt;'Scoring Settings'!$B$6),"Low use","Active"))))</f>
        <v>Not in use</v>
      </c>
      <c r="L77" s="5">
        <v>1</v>
      </c>
      <c r="M77" s="5">
        <v>3</v>
      </c>
      <c r="N77" s="5"/>
      <c r="O77" s="5" t="s">
        <v>143</v>
      </c>
      <c r="P77" s="5" t="s">
        <v>144</v>
      </c>
      <c r="Q77" s="9">
        <v>0</v>
      </c>
      <c r="R77" s="5" t="s">
        <v>145</v>
      </c>
      <c r="S77" s="5" t="s">
        <v>145</v>
      </c>
      <c r="T77" s="5" t="s">
        <v>146</v>
      </c>
      <c r="U77" s="7"/>
      <c r="V77" s="5" t="s">
        <v>78</v>
      </c>
      <c r="W77" s="6">
        <v>200</v>
      </c>
      <c r="X77" s="5" t="s">
        <v>79</v>
      </c>
      <c r="Y77" s="9">
        <v>3</v>
      </c>
      <c r="Z77" s="5" t="s">
        <v>80</v>
      </c>
      <c r="AA77" s="5" t="s">
        <v>205</v>
      </c>
      <c r="AB77" s="9">
        <v>3</v>
      </c>
      <c r="AC77" s="5" t="s">
        <v>80</v>
      </c>
      <c r="AD77" s="5" t="s">
        <v>82</v>
      </c>
      <c r="AE77" s="5" t="s">
        <v>82</v>
      </c>
      <c r="AF77" s="10">
        <v>115000</v>
      </c>
      <c r="AG77" s="7">
        <v>48487</v>
      </c>
      <c r="AH77" s="10">
        <v>79500</v>
      </c>
      <c r="AI77" s="10">
        <v>49500</v>
      </c>
      <c r="AJ77" s="11">
        <f t="shared" si="1"/>
        <v>19.272727272727273</v>
      </c>
      <c r="AK77" s="12">
        <f>IF(B77="","",OR(K77="Not in use",K77="Low use")+AND(N77&lt;&gt;"",N77&lt;&gt;"TBD")+AND(ISNUMBER(U77),U77&lt;=EDATE('Scoring Settings'!$B$4,'Scoring Settings'!$B$8))+AND(ISNUMBER(L77),L77&lt;='Scoring Settings'!$B$7))</f>
        <v>2</v>
      </c>
      <c r="AL77" s="5" t="s">
        <v>96</v>
      </c>
      <c r="AM77" s="8" t="str">
        <f>IF(B77="","",IF(Z77="N","Easy",IF(OR(AND(ISNUMBER(AB77),AB77&gt;'Scoring Settings'!$B$11),AND(ISNUMBER(W77),W77&gt;'Scoring Settings'!$B$12),AND(ISNUMBER(M77),M77&lt;='Scoring Settings'!$B$13)),"High","Medium")))</f>
        <v>Medium</v>
      </c>
      <c r="AN77" s="5" t="s">
        <v>196</v>
      </c>
      <c r="AO77" s="7">
        <v>44408</v>
      </c>
      <c r="AP77" s="5" t="s">
        <v>359</v>
      </c>
      <c r="AQ77" s="29" t="s">
        <v>486</v>
      </c>
    </row>
    <row r="78" spans="1:43">
      <c r="A78" s="28">
        <v>192364</v>
      </c>
      <c r="B78" s="5" t="s">
        <v>1289</v>
      </c>
      <c r="C78" s="5" t="s">
        <v>242</v>
      </c>
      <c r="D78" s="5" t="s">
        <v>115</v>
      </c>
      <c r="E78" s="5" t="s">
        <v>68</v>
      </c>
      <c r="F78" s="5"/>
      <c r="G78" s="5"/>
      <c r="H78" s="5"/>
      <c r="I78" s="6">
        <v>0</v>
      </c>
      <c r="J78" s="7">
        <v>43642</v>
      </c>
      <c r="K78" s="8" t="str">
        <f>IF(B78="","",IF(AND(I78="",J78=""),"Unknown",IF(OR(AND(ISNUMBER(I78),I78=0),AND(ISNUMBER(J78),J78&lt;=EDATE('Scoring Settings'!$B$4,-'Scoring Settings'!$B$5))),"Not in use",IF(AND(ISNUMBER(I78),I78&lt;'Scoring Settings'!$B$6),"Low use","Active"))))</f>
        <v>Not in use</v>
      </c>
      <c r="L78" s="5">
        <v>1</v>
      </c>
      <c r="M78" s="5">
        <v>4</v>
      </c>
      <c r="N78" s="5"/>
      <c r="O78" s="5" t="s">
        <v>130</v>
      </c>
      <c r="P78" s="5" t="s">
        <v>1290</v>
      </c>
      <c r="Q78" s="9">
        <v>3</v>
      </c>
      <c r="R78" s="5" t="s">
        <v>203</v>
      </c>
      <c r="S78" s="5" t="s">
        <v>72</v>
      </c>
      <c r="T78" s="5" t="s">
        <v>195</v>
      </c>
      <c r="U78" s="7">
        <v>47269</v>
      </c>
      <c r="V78" s="5" t="s">
        <v>135</v>
      </c>
      <c r="W78" s="6">
        <v>12</v>
      </c>
      <c r="X78" s="5" t="s">
        <v>80</v>
      </c>
      <c r="Y78" s="9">
        <v>10</v>
      </c>
      <c r="Z78" s="5" t="s">
        <v>79</v>
      </c>
      <c r="AA78" s="5" t="s">
        <v>110</v>
      </c>
      <c r="AB78" s="9">
        <v>2</v>
      </c>
      <c r="AC78" s="5" t="s">
        <v>80</v>
      </c>
      <c r="AD78" s="5" t="s">
        <v>80</v>
      </c>
      <c r="AE78" s="5" t="s">
        <v>80</v>
      </c>
      <c r="AF78" s="10">
        <v>14500</v>
      </c>
      <c r="AG78" s="7">
        <v>49643</v>
      </c>
      <c r="AH78" s="10">
        <v>10500</v>
      </c>
      <c r="AI78" s="10">
        <v>13500</v>
      </c>
      <c r="AJ78" s="11">
        <f t="shared" si="1"/>
        <v>9.3333333333333339</v>
      </c>
      <c r="AK78" s="12">
        <f>IF(B78="","",OR(K78="Not in use",K78="Low use")+AND(N78&lt;&gt;"",N78&lt;&gt;"TBD")+AND(ISNUMBER(U78),U78&lt;=EDATE('Scoring Settings'!$B$4,'Scoring Settings'!$B$8))+AND(ISNUMBER(L78),L78&lt;='Scoring Settings'!$B$7))</f>
        <v>2</v>
      </c>
      <c r="AL78" s="5" t="s">
        <v>223</v>
      </c>
      <c r="AM78" s="8" t="str">
        <f>IF(B78="","",IF(Z78="N","Easy",IF(OR(AND(ISNUMBER(AB78),AB78&gt;'Scoring Settings'!$B$11),AND(ISNUMBER(W78),W78&gt;'Scoring Settings'!$B$12),AND(ISNUMBER(M78),M78&lt;='Scoring Settings'!$B$13)),"High","Medium")))</f>
        <v>Easy</v>
      </c>
      <c r="AN78" s="5" t="s">
        <v>196</v>
      </c>
      <c r="AO78" s="7">
        <v>44469</v>
      </c>
      <c r="AP78" s="5" t="s">
        <v>359</v>
      </c>
      <c r="AQ78" s="29" t="s">
        <v>499</v>
      </c>
    </row>
    <row r="79" spans="1:43">
      <c r="A79" s="28">
        <v>149711</v>
      </c>
      <c r="B79" s="5" t="s">
        <v>1291</v>
      </c>
      <c r="C79" s="5" t="s">
        <v>343</v>
      </c>
      <c r="D79" s="5" t="s">
        <v>102</v>
      </c>
      <c r="E79" s="5" t="s">
        <v>311</v>
      </c>
      <c r="F79" s="5"/>
      <c r="G79" s="5"/>
      <c r="H79" s="5"/>
      <c r="I79" s="6">
        <v>0</v>
      </c>
      <c r="J79" s="7">
        <v>44227</v>
      </c>
      <c r="K79" s="8" t="str">
        <f>IF(B79="","",IF(AND(I79="",J79=""),"Unknown",IF(OR(AND(ISNUMBER(I79),I79=0),AND(ISNUMBER(J79),J79&lt;=EDATE('Scoring Settings'!$B$4,-'Scoring Settings'!$B$5))),"Not in use",IF(AND(ISNUMBER(I79),I79&lt;'Scoring Settings'!$B$6),"Low use","Active"))))</f>
        <v>Not in use</v>
      </c>
      <c r="L79" s="5">
        <v>3</v>
      </c>
      <c r="M79" s="5">
        <v>3</v>
      </c>
      <c r="N79" s="5" t="s">
        <v>862</v>
      </c>
      <c r="O79" s="5" t="s">
        <v>143</v>
      </c>
      <c r="P79" s="5" t="s">
        <v>144</v>
      </c>
      <c r="Q79" s="9">
        <v>0</v>
      </c>
      <c r="R79" s="5" t="s">
        <v>145</v>
      </c>
      <c r="S79" s="5" t="s">
        <v>145</v>
      </c>
      <c r="T79" s="5" t="s">
        <v>146</v>
      </c>
      <c r="U79" s="7"/>
      <c r="V79" s="5" t="s">
        <v>135</v>
      </c>
      <c r="W79" s="6">
        <v>100</v>
      </c>
      <c r="X79" s="5" t="s">
        <v>80</v>
      </c>
      <c r="Y79" s="9">
        <v>10</v>
      </c>
      <c r="Z79" s="5" t="s">
        <v>80</v>
      </c>
      <c r="AA79" s="5" t="s">
        <v>205</v>
      </c>
      <c r="AB79" s="9">
        <v>4</v>
      </c>
      <c r="AC79" s="5" t="s">
        <v>80</v>
      </c>
      <c r="AD79" s="5" t="s">
        <v>80</v>
      </c>
      <c r="AE79" s="5" t="s">
        <v>82</v>
      </c>
      <c r="AF79" s="10">
        <v>48000</v>
      </c>
      <c r="AG79" s="7">
        <v>46356</v>
      </c>
      <c r="AH79" s="10">
        <v>48000</v>
      </c>
      <c r="AI79" s="10">
        <v>25000</v>
      </c>
      <c r="AJ79" s="11">
        <f t="shared" si="1"/>
        <v>23.04</v>
      </c>
      <c r="AK79" s="12">
        <f>IF(B79="","",OR(K79="Not in use",K79="Low use")+AND(N79&lt;&gt;"",N79&lt;&gt;"TBD")+AND(ISNUMBER(U79),U79&lt;=EDATE('Scoring Settings'!$B$4,'Scoring Settings'!$B$8))+AND(ISNUMBER(L79),L79&lt;='Scoring Settings'!$B$7))</f>
        <v>2</v>
      </c>
      <c r="AL79" s="5" t="s">
        <v>96</v>
      </c>
      <c r="AM79" s="8" t="str">
        <f>IF(B79="","",IF(Z79="N","Easy",IF(OR(AND(ISNUMBER(AB79),AB79&gt;'Scoring Settings'!$B$11),AND(ISNUMBER(W79),W79&gt;'Scoring Settings'!$B$12),AND(ISNUMBER(M79),M79&lt;='Scoring Settings'!$B$13)),"High","Medium")))</f>
        <v>Medium</v>
      </c>
      <c r="AN79" s="5" t="s">
        <v>196</v>
      </c>
      <c r="AO79" s="7">
        <v>44439</v>
      </c>
      <c r="AP79" s="5" t="s">
        <v>359</v>
      </c>
      <c r="AQ79" s="29" t="s">
        <v>276</v>
      </c>
    </row>
    <row r="80" spans="1:43">
      <c r="A80" s="28">
        <v>154871</v>
      </c>
      <c r="B80" s="5" t="s">
        <v>1303</v>
      </c>
      <c r="C80" s="5" t="s">
        <v>409</v>
      </c>
      <c r="D80" s="5" t="s">
        <v>115</v>
      </c>
      <c r="E80" s="5" t="s">
        <v>68</v>
      </c>
      <c r="F80" s="5"/>
      <c r="G80" s="5"/>
      <c r="H80" s="5"/>
      <c r="I80" s="6">
        <v>1103</v>
      </c>
      <c r="J80" s="7">
        <v>44283</v>
      </c>
      <c r="K80" s="8" t="str">
        <f>IF(B80="","",IF(AND(I80="",J80=""),"Unknown",IF(OR(AND(ISNUMBER(I80),I80=0),AND(ISNUMBER(J80),J80&lt;=EDATE('Scoring Settings'!$B$4,-'Scoring Settings'!$B$5))),"Not in use",IF(AND(ISNUMBER(I80),I80&lt;'Scoring Settings'!$B$6),"Low use","Active"))))</f>
        <v>Active</v>
      </c>
      <c r="L80" s="5">
        <v>3</v>
      </c>
      <c r="M80" s="5">
        <v>2</v>
      </c>
      <c r="N80" s="5" t="s">
        <v>668</v>
      </c>
      <c r="O80" s="5" t="s">
        <v>73</v>
      </c>
      <c r="P80" s="5" t="s">
        <v>1304</v>
      </c>
      <c r="Q80" s="9">
        <v>6</v>
      </c>
      <c r="R80" s="5" t="s">
        <v>352</v>
      </c>
      <c r="S80" s="5" t="s">
        <v>353</v>
      </c>
      <c r="T80" s="5" t="s">
        <v>184</v>
      </c>
      <c r="U80" s="7">
        <v>47127</v>
      </c>
      <c r="V80" s="5" t="s">
        <v>135</v>
      </c>
      <c r="W80" s="6">
        <v>1490</v>
      </c>
      <c r="X80" s="5" t="s">
        <v>80</v>
      </c>
      <c r="Y80" s="9">
        <v>7</v>
      </c>
      <c r="Z80" s="5" t="s">
        <v>79</v>
      </c>
      <c r="AA80" s="5" t="s">
        <v>110</v>
      </c>
      <c r="AB80" s="9">
        <v>18</v>
      </c>
      <c r="AC80" s="5" t="s">
        <v>79</v>
      </c>
      <c r="AD80" s="5" t="s">
        <v>79</v>
      </c>
      <c r="AE80" s="5" t="s">
        <v>80</v>
      </c>
      <c r="AF80" s="10">
        <v>135000</v>
      </c>
      <c r="AG80" s="7">
        <v>47634</v>
      </c>
      <c r="AH80" s="10">
        <v>188000</v>
      </c>
      <c r="AI80" s="10">
        <v>112000</v>
      </c>
      <c r="AJ80" s="11">
        <f t="shared" si="1"/>
        <v>20.142857142857142</v>
      </c>
      <c r="AK80" s="12">
        <f>IF(B80="","",OR(K80="Not in use",K80="Low use")+AND(N80&lt;&gt;"",N80&lt;&gt;"TBD")+AND(ISNUMBER(U80),U80&lt;=EDATE('Scoring Settings'!$B$4,'Scoring Settings'!$B$8))+AND(ISNUMBER(L80),L80&lt;='Scoring Settings'!$B$7))</f>
        <v>1</v>
      </c>
      <c r="AL80" s="5" t="s">
        <v>223</v>
      </c>
      <c r="AM80" s="8" t="str">
        <f>IF(B80="","",IF(Z80="N","Easy",IF(OR(AND(ISNUMBER(AB80),AB80&gt;'Scoring Settings'!$B$11),AND(ISNUMBER(W80),W80&gt;'Scoring Settings'!$B$12),AND(ISNUMBER(M80),M80&lt;='Scoring Settings'!$B$13)),"High","Medium")))</f>
        <v>Easy</v>
      </c>
      <c r="AN80" s="5" t="s">
        <v>196</v>
      </c>
      <c r="AO80" s="7">
        <v>44316</v>
      </c>
      <c r="AP80" s="5" t="s">
        <v>372</v>
      </c>
      <c r="AQ80" s="29" t="s">
        <v>252</v>
      </c>
    </row>
    <row r="81" spans="1:43">
      <c r="A81" s="28">
        <v>141151</v>
      </c>
      <c r="B81" s="5" t="s">
        <v>1319</v>
      </c>
      <c r="C81" s="5" t="s">
        <v>772</v>
      </c>
      <c r="D81" s="5" t="s">
        <v>297</v>
      </c>
      <c r="E81" s="5" t="s">
        <v>68</v>
      </c>
      <c r="F81" s="5"/>
      <c r="G81" s="5"/>
      <c r="H81" s="5"/>
      <c r="I81" s="6">
        <v>0</v>
      </c>
      <c r="J81" s="7">
        <v>43709</v>
      </c>
      <c r="K81" s="8" t="str">
        <f>IF(B81="","",IF(AND(I81="",J81=""),"Unknown",IF(OR(AND(ISNUMBER(I81),I81=0),AND(ISNUMBER(J81),J81&lt;=EDATE('Scoring Settings'!$B$4,-'Scoring Settings'!$B$5))),"Not in use",IF(AND(ISNUMBER(I81),I81&lt;'Scoring Settings'!$B$6),"Low use","Active"))))</f>
        <v>Not in use</v>
      </c>
      <c r="L81" s="5">
        <v>3</v>
      </c>
      <c r="M81" s="5">
        <v>3</v>
      </c>
      <c r="N81" s="5"/>
      <c r="O81" s="5" t="s">
        <v>73</v>
      </c>
      <c r="P81" s="5" t="s">
        <v>1320</v>
      </c>
      <c r="Q81" s="9">
        <v>2</v>
      </c>
      <c r="R81" s="5" t="s">
        <v>358</v>
      </c>
      <c r="S81" s="5" t="s">
        <v>133</v>
      </c>
      <c r="T81" s="5" t="s">
        <v>122</v>
      </c>
      <c r="U81" s="7">
        <v>43555</v>
      </c>
      <c r="V81" s="5" t="s">
        <v>135</v>
      </c>
      <c r="W81" s="6">
        <v>220</v>
      </c>
      <c r="X81" s="5" t="s">
        <v>80</v>
      </c>
      <c r="Y81" s="9">
        <v>10</v>
      </c>
      <c r="Z81" s="5" t="s">
        <v>79</v>
      </c>
      <c r="AA81" s="5" t="s">
        <v>110</v>
      </c>
      <c r="AB81" s="9">
        <v>7</v>
      </c>
      <c r="AC81" s="5" t="s">
        <v>79</v>
      </c>
      <c r="AD81" s="5" t="s">
        <v>79</v>
      </c>
      <c r="AE81" s="5" t="s">
        <v>79</v>
      </c>
      <c r="AF81" s="10">
        <v>48000</v>
      </c>
      <c r="AG81" s="7">
        <v>46203</v>
      </c>
      <c r="AH81" s="10">
        <v>28500</v>
      </c>
      <c r="AI81" s="10">
        <v>45000</v>
      </c>
      <c r="AJ81" s="11">
        <f t="shared" si="1"/>
        <v>7.6</v>
      </c>
      <c r="AK81" s="12">
        <f>IF(B81="","",OR(K81="Not in use",K81="Low use")+AND(N81&lt;&gt;"",N81&lt;&gt;"TBD")+AND(ISNUMBER(U81),U81&lt;=EDATE('Scoring Settings'!$B$4,'Scoring Settings'!$B$8))+AND(ISNUMBER(L81),L81&lt;='Scoring Settings'!$B$7))</f>
        <v>2</v>
      </c>
      <c r="AL81" s="5" t="s">
        <v>223</v>
      </c>
      <c r="AM81" s="8" t="str">
        <f>IF(B81="","",IF(Z81="N","Easy",IF(OR(AND(ISNUMBER(AB81),AB81&gt;'Scoring Settings'!$B$11),AND(ISNUMBER(W81),W81&gt;'Scoring Settings'!$B$12),AND(ISNUMBER(M81),M81&lt;='Scoring Settings'!$B$13)),"High","Medium")))</f>
        <v>Easy</v>
      </c>
      <c r="AN81" s="5" t="s">
        <v>196</v>
      </c>
      <c r="AO81" s="7">
        <v>44500</v>
      </c>
      <c r="AP81" s="5" t="s">
        <v>359</v>
      </c>
      <c r="AQ81" s="29" t="s">
        <v>688</v>
      </c>
    </row>
    <row r="82" spans="1:43">
      <c r="A82" s="28">
        <v>63796</v>
      </c>
      <c r="B82" s="5" t="s">
        <v>1327</v>
      </c>
      <c r="C82" s="5" t="s">
        <v>287</v>
      </c>
      <c r="D82" s="5" t="s">
        <v>162</v>
      </c>
      <c r="E82" s="5" t="s">
        <v>68</v>
      </c>
      <c r="F82" s="5"/>
      <c r="G82" s="5"/>
      <c r="H82" s="5"/>
      <c r="I82" s="6">
        <v>13</v>
      </c>
      <c r="J82" s="7">
        <v>44204</v>
      </c>
      <c r="K82" s="8" t="str">
        <f>IF(B82="","",IF(AND(I82="",J82=""),"Unknown",IF(OR(AND(ISNUMBER(I82),I82=0),AND(ISNUMBER(J82),J82&lt;=EDATE('Scoring Settings'!$B$4,-'Scoring Settings'!$B$5))),"Not in use",IF(AND(ISNUMBER(I82),I82&lt;'Scoring Settings'!$B$6),"Low use","Active"))))</f>
        <v>Low use</v>
      </c>
      <c r="L82" s="5">
        <v>1</v>
      </c>
      <c r="M82" s="5">
        <v>4</v>
      </c>
      <c r="N82" s="5"/>
      <c r="O82" s="5" t="s">
        <v>143</v>
      </c>
      <c r="P82" s="5" t="s">
        <v>144</v>
      </c>
      <c r="Q82" s="9">
        <v>0</v>
      </c>
      <c r="R82" s="5" t="s">
        <v>145</v>
      </c>
      <c r="S82" s="5" t="s">
        <v>145</v>
      </c>
      <c r="T82" s="5" t="s">
        <v>146</v>
      </c>
      <c r="U82" s="7">
        <v>46053</v>
      </c>
      <c r="V82" s="5" t="s">
        <v>78</v>
      </c>
      <c r="W82" s="6">
        <v>14</v>
      </c>
      <c r="X82" s="5" t="s">
        <v>79</v>
      </c>
      <c r="Y82" s="9">
        <v>5</v>
      </c>
      <c r="Z82" s="5" t="s">
        <v>79</v>
      </c>
      <c r="AA82" s="5" t="s">
        <v>110</v>
      </c>
      <c r="AB82" s="9">
        <v>2</v>
      </c>
      <c r="AC82" s="5" t="s">
        <v>82</v>
      </c>
      <c r="AD82" s="5" t="s">
        <v>79</v>
      </c>
      <c r="AE82" s="5" t="s">
        <v>80</v>
      </c>
      <c r="AF82" s="10">
        <v>100000</v>
      </c>
      <c r="AG82" s="7">
        <v>47999</v>
      </c>
      <c r="AH82" s="10">
        <v>118500</v>
      </c>
      <c r="AI82" s="10">
        <v>58500</v>
      </c>
      <c r="AJ82" s="11">
        <f t="shared" si="1"/>
        <v>24.307692307692307</v>
      </c>
      <c r="AK82" s="12">
        <f>IF(B82="","",OR(K82="Not in use",K82="Low use")+AND(N82&lt;&gt;"",N82&lt;&gt;"TBD")+AND(ISNUMBER(U82),U82&lt;=EDATE('Scoring Settings'!$B$4,'Scoring Settings'!$B$8))+AND(ISNUMBER(L82),L82&lt;='Scoring Settings'!$B$7))</f>
        <v>2</v>
      </c>
      <c r="AL82" s="5" t="s">
        <v>223</v>
      </c>
      <c r="AM82" s="8" t="str">
        <f>IF(B82="","",IF(Z82="N","Easy",IF(OR(AND(ISNUMBER(AB82),AB82&gt;'Scoring Settings'!$B$11),AND(ISNUMBER(W82),W82&gt;'Scoring Settings'!$B$12),AND(ISNUMBER(M82),M82&lt;='Scoring Settings'!$B$13)),"High","Medium")))</f>
        <v>Easy</v>
      </c>
      <c r="AN82" s="5" t="s">
        <v>196</v>
      </c>
      <c r="AO82" s="7">
        <v>44469</v>
      </c>
      <c r="AP82" s="5" t="s">
        <v>359</v>
      </c>
      <c r="AQ82" s="29" t="s">
        <v>252</v>
      </c>
    </row>
    <row r="83" spans="1:43">
      <c r="A83" s="28">
        <v>185493</v>
      </c>
      <c r="B83" s="5" t="s">
        <v>1346</v>
      </c>
      <c r="C83" s="5" t="s">
        <v>13</v>
      </c>
      <c r="D83" s="5" t="s">
        <v>162</v>
      </c>
      <c r="E83" s="5" t="s">
        <v>68</v>
      </c>
      <c r="F83" s="5"/>
      <c r="G83" s="5"/>
      <c r="H83" s="5"/>
      <c r="I83" s="6">
        <v>62</v>
      </c>
      <c r="J83" s="7">
        <v>44297</v>
      </c>
      <c r="K83" s="8" t="str">
        <f>IF(B83="","",IF(AND(I83="",J83=""),"Unknown",IF(OR(AND(ISNUMBER(I83),I83=0),AND(ISNUMBER(J83),J83&lt;=EDATE('Scoring Settings'!$B$4,-'Scoring Settings'!$B$5))),"Not in use",IF(AND(ISNUMBER(I83),I83&lt;'Scoring Settings'!$B$6),"Low use","Active"))))</f>
        <v>Active</v>
      </c>
      <c r="L83" s="5">
        <v>5</v>
      </c>
      <c r="M83" s="5">
        <v>1</v>
      </c>
      <c r="N83" s="5" t="s">
        <v>164</v>
      </c>
      <c r="O83" s="5" t="s">
        <v>73</v>
      </c>
      <c r="P83" s="5" t="s">
        <v>1347</v>
      </c>
      <c r="Q83" s="9">
        <v>4</v>
      </c>
      <c r="R83" s="5" t="s">
        <v>75</v>
      </c>
      <c r="S83" s="5" t="s">
        <v>76</v>
      </c>
      <c r="T83" s="5" t="s">
        <v>109</v>
      </c>
      <c r="U83" s="7">
        <v>46399</v>
      </c>
      <c r="V83" s="5" t="s">
        <v>95</v>
      </c>
      <c r="W83" s="6">
        <v>62</v>
      </c>
      <c r="X83" s="5" t="s">
        <v>79</v>
      </c>
      <c r="Y83" s="9">
        <v>3</v>
      </c>
      <c r="Z83" s="5" t="s">
        <v>79</v>
      </c>
      <c r="AA83" s="5" t="s">
        <v>110</v>
      </c>
      <c r="AB83" s="9">
        <v>76</v>
      </c>
      <c r="AC83" s="5" t="s">
        <v>80</v>
      </c>
      <c r="AD83" s="5" t="s">
        <v>79</v>
      </c>
      <c r="AE83" s="5" t="s">
        <v>82</v>
      </c>
      <c r="AF83" s="10">
        <v>125000</v>
      </c>
      <c r="AG83" s="7">
        <v>47118</v>
      </c>
      <c r="AH83" s="10">
        <v>208500</v>
      </c>
      <c r="AI83" s="10">
        <v>108000</v>
      </c>
      <c r="AJ83" s="11">
        <f t="shared" si="1"/>
        <v>23.166666666666668</v>
      </c>
      <c r="AK83" s="12">
        <f>IF(B83="","",OR(K83="Not in use",K83="Low use")+AND(N83&lt;&gt;"",N83&lt;&gt;"TBD")+AND(ISNUMBER(U83),U83&lt;=EDATE('Scoring Settings'!$B$4,'Scoring Settings'!$B$8))+AND(ISNUMBER(L83),L83&lt;='Scoring Settings'!$B$7))</f>
        <v>1</v>
      </c>
      <c r="AL83" s="5" t="s">
        <v>2217</v>
      </c>
      <c r="AM83" s="8" t="str">
        <f>IF(B83="","",IF(Z83="N","Easy",IF(OR(AND(ISNUMBER(AB83),AB83&gt;'Scoring Settings'!$B$11),AND(ISNUMBER(W83),W83&gt;'Scoring Settings'!$B$12),AND(ISNUMBER(M83),M83&lt;='Scoring Settings'!$B$13)),"High","Medium")))</f>
        <v>Easy</v>
      </c>
      <c r="AN83" s="5" t="s">
        <v>196</v>
      </c>
      <c r="AO83" s="7">
        <v>44439</v>
      </c>
      <c r="AP83" s="5" t="s">
        <v>359</v>
      </c>
      <c r="AQ83" s="29" t="s">
        <v>1348</v>
      </c>
    </row>
    <row r="84" spans="1:43">
      <c r="A84" s="28">
        <v>16283</v>
      </c>
      <c r="B84" s="5" t="s">
        <v>1361</v>
      </c>
      <c r="C84" s="5" t="s">
        <v>13</v>
      </c>
      <c r="D84" s="5" t="s">
        <v>162</v>
      </c>
      <c r="E84" s="5" t="s">
        <v>311</v>
      </c>
      <c r="F84" s="5"/>
      <c r="G84" s="5"/>
      <c r="H84" s="5"/>
      <c r="I84" s="6">
        <v>7</v>
      </c>
      <c r="J84" s="7">
        <v>44181</v>
      </c>
      <c r="K84" s="8" t="str">
        <f>IF(B84="","",IF(AND(I84="",J84=""),"Unknown",IF(OR(AND(ISNUMBER(I84),I84=0),AND(ISNUMBER(J84),J84&lt;=EDATE('Scoring Settings'!$B$4,-'Scoring Settings'!$B$5))),"Not in use",IF(AND(ISNUMBER(I84),I84&lt;'Scoring Settings'!$B$6),"Low use","Active"))))</f>
        <v>Low use</v>
      </c>
      <c r="L84" s="5">
        <v>1</v>
      </c>
      <c r="M84" s="5">
        <v>3</v>
      </c>
      <c r="N84" s="5"/>
      <c r="O84" s="5" t="s">
        <v>73</v>
      </c>
      <c r="P84" s="5" t="s">
        <v>1063</v>
      </c>
      <c r="Q84" s="9">
        <v>4</v>
      </c>
      <c r="R84" s="5" t="s">
        <v>203</v>
      </c>
      <c r="S84" s="5" t="s">
        <v>508</v>
      </c>
      <c r="T84" s="5" t="s">
        <v>109</v>
      </c>
      <c r="U84" s="7">
        <v>47269</v>
      </c>
      <c r="V84" s="5" t="s">
        <v>135</v>
      </c>
      <c r="W84" s="6">
        <v>340</v>
      </c>
      <c r="X84" s="5" t="s">
        <v>80</v>
      </c>
      <c r="Y84" s="9">
        <v>10</v>
      </c>
      <c r="Z84" s="5" t="s">
        <v>80</v>
      </c>
      <c r="AA84" s="5" t="s">
        <v>205</v>
      </c>
      <c r="AB84" s="9">
        <v>2</v>
      </c>
      <c r="AC84" s="5" t="s">
        <v>82</v>
      </c>
      <c r="AD84" s="5" t="s">
        <v>82</v>
      </c>
      <c r="AE84" s="5" t="s">
        <v>82</v>
      </c>
      <c r="AF84" s="10">
        <v>47000</v>
      </c>
      <c r="AG84" s="7">
        <v>46418</v>
      </c>
      <c r="AH84" s="10">
        <v>28500</v>
      </c>
      <c r="AI84" s="10">
        <v>34000</v>
      </c>
      <c r="AJ84" s="11">
        <f t="shared" si="1"/>
        <v>10.058823529411764</v>
      </c>
      <c r="AK84" s="12">
        <f>IF(B84="","",OR(K84="Not in use",K84="Low use")+AND(N84&lt;&gt;"",N84&lt;&gt;"TBD")+AND(ISNUMBER(U84),U84&lt;=EDATE('Scoring Settings'!$B$4,'Scoring Settings'!$B$8))+AND(ISNUMBER(L84),L84&lt;='Scoring Settings'!$B$7))</f>
        <v>2</v>
      </c>
      <c r="AL84" s="5" t="s">
        <v>96</v>
      </c>
      <c r="AM84" s="8" t="str">
        <f>IF(B84="","",IF(Z84="N","Easy",IF(OR(AND(ISNUMBER(AB84),AB84&gt;'Scoring Settings'!$B$11),AND(ISNUMBER(W84),W84&gt;'Scoring Settings'!$B$12),AND(ISNUMBER(M84),M84&lt;='Scoring Settings'!$B$13)),"High","Medium")))</f>
        <v>Medium</v>
      </c>
      <c r="AN84" s="5" t="s">
        <v>196</v>
      </c>
      <c r="AO84" s="7">
        <v>44500</v>
      </c>
      <c r="AP84" s="5" t="s">
        <v>359</v>
      </c>
      <c r="AQ84" s="29" t="s">
        <v>276</v>
      </c>
    </row>
    <row r="85" spans="1:43">
      <c r="A85" s="28">
        <v>32809</v>
      </c>
      <c r="B85" s="5" t="s">
        <v>1367</v>
      </c>
      <c r="C85" s="5" t="s">
        <v>639</v>
      </c>
      <c r="D85" s="5" t="s">
        <v>88</v>
      </c>
      <c r="E85" s="5" t="s">
        <v>68</v>
      </c>
      <c r="F85" s="5"/>
      <c r="G85" s="5"/>
      <c r="H85" s="5"/>
      <c r="I85" s="6">
        <v>0</v>
      </c>
      <c r="J85" s="7">
        <v>43749</v>
      </c>
      <c r="K85" s="8" t="str">
        <f>IF(B85="","",IF(AND(I85="",J85=""),"Unknown",IF(OR(AND(ISNUMBER(I85),I85=0),AND(ISNUMBER(J85),J85&lt;=EDATE('Scoring Settings'!$B$4,-'Scoring Settings'!$B$5))),"Not in use",IF(AND(ISNUMBER(I85),I85&lt;'Scoring Settings'!$B$6),"Low use","Active"))))</f>
        <v>Not in use</v>
      </c>
      <c r="L85" s="5">
        <v>1</v>
      </c>
      <c r="M85" s="5">
        <v>3</v>
      </c>
      <c r="N85" s="5" t="s">
        <v>433</v>
      </c>
      <c r="O85" s="5" t="s">
        <v>73</v>
      </c>
      <c r="P85" s="5" t="s">
        <v>1368</v>
      </c>
      <c r="Q85" s="9">
        <v>3</v>
      </c>
      <c r="R85" s="5" t="s">
        <v>251</v>
      </c>
      <c r="S85" s="5" t="s">
        <v>133</v>
      </c>
      <c r="T85" s="5" t="s">
        <v>122</v>
      </c>
      <c r="U85" s="7">
        <v>44165</v>
      </c>
      <c r="V85" s="5" t="s">
        <v>135</v>
      </c>
      <c r="W85" s="6">
        <v>74</v>
      </c>
      <c r="X85" s="5" t="s">
        <v>79</v>
      </c>
      <c r="Y85" s="9">
        <v>7</v>
      </c>
      <c r="Z85" s="5" t="s">
        <v>79</v>
      </c>
      <c r="AA85" s="5" t="s">
        <v>110</v>
      </c>
      <c r="AB85" s="9">
        <v>4</v>
      </c>
      <c r="AC85" s="5" t="s">
        <v>80</v>
      </c>
      <c r="AD85" s="5" t="s">
        <v>82</v>
      </c>
      <c r="AE85" s="5" t="s">
        <v>82</v>
      </c>
      <c r="AF85" s="10">
        <v>44000</v>
      </c>
      <c r="AG85" s="7">
        <v>49125</v>
      </c>
      <c r="AH85" s="10">
        <v>21000</v>
      </c>
      <c r="AI85" s="10">
        <v>38500</v>
      </c>
      <c r="AJ85" s="11">
        <f t="shared" si="1"/>
        <v>6.545454545454545</v>
      </c>
      <c r="AK85" s="12">
        <f>IF(B85="","",OR(K85="Not in use",K85="Low use")+AND(N85&lt;&gt;"",N85&lt;&gt;"TBD")+AND(ISNUMBER(U85),U85&lt;=EDATE('Scoring Settings'!$B$4,'Scoring Settings'!$B$8))+AND(ISNUMBER(L85),L85&lt;='Scoring Settings'!$B$7))</f>
        <v>4</v>
      </c>
      <c r="AL85" s="5" t="s">
        <v>223</v>
      </c>
      <c r="AM85" s="8" t="str">
        <f>IF(B85="","",IF(Z85="N","Easy",IF(OR(AND(ISNUMBER(AB85),AB85&gt;'Scoring Settings'!$B$11),AND(ISNUMBER(W85),W85&gt;'Scoring Settings'!$B$12),AND(ISNUMBER(M85),M85&lt;='Scoring Settings'!$B$13)),"High","Medium")))</f>
        <v>Easy</v>
      </c>
      <c r="AN85" s="5" t="s">
        <v>196</v>
      </c>
      <c r="AO85" s="7">
        <v>44316</v>
      </c>
      <c r="AP85" s="5" t="s">
        <v>372</v>
      </c>
      <c r="AQ85" s="29" t="s">
        <v>595</v>
      </c>
    </row>
    <row r="86" spans="1:43">
      <c r="A86" s="28">
        <v>111703</v>
      </c>
      <c r="B86" s="5" t="s">
        <v>1380</v>
      </c>
      <c r="C86" s="5" t="s">
        <v>87</v>
      </c>
      <c r="D86" s="5" t="s">
        <v>88</v>
      </c>
      <c r="E86" s="5" t="s">
        <v>68</v>
      </c>
      <c r="F86" s="5"/>
      <c r="G86" s="5"/>
      <c r="H86" s="5"/>
      <c r="I86" s="6">
        <v>496</v>
      </c>
      <c r="J86" s="7">
        <v>44276</v>
      </c>
      <c r="K86" s="8" t="str">
        <f>IF(B86="","",IF(AND(I86="",J86=""),"Unknown",IF(OR(AND(ISNUMBER(I86),I86=0),AND(ISNUMBER(J86),J86&lt;=EDATE('Scoring Settings'!$B$4,-'Scoring Settings'!$B$5))),"Not in use",IF(AND(ISNUMBER(I86),I86&lt;'Scoring Settings'!$B$6),"Low use","Active"))))</f>
        <v>Active</v>
      </c>
      <c r="L86" s="5">
        <v>1</v>
      </c>
      <c r="M86" s="5">
        <v>3</v>
      </c>
      <c r="N86" s="5" t="s">
        <v>433</v>
      </c>
      <c r="O86" s="5" t="s">
        <v>73</v>
      </c>
      <c r="P86" s="5" t="s">
        <v>1381</v>
      </c>
      <c r="Q86" s="9">
        <v>3</v>
      </c>
      <c r="R86" s="5" t="s">
        <v>166</v>
      </c>
      <c r="S86" s="5" t="s">
        <v>167</v>
      </c>
      <c r="T86" s="5" t="s">
        <v>72</v>
      </c>
      <c r="U86" s="7">
        <v>45482</v>
      </c>
      <c r="V86" s="5" t="s">
        <v>135</v>
      </c>
      <c r="W86" s="6">
        <v>31</v>
      </c>
      <c r="X86" s="5" t="s">
        <v>80</v>
      </c>
      <c r="Y86" s="9">
        <v>7</v>
      </c>
      <c r="Z86" s="5" t="s">
        <v>79</v>
      </c>
      <c r="AA86" s="5" t="s">
        <v>110</v>
      </c>
      <c r="AB86" s="9">
        <v>4</v>
      </c>
      <c r="AC86" s="5" t="s">
        <v>79</v>
      </c>
      <c r="AD86" s="5" t="s">
        <v>82</v>
      </c>
      <c r="AE86" s="5" t="s">
        <v>82</v>
      </c>
      <c r="AF86" s="10">
        <v>60000</v>
      </c>
      <c r="AG86" s="7">
        <v>47330</v>
      </c>
      <c r="AH86" s="10">
        <v>67000</v>
      </c>
      <c r="AI86" s="10">
        <v>53000</v>
      </c>
      <c r="AJ86" s="11">
        <f t="shared" si="1"/>
        <v>15.169811320754716</v>
      </c>
      <c r="AK86" s="12">
        <f>IF(B86="","",OR(K86="Not in use",K86="Low use")+AND(N86&lt;&gt;"",N86&lt;&gt;"TBD")+AND(ISNUMBER(U86),U86&lt;=EDATE('Scoring Settings'!$B$4,'Scoring Settings'!$B$8))+AND(ISNUMBER(L86),L86&lt;='Scoring Settings'!$B$7))</f>
        <v>2</v>
      </c>
      <c r="AL86" s="5" t="s">
        <v>2217</v>
      </c>
      <c r="AM86" s="8" t="str">
        <f>IF(B86="","",IF(Z86="N","Easy",IF(OR(AND(ISNUMBER(AB86),AB86&gt;'Scoring Settings'!$B$11),AND(ISNUMBER(W86),W86&gt;'Scoring Settings'!$B$12),AND(ISNUMBER(M86),M86&lt;='Scoring Settings'!$B$13)),"High","Medium")))</f>
        <v>Easy</v>
      </c>
      <c r="AN86" s="5" t="s">
        <v>196</v>
      </c>
      <c r="AO86" s="7">
        <v>44561</v>
      </c>
      <c r="AP86" s="5" t="s">
        <v>197</v>
      </c>
      <c r="AQ86" s="29" t="s">
        <v>1382</v>
      </c>
    </row>
    <row r="87" spans="1:43">
      <c r="A87" s="28">
        <v>55298</v>
      </c>
      <c r="B87" s="5" t="s">
        <v>1391</v>
      </c>
      <c r="C87" s="5" t="s">
        <v>325</v>
      </c>
      <c r="D87" s="5" t="s">
        <v>139</v>
      </c>
      <c r="E87" s="5" t="s">
        <v>68</v>
      </c>
      <c r="F87" s="5"/>
      <c r="G87" s="5"/>
      <c r="H87" s="5"/>
      <c r="I87" s="6">
        <v>213</v>
      </c>
      <c r="J87" s="7">
        <v>44302</v>
      </c>
      <c r="K87" s="8" t="str">
        <f>IF(B87="","",IF(AND(I87="",J87=""),"Unknown",IF(OR(AND(ISNUMBER(I87),I87=0),AND(ISNUMBER(J87),J87&lt;=EDATE('Scoring Settings'!$B$4,-'Scoring Settings'!$B$5))),"Not in use",IF(AND(ISNUMBER(I87),I87&lt;'Scoring Settings'!$B$6),"Low use","Active"))))</f>
        <v>Active</v>
      </c>
      <c r="L87" s="5">
        <v>3</v>
      </c>
      <c r="M87" s="5">
        <v>4</v>
      </c>
      <c r="N87" s="5" t="s">
        <v>216</v>
      </c>
      <c r="O87" s="5" t="s">
        <v>143</v>
      </c>
      <c r="P87" s="5" t="s">
        <v>144</v>
      </c>
      <c r="Q87" s="9">
        <v>0</v>
      </c>
      <c r="R87" s="5" t="s">
        <v>145</v>
      </c>
      <c r="S87" s="5" t="s">
        <v>145</v>
      </c>
      <c r="T87" s="5" t="s">
        <v>146</v>
      </c>
      <c r="U87" s="7"/>
      <c r="V87" s="5" t="s">
        <v>135</v>
      </c>
      <c r="W87" s="6">
        <v>460</v>
      </c>
      <c r="X87" s="5" t="s">
        <v>80</v>
      </c>
      <c r="Y87" s="9">
        <v>10</v>
      </c>
      <c r="Z87" s="5" t="s">
        <v>80</v>
      </c>
      <c r="AA87" s="5" t="s">
        <v>185</v>
      </c>
      <c r="AB87" s="9">
        <v>1</v>
      </c>
      <c r="AC87" s="5" t="s">
        <v>82</v>
      </c>
      <c r="AD87" s="5" t="s">
        <v>79</v>
      </c>
      <c r="AE87" s="5" t="s">
        <v>80</v>
      </c>
      <c r="AF87" s="10">
        <v>80000</v>
      </c>
      <c r="AG87" s="7">
        <v>48487</v>
      </c>
      <c r="AH87" s="10">
        <v>126500</v>
      </c>
      <c r="AI87" s="10">
        <v>33000</v>
      </c>
      <c r="AJ87" s="11">
        <f t="shared" si="1"/>
        <v>46</v>
      </c>
      <c r="AK87" s="12">
        <f>IF(B87="","",OR(K87="Not in use",K87="Low use")+AND(N87&lt;&gt;"",N87&lt;&gt;"TBD")+AND(ISNUMBER(U87),U87&lt;=EDATE('Scoring Settings'!$B$4,'Scoring Settings'!$B$8))+AND(ISNUMBER(L87),L87&lt;='Scoring Settings'!$B$7))</f>
        <v>1</v>
      </c>
      <c r="AL87" s="5" t="s">
        <v>2217</v>
      </c>
      <c r="AM87" s="8" t="str">
        <f>IF(B87="","",IF(Z87="N","Easy",IF(OR(AND(ISNUMBER(AB87),AB87&gt;'Scoring Settings'!$B$11),AND(ISNUMBER(W87),W87&gt;'Scoring Settings'!$B$12),AND(ISNUMBER(M87),M87&lt;='Scoring Settings'!$B$13)),"High","Medium")))</f>
        <v>Medium</v>
      </c>
      <c r="AN87" s="5" t="s">
        <v>196</v>
      </c>
      <c r="AO87" s="7">
        <v>44347</v>
      </c>
      <c r="AP87" s="5" t="s">
        <v>372</v>
      </c>
      <c r="AQ87" s="29" t="s">
        <v>1392</v>
      </c>
    </row>
    <row r="88" spans="1:43">
      <c r="A88" s="28">
        <v>195665</v>
      </c>
      <c r="B88" s="5" t="s">
        <v>1395</v>
      </c>
      <c r="C88" s="5" t="s">
        <v>483</v>
      </c>
      <c r="D88" s="5" t="s">
        <v>88</v>
      </c>
      <c r="E88" s="5" t="s">
        <v>68</v>
      </c>
      <c r="F88" s="5"/>
      <c r="G88" s="5"/>
      <c r="H88" s="5"/>
      <c r="I88" s="6">
        <v>0</v>
      </c>
      <c r="J88" s="7">
        <v>44298</v>
      </c>
      <c r="K88" s="8" t="str">
        <f>IF(B88="","",IF(AND(I88="",J88=""),"Unknown",IF(OR(AND(ISNUMBER(I88),I88=0),AND(ISNUMBER(J88),J88&lt;=EDATE('Scoring Settings'!$B$4,-'Scoring Settings'!$B$5))),"Not in use",IF(AND(ISNUMBER(I88),I88&lt;'Scoring Settings'!$B$6),"Low use","Active"))))</f>
        <v>Not in use</v>
      </c>
      <c r="L88" s="5">
        <v>2</v>
      </c>
      <c r="M88" s="5">
        <v>4</v>
      </c>
      <c r="N88" s="5" t="s">
        <v>180</v>
      </c>
      <c r="O88" s="5" t="s">
        <v>73</v>
      </c>
      <c r="P88" s="5" t="s">
        <v>1396</v>
      </c>
      <c r="Q88" s="9">
        <v>2</v>
      </c>
      <c r="R88" s="5" t="s">
        <v>166</v>
      </c>
      <c r="S88" s="5" t="s">
        <v>167</v>
      </c>
      <c r="T88" s="5" t="s">
        <v>184</v>
      </c>
      <c r="U88" s="7">
        <v>45482</v>
      </c>
      <c r="V88" s="5" t="s">
        <v>135</v>
      </c>
      <c r="W88" s="6">
        <v>13</v>
      </c>
      <c r="X88" s="5" t="s">
        <v>79</v>
      </c>
      <c r="Y88" s="9">
        <v>1</v>
      </c>
      <c r="Z88" s="5" t="s">
        <v>79</v>
      </c>
      <c r="AA88" s="5" t="s">
        <v>110</v>
      </c>
      <c r="AB88" s="9">
        <v>2</v>
      </c>
      <c r="AC88" s="5" t="s">
        <v>82</v>
      </c>
      <c r="AD88" s="5" t="s">
        <v>79</v>
      </c>
      <c r="AE88" s="5" t="s">
        <v>79</v>
      </c>
      <c r="AF88" s="10">
        <v>41500</v>
      </c>
      <c r="AG88" s="7">
        <v>49613</v>
      </c>
      <c r="AH88" s="10">
        <v>31500</v>
      </c>
      <c r="AI88" s="10">
        <v>34000</v>
      </c>
      <c r="AJ88" s="11">
        <f t="shared" si="1"/>
        <v>11.117647058823529</v>
      </c>
      <c r="AK88" s="12">
        <f>IF(B88="","",OR(K88="Not in use",K88="Low use")+AND(N88&lt;&gt;"",N88&lt;&gt;"TBD")+AND(ISNUMBER(U88),U88&lt;=EDATE('Scoring Settings'!$B$4,'Scoring Settings'!$B$8))+AND(ISNUMBER(L88),L88&lt;='Scoring Settings'!$B$7))</f>
        <v>3</v>
      </c>
      <c r="AL88" s="5" t="s">
        <v>223</v>
      </c>
      <c r="AM88" s="8" t="str">
        <f>IF(B88="","",IF(Z88="N","Easy",IF(OR(AND(ISNUMBER(AB88),AB88&gt;'Scoring Settings'!$B$11),AND(ISNUMBER(W88),W88&gt;'Scoring Settings'!$B$12),AND(ISNUMBER(M88),M88&lt;='Scoring Settings'!$B$13)),"High","Medium")))</f>
        <v>Easy</v>
      </c>
      <c r="AN88" s="5" t="s">
        <v>196</v>
      </c>
      <c r="AO88" s="7">
        <v>44316</v>
      </c>
      <c r="AP88" s="5" t="s">
        <v>372</v>
      </c>
      <c r="AQ88" s="29" t="s">
        <v>383</v>
      </c>
    </row>
    <row r="89" spans="1:43">
      <c r="A89" s="28">
        <v>54573</v>
      </c>
      <c r="B89" s="5" t="s">
        <v>1397</v>
      </c>
      <c r="C89" s="5" t="s">
        <v>187</v>
      </c>
      <c r="D89" s="5" t="s">
        <v>67</v>
      </c>
      <c r="E89" s="5" t="s">
        <v>298</v>
      </c>
      <c r="F89" s="5"/>
      <c r="G89" s="5"/>
      <c r="H89" s="5"/>
      <c r="I89" s="6">
        <v>1</v>
      </c>
      <c r="J89" s="7">
        <v>43819</v>
      </c>
      <c r="K89" s="8" t="str">
        <f>IF(B89="","",IF(AND(I89="",J89=""),"Unknown",IF(OR(AND(ISNUMBER(I89),I89=0),AND(ISNUMBER(J89),J89&lt;=EDATE('Scoring Settings'!$B$4,-'Scoring Settings'!$B$5))),"Not in use",IF(AND(ISNUMBER(I89),I89&lt;'Scoring Settings'!$B$6),"Low use","Active"))))</f>
        <v>Not in use</v>
      </c>
      <c r="L89" s="5">
        <v>1</v>
      </c>
      <c r="M89" s="5">
        <v>4</v>
      </c>
      <c r="N89" s="5"/>
      <c r="O89" s="5" t="s">
        <v>73</v>
      </c>
      <c r="P89" s="5" t="s">
        <v>1398</v>
      </c>
      <c r="Q89" s="9">
        <v>2</v>
      </c>
      <c r="R89" s="5" t="s">
        <v>251</v>
      </c>
      <c r="S89" s="5" t="s">
        <v>133</v>
      </c>
      <c r="T89" s="5" t="s">
        <v>72</v>
      </c>
      <c r="U89" s="7">
        <v>44165</v>
      </c>
      <c r="V89" s="5" t="s">
        <v>135</v>
      </c>
      <c r="W89" s="6">
        <v>170</v>
      </c>
      <c r="X89" s="5" t="s">
        <v>80</v>
      </c>
      <c r="Y89" s="9">
        <v>7</v>
      </c>
      <c r="Z89" s="5" t="s">
        <v>80</v>
      </c>
      <c r="AA89" s="5" t="s">
        <v>185</v>
      </c>
      <c r="AB89" s="9">
        <v>3</v>
      </c>
      <c r="AC89" s="5" t="s">
        <v>79</v>
      </c>
      <c r="AD89" s="5" t="s">
        <v>80</v>
      </c>
      <c r="AE89" s="5" t="s">
        <v>79</v>
      </c>
      <c r="AF89" s="10">
        <v>25500</v>
      </c>
      <c r="AG89" s="7">
        <v>49187</v>
      </c>
      <c r="AH89" s="10">
        <v>36000</v>
      </c>
      <c r="AI89" s="10">
        <v>17000</v>
      </c>
      <c r="AJ89" s="11">
        <f t="shared" si="1"/>
        <v>25.411764705882355</v>
      </c>
      <c r="AK89" s="12">
        <f>IF(B89="","",OR(K89="Not in use",K89="Low use")+AND(N89&lt;&gt;"",N89&lt;&gt;"TBD")+AND(ISNUMBER(U89),U89&lt;=EDATE('Scoring Settings'!$B$4,'Scoring Settings'!$B$8))+AND(ISNUMBER(L89),L89&lt;='Scoring Settings'!$B$7))</f>
        <v>3</v>
      </c>
      <c r="AL89" s="5" t="s">
        <v>96</v>
      </c>
      <c r="AM89" s="8" t="str">
        <f>IF(B89="","",IF(Z89="N","Easy",IF(OR(AND(ISNUMBER(AB89),AB89&gt;'Scoring Settings'!$B$11),AND(ISNUMBER(W89),W89&gt;'Scoring Settings'!$B$12),AND(ISNUMBER(M89),M89&lt;='Scoring Settings'!$B$13)),"High","Medium")))</f>
        <v>Medium</v>
      </c>
      <c r="AN89" s="5" t="s">
        <v>196</v>
      </c>
      <c r="AO89" s="7">
        <v>44347</v>
      </c>
      <c r="AP89" s="5" t="s">
        <v>372</v>
      </c>
      <c r="AQ89" s="29" t="s">
        <v>1200</v>
      </c>
    </row>
    <row r="90" spans="1:43">
      <c r="A90" s="28">
        <v>92127</v>
      </c>
      <c r="B90" s="5" t="s">
        <v>1414</v>
      </c>
      <c r="C90" s="5" t="s">
        <v>301</v>
      </c>
      <c r="D90" s="5" t="s">
        <v>162</v>
      </c>
      <c r="E90" s="5" t="s">
        <v>298</v>
      </c>
      <c r="F90" s="5"/>
      <c r="G90" s="5"/>
      <c r="H90" s="5"/>
      <c r="I90" s="6">
        <v>0</v>
      </c>
      <c r="J90" s="7">
        <v>44275</v>
      </c>
      <c r="K90" s="8" t="str">
        <f>IF(B90="","",IF(AND(I90="",J90=""),"Unknown",IF(OR(AND(ISNUMBER(I90),I90=0),AND(ISNUMBER(J90),J90&lt;=EDATE('Scoring Settings'!$B$4,-'Scoring Settings'!$B$5))),"Not in use",IF(AND(ISNUMBER(I90),I90&lt;'Scoring Settings'!$B$6),"Low use","Active"))))</f>
        <v>Not in use</v>
      </c>
      <c r="L90" s="5">
        <v>3</v>
      </c>
      <c r="M90" s="5">
        <v>2</v>
      </c>
      <c r="N90" s="5"/>
      <c r="O90" s="5" t="s">
        <v>73</v>
      </c>
      <c r="P90" s="5" t="s">
        <v>1415</v>
      </c>
      <c r="Q90" s="9">
        <v>5</v>
      </c>
      <c r="R90" s="5" t="s">
        <v>75</v>
      </c>
      <c r="S90" s="5" t="s">
        <v>121</v>
      </c>
      <c r="T90" s="5" t="s">
        <v>72</v>
      </c>
      <c r="U90" s="7">
        <v>46217</v>
      </c>
      <c r="V90" s="5" t="s">
        <v>135</v>
      </c>
      <c r="W90" s="6">
        <v>310</v>
      </c>
      <c r="X90" s="5" t="s">
        <v>79</v>
      </c>
      <c r="Y90" s="9">
        <v>5</v>
      </c>
      <c r="Z90" s="5" t="s">
        <v>79</v>
      </c>
      <c r="AA90" s="5" t="s">
        <v>110</v>
      </c>
      <c r="AB90" s="9">
        <v>5</v>
      </c>
      <c r="AC90" s="5" t="s">
        <v>79</v>
      </c>
      <c r="AD90" s="5" t="s">
        <v>82</v>
      </c>
      <c r="AE90" s="5" t="s">
        <v>79</v>
      </c>
      <c r="AF90" s="10">
        <v>85000</v>
      </c>
      <c r="AG90" s="7">
        <v>47848</v>
      </c>
      <c r="AH90" s="10">
        <v>113500</v>
      </c>
      <c r="AI90" s="10">
        <v>70000</v>
      </c>
      <c r="AJ90" s="11">
        <f t="shared" si="1"/>
        <v>19.457142857142856</v>
      </c>
      <c r="AK90" s="12">
        <f>IF(B90="","",OR(K90="Not in use",K90="Low use")+AND(N90&lt;&gt;"",N90&lt;&gt;"TBD")+AND(ISNUMBER(U90),U90&lt;=EDATE('Scoring Settings'!$B$4,'Scoring Settings'!$B$8))+AND(ISNUMBER(L90),L90&lt;='Scoring Settings'!$B$7))</f>
        <v>1</v>
      </c>
      <c r="AL90" s="5" t="s">
        <v>223</v>
      </c>
      <c r="AM90" s="8" t="str">
        <f>IF(B90="","",IF(Z90="N","Easy",IF(OR(AND(ISNUMBER(AB90),AB90&gt;'Scoring Settings'!$B$11),AND(ISNUMBER(W90),W90&gt;'Scoring Settings'!$B$12),AND(ISNUMBER(M90),M90&lt;='Scoring Settings'!$B$13)),"High","Medium")))</f>
        <v>Easy</v>
      </c>
      <c r="AN90" s="5" t="s">
        <v>196</v>
      </c>
      <c r="AO90" s="7">
        <v>44286</v>
      </c>
      <c r="AP90" s="5" t="s">
        <v>372</v>
      </c>
      <c r="AQ90" s="29" t="s">
        <v>375</v>
      </c>
    </row>
    <row r="91" spans="1:43" ht="28.5">
      <c r="A91" s="28">
        <v>91481</v>
      </c>
      <c r="B91" s="5" t="s">
        <v>1417</v>
      </c>
      <c r="C91" s="5" t="s">
        <v>242</v>
      </c>
      <c r="D91" s="5" t="s">
        <v>115</v>
      </c>
      <c r="E91" s="5" t="s">
        <v>68</v>
      </c>
      <c r="F91" s="5"/>
      <c r="G91" s="5"/>
      <c r="H91" s="5"/>
      <c r="I91" s="6">
        <v>139</v>
      </c>
      <c r="J91" s="7">
        <v>44315</v>
      </c>
      <c r="K91" s="8" t="str">
        <f>IF(B91="","",IF(AND(I91="",J91=""),"Unknown",IF(OR(AND(ISNUMBER(I91),I91=0),AND(ISNUMBER(J91),J91&lt;=EDATE('Scoring Settings'!$B$4,-'Scoring Settings'!$B$5))),"Not in use",IF(AND(ISNUMBER(I91),I91&lt;'Scoring Settings'!$B$6),"Low use","Active"))))</f>
        <v>Active</v>
      </c>
      <c r="L91" s="5">
        <v>2</v>
      </c>
      <c r="M91" s="5">
        <v>3</v>
      </c>
      <c r="N91" s="5" t="s">
        <v>1008</v>
      </c>
      <c r="O91" s="5" t="s">
        <v>73</v>
      </c>
      <c r="P91" s="5" t="s">
        <v>481</v>
      </c>
      <c r="Q91" s="9">
        <v>4</v>
      </c>
      <c r="R91" s="5" t="s">
        <v>239</v>
      </c>
      <c r="S91" s="5" t="s">
        <v>240</v>
      </c>
      <c r="T91" s="5" t="s">
        <v>184</v>
      </c>
      <c r="U91" s="7">
        <v>44316</v>
      </c>
      <c r="V91" s="5" t="s">
        <v>135</v>
      </c>
      <c r="W91" s="6">
        <v>2370</v>
      </c>
      <c r="X91" s="5" t="s">
        <v>80</v>
      </c>
      <c r="Y91" s="9">
        <v>7</v>
      </c>
      <c r="Z91" s="5" t="s">
        <v>79</v>
      </c>
      <c r="AA91" s="5" t="s">
        <v>110</v>
      </c>
      <c r="AB91" s="9">
        <v>2</v>
      </c>
      <c r="AC91" s="5" t="s">
        <v>82</v>
      </c>
      <c r="AD91" s="5" t="s">
        <v>79</v>
      </c>
      <c r="AE91" s="5" t="s">
        <v>79</v>
      </c>
      <c r="AF91" s="10">
        <v>55000</v>
      </c>
      <c r="AG91" s="7">
        <v>45900</v>
      </c>
      <c r="AH91" s="10">
        <v>51500</v>
      </c>
      <c r="AI91" s="10">
        <v>44500</v>
      </c>
      <c r="AJ91" s="11">
        <f t="shared" si="1"/>
        <v>13.887640449438202</v>
      </c>
      <c r="AK91" s="12">
        <f>IF(B91="","",OR(K91="Not in use",K91="Low use")+AND(N91&lt;&gt;"",N91&lt;&gt;"TBD")+AND(ISNUMBER(U91),U91&lt;=EDATE('Scoring Settings'!$B$4,'Scoring Settings'!$B$8))+AND(ISNUMBER(L91),L91&lt;='Scoring Settings'!$B$7))</f>
        <v>3</v>
      </c>
      <c r="AL91" s="5" t="s">
        <v>2217</v>
      </c>
      <c r="AM91" s="8" t="str">
        <f>IF(B91="","",IF(Z91="N","Easy",IF(OR(AND(ISNUMBER(AB91),AB91&gt;'Scoring Settings'!$B$11),AND(ISNUMBER(W91),W91&gt;'Scoring Settings'!$B$12),AND(ISNUMBER(M91),M91&lt;='Scoring Settings'!$B$13)),"High","Medium")))</f>
        <v>Easy</v>
      </c>
      <c r="AN91" s="5" t="s">
        <v>196</v>
      </c>
      <c r="AO91" s="7">
        <v>44347</v>
      </c>
      <c r="AP91" s="5" t="s">
        <v>372</v>
      </c>
      <c r="AQ91" s="29" t="s">
        <v>1418</v>
      </c>
    </row>
    <row r="92" spans="1:43">
      <c r="A92" s="28">
        <v>117522</v>
      </c>
      <c r="B92" s="5" t="s">
        <v>1421</v>
      </c>
      <c r="C92" s="5" t="s">
        <v>200</v>
      </c>
      <c r="D92" s="5" t="s">
        <v>115</v>
      </c>
      <c r="E92" s="5" t="s">
        <v>68</v>
      </c>
      <c r="F92" s="5"/>
      <c r="G92" s="5"/>
      <c r="H92" s="5"/>
      <c r="I92" s="6">
        <v>0</v>
      </c>
      <c r="J92" s="7">
        <v>44304</v>
      </c>
      <c r="K92" s="8" t="str">
        <f>IF(B92="","",IF(AND(I92="",J92=""),"Unknown",IF(OR(AND(ISNUMBER(I92),I92=0),AND(ISNUMBER(J92),J92&lt;=EDATE('Scoring Settings'!$B$4,-'Scoring Settings'!$B$5))),"Not in use",IF(AND(ISNUMBER(I92),I92&lt;'Scoring Settings'!$B$6),"Low use","Active"))))</f>
        <v>Not in use</v>
      </c>
      <c r="L92" s="5">
        <v>1</v>
      </c>
      <c r="M92" s="5">
        <v>3</v>
      </c>
      <c r="N92" s="5"/>
      <c r="O92" s="5" t="s">
        <v>73</v>
      </c>
      <c r="P92" s="5" t="s">
        <v>1422</v>
      </c>
      <c r="Q92" s="9">
        <v>2</v>
      </c>
      <c r="R92" s="5" t="s">
        <v>251</v>
      </c>
      <c r="S92" s="5" t="s">
        <v>133</v>
      </c>
      <c r="T92" s="5" t="s">
        <v>72</v>
      </c>
      <c r="U92" s="7">
        <v>44165</v>
      </c>
      <c r="V92" s="5" t="s">
        <v>135</v>
      </c>
      <c r="W92" s="6">
        <v>54</v>
      </c>
      <c r="X92" s="5" t="s">
        <v>79</v>
      </c>
      <c r="Y92" s="9">
        <v>3</v>
      </c>
      <c r="Z92" s="5" t="s">
        <v>79</v>
      </c>
      <c r="AA92" s="5" t="s">
        <v>110</v>
      </c>
      <c r="AB92" s="9">
        <v>5</v>
      </c>
      <c r="AC92" s="5" t="s">
        <v>82</v>
      </c>
      <c r="AD92" s="5" t="s">
        <v>80</v>
      </c>
      <c r="AE92" s="5" t="s">
        <v>82</v>
      </c>
      <c r="AF92" s="10">
        <v>37500</v>
      </c>
      <c r="AG92" s="7">
        <v>46812</v>
      </c>
      <c r="AH92" s="10">
        <v>42000</v>
      </c>
      <c r="AI92" s="10">
        <v>36000</v>
      </c>
      <c r="AJ92" s="11">
        <f t="shared" si="1"/>
        <v>14</v>
      </c>
      <c r="AK92" s="12">
        <f>IF(B92="","",OR(K92="Not in use",K92="Low use")+AND(N92&lt;&gt;"",N92&lt;&gt;"TBD")+AND(ISNUMBER(U92),U92&lt;=EDATE('Scoring Settings'!$B$4,'Scoring Settings'!$B$8))+AND(ISNUMBER(L92),L92&lt;='Scoring Settings'!$B$7))</f>
        <v>3</v>
      </c>
      <c r="AL92" s="5" t="s">
        <v>223</v>
      </c>
      <c r="AM92" s="8" t="str">
        <f>IF(B92="","",IF(Z92="N","Easy",IF(OR(AND(ISNUMBER(AB92),AB92&gt;'Scoring Settings'!$B$11),AND(ISNUMBER(W92),W92&gt;'Scoring Settings'!$B$12),AND(ISNUMBER(M92),M92&lt;='Scoring Settings'!$B$13)),"High","Medium")))</f>
        <v>Easy</v>
      </c>
      <c r="AN92" s="5" t="s">
        <v>196</v>
      </c>
      <c r="AO92" s="7">
        <v>44316</v>
      </c>
      <c r="AP92" s="5" t="s">
        <v>372</v>
      </c>
      <c r="AQ92" s="29" t="s">
        <v>383</v>
      </c>
    </row>
    <row r="93" spans="1:43">
      <c r="A93" s="28">
        <v>64349</v>
      </c>
      <c r="B93" s="5" t="s">
        <v>1447</v>
      </c>
      <c r="C93" s="5" t="s">
        <v>483</v>
      </c>
      <c r="D93" s="5" t="s">
        <v>88</v>
      </c>
      <c r="E93" s="5" t="s">
        <v>68</v>
      </c>
      <c r="F93" s="5"/>
      <c r="G93" s="5"/>
      <c r="H93" s="5"/>
      <c r="I93" s="6">
        <v>234</v>
      </c>
      <c r="J93" s="7">
        <v>44307</v>
      </c>
      <c r="K93" s="8" t="str">
        <f>IF(B93="","",IF(AND(I93="",J93=""),"Unknown",IF(OR(AND(ISNUMBER(I93),I93=0),AND(ISNUMBER(J93),J93&lt;=EDATE('Scoring Settings'!$B$4,-'Scoring Settings'!$B$5))),"Not in use",IF(AND(ISNUMBER(I93),I93&lt;'Scoring Settings'!$B$6),"Low use","Active"))))</f>
        <v>Active</v>
      </c>
      <c r="L93" s="5">
        <v>1</v>
      </c>
      <c r="M93" s="5">
        <v>3</v>
      </c>
      <c r="N93" s="5" t="s">
        <v>543</v>
      </c>
      <c r="O93" s="5" t="s">
        <v>73</v>
      </c>
      <c r="P93" s="5" t="s">
        <v>718</v>
      </c>
      <c r="Q93" s="9">
        <v>1</v>
      </c>
      <c r="R93" s="5" t="s">
        <v>75</v>
      </c>
      <c r="S93" s="5" t="s">
        <v>76</v>
      </c>
      <c r="T93" s="5" t="s">
        <v>77</v>
      </c>
      <c r="U93" s="7">
        <v>46399</v>
      </c>
      <c r="V93" s="5" t="s">
        <v>135</v>
      </c>
      <c r="W93" s="6">
        <v>66</v>
      </c>
      <c r="X93" s="5" t="s">
        <v>79</v>
      </c>
      <c r="Y93" s="9">
        <v>2</v>
      </c>
      <c r="Z93" s="5" t="s">
        <v>79</v>
      </c>
      <c r="AA93" s="5" t="s">
        <v>110</v>
      </c>
      <c r="AB93" s="9">
        <v>2</v>
      </c>
      <c r="AC93" s="5" t="s">
        <v>82</v>
      </c>
      <c r="AD93" s="5" t="s">
        <v>79</v>
      </c>
      <c r="AE93" s="5" t="s">
        <v>80</v>
      </c>
      <c r="AF93" s="10">
        <v>20000</v>
      </c>
      <c r="AG93" s="7">
        <v>47483</v>
      </c>
      <c r="AH93" s="10">
        <v>16500</v>
      </c>
      <c r="AI93" s="10">
        <v>16500</v>
      </c>
      <c r="AJ93" s="11">
        <f t="shared" si="1"/>
        <v>12</v>
      </c>
      <c r="AK93" s="12">
        <f>IF(B93="","",OR(K93="Not in use",K93="Low use")+AND(N93&lt;&gt;"",N93&lt;&gt;"TBD")+AND(ISNUMBER(U93),U93&lt;=EDATE('Scoring Settings'!$B$4,'Scoring Settings'!$B$8))+AND(ISNUMBER(L93),L93&lt;='Scoring Settings'!$B$7))</f>
        <v>2</v>
      </c>
      <c r="AL93" s="5" t="s">
        <v>223</v>
      </c>
      <c r="AM93" s="8" t="str">
        <f>IF(B93="","",IF(Z93="N","Easy",IF(OR(AND(ISNUMBER(AB93),AB93&gt;'Scoring Settings'!$B$11),AND(ISNUMBER(W93),W93&gt;'Scoring Settings'!$B$12),AND(ISNUMBER(M93),M93&lt;='Scoring Settings'!$B$13)),"High","Medium")))</f>
        <v>Easy</v>
      </c>
      <c r="AN93" s="5" t="s">
        <v>196</v>
      </c>
      <c r="AO93" s="7">
        <v>44561</v>
      </c>
      <c r="AP93" s="5" t="s">
        <v>197</v>
      </c>
      <c r="AQ93" s="29" t="s">
        <v>688</v>
      </c>
    </row>
    <row r="94" spans="1:43">
      <c r="A94" s="28">
        <v>143983</v>
      </c>
      <c r="B94" s="5" t="s">
        <v>1503</v>
      </c>
      <c r="C94" s="5" t="s">
        <v>208</v>
      </c>
      <c r="D94" s="5" t="s">
        <v>67</v>
      </c>
      <c r="E94" s="5" t="s">
        <v>68</v>
      </c>
      <c r="F94" s="5"/>
      <c r="G94" s="5"/>
      <c r="H94" s="5"/>
      <c r="I94" s="6">
        <v>0</v>
      </c>
      <c r="J94" s="7">
        <v>44302</v>
      </c>
      <c r="K94" s="8" t="str">
        <f>IF(B94="","",IF(AND(I94="",J94=""),"Unknown",IF(OR(AND(ISNUMBER(I94),I94=0),AND(ISNUMBER(J94),J94&lt;=EDATE('Scoring Settings'!$B$4,-'Scoring Settings'!$B$5))),"Not in use",IF(AND(ISNUMBER(I94),I94&lt;'Scoring Settings'!$B$6),"Low use","Active"))))</f>
        <v>Not in use</v>
      </c>
      <c r="L94" s="5">
        <v>2</v>
      </c>
      <c r="M94" s="5">
        <v>4</v>
      </c>
      <c r="N94" s="5" t="s">
        <v>190</v>
      </c>
      <c r="O94" s="5" t="s">
        <v>73</v>
      </c>
      <c r="P94" s="5" t="s">
        <v>1504</v>
      </c>
      <c r="Q94" s="9">
        <v>4</v>
      </c>
      <c r="R94" s="5" t="s">
        <v>251</v>
      </c>
      <c r="S94" s="5" t="s">
        <v>133</v>
      </c>
      <c r="T94" s="5" t="s">
        <v>72</v>
      </c>
      <c r="U94" s="7">
        <v>44165</v>
      </c>
      <c r="V94" s="5" t="s">
        <v>135</v>
      </c>
      <c r="W94" s="6">
        <v>160</v>
      </c>
      <c r="X94" s="5" t="s">
        <v>80</v>
      </c>
      <c r="Y94" s="9">
        <v>10</v>
      </c>
      <c r="Z94" s="5" t="s">
        <v>80</v>
      </c>
      <c r="AA94" s="5" t="s">
        <v>123</v>
      </c>
      <c r="AB94" s="9">
        <v>2</v>
      </c>
      <c r="AC94" s="5" t="s">
        <v>79</v>
      </c>
      <c r="AD94" s="5" t="s">
        <v>82</v>
      </c>
      <c r="AE94" s="5" t="s">
        <v>82</v>
      </c>
      <c r="AF94" s="10">
        <v>46000</v>
      </c>
      <c r="AG94" s="7">
        <v>49278</v>
      </c>
      <c r="AH94" s="10">
        <v>30000</v>
      </c>
      <c r="AI94" s="10">
        <v>36500</v>
      </c>
      <c r="AJ94" s="11">
        <f t="shared" si="1"/>
        <v>9.8630136986301373</v>
      </c>
      <c r="AK94" s="12">
        <f>IF(B94="","",OR(K94="Not in use",K94="Low use")+AND(N94&lt;&gt;"",N94&lt;&gt;"TBD")+AND(ISNUMBER(U94),U94&lt;=EDATE('Scoring Settings'!$B$4,'Scoring Settings'!$B$8))+AND(ISNUMBER(L94),L94&lt;='Scoring Settings'!$B$7))</f>
        <v>4</v>
      </c>
      <c r="AL94" s="5" t="s">
        <v>2217</v>
      </c>
      <c r="AM94" s="8" t="str">
        <f>IF(B94="","",IF(Z94="N","Easy",IF(OR(AND(ISNUMBER(AB94),AB94&gt;'Scoring Settings'!$B$11),AND(ISNUMBER(W94),W94&gt;'Scoring Settings'!$B$12),AND(ISNUMBER(M94),M94&lt;='Scoring Settings'!$B$13)),"High","Medium")))</f>
        <v>Medium</v>
      </c>
      <c r="AN94" s="5" t="s">
        <v>196</v>
      </c>
      <c r="AO94" s="7">
        <v>44316</v>
      </c>
      <c r="AP94" s="5" t="s">
        <v>372</v>
      </c>
      <c r="AQ94" s="29" t="s">
        <v>1505</v>
      </c>
    </row>
    <row r="95" spans="1:43">
      <c r="A95" s="28">
        <v>148488</v>
      </c>
      <c r="B95" s="5" t="s">
        <v>1516</v>
      </c>
      <c r="C95" s="5" t="s">
        <v>772</v>
      </c>
      <c r="D95" s="5" t="s">
        <v>297</v>
      </c>
      <c r="E95" s="5" t="s">
        <v>68</v>
      </c>
      <c r="F95" s="5"/>
      <c r="G95" s="5"/>
      <c r="H95" s="5"/>
      <c r="I95" s="6">
        <v>0</v>
      </c>
      <c r="J95" s="7">
        <v>43795</v>
      </c>
      <c r="K95" s="8" t="str">
        <f>IF(B95="","",IF(AND(I95="",J95=""),"Unknown",IF(OR(AND(ISNUMBER(I95),I95=0),AND(ISNUMBER(J95),J95&lt;=EDATE('Scoring Settings'!$B$4,-'Scoring Settings'!$B$5))),"Not in use",IF(AND(ISNUMBER(I95),I95&lt;'Scoring Settings'!$B$6),"Low use","Active"))))</f>
        <v>Not in use</v>
      </c>
      <c r="L95" s="5">
        <v>2</v>
      </c>
      <c r="M95" s="5">
        <v>3</v>
      </c>
      <c r="N95" s="5"/>
      <c r="O95" s="5" t="s">
        <v>73</v>
      </c>
      <c r="P95" s="5" t="s">
        <v>425</v>
      </c>
      <c r="Q95" s="9">
        <v>3</v>
      </c>
      <c r="R95" s="5" t="s">
        <v>75</v>
      </c>
      <c r="S95" s="5" t="s">
        <v>121</v>
      </c>
      <c r="T95" s="5" t="s">
        <v>109</v>
      </c>
      <c r="U95" s="7">
        <v>46217</v>
      </c>
      <c r="V95" s="5" t="s">
        <v>135</v>
      </c>
      <c r="W95" s="6">
        <v>1440</v>
      </c>
      <c r="X95" s="5" t="s">
        <v>80</v>
      </c>
      <c r="Y95" s="9">
        <v>10</v>
      </c>
      <c r="Z95" s="5" t="s">
        <v>80</v>
      </c>
      <c r="AA95" s="5" t="s">
        <v>147</v>
      </c>
      <c r="AB95" s="9">
        <v>1</v>
      </c>
      <c r="AC95" s="5" t="s">
        <v>80</v>
      </c>
      <c r="AD95" s="5" t="s">
        <v>79</v>
      </c>
      <c r="AE95" s="5" t="s">
        <v>82</v>
      </c>
      <c r="AF95" s="10">
        <v>40500</v>
      </c>
      <c r="AG95" s="7">
        <v>47514</v>
      </c>
      <c r="AH95" s="10">
        <v>46500</v>
      </c>
      <c r="AI95" s="10">
        <v>21000</v>
      </c>
      <c r="AJ95" s="11">
        <f t="shared" si="1"/>
        <v>26.571428571428573</v>
      </c>
      <c r="AK95" s="12">
        <f>IF(B95="","",OR(K95="Not in use",K95="Low use")+AND(N95&lt;&gt;"",N95&lt;&gt;"TBD")+AND(ISNUMBER(U95),U95&lt;=EDATE('Scoring Settings'!$B$4,'Scoring Settings'!$B$8))+AND(ISNUMBER(L95),L95&lt;='Scoring Settings'!$B$7))</f>
        <v>2</v>
      </c>
      <c r="AL95" s="5" t="s">
        <v>96</v>
      </c>
      <c r="AM95" s="8" t="str">
        <f>IF(B95="","",IF(Z95="N","Easy",IF(OR(AND(ISNUMBER(AB95),AB95&gt;'Scoring Settings'!$B$11),AND(ISNUMBER(W95),W95&gt;'Scoring Settings'!$B$12),AND(ISNUMBER(M95),M95&lt;='Scoring Settings'!$B$13)),"High","Medium")))</f>
        <v>High</v>
      </c>
      <c r="AN95" s="5" t="s">
        <v>196</v>
      </c>
      <c r="AO95" s="7">
        <v>44316</v>
      </c>
      <c r="AP95" s="5" t="s">
        <v>372</v>
      </c>
      <c r="AQ95" s="29" t="s">
        <v>399</v>
      </c>
    </row>
    <row r="96" spans="1:43" ht="42.75">
      <c r="A96" s="28">
        <v>108871</v>
      </c>
      <c r="B96" s="5" t="s">
        <v>1525</v>
      </c>
      <c r="C96" s="5" t="s">
        <v>380</v>
      </c>
      <c r="D96" s="5" t="s">
        <v>102</v>
      </c>
      <c r="E96" s="5" t="s">
        <v>68</v>
      </c>
      <c r="F96" s="5"/>
      <c r="G96" s="5"/>
      <c r="H96" s="5"/>
      <c r="I96" s="6">
        <v>0</v>
      </c>
      <c r="J96" s="7">
        <v>44100</v>
      </c>
      <c r="K96" s="8" t="str">
        <f>IF(B96="","",IF(AND(I96="",J96=""),"Unknown",IF(OR(AND(ISNUMBER(I96),I96=0),AND(ISNUMBER(J96),J96&lt;=EDATE('Scoring Settings'!$B$4,-'Scoring Settings'!$B$5))),"Not in use",IF(AND(ISNUMBER(I96),I96&lt;'Scoring Settings'!$B$6),"Low use","Active"))))</f>
        <v>Not in use</v>
      </c>
      <c r="L96" s="5">
        <v>1</v>
      </c>
      <c r="M96" s="5">
        <v>3</v>
      </c>
      <c r="N96" s="5"/>
      <c r="O96" s="5" t="s">
        <v>130</v>
      </c>
      <c r="P96" s="5" t="s">
        <v>1526</v>
      </c>
      <c r="Q96" s="9">
        <v>4</v>
      </c>
      <c r="R96" s="5" t="s">
        <v>182</v>
      </c>
      <c r="S96" s="5" t="s">
        <v>183</v>
      </c>
      <c r="T96" s="5" t="s">
        <v>134</v>
      </c>
      <c r="U96" s="7">
        <v>42855</v>
      </c>
      <c r="V96" s="5" t="s">
        <v>78</v>
      </c>
      <c r="W96" s="6">
        <v>40</v>
      </c>
      <c r="X96" s="5" t="s">
        <v>79</v>
      </c>
      <c r="Y96" s="9">
        <v>2</v>
      </c>
      <c r="Z96" s="5" t="s">
        <v>79</v>
      </c>
      <c r="AA96" s="5" t="s">
        <v>110</v>
      </c>
      <c r="AB96" s="9">
        <v>1</v>
      </c>
      <c r="AC96" s="5" t="s">
        <v>82</v>
      </c>
      <c r="AD96" s="5" t="s">
        <v>82</v>
      </c>
      <c r="AE96" s="5" t="s">
        <v>82</v>
      </c>
      <c r="AF96" s="10">
        <v>30000</v>
      </c>
      <c r="AG96" s="7">
        <v>45930</v>
      </c>
      <c r="AH96" s="10">
        <v>15500</v>
      </c>
      <c r="AI96" s="10">
        <v>26500</v>
      </c>
      <c r="AJ96" s="11">
        <f t="shared" si="1"/>
        <v>7.0188679245283012</v>
      </c>
      <c r="AK96" s="12">
        <f>IF(B96="","",OR(K96="Not in use",K96="Low use")+AND(N96&lt;&gt;"",N96&lt;&gt;"TBD")+AND(ISNUMBER(U96),U96&lt;=EDATE('Scoring Settings'!$B$4,'Scoring Settings'!$B$8))+AND(ISNUMBER(L96),L96&lt;='Scoring Settings'!$B$7))</f>
        <v>3</v>
      </c>
      <c r="AL96" s="5" t="s">
        <v>223</v>
      </c>
      <c r="AM96" s="8" t="str">
        <f>IF(B96="","",IF(Z96="N","Easy",IF(OR(AND(ISNUMBER(AB96),AB96&gt;'Scoring Settings'!$B$11),AND(ISNUMBER(W96),W96&gt;'Scoring Settings'!$B$12),AND(ISNUMBER(M96),M96&lt;='Scoring Settings'!$B$13)),"High","Medium")))</f>
        <v>Easy</v>
      </c>
      <c r="AN96" s="5" t="s">
        <v>196</v>
      </c>
      <c r="AO96" s="7">
        <v>44469</v>
      </c>
      <c r="AP96" s="5" t="s">
        <v>359</v>
      </c>
      <c r="AQ96" s="29" t="s">
        <v>789</v>
      </c>
    </row>
    <row r="97" spans="1:43">
      <c r="A97" s="28">
        <v>176641</v>
      </c>
      <c r="B97" s="5" t="s">
        <v>1536</v>
      </c>
      <c r="C97" s="5" t="s">
        <v>287</v>
      </c>
      <c r="D97" s="5" t="s">
        <v>162</v>
      </c>
      <c r="E97" s="5" t="s">
        <v>68</v>
      </c>
      <c r="F97" s="5"/>
      <c r="G97" s="5"/>
      <c r="H97" s="5"/>
      <c r="I97" s="6">
        <v>25</v>
      </c>
      <c r="J97" s="7">
        <v>44312</v>
      </c>
      <c r="K97" s="8" t="str">
        <f>IF(B97="","",IF(AND(I97="",J97=""),"Unknown",IF(OR(AND(ISNUMBER(I97),I97=0),AND(ISNUMBER(J97),J97&lt;=EDATE('Scoring Settings'!$B$4,-'Scoring Settings'!$B$5))),"Not in use",IF(AND(ISNUMBER(I97),I97&lt;'Scoring Settings'!$B$6),"Low use","Active"))))</f>
        <v>Active</v>
      </c>
      <c r="L97" s="5">
        <v>3</v>
      </c>
      <c r="M97" s="5">
        <v>2</v>
      </c>
      <c r="N97" s="5" t="s">
        <v>416</v>
      </c>
      <c r="O97" s="5" t="s">
        <v>130</v>
      </c>
      <c r="P97" s="5" t="s">
        <v>1537</v>
      </c>
      <c r="Q97" s="9">
        <v>3</v>
      </c>
      <c r="R97" s="5" t="s">
        <v>107</v>
      </c>
      <c r="S97" s="5" t="s">
        <v>108</v>
      </c>
      <c r="T97" s="5" t="s">
        <v>168</v>
      </c>
      <c r="U97" s="7">
        <v>43655</v>
      </c>
      <c r="V97" s="5" t="s">
        <v>135</v>
      </c>
      <c r="W97" s="6">
        <v>400</v>
      </c>
      <c r="X97" s="5" t="s">
        <v>79</v>
      </c>
      <c r="Y97" s="9">
        <v>7</v>
      </c>
      <c r="Z97" s="5" t="s">
        <v>79</v>
      </c>
      <c r="AA97" s="5" t="s">
        <v>110</v>
      </c>
      <c r="AB97" s="9">
        <v>23</v>
      </c>
      <c r="AC97" s="5" t="s">
        <v>80</v>
      </c>
      <c r="AD97" s="5" t="s">
        <v>82</v>
      </c>
      <c r="AE97" s="5" t="s">
        <v>82</v>
      </c>
      <c r="AF97" s="10">
        <v>55000</v>
      </c>
      <c r="AG97" s="7">
        <v>47118</v>
      </c>
      <c r="AH97" s="10">
        <v>87500</v>
      </c>
      <c r="AI97" s="10">
        <v>35000</v>
      </c>
      <c r="AJ97" s="11">
        <f t="shared" si="1"/>
        <v>30</v>
      </c>
      <c r="AK97" s="12">
        <f>IF(B97="","",OR(K97="Not in use",K97="Low use")+AND(N97&lt;&gt;"",N97&lt;&gt;"TBD")+AND(ISNUMBER(U97),U97&lt;=EDATE('Scoring Settings'!$B$4,'Scoring Settings'!$B$8))+AND(ISNUMBER(L97),L97&lt;='Scoring Settings'!$B$7))</f>
        <v>2</v>
      </c>
      <c r="AL97" s="5" t="s">
        <v>2217</v>
      </c>
      <c r="AM97" s="8" t="str">
        <f>IF(B97="","",IF(Z97="N","Easy",IF(OR(AND(ISNUMBER(AB97),AB97&gt;'Scoring Settings'!$B$11),AND(ISNUMBER(W97),W97&gt;'Scoring Settings'!$B$12),AND(ISNUMBER(M97),M97&lt;='Scoring Settings'!$B$13)),"High","Medium")))</f>
        <v>Easy</v>
      </c>
      <c r="AN97" s="5" t="s">
        <v>196</v>
      </c>
      <c r="AO97" s="7">
        <v>44530</v>
      </c>
      <c r="AP97" s="5" t="s">
        <v>359</v>
      </c>
      <c r="AQ97" s="29" t="s">
        <v>1538</v>
      </c>
    </row>
    <row r="98" spans="1:43">
      <c r="A98" s="28">
        <v>187839</v>
      </c>
      <c r="B98" s="5" t="s">
        <v>1539</v>
      </c>
      <c r="C98" s="5" t="s">
        <v>265</v>
      </c>
      <c r="D98" s="5" t="s">
        <v>102</v>
      </c>
      <c r="E98" s="5" t="s">
        <v>68</v>
      </c>
      <c r="F98" s="5"/>
      <c r="G98" s="5"/>
      <c r="H98" s="5"/>
      <c r="I98" s="6">
        <v>15</v>
      </c>
      <c r="J98" s="7">
        <v>44307</v>
      </c>
      <c r="K98" s="8" t="str">
        <f>IF(B98="","",IF(AND(I98="",J98=""),"Unknown",IF(OR(AND(ISNUMBER(I98),I98=0),AND(ISNUMBER(J98),J98&lt;=EDATE('Scoring Settings'!$B$4,-'Scoring Settings'!$B$5))),"Not in use",IF(AND(ISNUMBER(I98),I98&lt;'Scoring Settings'!$B$6),"Low use","Active"))))</f>
        <v>Low use</v>
      </c>
      <c r="L98" s="5">
        <v>1</v>
      </c>
      <c r="M98" s="5">
        <v>4</v>
      </c>
      <c r="N98" s="5" t="s">
        <v>784</v>
      </c>
      <c r="O98" s="5" t="s">
        <v>143</v>
      </c>
      <c r="P98" s="5" t="s">
        <v>144</v>
      </c>
      <c r="Q98" s="9">
        <v>0</v>
      </c>
      <c r="R98" s="5" t="s">
        <v>145</v>
      </c>
      <c r="S98" s="5" t="s">
        <v>145</v>
      </c>
      <c r="T98" s="5" t="s">
        <v>146</v>
      </c>
      <c r="U98" s="7">
        <v>45626</v>
      </c>
      <c r="V98" s="5" t="s">
        <v>135</v>
      </c>
      <c r="W98" s="6">
        <v>130</v>
      </c>
      <c r="X98" s="5" t="s">
        <v>80</v>
      </c>
      <c r="Y98" s="9">
        <v>7</v>
      </c>
      <c r="Z98" s="5" t="s">
        <v>79</v>
      </c>
      <c r="AA98" s="5" t="s">
        <v>110</v>
      </c>
      <c r="AB98" s="9">
        <v>1</v>
      </c>
      <c r="AC98" s="5" t="s">
        <v>80</v>
      </c>
      <c r="AD98" s="5" t="s">
        <v>79</v>
      </c>
      <c r="AE98" s="5" t="s">
        <v>82</v>
      </c>
      <c r="AF98" s="10">
        <v>60000</v>
      </c>
      <c r="AG98" s="7">
        <v>46599</v>
      </c>
      <c r="AH98" s="10">
        <v>58000</v>
      </c>
      <c r="AI98" s="10">
        <v>36500</v>
      </c>
      <c r="AJ98" s="11">
        <f t="shared" si="1"/>
        <v>19.06849315068493</v>
      </c>
      <c r="AK98" s="12">
        <f>IF(B98="","",OR(K98="Not in use",K98="Low use")+AND(N98&lt;&gt;"",N98&lt;&gt;"TBD")+AND(ISNUMBER(U98),U98&lt;=EDATE('Scoring Settings'!$B$4,'Scoring Settings'!$B$8))+AND(ISNUMBER(L98),L98&lt;='Scoring Settings'!$B$7))</f>
        <v>3</v>
      </c>
      <c r="AL98" s="5" t="s">
        <v>223</v>
      </c>
      <c r="AM98" s="8" t="str">
        <f>IF(B98="","",IF(Z98="N","Easy",IF(OR(AND(ISNUMBER(AB98),AB98&gt;'Scoring Settings'!$B$11),AND(ISNUMBER(W98),W98&gt;'Scoring Settings'!$B$12),AND(ISNUMBER(M98),M98&lt;='Scoring Settings'!$B$13)),"High","Medium")))</f>
        <v>Easy</v>
      </c>
      <c r="AN98" s="5" t="s">
        <v>196</v>
      </c>
      <c r="AO98" s="7">
        <v>44469</v>
      </c>
      <c r="AP98" s="5" t="s">
        <v>359</v>
      </c>
      <c r="AQ98" s="29" t="s">
        <v>499</v>
      </c>
    </row>
    <row r="99" spans="1:43">
      <c r="A99" s="28">
        <v>40283</v>
      </c>
      <c r="B99" s="5" t="s">
        <v>1543</v>
      </c>
      <c r="C99" s="5" t="s">
        <v>409</v>
      </c>
      <c r="D99" s="5" t="s">
        <v>115</v>
      </c>
      <c r="E99" s="5" t="s">
        <v>68</v>
      </c>
      <c r="F99" s="5"/>
      <c r="G99" s="5"/>
      <c r="H99" s="5"/>
      <c r="I99" s="6">
        <v>6</v>
      </c>
      <c r="J99" s="7">
        <v>44198</v>
      </c>
      <c r="K99" s="8" t="str">
        <f>IF(B99="","",IF(AND(I99="",J99=""),"Unknown",IF(OR(AND(ISNUMBER(I99),I99=0),AND(ISNUMBER(J99),J99&lt;=EDATE('Scoring Settings'!$B$4,-'Scoring Settings'!$B$5))),"Not in use",IF(AND(ISNUMBER(I99),I99&lt;'Scoring Settings'!$B$6),"Low use","Active"))))</f>
        <v>Low use</v>
      </c>
      <c r="L99" s="5">
        <v>1</v>
      </c>
      <c r="M99" s="5">
        <v>4</v>
      </c>
      <c r="N99" s="5" t="s">
        <v>72</v>
      </c>
      <c r="O99" s="5" t="s">
        <v>73</v>
      </c>
      <c r="P99" s="5" t="s">
        <v>1544</v>
      </c>
      <c r="Q99" s="9">
        <v>2</v>
      </c>
      <c r="R99" s="5" t="s">
        <v>358</v>
      </c>
      <c r="S99" s="5" t="s">
        <v>133</v>
      </c>
      <c r="T99" s="5" t="s">
        <v>122</v>
      </c>
      <c r="U99" s="7">
        <v>43555</v>
      </c>
      <c r="V99" s="5" t="s">
        <v>135</v>
      </c>
      <c r="W99" s="6">
        <v>5</v>
      </c>
      <c r="X99" s="5" t="s">
        <v>80</v>
      </c>
      <c r="Y99" s="9">
        <v>5</v>
      </c>
      <c r="Z99" s="5" t="s">
        <v>79</v>
      </c>
      <c r="AA99" s="5" t="s">
        <v>110</v>
      </c>
      <c r="AB99" s="9">
        <v>3</v>
      </c>
      <c r="AC99" s="5" t="s">
        <v>79</v>
      </c>
      <c r="AD99" s="5" t="s">
        <v>82</v>
      </c>
      <c r="AE99" s="5" t="s">
        <v>79</v>
      </c>
      <c r="AF99" s="10">
        <v>29500</v>
      </c>
      <c r="AG99" s="7">
        <v>47422</v>
      </c>
      <c r="AH99" s="10">
        <v>22000</v>
      </c>
      <c r="AI99" s="10">
        <v>25500</v>
      </c>
      <c r="AJ99" s="11">
        <f t="shared" si="1"/>
        <v>10.352941176470589</v>
      </c>
      <c r="AK99" s="12">
        <f>IF(B99="","",OR(K99="Not in use",K99="Low use")+AND(N99&lt;&gt;"",N99&lt;&gt;"TBD")+AND(ISNUMBER(U99),U99&lt;=EDATE('Scoring Settings'!$B$4,'Scoring Settings'!$B$8))+AND(ISNUMBER(L99),L99&lt;='Scoring Settings'!$B$7))</f>
        <v>3</v>
      </c>
      <c r="AL99" s="5" t="s">
        <v>223</v>
      </c>
      <c r="AM99" s="8" t="str">
        <f>IF(B99="","",IF(Z99="N","Easy",IF(OR(AND(ISNUMBER(AB99),AB99&gt;'Scoring Settings'!$B$11),AND(ISNUMBER(W99),W99&gt;'Scoring Settings'!$B$12),AND(ISNUMBER(M99),M99&lt;='Scoring Settings'!$B$13)),"High","Medium")))</f>
        <v>Easy</v>
      </c>
      <c r="AN99" s="5" t="s">
        <v>196</v>
      </c>
      <c r="AO99" s="7">
        <v>44347</v>
      </c>
      <c r="AP99" s="5" t="s">
        <v>322</v>
      </c>
      <c r="AQ99" s="29" t="s">
        <v>323</v>
      </c>
    </row>
    <row r="100" spans="1:43">
      <c r="A100" s="28">
        <v>82887</v>
      </c>
      <c r="B100" s="5" t="s">
        <v>1549</v>
      </c>
      <c r="C100" s="5" t="s">
        <v>667</v>
      </c>
      <c r="D100" s="5" t="s">
        <v>115</v>
      </c>
      <c r="E100" s="5" t="s">
        <v>68</v>
      </c>
      <c r="F100" s="5"/>
      <c r="G100" s="5"/>
      <c r="H100" s="5"/>
      <c r="I100" s="6">
        <v>1484</v>
      </c>
      <c r="J100" s="7">
        <v>44272</v>
      </c>
      <c r="K100" s="8" t="str">
        <f>IF(B100="","",IF(AND(I100="",J100=""),"Unknown",IF(OR(AND(ISNUMBER(I100),I100=0),AND(ISNUMBER(J100),J100&lt;=EDATE('Scoring Settings'!$B$4,-'Scoring Settings'!$B$5))),"Not in use",IF(AND(ISNUMBER(I100),I100&lt;'Scoring Settings'!$B$6),"Low use","Active"))))</f>
        <v>Active</v>
      </c>
      <c r="L100" s="5">
        <v>3</v>
      </c>
      <c r="M100" s="5">
        <v>4</v>
      </c>
      <c r="N100" s="5" t="s">
        <v>231</v>
      </c>
      <c r="O100" s="5" t="s">
        <v>73</v>
      </c>
      <c r="P100" s="5" t="s">
        <v>1550</v>
      </c>
      <c r="Q100" s="9">
        <v>2</v>
      </c>
      <c r="R100" s="5" t="s">
        <v>251</v>
      </c>
      <c r="S100" s="5" t="s">
        <v>133</v>
      </c>
      <c r="T100" s="5" t="s">
        <v>109</v>
      </c>
      <c r="U100" s="7">
        <v>44165</v>
      </c>
      <c r="V100" s="5" t="s">
        <v>135</v>
      </c>
      <c r="W100" s="6">
        <v>160</v>
      </c>
      <c r="X100" s="5" t="s">
        <v>79</v>
      </c>
      <c r="Y100" s="9">
        <v>3</v>
      </c>
      <c r="Z100" s="5" t="s">
        <v>79</v>
      </c>
      <c r="AA100" s="5" t="s">
        <v>110</v>
      </c>
      <c r="AB100" s="9">
        <v>3</v>
      </c>
      <c r="AC100" s="5" t="s">
        <v>79</v>
      </c>
      <c r="AD100" s="5" t="s">
        <v>82</v>
      </c>
      <c r="AE100" s="5" t="s">
        <v>82</v>
      </c>
      <c r="AF100" s="10">
        <v>20000</v>
      </c>
      <c r="AG100" s="7">
        <v>49643</v>
      </c>
      <c r="AH100" s="10">
        <v>12000</v>
      </c>
      <c r="AI100" s="10">
        <v>15000</v>
      </c>
      <c r="AJ100" s="11">
        <f t="shared" si="1"/>
        <v>9.6000000000000014</v>
      </c>
      <c r="AK100" s="12">
        <f>IF(B100="","",OR(K100="Not in use",K100="Low use")+AND(N100&lt;&gt;"",N100&lt;&gt;"TBD")+AND(ISNUMBER(U100),U100&lt;=EDATE('Scoring Settings'!$B$4,'Scoring Settings'!$B$8))+AND(ISNUMBER(L100),L100&lt;='Scoring Settings'!$B$7))</f>
        <v>2</v>
      </c>
      <c r="AL100" s="5" t="s">
        <v>2217</v>
      </c>
      <c r="AM100" s="8" t="str">
        <f>IF(B100="","",IF(Z100="N","Easy",IF(OR(AND(ISNUMBER(AB100),AB100&gt;'Scoring Settings'!$B$11),AND(ISNUMBER(W100),W100&gt;'Scoring Settings'!$B$12),AND(ISNUMBER(M100),M100&lt;='Scoring Settings'!$B$13)),"High","Medium")))</f>
        <v>Easy</v>
      </c>
      <c r="AN100" s="5" t="s">
        <v>196</v>
      </c>
      <c r="AO100" s="7">
        <v>44408</v>
      </c>
      <c r="AP100" s="5" t="s">
        <v>359</v>
      </c>
      <c r="AQ100" s="29" t="s">
        <v>1551</v>
      </c>
    </row>
    <row r="101" spans="1:43" ht="42.75">
      <c r="A101" s="28">
        <v>71188</v>
      </c>
      <c r="B101" s="5" t="s">
        <v>1566</v>
      </c>
      <c r="C101" s="5" t="s">
        <v>667</v>
      </c>
      <c r="D101" s="5" t="s">
        <v>115</v>
      </c>
      <c r="E101" s="5" t="s">
        <v>68</v>
      </c>
      <c r="F101" s="5"/>
      <c r="G101" s="5"/>
      <c r="H101" s="5"/>
      <c r="I101" s="6">
        <v>18</v>
      </c>
      <c r="J101" s="7">
        <v>44274</v>
      </c>
      <c r="K101" s="8" t="str">
        <f>IF(B101="","",IF(AND(I101="",J101=""),"Unknown",IF(OR(AND(ISNUMBER(I101),I101=0),AND(ISNUMBER(J101),J101&lt;=EDATE('Scoring Settings'!$B$4,-'Scoring Settings'!$B$5))),"Not in use",IF(AND(ISNUMBER(I101),I101&lt;'Scoring Settings'!$B$6),"Low use","Active"))))</f>
        <v>Low use</v>
      </c>
      <c r="L101" s="5">
        <v>3</v>
      </c>
      <c r="M101" s="5">
        <v>3</v>
      </c>
      <c r="N101" s="5"/>
      <c r="O101" s="5" t="s">
        <v>73</v>
      </c>
      <c r="P101" s="5" t="s">
        <v>1567</v>
      </c>
      <c r="Q101" s="9">
        <v>3</v>
      </c>
      <c r="R101" s="5" t="s">
        <v>335</v>
      </c>
      <c r="S101" s="5" t="s">
        <v>336</v>
      </c>
      <c r="T101" s="5" t="s">
        <v>122</v>
      </c>
      <c r="U101" s="7">
        <v>45473</v>
      </c>
      <c r="V101" s="5" t="s">
        <v>135</v>
      </c>
      <c r="W101" s="6">
        <v>530</v>
      </c>
      <c r="X101" s="5" t="s">
        <v>80</v>
      </c>
      <c r="Y101" s="9">
        <v>7</v>
      </c>
      <c r="Z101" s="5" t="s">
        <v>80</v>
      </c>
      <c r="AA101" s="5" t="s">
        <v>81</v>
      </c>
      <c r="AB101" s="9">
        <v>7</v>
      </c>
      <c r="AC101" s="5" t="s">
        <v>79</v>
      </c>
      <c r="AD101" s="5" t="s">
        <v>79</v>
      </c>
      <c r="AE101" s="5" t="s">
        <v>79</v>
      </c>
      <c r="AF101" s="10">
        <v>38000</v>
      </c>
      <c r="AG101" s="7">
        <v>47057</v>
      </c>
      <c r="AH101" s="10">
        <v>72000</v>
      </c>
      <c r="AI101" s="10">
        <v>19500</v>
      </c>
      <c r="AJ101" s="11">
        <f t="shared" si="1"/>
        <v>44.307692307692307</v>
      </c>
      <c r="AK101" s="12">
        <f>IF(B101="","",OR(K101="Not in use",K101="Low use")+AND(N101&lt;&gt;"",N101&lt;&gt;"TBD")+AND(ISNUMBER(U101),U101&lt;=EDATE('Scoring Settings'!$B$4,'Scoring Settings'!$B$8))+AND(ISNUMBER(L101),L101&lt;='Scoring Settings'!$B$7))</f>
        <v>1</v>
      </c>
      <c r="AL101" s="5" t="s">
        <v>96</v>
      </c>
      <c r="AM101" s="8" t="str">
        <f>IF(B101="","",IF(Z101="N","Easy",IF(OR(AND(ISNUMBER(AB101),AB101&gt;'Scoring Settings'!$B$11),AND(ISNUMBER(W101),W101&gt;'Scoring Settings'!$B$12),AND(ISNUMBER(M101),M101&lt;='Scoring Settings'!$B$13)),"High","Medium")))</f>
        <v>High</v>
      </c>
      <c r="AN101" s="5" t="s">
        <v>196</v>
      </c>
      <c r="AO101" s="7">
        <v>44561</v>
      </c>
      <c r="AP101" s="5" t="s">
        <v>197</v>
      </c>
      <c r="AQ101" s="29" t="s">
        <v>1568</v>
      </c>
    </row>
    <row r="102" spans="1:43" ht="28.5">
      <c r="A102" s="28">
        <v>33347</v>
      </c>
      <c r="B102" s="5" t="s">
        <v>1577</v>
      </c>
      <c r="C102" s="5" t="s">
        <v>1578</v>
      </c>
      <c r="D102" s="5" t="s">
        <v>162</v>
      </c>
      <c r="E102" s="5" t="s">
        <v>68</v>
      </c>
      <c r="F102" s="5"/>
      <c r="G102" s="5"/>
      <c r="H102" s="5"/>
      <c r="I102" s="6">
        <v>3400</v>
      </c>
      <c r="J102" s="7">
        <v>44314</v>
      </c>
      <c r="K102" s="8" t="str">
        <f>IF(B102="","",IF(AND(I102="",J102=""),"Unknown",IF(OR(AND(ISNUMBER(I102),I102=0),AND(ISNUMBER(J102),J102&lt;=EDATE('Scoring Settings'!$B$4,-'Scoring Settings'!$B$5))),"Not in use",IF(AND(ISNUMBER(I102),I102&lt;'Scoring Settings'!$B$6),"Low use","Active"))))</f>
        <v>Active</v>
      </c>
      <c r="L102" s="5">
        <v>4</v>
      </c>
      <c r="M102" s="5">
        <v>2</v>
      </c>
      <c r="N102" s="5" t="s">
        <v>1579</v>
      </c>
      <c r="O102" s="5" t="s">
        <v>73</v>
      </c>
      <c r="P102" s="5" t="s">
        <v>1580</v>
      </c>
      <c r="Q102" s="9">
        <v>6</v>
      </c>
      <c r="R102" s="5" t="s">
        <v>166</v>
      </c>
      <c r="S102" s="5" t="s">
        <v>1581</v>
      </c>
      <c r="T102" s="5" t="s">
        <v>184</v>
      </c>
      <c r="U102" s="7">
        <v>45209</v>
      </c>
      <c r="V102" s="5" t="s">
        <v>78</v>
      </c>
      <c r="W102" s="6">
        <v>6500</v>
      </c>
      <c r="X102" s="5" t="s">
        <v>80</v>
      </c>
      <c r="Y102" s="9">
        <v>5</v>
      </c>
      <c r="Z102" s="5" t="s">
        <v>80</v>
      </c>
      <c r="AA102" s="5" t="s">
        <v>185</v>
      </c>
      <c r="AB102" s="9">
        <v>32</v>
      </c>
      <c r="AC102" s="5" t="s">
        <v>80</v>
      </c>
      <c r="AD102" s="5" t="s">
        <v>82</v>
      </c>
      <c r="AE102" s="5" t="s">
        <v>80</v>
      </c>
      <c r="AF102" s="10">
        <v>480000</v>
      </c>
      <c r="AG102" s="7">
        <v>46387</v>
      </c>
      <c r="AH102" s="10">
        <v>350000</v>
      </c>
      <c r="AI102" s="10">
        <v>400000</v>
      </c>
      <c r="AJ102" s="11">
        <f t="shared" si="1"/>
        <v>10.5</v>
      </c>
      <c r="AK102" s="12">
        <f>IF(B102="","",OR(K102="Not in use",K102="Low use")+AND(N102&lt;&gt;"",N102&lt;&gt;"TBD")+AND(ISNUMBER(U102),U102&lt;=EDATE('Scoring Settings'!$B$4,'Scoring Settings'!$B$8))+AND(ISNUMBER(L102),L102&lt;='Scoring Settings'!$B$7))</f>
        <v>1</v>
      </c>
      <c r="AL102" s="5" t="s">
        <v>2217</v>
      </c>
      <c r="AM102" s="8" t="str">
        <f>IF(B102="","",IF(Z102="N","Easy",IF(OR(AND(ISNUMBER(AB102),AB102&gt;'Scoring Settings'!$B$11),AND(ISNUMBER(W102),W102&gt;'Scoring Settings'!$B$12),AND(ISNUMBER(M102),M102&lt;='Scoring Settings'!$B$13)),"High","Medium")))</f>
        <v>High</v>
      </c>
      <c r="AN102" s="5" t="s">
        <v>196</v>
      </c>
      <c r="AO102" s="7">
        <v>44347</v>
      </c>
      <c r="AP102" s="5" t="s">
        <v>372</v>
      </c>
      <c r="AQ102" s="29" t="s">
        <v>1582</v>
      </c>
    </row>
    <row r="103" spans="1:43">
      <c r="A103" s="28">
        <v>89029</v>
      </c>
      <c r="B103" s="5" t="s">
        <v>1596</v>
      </c>
      <c r="C103" s="5" t="s">
        <v>230</v>
      </c>
      <c r="D103" s="5" t="s">
        <v>115</v>
      </c>
      <c r="E103" s="5" t="s">
        <v>68</v>
      </c>
      <c r="F103" s="5"/>
      <c r="G103" s="5"/>
      <c r="H103" s="5"/>
      <c r="I103" s="6">
        <v>0</v>
      </c>
      <c r="J103" s="7">
        <v>44218</v>
      </c>
      <c r="K103" s="8" t="str">
        <f>IF(B103="","",IF(AND(I103="",J103=""),"Unknown",IF(OR(AND(ISNUMBER(I103),I103=0),AND(ISNUMBER(J103),J103&lt;=EDATE('Scoring Settings'!$B$4,-'Scoring Settings'!$B$5))),"Not in use",IF(AND(ISNUMBER(I103),I103&lt;'Scoring Settings'!$B$6),"Low use","Active"))))</f>
        <v>Not in use</v>
      </c>
      <c r="L103" s="5">
        <v>3</v>
      </c>
      <c r="M103" s="5">
        <v>4</v>
      </c>
      <c r="N103" s="5" t="s">
        <v>72</v>
      </c>
      <c r="O103" s="5" t="s">
        <v>143</v>
      </c>
      <c r="P103" s="5" t="s">
        <v>144</v>
      </c>
      <c r="Q103" s="9">
        <v>0</v>
      </c>
      <c r="R103" s="5" t="s">
        <v>145</v>
      </c>
      <c r="S103" s="5" t="s">
        <v>145</v>
      </c>
      <c r="T103" s="5" t="s">
        <v>146</v>
      </c>
      <c r="U103" s="7">
        <v>46234</v>
      </c>
      <c r="V103" s="5" t="s">
        <v>135</v>
      </c>
      <c r="W103" s="6">
        <v>200</v>
      </c>
      <c r="X103" s="5" t="s">
        <v>79</v>
      </c>
      <c r="Y103" s="9">
        <v>1</v>
      </c>
      <c r="Z103" s="5" t="s">
        <v>79</v>
      </c>
      <c r="AA103" s="5" t="s">
        <v>110</v>
      </c>
      <c r="AB103" s="9">
        <v>1</v>
      </c>
      <c r="AC103" s="5" t="s">
        <v>79</v>
      </c>
      <c r="AD103" s="5" t="s">
        <v>80</v>
      </c>
      <c r="AE103" s="5" t="s">
        <v>80</v>
      </c>
      <c r="AF103" s="10">
        <v>34000</v>
      </c>
      <c r="AG103" s="7">
        <v>46265</v>
      </c>
      <c r="AH103" s="10">
        <v>13000</v>
      </c>
      <c r="AI103" s="10">
        <v>22000</v>
      </c>
      <c r="AJ103" s="11">
        <f t="shared" si="1"/>
        <v>7.0909090909090917</v>
      </c>
      <c r="AK103" s="12">
        <f>IF(B103="","",OR(K103="Not in use",K103="Low use")+AND(N103&lt;&gt;"",N103&lt;&gt;"TBD")+AND(ISNUMBER(U103),U103&lt;=EDATE('Scoring Settings'!$B$4,'Scoring Settings'!$B$8))+AND(ISNUMBER(L103),L103&lt;='Scoring Settings'!$B$7))</f>
        <v>1</v>
      </c>
      <c r="AL103" s="5" t="s">
        <v>223</v>
      </c>
      <c r="AM103" s="8" t="str">
        <f>IF(B103="","",IF(Z103="N","Easy",IF(OR(AND(ISNUMBER(AB103),AB103&gt;'Scoring Settings'!$B$11),AND(ISNUMBER(W103),W103&gt;'Scoring Settings'!$B$12),AND(ISNUMBER(M103),M103&lt;='Scoring Settings'!$B$13)),"High","Medium")))</f>
        <v>Easy</v>
      </c>
      <c r="AN103" s="5" t="s">
        <v>196</v>
      </c>
      <c r="AO103" s="7">
        <v>44227</v>
      </c>
      <c r="AP103" s="5" t="s">
        <v>372</v>
      </c>
      <c r="AQ103" s="29" t="s">
        <v>1597</v>
      </c>
    </row>
    <row r="104" spans="1:43">
      <c r="A104" s="28">
        <v>58178</v>
      </c>
      <c r="B104" s="5" t="s">
        <v>1604</v>
      </c>
      <c r="C104" s="5" t="s">
        <v>230</v>
      </c>
      <c r="D104" s="5" t="s">
        <v>115</v>
      </c>
      <c r="E104" s="5" t="s">
        <v>311</v>
      </c>
      <c r="F104" s="5"/>
      <c r="G104" s="5"/>
      <c r="H104" s="5"/>
      <c r="I104" s="6">
        <v>453</v>
      </c>
      <c r="J104" s="7">
        <v>44288</v>
      </c>
      <c r="K104" s="8" t="str">
        <f>IF(B104="","",IF(AND(I104="",J104=""),"Unknown",IF(OR(AND(ISNUMBER(I104),I104=0),AND(ISNUMBER(J104),J104&lt;=EDATE('Scoring Settings'!$B$4,-'Scoring Settings'!$B$5))),"Not in use",IF(AND(ISNUMBER(I104),I104&lt;'Scoring Settings'!$B$6),"Low use","Active"))))</f>
        <v>Active</v>
      </c>
      <c r="L104" s="5">
        <v>3</v>
      </c>
      <c r="M104" s="5">
        <v>3</v>
      </c>
      <c r="N104" s="5" t="s">
        <v>810</v>
      </c>
      <c r="O104" s="5" t="s">
        <v>130</v>
      </c>
      <c r="P104" s="5" t="s">
        <v>388</v>
      </c>
      <c r="Q104" s="9">
        <v>1</v>
      </c>
      <c r="R104" s="5" t="s">
        <v>330</v>
      </c>
      <c r="S104" s="5" t="s">
        <v>331</v>
      </c>
      <c r="T104" s="5" t="s">
        <v>168</v>
      </c>
      <c r="U104" s="7">
        <v>45046</v>
      </c>
      <c r="V104" s="5" t="s">
        <v>78</v>
      </c>
      <c r="W104" s="6">
        <v>17</v>
      </c>
      <c r="X104" s="5" t="s">
        <v>80</v>
      </c>
      <c r="Y104" s="9">
        <v>7</v>
      </c>
      <c r="Z104" s="5" t="s">
        <v>79</v>
      </c>
      <c r="AA104" s="5" t="s">
        <v>110</v>
      </c>
      <c r="AB104" s="9">
        <v>8</v>
      </c>
      <c r="AC104" s="5" t="s">
        <v>82</v>
      </c>
      <c r="AD104" s="5" t="s">
        <v>82</v>
      </c>
      <c r="AE104" s="5" t="s">
        <v>82</v>
      </c>
      <c r="AF104" s="10">
        <v>15000</v>
      </c>
      <c r="AG104" s="7">
        <v>47299</v>
      </c>
      <c r="AH104" s="10">
        <v>7000</v>
      </c>
      <c r="AI104" s="10">
        <v>12500</v>
      </c>
      <c r="AJ104" s="11">
        <f t="shared" si="1"/>
        <v>6.7200000000000006</v>
      </c>
      <c r="AK104" s="12">
        <f>IF(B104="","",OR(K104="Not in use",K104="Low use")+AND(N104&lt;&gt;"",N104&lt;&gt;"TBD")+AND(ISNUMBER(U104),U104&lt;=EDATE('Scoring Settings'!$B$4,'Scoring Settings'!$B$8))+AND(ISNUMBER(L104),L104&lt;='Scoring Settings'!$B$7))</f>
        <v>1</v>
      </c>
      <c r="AL104" s="5" t="s">
        <v>2217</v>
      </c>
      <c r="AM104" s="8" t="str">
        <f>IF(B104="","",IF(Z104="N","Easy",IF(OR(AND(ISNUMBER(AB104),AB104&gt;'Scoring Settings'!$B$11),AND(ISNUMBER(W104),W104&gt;'Scoring Settings'!$B$12),AND(ISNUMBER(M104),M104&lt;='Scoring Settings'!$B$13)),"High","Medium")))</f>
        <v>Easy</v>
      </c>
      <c r="AN104" s="5" t="s">
        <v>196</v>
      </c>
      <c r="AO104" s="7">
        <v>44530</v>
      </c>
      <c r="AP104" s="5" t="s">
        <v>359</v>
      </c>
      <c r="AQ104" s="29" t="s">
        <v>1605</v>
      </c>
    </row>
    <row r="105" spans="1:43">
      <c r="A105" s="28">
        <v>141703</v>
      </c>
      <c r="B105" s="5" t="s">
        <v>1607</v>
      </c>
      <c r="C105" s="5" t="s">
        <v>380</v>
      </c>
      <c r="D105" s="5" t="s">
        <v>102</v>
      </c>
      <c r="E105" s="5" t="s">
        <v>311</v>
      </c>
      <c r="F105" s="5"/>
      <c r="G105" s="5"/>
      <c r="H105" s="5"/>
      <c r="I105" s="6">
        <v>1273</v>
      </c>
      <c r="J105" s="7">
        <v>44303</v>
      </c>
      <c r="K105" s="8" t="str">
        <f>IF(B105="","",IF(AND(I105="",J105=""),"Unknown",IF(OR(AND(ISNUMBER(I105),I105=0),AND(ISNUMBER(J105),J105&lt;=EDATE('Scoring Settings'!$B$4,-'Scoring Settings'!$B$5))),"Not in use",IF(AND(ISNUMBER(I105),I105&lt;'Scoring Settings'!$B$6),"Low use","Active"))))</f>
        <v>Active</v>
      </c>
      <c r="L105" s="5">
        <v>1</v>
      </c>
      <c r="M105" s="5">
        <v>4</v>
      </c>
      <c r="N105" s="5"/>
      <c r="O105" s="5" t="s">
        <v>73</v>
      </c>
      <c r="P105" s="5" t="s">
        <v>1608</v>
      </c>
      <c r="Q105" s="9">
        <v>4</v>
      </c>
      <c r="R105" s="5" t="s">
        <v>182</v>
      </c>
      <c r="S105" s="5" t="s">
        <v>183</v>
      </c>
      <c r="T105" s="5" t="s">
        <v>77</v>
      </c>
      <c r="U105" s="7">
        <v>42855</v>
      </c>
      <c r="V105" s="5" t="s">
        <v>95</v>
      </c>
      <c r="W105" s="6">
        <v>910</v>
      </c>
      <c r="X105" s="5" t="s">
        <v>80</v>
      </c>
      <c r="Y105" s="9">
        <v>5</v>
      </c>
      <c r="Z105" s="5" t="s">
        <v>80</v>
      </c>
      <c r="AA105" s="5" t="s">
        <v>205</v>
      </c>
      <c r="AB105" s="9">
        <v>1</v>
      </c>
      <c r="AC105" s="5" t="s">
        <v>80</v>
      </c>
      <c r="AD105" s="5" t="s">
        <v>82</v>
      </c>
      <c r="AE105" s="5" t="s">
        <v>79</v>
      </c>
      <c r="AF105" s="10">
        <v>55000</v>
      </c>
      <c r="AG105" s="7">
        <v>47177</v>
      </c>
      <c r="AH105" s="10">
        <v>42500</v>
      </c>
      <c r="AI105" s="10">
        <v>41500</v>
      </c>
      <c r="AJ105" s="11">
        <f t="shared" si="1"/>
        <v>12.289156626506024</v>
      </c>
      <c r="AK105" s="12">
        <f>IF(B105="","",OR(K105="Not in use",K105="Low use")+AND(N105&lt;&gt;"",N105&lt;&gt;"TBD")+AND(ISNUMBER(U105),U105&lt;=EDATE('Scoring Settings'!$B$4,'Scoring Settings'!$B$8))+AND(ISNUMBER(L105),L105&lt;='Scoring Settings'!$B$7))</f>
        <v>2</v>
      </c>
      <c r="AL105" s="5" t="s">
        <v>96</v>
      </c>
      <c r="AM105" s="8" t="str">
        <f>IF(B105="","",IF(Z105="N","Easy",IF(OR(AND(ISNUMBER(AB105),AB105&gt;'Scoring Settings'!$B$11),AND(ISNUMBER(W105),W105&gt;'Scoring Settings'!$B$12),AND(ISNUMBER(M105),M105&lt;='Scoring Settings'!$B$13)),"High","Medium")))</f>
        <v>Medium</v>
      </c>
      <c r="AN105" s="5" t="s">
        <v>196</v>
      </c>
      <c r="AO105" s="7">
        <v>44500</v>
      </c>
      <c r="AP105" s="5" t="s">
        <v>359</v>
      </c>
      <c r="AQ105" s="29" t="s">
        <v>844</v>
      </c>
    </row>
    <row r="106" spans="1:43">
      <c r="A106" s="28">
        <v>79306</v>
      </c>
      <c r="B106" s="5" t="s">
        <v>1617</v>
      </c>
      <c r="C106" s="5" t="s">
        <v>316</v>
      </c>
      <c r="D106" s="5" t="s">
        <v>67</v>
      </c>
      <c r="E106" s="5" t="s">
        <v>68</v>
      </c>
      <c r="F106" s="5"/>
      <c r="G106" s="5"/>
      <c r="H106" s="5"/>
      <c r="I106" s="6">
        <v>0</v>
      </c>
      <c r="J106" s="7">
        <v>44283</v>
      </c>
      <c r="K106" s="8" t="str">
        <f>IF(B106="","",IF(AND(I106="",J106=""),"Unknown",IF(OR(AND(ISNUMBER(I106),I106=0),AND(ISNUMBER(J106),J106&lt;=EDATE('Scoring Settings'!$B$4,-'Scoring Settings'!$B$5))),"Not in use",IF(AND(ISNUMBER(I106),I106&lt;'Scoring Settings'!$B$6),"Low use","Active"))))</f>
        <v>Not in use</v>
      </c>
      <c r="L106" s="5">
        <v>1</v>
      </c>
      <c r="M106" s="5">
        <v>4</v>
      </c>
      <c r="N106" s="5" t="s">
        <v>190</v>
      </c>
      <c r="O106" s="5" t="s">
        <v>73</v>
      </c>
      <c r="P106" s="5" t="s">
        <v>843</v>
      </c>
      <c r="Q106" s="9">
        <v>1</v>
      </c>
      <c r="R106" s="5" t="s">
        <v>251</v>
      </c>
      <c r="S106" s="5" t="s">
        <v>133</v>
      </c>
      <c r="T106" s="5" t="s">
        <v>109</v>
      </c>
      <c r="U106" s="7">
        <v>44165</v>
      </c>
      <c r="V106" s="5" t="s">
        <v>135</v>
      </c>
      <c r="W106" s="6">
        <v>470</v>
      </c>
      <c r="X106" s="5" t="s">
        <v>80</v>
      </c>
      <c r="Y106" s="9">
        <v>10</v>
      </c>
      <c r="Z106" s="5" t="s">
        <v>79</v>
      </c>
      <c r="AA106" s="5" t="s">
        <v>110</v>
      </c>
      <c r="AB106" s="9">
        <v>2</v>
      </c>
      <c r="AC106" s="5" t="s">
        <v>82</v>
      </c>
      <c r="AD106" s="5" t="s">
        <v>79</v>
      </c>
      <c r="AE106" s="5" t="s">
        <v>79</v>
      </c>
      <c r="AF106" s="10">
        <v>13000</v>
      </c>
      <c r="AG106" s="7">
        <v>47422</v>
      </c>
      <c r="AH106" s="10">
        <v>10000</v>
      </c>
      <c r="AI106" s="10">
        <v>12000</v>
      </c>
      <c r="AJ106" s="11">
        <f t="shared" si="1"/>
        <v>10</v>
      </c>
      <c r="AK106" s="12">
        <f>IF(B106="","",OR(K106="Not in use",K106="Low use")+AND(N106&lt;&gt;"",N106&lt;&gt;"TBD")+AND(ISNUMBER(U106),U106&lt;=EDATE('Scoring Settings'!$B$4,'Scoring Settings'!$B$8))+AND(ISNUMBER(L106),L106&lt;='Scoring Settings'!$B$7))</f>
        <v>4</v>
      </c>
      <c r="AL106" s="5" t="s">
        <v>223</v>
      </c>
      <c r="AM106" s="8" t="str">
        <f>IF(B106="","",IF(Z106="N","Easy",IF(OR(AND(ISNUMBER(AB106),AB106&gt;'Scoring Settings'!$B$11),AND(ISNUMBER(W106),W106&gt;'Scoring Settings'!$B$12),AND(ISNUMBER(M106),M106&lt;='Scoring Settings'!$B$13)),"High","Medium")))</f>
        <v>Easy</v>
      </c>
      <c r="AN106" s="5" t="s">
        <v>196</v>
      </c>
      <c r="AO106" s="7">
        <v>44286</v>
      </c>
      <c r="AP106" s="5" t="s">
        <v>372</v>
      </c>
      <c r="AQ106" s="29" t="s">
        <v>375</v>
      </c>
    </row>
    <row r="107" spans="1:43">
      <c r="A107" s="28">
        <v>52436</v>
      </c>
      <c r="B107" s="5" t="s">
        <v>1625</v>
      </c>
      <c r="C107" s="5" t="s">
        <v>667</v>
      </c>
      <c r="D107" s="5" t="s">
        <v>115</v>
      </c>
      <c r="E107" s="5" t="s">
        <v>311</v>
      </c>
      <c r="F107" s="5"/>
      <c r="G107" s="5"/>
      <c r="H107" s="5"/>
      <c r="I107" s="6">
        <v>0</v>
      </c>
      <c r="J107" s="7">
        <v>44254</v>
      </c>
      <c r="K107" s="8" t="str">
        <f>IF(B107="","",IF(AND(I107="",J107=""),"Unknown",IF(OR(AND(ISNUMBER(I107),I107=0),AND(ISNUMBER(J107),J107&lt;=EDATE('Scoring Settings'!$B$4,-'Scoring Settings'!$B$5))),"Not in use",IF(AND(ISNUMBER(I107),I107&lt;'Scoring Settings'!$B$6),"Low use","Active"))))</f>
        <v>Not in use</v>
      </c>
      <c r="L107" s="5">
        <v>3</v>
      </c>
      <c r="M107" s="5">
        <v>4</v>
      </c>
      <c r="N107" s="5" t="s">
        <v>72</v>
      </c>
      <c r="O107" s="5" t="s">
        <v>130</v>
      </c>
      <c r="P107" s="5" t="s">
        <v>1626</v>
      </c>
      <c r="Q107" s="9">
        <v>4</v>
      </c>
      <c r="R107" s="5" t="s">
        <v>75</v>
      </c>
      <c r="S107" s="5" t="s">
        <v>76</v>
      </c>
      <c r="T107" s="5" t="s">
        <v>168</v>
      </c>
      <c r="U107" s="7">
        <v>46399</v>
      </c>
      <c r="V107" s="5" t="s">
        <v>135</v>
      </c>
      <c r="W107" s="6">
        <v>140</v>
      </c>
      <c r="X107" s="5" t="s">
        <v>79</v>
      </c>
      <c r="Y107" s="9">
        <v>3</v>
      </c>
      <c r="Z107" s="5" t="s">
        <v>80</v>
      </c>
      <c r="AA107" s="5" t="s">
        <v>81</v>
      </c>
      <c r="AB107" s="9">
        <v>1</v>
      </c>
      <c r="AC107" s="5" t="s">
        <v>80</v>
      </c>
      <c r="AD107" s="5" t="s">
        <v>82</v>
      </c>
      <c r="AE107" s="5" t="s">
        <v>82</v>
      </c>
      <c r="AF107" s="10">
        <v>36500</v>
      </c>
      <c r="AG107" s="7">
        <v>49582</v>
      </c>
      <c r="AH107" s="10">
        <v>53500</v>
      </c>
      <c r="AI107" s="10">
        <v>27000</v>
      </c>
      <c r="AJ107" s="11">
        <f t="shared" si="1"/>
        <v>23.777777777777779</v>
      </c>
      <c r="AK107" s="12">
        <f>IF(B107="","",OR(K107="Not in use",K107="Low use")+AND(N107&lt;&gt;"",N107&lt;&gt;"TBD")+AND(ISNUMBER(U107),U107&lt;=EDATE('Scoring Settings'!$B$4,'Scoring Settings'!$B$8))+AND(ISNUMBER(L107),L107&lt;='Scoring Settings'!$B$7))</f>
        <v>1</v>
      </c>
      <c r="AL107" s="5" t="s">
        <v>96</v>
      </c>
      <c r="AM107" s="8" t="str">
        <f>IF(B107="","",IF(Z107="N","Easy",IF(OR(AND(ISNUMBER(AB107),AB107&gt;'Scoring Settings'!$B$11),AND(ISNUMBER(W107),W107&gt;'Scoring Settings'!$B$12),AND(ISNUMBER(M107),M107&lt;='Scoring Settings'!$B$13)),"High","Medium")))</f>
        <v>Medium</v>
      </c>
      <c r="AN107" s="5" t="s">
        <v>196</v>
      </c>
      <c r="AO107" s="7">
        <v>44255</v>
      </c>
      <c r="AP107" s="5" t="s">
        <v>372</v>
      </c>
      <c r="AQ107" s="29" t="s">
        <v>738</v>
      </c>
    </row>
    <row r="108" spans="1:43">
      <c r="A108" s="28">
        <v>123790</v>
      </c>
      <c r="B108" s="5" t="s">
        <v>1633</v>
      </c>
      <c r="C108" s="5" t="s">
        <v>380</v>
      </c>
      <c r="D108" s="5" t="s">
        <v>102</v>
      </c>
      <c r="E108" s="5" t="s">
        <v>311</v>
      </c>
      <c r="F108" s="5"/>
      <c r="G108" s="5"/>
      <c r="H108" s="5"/>
      <c r="I108" s="6">
        <v>0</v>
      </c>
      <c r="J108" s="7">
        <v>44272</v>
      </c>
      <c r="K108" s="8" t="str">
        <f>IF(B108="","",IF(AND(I108="",J108=""),"Unknown",IF(OR(AND(ISNUMBER(I108),I108=0),AND(ISNUMBER(J108),J108&lt;=EDATE('Scoring Settings'!$B$4,-'Scoring Settings'!$B$5))),"Not in use",IF(AND(ISNUMBER(I108),I108&lt;'Scoring Settings'!$B$6),"Low use","Active"))))</f>
        <v>Not in use</v>
      </c>
      <c r="L108" s="5">
        <v>2</v>
      </c>
      <c r="M108" s="5">
        <v>3</v>
      </c>
      <c r="N108" s="5" t="s">
        <v>72</v>
      </c>
      <c r="O108" s="5" t="s">
        <v>73</v>
      </c>
      <c r="P108" s="5" t="s">
        <v>1634</v>
      </c>
      <c r="Q108" s="9">
        <v>3</v>
      </c>
      <c r="R108" s="5" t="s">
        <v>182</v>
      </c>
      <c r="S108" s="5" t="s">
        <v>183</v>
      </c>
      <c r="T108" s="5" t="s">
        <v>109</v>
      </c>
      <c r="U108" s="7">
        <v>42855</v>
      </c>
      <c r="V108" s="5" t="s">
        <v>95</v>
      </c>
      <c r="W108" s="6">
        <v>650</v>
      </c>
      <c r="X108" s="5" t="s">
        <v>80</v>
      </c>
      <c r="Y108" s="9">
        <v>10</v>
      </c>
      <c r="Z108" s="5" t="s">
        <v>80</v>
      </c>
      <c r="AA108" s="5" t="s">
        <v>147</v>
      </c>
      <c r="AB108" s="9">
        <v>2</v>
      </c>
      <c r="AC108" s="5" t="s">
        <v>80</v>
      </c>
      <c r="AD108" s="5" t="s">
        <v>82</v>
      </c>
      <c r="AE108" s="5" t="s">
        <v>82</v>
      </c>
      <c r="AF108" s="10">
        <v>33000</v>
      </c>
      <c r="AG108" s="7">
        <v>47907</v>
      </c>
      <c r="AH108" s="10">
        <v>52000</v>
      </c>
      <c r="AI108" s="10">
        <v>20500</v>
      </c>
      <c r="AJ108" s="11">
        <f t="shared" si="1"/>
        <v>30.439024390243901</v>
      </c>
      <c r="AK108" s="12">
        <f>IF(B108="","",OR(K108="Not in use",K108="Low use")+AND(N108&lt;&gt;"",N108&lt;&gt;"TBD")+AND(ISNUMBER(U108),U108&lt;=EDATE('Scoring Settings'!$B$4,'Scoring Settings'!$B$8))+AND(ISNUMBER(L108),L108&lt;='Scoring Settings'!$B$7))</f>
        <v>3</v>
      </c>
      <c r="AL108" s="5" t="s">
        <v>96</v>
      </c>
      <c r="AM108" s="8" t="str">
        <f>IF(B108="","",IF(Z108="N","Easy",IF(OR(AND(ISNUMBER(AB108),AB108&gt;'Scoring Settings'!$B$11),AND(ISNUMBER(W108),W108&gt;'Scoring Settings'!$B$12),AND(ISNUMBER(M108),M108&lt;='Scoring Settings'!$B$13)),"High","Medium")))</f>
        <v>Medium</v>
      </c>
      <c r="AN108" s="5" t="s">
        <v>196</v>
      </c>
      <c r="AO108" s="7">
        <v>44286</v>
      </c>
      <c r="AP108" s="5" t="s">
        <v>372</v>
      </c>
      <c r="AQ108" s="29" t="s">
        <v>876</v>
      </c>
    </row>
    <row r="109" spans="1:43">
      <c r="A109" s="28">
        <v>65090</v>
      </c>
      <c r="B109" s="5" t="s">
        <v>1638</v>
      </c>
      <c r="C109" s="5" t="s">
        <v>161</v>
      </c>
      <c r="D109" s="5" t="s">
        <v>162</v>
      </c>
      <c r="E109" s="5" t="s">
        <v>68</v>
      </c>
      <c r="F109" s="5"/>
      <c r="G109" s="5"/>
      <c r="H109" s="5"/>
      <c r="I109" s="6">
        <v>16</v>
      </c>
      <c r="J109" s="7">
        <v>44292</v>
      </c>
      <c r="K109" s="8" t="str">
        <f>IF(B109="","",IF(AND(I109="",J109=""),"Unknown",IF(OR(AND(ISNUMBER(I109),I109=0),AND(ISNUMBER(J109),J109&lt;=EDATE('Scoring Settings'!$B$4,-'Scoring Settings'!$B$5))),"Not in use",IF(AND(ISNUMBER(I109),I109&lt;'Scoring Settings'!$B$6),"Low use","Active"))))</f>
        <v>Low use</v>
      </c>
      <c r="L109" s="5">
        <v>2</v>
      </c>
      <c r="M109" s="5">
        <v>4</v>
      </c>
      <c r="N109" s="5"/>
      <c r="O109" s="5" t="s">
        <v>143</v>
      </c>
      <c r="P109" s="5" t="s">
        <v>144</v>
      </c>
      <c r="Q109" s="9">
        <v>0</v>
      </c>
      <c r="R109" s="5" t="s">
        <v>145</v>
      </c>
      <c r="S109" s="5" t="s">
        <v>145</v>
      </c>
      <c r="T109" s="5" t="s">
        <v>146</v>
      </c>
      <c r="U109" s="7">
        <v>44712</v>
      </c>
      <c r="V109" s="5" t="s">
        <v>95</v>
      </c>
      <c r="W109" s="6">
        <v>1060</v>
      </c>
      <c r="X109" s="5" t="s">
        <v>79</v>
      </c>
      <c r="Y109" s="9">
        <v>3</v>
      </c>
      <c r="Z109" s="5" t="s">
        <v>79</v>
      </c>
      <c r="AA109" s="5" t="s">
        <v>110</v>
      </c>
      <c r="AB109" s="9">
        <v>2</v>
      </c>
      <c r="AC109" s="5" t="s">
        <v>79</v>
      </c>
      <c r="AD109" s="5" t="s">
        <v>79</v>
      </c>
      <c r="AE109" s="5" t="s">
        <v>79</v>
      </c>
      <c r="AF109" s="10">
        <v>75000</v>
      </c>
      <c r="AG109" s="7">
        <v>49552</v>
      </c>
      <c r="AH109" s="10">
        <v>67000</v>
      </c>
      <c r="AI109" s="10">
        <v>45500</v>
      </c>
      <c r="AJ109" s="11">
        <f t="shared" si="1"/>
        <v>17.670329670329672</v>
      </c>
      <c r="AK109" s="12">
        <f>IF(B109="","",OR(K109="Not in use",K109="Low use")+AND(N109&lt;&gt;"",N109&lt;&gt;"TBD")+AND(ISNUMBER(U109),U109&lt;=EDATE('Scoring Settings'!$B$4,'Scoring Settings'!$B$8))+AND(ISNUMBER(L109),L109&lt;='Scoring Settings'!$B$7))</f>
        <v>2</v>
      </c>
      <c r="AL109" s="5" t="s">
        <v>223</v>
      </c>
      <c r="AM109" s="8" t="str">
        <f>IF(B109="","",IF(Z109="N","Easy",IF(OR(AND(ISNUMBER(AB109),AB109&gt;'Scoring Settings'!$B$11),AND(ISNUMBER(W109),W109&gt;'Scoring Settings'!$B$12),AND(ISNUMBER(M109),M109&lt;='Scoring Settings'!$B$13)),"High","Medium")))</f>
        <v>Easy</v>
      </c>
      <c r="AN109" s="5" t="s">
        <v>196</v>
      </c>
      <c r="AO109" s="7">
        <v>44561</v>
      </c>
      <c r="AP109" s="5" t="s">
        <v>197</v>
      </c>
      <c r="AQ109" s="29" t="s">
        <v>688</v>
      </c>
    </row>
    <row r="110" spans="1:43">
      <c r="A110" s="28">
        <v>142559</v>
      </c>
      <c r="B110" s="5" t="s">
        <v>1660</v>
      </c>
      <c r="C110" s="5" t="s">
        <v>371</v>
      </c>
      <c r="D110" s="5" t="s">
        <v>162</v>
      </c>
      <c r="E110" s="5" t="s">
        <v>298</v>
      </c>
      <c r="F110" s="5"/>
      <c r="G110" s="5"/>
      <c r="H110" s="5"/>
      <c r="I110" s="6">
        <v>177</v>
      </c>
      <c r="J110" s="7">
        <v>44273</v>
      </c>
      <c r="K110" s="8" t="str">
        <f>IF(B110="","",IF(AND(I110="",J110=""),"Unknown",IF(OR(AND(ISNUMBER(I110),I110=0),AND(ISNUMBER(J110),J110&lt;=EDATE('Scoring Settings'!$B$4,-'Scoring Settings'!$B$5))),"Not in use",IF(AND(ISNUMBER(I110),I110&lt;'Scoring Settings'!$B$6),"Low use","Active"))))</f>
        <v>Active</v>
      </c>
      <c r="L110" s="5">
        <v>4</v>
      </c>
      <c r="M110" s="5">
        <v>3</v>
      </c>
      <c r="N110" s="5" t="s">
        <v>711</v>
      </c>
      <c r="O110" s="5" t="s">
        <v>73</v>
      </c>
      <c r="P110" s="5" t="s">
        <v>1661</v>
      </c>
      <c r="Q110" s="9">
        <v>3</v>
      </c>
      <c r="R110" s="5" t="s">
        <v>182</v>
      </c>
      <c r="S110" s="5" t="s">
        <v>183</v>
      </c>
      <c r="T110" s="5" t="s">
        <v>77</v>
      </c>
      <c r="U110" s="7">
        <v>42855</v>
      </c>
      <c r="V110" s="5" t="s">
        <v>78</v>
      </c>
      <c r="W110" s="6">
        <v>250</v>
      </c>
      <c r="X110" s="5" t="s">
        <v>80</v>
      </c>
      <c r="Y110" s="9">
        <v>7</v>
      </c>
      <c r="Z110" s="5" t="s">
        <v>80</v>
      </c>
      <c r="AA110" s="5" t="s">
        <v>147</v>
      </c>
      <c r="AB110" s="9">
        <v>6</v>
      </c>
      <c r="AC110" s="5" t="s">
        <v>82</v>
      </c>
      <c r="AD110" s="5" t="s">
        <v>80</v>
      </c>
      <c r="AE110" s="5" t="s">
        <v>79</v>
      </c>
      <c r="AF110" s="10">
        <v>48500</v>
      </c>
      <c r="AG110" s="7">
        <v>46538</v>
      </c>
      <c r="AH110" s="10">
        <v>34500</v>
      </c>
      <c r="AI110" s="10">
        <v>39000</v>
      </c>
      <c r="AJ110" s="11">
        <f t="shared" si="1"/>
        <v>10.615384615384615</v>
      </c>
      <c r="AK110" s="12">
        <f>IF(B110="","",OR(K110="Not in use",K110="Low use")+AND(N110&lt;&gt;"",N110&lt;&gt;"TBD")+AND(ISNUMBER(U110),U110&lt;=EDATE('Scoring Settings'!$B$4,'Scoring Settings'!$B$8))+AND(ISNUMBER(L110),L110&lt;='Scoring Settings'!$B$7))</f>
        <v>2</v>
      </c>
      <c r="AL110" s="5" t="s">
        <v>2217</v>
      </c>
      <c r="AM110" s="8" t="str">
        <f>IF(B110="","",IF(Z110="N","Easy",IF(OR(AND(ISNUMBER(AB110),AB110&gt;'Scoring Settings'!$B$11),AND(ISNUMBER(W110),W110&gt;'Scoring Settings'!$B$12),AND(ISNUMBER(M110),M110&lt;='Scoring Settings'!$B$13)),"High","Medium")))</f>
        <v>High</v>
      </c>
      <c r="AN110" s="5" t="s">
        <v>196</v>
      </c>
      <c r="AO110" s="7">
        <v>44530</v>
      </c>
      <c r="AP110" s="5" t="s">
        <v>359</v>
      </c>
      <c r="AQ110" s="29" t="s">
        <v>1104</v>
      </c>
    </row>
    <row r="111" spans="1:43">
      <c r="A111" s="28">
        <v>29362</v>
      </c>
      <c r="B111" s="5" t="s">
        <v>1672</v>
      </c>
      <c r="C111" s="5" t="s">
        <v>409</v>
      </c>
      <c r="D111" s="5" t="s">
        <v>115</v>
      </c>
      <c r="E111" s="5" t="s">
        <v>68</v>
      </c>
      <c r="F111" s="5"/>
      <c r="G111" s="5"/>
      <c r="H111" s="5"/>
      <c r="I111" s="6">
        <v>18</v>
      </c>
      <c r="J111" s="7">
        <v>44170</v>
      </c>
      <c r="K111" s="8" t="str">
        <f>IF(B111="","",IF(AND(I111="",J111=""),"Unknown",IF(OR(AND(ISNUMBER(I111),I111=0),AND(ISNUMBER(J111),J111&lt;=EDATE('Scoring Settings'!$B$4,-'Scoring Settings'!$B$5))),"Not in use",IF(AND(ISNUMBER(I111),I111&lt;'Scoring Settings'!$B$6),"Low use","Active"))))</f>
        <v>Low use</v>
      </c>
      <c r="L111" s="5">
        <v>4</v>
      </c>
      <c r="M111" s="5">
        <v>1</v>
      </c>
      <c r="N111" s="5" t="s">
        <v>668</v>
      </c>
      <c r="O111" s="5" t="s">
        <v>130</v>
      </c>
      <c r="P111" s="5" t="s">
        <v>1673</v>
      </c>
      <c r="Q111" s="9">
        <v>4</v>
      </c>
      <c r="R111" s="5" t="s">
        <v>166</v>
      </c>
      <c r="S111" s="5" t="s">
        <v>564</v>
      </c>
      <c r="T111" s="5" t="s">
        <v>134</v>
      </c>
      <c r="U111" s="7">
        <v>44754</v>
      </c>
      <c r="V111" s="5" t="s">
        <v>135</v>
      </c>
      <c r="W111" s="6">
        <v>8</v>
      </c>
      <c r="X111" s="5" t="s">
        <v>80</v>
      </c>
      <c r="Y111" s="9">
        <v>7</v>
      </c>
      <c r="Z111" s="5" t="s">
        <v>79</v>
      </c>
      <c r="AA111" s="5" t="s">
        <v>110</v>
      </c>
      <c r="AB111" s="9">
        <v>50</v>
      </c>
      <c r="AC111" s="5" t="s">
        <v>80</v>
      </c>
      <c r="AD111" s="5" t="s">
        <v>82</v>
      </c>
      <c r="AE111" s="5" t="s">
        <v>82</v>
      </c>
      <c r="AF111" s="10">
        <v>80000</v>
      </c>
      <c r="AG111" s="7">
        <v>48638</v>
      </c>
      <c r="AH111" s="10">
        <v>237000</v>
      </c>
      <c r="AI111" s="10">
        <v>66000</v>
      </c>
      <c r="AJ111" s="11">
        <f t="shared" si="1"/>
        <v>43.090909090909093</v>
      </c>
      <c r="AK111" s="12">
        <f>IF(B111="","",OR(K111="Not in use",K111="Low use")+AND(N111&lt;&gt;"",N111&lt;&gt;"TBD")+AND(ISNUMBER(U111),U111&lt;=EDATE('Scoring Settings'!$B$4,'Scoring Settings'!$B$8))+AND(ISNUMBER(L111),L111&lt;='Scoring Settings'!$B$7))</f>
        <v>2</v>
      </c>
      <c r="AL111" s="5" t="s">
        <v>2217</v>
      </c>
      <c r="AM111" s="8" t="str">
        <f>IF(B111="","",IF(Z111="N","Easy",IF(OR(AND(ISNUMBER(AB111),AB111&gt;'Scoring Settings'!$B$11),AND(ISNUMBER(W111),W111&gt;'Scoring Settings'!$B$12),AND(ISNUMBER(M111),M111&lt;='Scoring Settings'!$B$13)),"High","Medium")))</f>
        <v>Easy</v>
      </c>
      <c r="AN111" s="5" t="s">
        <v>196</v>
      </c>
      <c r="AO111" s="7">
        <v>44408</v>
      </c>
      <c r="AP111" s="5" t="s">
        <v>359</v>
      </c>
      <c r="AQ111" s="29" t="s">
        <v>1674</v>
      </c>
    </row>
    <row r="112" spans="1:43">
      <c r="A112" s="28">
        <v>172595</v>
      </c>
      <c r="B112" s="5" t="s">
        <v>1681</v>
      </c>
      <c r="C112" s="5" t="s">
        <v>293</v>
      </c>
      <c r="D112" s="5" t="s">
        <v>162</v>
      </c>
      <c r="E112" s="5" t="s">
        <v>68</v>
      </c>
      <c r="F112" s="5"/>
      <c r="G112" s="5"/>
      <c r="H112" s="5"/>
      <c r="I112" s="6">
        <v>4</v>
      </c>
      <c r="J112" s="7">
        <v>44259</v>
      </c>
      <c r="K112" s="8" t="str">
        <f>IF(B112="","",IF(AND(I112="",J112=""),"Unknown",IF(OR(AND(ISNUMBER(I112),I112=0),AND(ISNUMBER(J112),J112&lt;=EDATE('Scoring Settings'!$B$4,-'Scoring Settings'!$B$5))),"Not in use",IF(AND(ISNUMBER(I112),I112&lt;'Scoring Settings'!$B$6),"Low use","Active"))))</f>
        <v>Low use</v>
      </c>
      <c r="L112" s="5">
        <v>2</v>
      </c>
      <c r="M112" s="5">
        <v>4</v>
      </c>
      <c r="N112" s="5"/>
      <c r="O112" s="5" t="s">
        <v>73</v>
      </c>
      <c r="P112" s="5" t="s">
        <v>1682</v>
      </c>
      <c r="Q112" s="9">
        <v>2</v>
      </c>
      <c r="R112" s="5" t="s">
        <v>251</v>
      </c>
      <c r="S112" s="5" t="s">
        <v>133</v>
      </c>
      <c r="T112" s="5" t="s">
        <v>122</v>
      </c>
      <c r="U112" s="7">
        <v>44165</v>
      </c>
      <c r="V112" s="5" t="s">
        <v>135</v>
      </c>
      <c r="W112" s="6">
        <v>59</v>
      </c>
      <c r="X112" s="5" t="s">
        <v>80</v>
      </c>
      <c r="Y112" s="9">
        <v>10</v>
      </c>
      <c r="Z112" s="5" t="s">
        <v>80</v>
      </c>
      <c r="AA112" s="5" t="s">
        <v>185</v>
      </c>
      <c r="AB112" s="9">
        <v>0</v>
      </c>
      <c r="AC112" s="5" t="s">
        <v>82</v>
      </c>
      <c r="AD112" s="5" t="s">
        <v>82</v>
      </c>
      <c r="AE112" s="5" t="s">
        <v>82</v>
      </c>
      <c r="AF112" s="10">
        <v>40500</v>
      </c>
      <c r="AG112" s="7">
        <v>46660</v>
      </c>
      <c r="AH112" s="10">
        <v>21500</v>
      </c>
      <c r="AI112" s="10">
        <v>32500</v>
      </c>
      <c r="AJ112" s="11">
        <f t="shared" si="1"/>
        <v>7.9384615384615387</v>
      </c>
      <c r="AK112" s="12">
        <f>IF(B112="","",OR(K112="Not in use",K112="Low use")+AND(N112&lt;&gt;"",N112&lt;&gt;"TBD")+AND(ISNUMBER(U112),U112&lt;=EDATE('Scoring Settings'!$B$4,'Scoring Settings'!$B$8))+AND(ISNUMBER(L112),L112&lt;='Scoring Settings'!$B$7))</f>
        <v>3</v>
      </c>
      <c r="AL112" s="5" t="s">
        <v>96</v>
      </c>
      <c r="AM112" s="8" t="str">
        <f>IF(B112="","",IF(Z112="N","Easy",IF(OR(AND(ISNUMBER(AB112),AB112&gt;'Scoring Settings'!$B$11),AND(ISNUMBER(W112),W112&gt;'Scoring Settings'!$B$12),AND(ISNUMBER(M112),M112&lt;='Scoring Settings'!$B$13)),"High","Medium")))</f>
        <v>Medium</v>
      </c>
      <c r="AN112" s="5" t="s">
        <v>196</v>
      </c>
      <c r="AO112" s="7">
        <v>44439</v>
      </c>
      <c r="AP112" s="5" t="s">
        <v>359</v>
      </c>
      <c r="AQ112" s="29" t="s">
        <v>276</v>
      </c>
    </row>
    <row r="113" spans="1:43">
      <c r="A113" s="28">
        <v>63484</v>
      </c>
      <c r="B113" s="5" t="s">
        <v>1707</v>
      </c>
      <c r="C113" s="5" t="s">
        <v>215</v>
      </c>
      <c r="D113" s="5" t="s">
        <v>139</v>
      </c>
      <c r="E113" s="5" t="s">
        <v>311</v>
      </c>
      <c r="F113" s="5"/>
      <c r="G113" s="5"/>
      <c r="H113" s="5"/>
      <c r="I113" s="6">
        <v>1973</v>
      </c>
      <c r="J113" s="7">
        <v>44278</v>
      </c>
      <c r="K113" s="8" t="str">
        <f>IF(B113="","",IF(AND(I113="",J113=""),"Unknown",IF(OR(AND(ISNUMBER(I113),I113=0),AND(ISNUMBER(J113),J113&lt;=EDATE('Scoring Settings'!$B$4,-'Scoring Settings'!$B$5))),"Not in use",IF(AND(ISNUMBER(I113),I113&lt;'Scoring Settings'!$B$6),"Low use","Active"))))</f>
        <v>Active</v>
      </c>
      <c r="L113" s="5">
        <v>2</v>
      </c>
      <c r="M113" s="5">
        <v>4</v>
      </c>
      <c r="N113" s="5"/>
      <c r="O113" s="5" t="s">
        <v>143</v>
      </c>
      <c r="P113" s="5" t="s">
        <v>144</v>
      </c>
      <c r="Q113" s="9">
        <v>0</v>
      </c>
      <c r="R113" s="5" t="s">
        <v>145</v>
      </c>
      <c r="S113" s="5" t="s">
        <v>145</v>
      </c>
      <c r="T113" s="5" t="s">
        <v>146</v>
      </c>
      <c r="U113" s="7"/>
      <c r="V113" s="5" t="s">
        <v>78</v>
      </c>
      <c r="W113" s="6">
        <v>20</v>
      </c>
      <c r="X113" s="5" t="s">
        <v>79</v>
      </c>
      <c r="Y113" s="9">
        <v>3</v>
      </c>
      <c r="Z113" s="5" t="s">
        <v>80</v>
      </c>
      <c r="AA113" s="5" t="s">
        <v>123</v>
      </c>
      <c r="AB113" s="9">
        <v>2</v>
      </c>
      <c r="AC113" s="5" t="s">
        <v>80</v>
      </c>
      <c r="AD113" s="5" t="s">
        <v>79</v>
      </c>
      <c r="AE113" s="5" t="s">
        <v>79</v>
      </c>
      <c r="AF113" s="10">
        <v>85000</v>
      </c>
      <c r="AG113" s="7">
        <v>47817</v>
      </c>
      <c r="AH113" s="10">
        <v>53000</v>
      </c>
      <c r="AI113" s="10">
        <v>48000</v>
      </c>
      <c r="AJ113" s="11">
        <f t="shared" si="1"/>
        <v>13.25</v>
      </c>
      <c r="AK113" s="12">
        <f>IF(B113="","",OR(K113="Not in use",K113="Low use")+AND(N113&lt;&gt;"",N113&lt;&gt;"TBD")+AND(ISNUMBER(U113),U113&lt;=EDATE('Scoring Settings'!$B$4,'Scoring Settings'!$B$8))+AND(ISNUMBER(L113),L113&lt;='Scoring Settings'!$B$7))</f>
        <v>1</v>
      </c>
      <c r="AL113" s="5" t="s">
        <v>96</v>
      </c>
      <c r="AM113" s="8" t="str">
        <f>IF(B113="","",IF(Z113="N","Easy",IF(OR(AND(ISNUMBER(AB113),AB113&gt;'Scoring Settings'!$B$11),AND(ISNUMBER(W113),W113&gt;'Scoring Settings'!$B$12),AND(ISNUMBER(M113),M113&lt;='Scoring Settings'!$B$13)),"High","Medium")))</f>
        <v>Medium</v>
      </c>
      <c r="AN113" s="5" t="s">
        <v>196</v>
      </c>
      <c r="AO113" s="7">
        <v>44347</v>
      </c>
      <c r="AP113" s="5" t="s">
        <v>372</v>
      </c>
      <c r="AQ113" s="29" t="s">
        <v>1200</v>
      </c>
    </row>
    <row r="114" spans="1:43">
      <c r="A114" s="28">
        <v>173224</v>
      </c>
      <c r="B114" s="5" t="s">
        <v>1739</v>
      </c>
      <c r="C114" s="5" t="s">
        <v>667</v>
      </c>
      <c r="D114" s="5" t="s">
        <v>115</v>
      </c>
      <c r="E114" s="5" t="s">
        <v>68</v>
      </c>
      <c r="F114" s="5"/>
      <c r="G114" s="5"/>
      <c r="H114" s="5"/>
      <c r="I114" s="6">
        <v>406</v>
      </c>
      <c r="J114" s="7">
        <v>44298</v>
      </c>
      <c r="K114" s="8" t="str">
        <f>IF(B114="","",IF(AND(I114="",J114=""),"Unknown",IF(OR(AND(ISNUMBER(I114),I114=0),AND(ISNUMBER(J114),J114&lt;=EDATE('Scoring Settings'!$B$4,-'Scoring Settings'!$B$5))),"Not in use",IF(AND(ISNUMBER(I114),I114&lt;'Scoring Settings'!$B$6),"Low use","Active"))))</f>
        <v>Active</v>
      </c>
      <c r="L114" s="5">
        <v>4</v>
      </c>
      <c r="M114" s="5">
        <v>1</v>
      </c>
      <c r="N114" s="5" t="s">
        <v>1740</v>
      </c>
      <c r="O114" s="5" t="s">
        <v>73</v>
      </c>
      <c r="P114" s="5" t="s">
        <v>1741</v>
      </c>
      <c r="Q114" s="9">
        <v>4</v>
      </c>
      <c r="R114" s="5" t="s">
        <v>239</v>
      </c>
      <c r="S114" s="5" t="s">
        <v>240</v>
      </c>
      <c r="T114" s="5" t="s">
        <v>72</v>
      </c>
      <c r="U114" s="7">
        <v>44316</v>
      </c>
      <c r="V114" s="5" t="s">
        <v>95</v>
      </c>
      <c r="W114" s="6">
        <v>37</v>
      </c>
      <c r="X114" s="5" t="s">
        <v>80</v>
      </c>
      <c r="Y114" s="9">
        <v>5</v>
      </c>
      <c r="Z114" s="5" t="s">
        <v>79</v>
      </c>
      <c r="AA114" s="5" t="s">
        <v>110</v>
      </c>
      <c r="AB114" s="9">
        <v>45</v>
      </c>
      <c r="AC114" s="5" t="s">
        <v>80</v>
      </c>
      <c r="AD114" s="5" t="s">
        <v>80</v>
      </c>
      <c r="AE114" s="5" t="s">
        <v>79</v>
      </c>
      <c r="AF114" s="10">
        <v>175000</v>
      </c>
      <c r="AG114" s="7">
        <v>48152</v>
      </c>
      <c r="AH114" s="10">
        <v>220500</v>
      </c>
      <c r="AI114" s="10">
        <v>116000</v>
      </c>
      <c r="AJ114" s="11">
        <f t="shared" si="1"/>
        <v>22.810344827586206</v>
      </c>
      <c r="AK114" s="12">
        <f>IF(B114="","",OR(K114="Not in use",K114="Low use")+AND(N114&lt;&gt;"",N114&lt;&gt;"TBD")+AND(ISNUMBER(U114),U114&lt;=EDATE('Scoring Settings'!$B$4,'Scoring Settings'!$B$8))+AND(ISNUMBER(L114),L114&lt;='Scoring Settings'!$B$7))</f>
        <v>2</v>
      </c>
      <c r="AL114" s="5" t="s">
        <v>2217</v>
      </c>
      <c r="AM114" s="8" t="str">
        <f>IF(B114="","",IF(Z114="N","Easy",IF(OR(AND(ISNUMBER(AB114),AB114&gt;'Scoring Settings'!$B$11),AND(ISNUMBER(W114),W114&gt;'Scoring Settings'!$B$12),AND(ISNUMBER(M114),M114&lt;='Scoring Settings'!$B$13)),"High","Medium")))</f>
        <v>Easy</v>
      </c>
      <c r="AN114" s="5" t="s">
        <v>196</v>
      </c>
      <c r="AO114" s="7">
        <v>44561</v>
      </c>
      <c r="AP114" s="5" t="s">
        <v>197</v>
      </c>
      <c r="AQ114" s="29" t="s">
        <v>1605</v>
      </c>
    </row>
    <row r="115" spans="1:43">
      <c r="A115" s="28">
        <v>162854</v>
      </c>
      <c r="B115" s="5" t="s">
        <v>1750</v>
      </c>
      <c r="C115" s="5" t="s">
        <v>409</v>
      </c>
      <c r="D115" s="5" t="s">
        <v>115</v>
      </c>
      <c r="E115" s="5" t="s">
        <v>68</v>
      </c>
      <c r="F115" s="5"/>
      <c r="G115" s="5"/>
      <c r="H115" s="5"/>
      <c r="I115" s="6">
        <v>30</v>
      </c>
      <c r="J115" s="7">
        <v>44292</v>
      </c>
      <c r="K115" s="8" t="str">
        <f>IF(B115="","",IF(AND(I115="",J115=""),"Unknown",IF(OR(AND(ISNUMBER(I115),I115=0),AND(ISNUMBER(J115),J115&lt;=EDATE('Scoring Settings'!$B$4,-'Scoring Settings'!$B$5))),"Not in use",IF(AND(ISNUMBER(I115),I115&lt;'Scoring Settings'!$B$6),"Low use","Active"))))</f>
        <v>Active</v>
      </c>
      <c r="L115" s="5">
        <v>1</v>
      </c>
      <c r="M115" s="5">
        <v>4</v>
      </c>
      <c r="N115" s="5" t="s">
        <v>810</v>
      </c>
      <c r="O115" s="5" t="s">
        <v>73</v>
      </c>
      <c r="P115" s="5" t="s">
        <v>1751</v>
      </c>
      <c r="Q115" s="9">
        <v>2</v>
      </c>
      <c r="R115" s="5" t="s">
        <v>107</v>
      </c>
      <c r="S115" s="5" t="s">
        <v>108</v>
      </c>
      <c r="T115" s="5" t="s">
        <v>109</v>
      </c>
      <c r="U115" s="7">
        <v>43655</v>
      </c>
      <c r="V115" s="5" t="s">
        <v>135</v>
      </c>
      <c r="W115" s="6">
        <v>160</v>
      </c>
      <c r="X115" s="5" t="s">
        <v>80</v>
      </c>
      <c r="Y115" s="9">
        <v>10</v>
      </c>
      <c r="Z115" s="5" t="s">
        <v>80</v>
      </c>
      <c r="AA115" s="5" t="s">
        <v>185</v>
      </c>
      <c r="AB115" s="9">
        <v>2</v>
      </c>
      <c r="AC115" s="5" t="s">
        <v>82</v>
      </c>
      <c r="AD115" s="5" t="s">
        <v>82</v>
      </c>
      <c r="AE115" s="5" t="s">
        <v>82</v>
      </c>
      <c r="AF115" s="10">
        <v>41000</v>
      </c>
      <c r="AG115" s="7">
        <v>46568</v>
      </c>
      <c r="AH115" s="10">
        <v>23500</v>
      </c>
      <c r="AI115" s="10">
        <v>24000</v>
      </c>
      <c r="AJ115" s="11">
        <f t="shared" si="1"/>
        <v>11.75</v>
      </c>
      <c r="AK115" s="12">
        <f>IF(B115="","",OR(K115="Not in use",K115="Low use")+AND(N115&lt;&gt;"",N115&lt;&gt;"TBD")+AND(ISNUMBER(U115),U115&lt;=EDATE('Scoring Settings'!$B$4,'Scoring Settings'!$B$8))+AND(ISNUMBER(L115),L115&lt;='Scoring Settings'!$B$7))</f>
        <v>3</v>
      </c>
      <c r="AL115" s="5" t="s">
        <v>96</v>
      </c>
      <c r="AM115" s="8" t="str">
        <f>IF(B115="","",IF(Z115="N","Easy",IF(OR(AND(ISNUMBER(AB115),AB115&gt;'Scoring Settings'!$B$11),AND(ISNUMBER(W115),W115&gt;'Scoring Settings'!$B$12),AND(ISNUMBER(M115),M115&lt;='Scoring Settings'!$B$13)),"High","Medium")))</f>
        <v>Medium</v>
      </c>
      <c r="AN115" s="5" t="s">
        <v>196</v>
      </c>
      <c r="AO115" s="7">
        <v>44469</v>
      </c>
      <c r="AP115" s="5" t="s">
        <v>359</v>
      </c>
      <c r="AQ115" s="29" t="s">
        <v>669</v>
      </c>
    </row>
    <row r="116" spans="1:43">
      <c r="A116" s="28">
        <v>69270</v>
      </c>
      <c r="B116" s="5" t="s">
        <v>1755</v>
      </c>
      <c r="C116" s="5" t="s">
        <v>234</v>
      </c>
      <c r="D116" s="5" t="s">
        <v>102</v>
      </c>
      <c r="E116" s="5" t="s">
        <v>298</v>
      </c>
      <c r="F116" s="5"/>
      <c r="G116" s="5"/>
      <c r="H116" s="5"/>
      <c r="I116" s="6">
        <v>7</v>
      </c>
      <c r="J116" s="7">
        <v>44291</v>
      </c>
      <c r="K116" s="8" t="str">
        <f>IF(B116="","",IF(AND(I116="",J116=""),"Unknown",IF(OR(AND(ISNUMBER(I116),I116=0),AND(ISNUMBER(J116),J116&lt;=EDATE('Scoring Settings'!$B$4,-'Scoring Settings'!$B$5))),"Not in use",IF(AND(ISNUMBER(I116),I116&lt;'Scoring Settings'!$B$6),"Low use","Active"))))</f>
        <v>Low use</v>
      </c>
      <c r="L116" s="5">
        <v>1</v>
      </c>
      <c r="M116" s="5">
        <v>4</v>
      </c>
      <c r="N116" s="5"/>
      <c r="O116" s="5" t="s">
        <v>73</v>
      </c>
      <c r="P116" s="5" t="s">
        <v>1756</v>
      </c>
      <c r="Q116" s="9">
        <v>3</v>
      </c>
      <c r="R116" s="5" t="s">
        <v>352</v>
      </c>
      <c r="S116" s="5" t="s">
        <v>353</v>
      </c>
      <c r="T116" s="5" t="s">
        <v>184</v>
      </c>
      <c r="U116" s="7">
        <v>47127</v>
      </c>
      <c r="V116" s="5" t="s">
        <v>135</v>
      </c>
      <c r="W116" s="6">
        <v>240</v>
      </c>
      <c r="X116" s="5" t="s">
        <v>80</v>
      </c>
      <c r="Y116" s="9">
        <v>10</v>
      </c>
      <c r="Z116" s="5" t="s">
        <v>80</v>
      </c>
      <c r="AA116" s="5" t="s">
        <v>205</v>
      </c>
      <c r="AB116" s="9">
        <v>1</v>
      </c>
      <c r="AC116" s="5" t="s">
        <v>82</v>
      </c>
      <c r="AD116" s="5" t="s">
        <v>80</v>
      </c>
      <c r="AE116" s="5" t="s">
        <v>79</v>
      </c>
      <c r="AF116" s="10">
        <v>55000</v>
      </c>
      <c r="AG116" s="7">
        <v>48579</v>
      </c>
      <c r="AH116" s="10">
        <v>67500</v>
      </c>
      <c r="AI116" s="10">
        <v>43500</v>
      </c>
      <c r="AJ116" s="11">
        <f t="shared" si="1"/>
        <v>18.620689655172413</v>
      </c>
      <c r="AK116" s="12">
        <f>IF(B116="","",OR(K116="Not in use",K116="Low use")+AND(N116&lt;&gt;"",N116&lt;&gt;"TBD")+AND(ISNUMBER(U116),U116&lt;=EDATE('Scoring Settings'!$B$4,'Scoring Settings'!$B$8))+AND(ISNUMBER(L116),L116&lt;='Scoring Settings'!$B$7))</f>
        <v>2</v>
      </c>
      <c r="AL116" s="5" t="s">
        <v>96</v>
      </c>
      <c r="AM116" s="8" t="str">
        <f>IF(B116="","",IF(Z116="N","Easy",IF(OR(AND(ISNUMBER(AB116),AB116&gt;'Scoring Settings'!$B$11),AND(ISNUMBER(W116),W116&gt;'Scoring Settings'!$B$12),AND(ISNUMBER(M116),M116&lt;='Scoring Settings'!$B$13)),"High","Medium")))</f>
        <v>Medium</v>
      </c>
      <c r="AN116" s="5" t="s">
        <v>196</v>
      </c>
      <c r="AO116" s="7">
        <v>44439</v>
      </c>
      <c r="AP116" s="5" t="s">
        <v>359</v>
      </c>
      <c r="AQ116" s="29" t="s">
        <v>399</v>
      </c>
    </row>
    <row r="117" spans="1:43">
      <c r="A117" s="28">
        <v>103997</v>
      </c>
      <c r="B117" s="5" t="s">
        <v>1759</v>
      </c>
      <c r="C117" s="5" t="s">
        <v>333</v>
      </c>
      <c r="D117" s="5" t="s">
        <v>115</v>
      </c>
      <c r="E117" s="5" t="s">
        <v>68</v>
      </c>
      <c r="F117" s="5"/>
      <c r="G117" s="5"/>
      <c r="H117" s="5"/>
      <c r="I117" s="6">
        <v>3</v>
      </c>
      <c r="J117" s="7">
        <v>43749</v>
      </c>
      <c r="K117" s="8" t="str">
        <f>IF(B117="","",IF(AND(I117="",J117=""),"Unknown",IF(OR(AND(ISNUMBER(I117),I117=0),AND(ISNUMBER(J117),J117&lt;=EDATE('Scoring Settings'!$B$4,-'Scoring Settings'!$B$5))),"Not in use",IF(AND(ISNUMBER(I117),I117&lt;'Scoring Settings'!$B$6),"Low use","Active"))))</f>
        <v>Not in use</v>
      </c>
      <c r="L117" s="5">
        <v>1</v>
      </c>
      <c r="M117" s="5">
        <v>4</v>
      </c>
      <c r="N117" s="5" t="s">
        <v>1008</v>
      </c>
      <c r="O117" s="5" t="s">
        <v>73</v>
      </c>
      <c r="P117" s="5" t="s">
        <v>586</v>
      </c>
      <c r="Q117" s="9">
        <v>3</v>
      </c>
      <c r="R117" s="5" t="s">
        <v>256</v>
      </c>
      <c r="S117" s="5" t="s">
        <v>257</v>
      </c>
      <c r="T117" s="5" t="s">
        <v>109</v>
      </c>
      <c r="U117" s="7" t="s">
        <v>72</v>
      </c>
      <c r="V117" s="5" t="s">
        <v>95</v>
      </c>
      <c r="W117" s="6">
        <v>10</v>
      </c>
      <c r="X117" s="5" t="s">
        <v>80</v>
      </c>
      <c r="Y117" s="9">
        <v>7</v>
      </c>
      <c r="Z117" s="5" t="s">
        <v>79</v>
      </c>
      <c r="AA117" s="5" t="s">
        <v>110</v>
      </c>
      <c r="AB117" s="9">
        <v>2</v>
      </c>
      <c r="AC117" s="5" t="s">
        <v>82</v>
      </c>
      <c r="AD117" s="5" t="s">
        <v>80</v>
      </c>
      <c r="AE117" s="5" t="s">
        <v>79</v>
      </c>
      <c r="AF117" s="10">
        <v>60000</v>
      </c>
      <c r="AG117" s="7">
        <v>47634</v>
      </c>
      <c r="AH117" s="10">
        <v>61500</v>
      </c>
      <c r="AI117" s="10">
        <v>55500</v>
      </c>
      <c r="AJ117" s="11">
        <f t="shared" si="1"/>
        <v>13.297297297297298</v>
      </c>
      <c r="AK117" s="12">
        <f>IF(B117="","",OR(K117="Not in use",K117="Low use")+AND(N117&lt;&gt;"",N117&lt;&gt;"TBD")+AND(ISNUMBER(U117),U117&lt;=EDATE('Scoring Settings'!$B$4,'Scoring Settings'!$B$8))+AND(ISNUMBER(L117),L117&lt;='Scoring Settings'!$B$7))</f>
        <v>3</v>
      </c>
      <c r="AL117" s="5" t="s">
        <v>223</v>
      </c>
      <c r="AM117" s="8" t="str">
        <f>IF(B117="","",IF(Z117="N","Easy",IF(OR(AND(ISNUMBER(AB117),AB117&gt;'Scoring Settings'!$B$11),AND(ISNUMBER(W117),W117&gt;'Scoring Settings'!$B$12),AND(ISNUMBER(M117),M117&lt;='Scoring Settings'!$B$13)),"High","Medium")))</f>
        <v>Easy</v>
      </c>
      <c r="AN117" s="5" t="s">
        <v>196</v>
      </c>
      <c r="AO117" s="7">
        <v>44469</v>
      </c>
      <c r="AP117" s="5" t="s">
        <v>359</v>
      </c>
      <c r="AQ117" s="29" t="s">
        <v>688</v>
      </c>
    </row>
    <row r="118" spans="1:43">
      <c r="A118" s="28">
        <v>100080</v>
      </c>
      <c r="B118" s="5" t="s">
        <v>1766</v>
      </c>
      <c r="C118" s="5" t="s">
        <v>208</v>
      </c>
      <c r="D118" s="5" t="s">
        <v>67</v>
      </c>
      <c r="E118" s="5" t="s">
        <v>68</v>
      </c>
      <c r="F118" s="5"/>
      <c r="G118" s="5"/>
      <c r="H118" s="5"/>
      <c r="I118" s="6">
        <v>0</v>
      </c>
      <c r="J118" s="7">
        <v>43757</v>
      </c>
      <c r="K118" s="8" t="str">
        <f>IF(B118="","",IF(AND(I118="",J118=""),"Unknown",IF(OR(AND(ISNUMBER(I118),I118=0),AND(ISNUMBER(J118),J118&lt;=EDATE('Scoring Settings'!$B$4,-'Scoring Settings'!$B$5))),"Not in use",IF(AND(ISNUMBER(I118),I118&lt;'Scoring Settings'!$B$6),"Low use","Active"))))</f>
        <v>Not in use</v>
      </c>
      <c r="L118" s="5">
        <v>2</v>
      </c>
      <c r="M118" s="5">
        <v>3</v>
      </c>
      <c r="N118" s="5" t="s">
        <v>72</v>
      </c>
      <c r="O118" s="5" t="s">
        <v>191</v>
      </c>
      <c r="P118" s="5" t="s">
        <v>192</v>
      </c>
      <c r="Q118" s="9">
        <v>0</v>
      </c>
      <c r="R118" s="5" t="s">
        <v>193</v>
      </c>
      <c r="S118" s="5" t="s">
        <v>318</v>
      </c>
      <c r="T118" s="5" t="s">
        <v>195</v>
      </c>
      <c r="U118" s="7"/>
      <c r="V118" s="5" t="s">
        <v>135</v>
      </c>
      <c r="W118" s="6">
        <v>440</v>
      </c>
      <c r="X118" s="5" t="s">
        <v>80</v>
      </c>
      <c r="Y118" s="9">
        <v>10</v>
      </c>
      <c r="Z118" s="5" t="s">
        <v>80</v>
      </c>
      <c r="AA118" s="5" t="s">
        <v>205</v>
      </c>
      <c r="AB118" s="9">
        <v>1</v>
      </c>
      <c r="AC118" s="5" t="s">
        <v>82</v>
      </c>
      <c r="AD118" s="5" t="s">
        <v>82</v>
      </c>
      <c r="AE118" s="5" t="s">
        <v>82</v>
      </c>
      <c r="AF118" s="10">
        <v>28000</v>
      </c>
      <c r="AG118" s="7">
        <v>46477</v>
      </c>
      <c r="AH118" s="10">
        <v>19500</v>
      </c>
      <c r="AI118" s="10">
        <v>20500</v>
      </c>
      <c r="AJ118" s="11">
        <f t="shared" si="1"/>
        <v>11.414634146341463</v>
      </c>
      <c r="AK118" s="12">
        <f>IF(B118="","",OR(K118="Not in use",K118="Low use")+AND(N118&lt;&gt;"",N118&lt;&gt;"TBD")+AND(ISNUMBER(U118),U118&lt;=EDATE('Scoring Settings'!$B$4,'Scoring Settings'!$B$8))+AND(ISNUMBER(L118),L118&lt;='Scoring Settings'!$B$7))</f>
        <v>2</v>
      </c>
      <c r="AL118" s="5" t="s">
        <v>96</v>
      </c>
      <c r="AM118" s="8" t="str">
        <f>IF(B118="","",IF(Z118="N","Easy",IF(OR(AND(ISNUMBER(AB118),AB118&gt;'Scoring Settings'!$B$11),AND(ISNUMBER(W118),W118&gt;'Scoring Settings'!$B$12),AND(ISNUMBER(M118),M118&lt;='Scoring Settings'!$B$13)),"High","Medium")))</f>
        <v>Medium</v>
      </c>
      <c r="AN118" s="5" t="s">
        <v>196</v>
      </c>
      <c r="AO118" s="7">
        <v>44347</v>
      </c>
      <c r="AP118" s="5" t="s">
        <v>372</v>
      </c>
      <c r="AQ118" s="29" t="s">
        <v>1200</v>
      </c>
    </row>
    <row r="119" spans="1:43">
      <c r="A119" s="28">
        <v>136223</v>
      </c>
      <c r="B119" s="5" t="s">
        <v>1768</v>
      </c>
      <c r="C119" s="5" t="s">
        <v>66</v>
      </c>
      <c r="D119" s="5" t="s">
        <v>67</v>
      </c>
      <c r="E119" s="5" t="s">
        <v>68</v>
      </c>
      <c r="F119" s="5"/>
      <c r="G119" s="5"/>
      <c r="H119" s="5"/>
      <c r="I119" s="6">
        <v>2878</v>
      </c>
      <c r="J119" s="7">
        <v>44314</v>
      </c>
      <c r="K119" s="8" t="str">
        <f>IF(B119="","",IF(AND(I119="",J119=""),"Unknown",IF(OR(AND(ISNUMBER(I119),I119=0),AND(ISNUMBER(J119),J119&lt;=EDATE('Scoring Settings'!$B$4,-'Scoring Settings'!$B$5))),"Not in use",IF(AND(ISNUMBER(I119),I119&lt;'Scoring Settings'!$B$6),"Low use","Active"))))</f>
        <v>Active</v>
      </c>
      <c r="L119" s="5">
        <v>3</v>
      </c>
      <c r="M119" s="5">
        <v>4</v>
      </c>
      <c r="N119" s="5" t="s">
        <v>227</v>
      </c>
      <c r="O119" s="5" t="s">
        <v>73</v>
      </c>
      <c r="P119" s="5" t="s">
        <v>1769</v>
      </c>
      <c r="Q119" s="9">
        <v>1</v>
      </c>
      <c r="R119" s="5" t="s">
        <v>330</v>
      </c>
      <c r="S119" s="5" t="s">
        <v>331</v>
      </c>
      <c r="T119" s="5" t="s">
        <v>109</v>
      </c>
      <c r="U119" s="7">
        <v>45046</v>
      </c>
      <c r="V119" s="5" t="s">
        <v>78</v>
      </c>
      <c r="W119" s="6">
        <v>230</v>
      </c>
      <c r="X119" s="5" t="s">
        <v>80</v>
      </c>
      <c r="Y119" s="9">
        <v>10</v>
      </c>
      <c r="Z119" s="5" t="s">
        <v>79</v>
      </c>
      <c r="AA119" s="5" t="s">
        <v>110</v>
      </c>
      <c r="AB119" s="9">
        <v>1</v>
      </c>
      <c r="AC119" s="5" t="s">
        <v>79</v>
      </c>
      <c r="AD119" s="5" t="s">
        <v>82</v>
      </c>
      <c r="AE119" s="5" t="s">
        <v>82</v>
      </c>
      <c r="AF119" s="10">
        <v>20500</v>
      </c>
      <c r="AG119" s="7">
        <v>48365</v>
      </c>
      <c r="AH119" s="10">
        <v>13500</v>
      </c>
      <c r="AI119" s="10">
        <v>11500</v>
      </c>
      <c r="AJ119" s="11">
        <f t="shared" si="1"/>
        <v>14.086956521739133</v>
      </c>
      <c r="AK119" s="12">
        <f>IF(B119="","",OR(K119="Not in use",K119="Low use")+AND(N119&lt;&gt;"",N119&lt;&gt;"TBD")+AND(ISNUMBER(U119),U119&lt;=EDATE('Scoring Settings'!$B$4,'Scoring Settings'!$B$8))+AND(ISNUMBER(L119),L119&lt;='Scoring Settings'!$B$7))</f>
        <v>1</v>
      </c>
      <c r="AL119" s="5" t="s">
        <v>2217</v>
      </c>
      <c r="AM119" s="8" t="str">
        <f>IF(B119="","",IF(Z119="N","Easy",IF(OR(AND(ISNUMBER(AB119),AB119&gt;'Scoring Settings'!$B$11),AND(ISNUMBER(W119),W119&gt;'Scoring Settings'!$B$12),AND(ISNUMBER(M119),M119&lt;='Scoring Settings'!$B$13)),"High","Medium")))</f>
        <v>Easy</v>
      </c>
      <c r="AN119" s="5" t="s">
        <v>196</v>
      </c>
      <c r="AO119" s="7">
        <v>44439</v>
      </c>
      <c r="AP119" s="5" t="s">
        <v>359</v>
      </c>
      <c r="AQ119" s="29" t="s">
        <v>895</v>
      </c>
    </row>
    <row r="120" spans="1:43">
      <c r="A120" s="28">
        <v>169417</v>
      </c>
      <c r="B120" s="5" t="s">
        <v>1783</v>
      </c>
      <c r="C120" s="5" t="s">
        <v>557</v>
      </c>
      <c r="D120" s="5" t="s">
        <v>297</v>
      </c>
      <c r="E120" s="5" t="s">
        <v>68</v>
      </c>
      <c r="F120" s="5"/>
      <c r="G120" s="5"/>
      <c r="H120" s="5"/>
      <c r="I120" s="6">
        <v>0</v>
      </c>
      <c r="J120" s="7">
        <v>44266</v>
      </c>
      <c r="K120" s="8" t="str">
        <f>IF(B120="","",IF(AND(I120="",J120=""),"Unknown",IF(OR(AND(ISNUMBER(I120),I120=0),AND(ISNUMBER(J120),J120&lt;=EDATE('Scoring Settings'!$B$4,-'Scoring Settings'!$B$5))),"Not in use",IF(AND(ISNUMBER(I120),I120&lt;'Scoring Settings'!$B$6),"Low use","Active"))))</f>
        <v>Not in use</v>
      </c>
      <c r="L120" s="5">
        <v>2</v>
      </c>
      <c r="M120" s="5">
        <v>3</v>
      </c>
      <c r="N120" s="5"/>
      <c r="O120" s="5" t="s">
        <v>73</v>
      </c>
      <c r="P120" s="5" t="s">
        <v>1784</v>
      </c>
      <c r="Q120" s="9">
        <v>3</v>
      </c>
      <c r="R120" s="5" t="s">
        <v>239</v>
      </c>
      <c r="S120" s="5" t="s">
        <v>240</v>
      </c>
      <c r="T120" s="5" t="s">
        <v>184</v>
      </c>
      <c r="U120" s="7">
        <v>44316</v>
      </c>
      <c r="V120" s="5" t="s">
        <v>95</v>
      </c>
      <c r="W120" s="6">
        <v>62</v>
      </c>
      <c r="X120" s="5" t="s">
        <v>80</v>
      </c>
      <c r="Y120" s="9">
        <v>10</v>
      </c>
      <c r="Z120" s="5" t="s">
        <v>80</v>
      </c>
      <c r="AA120" s="5" t="s">
        <v>147</v>
      </c>
      <c r="AB120" s="9">
        <v>7</v>
      </c>
      <c r="AC120" s="5" t="s">
        <v>82</v>
      </c>
      <c r="AD120" s="5" t="s">
        <v>82</v>
      </c>
      <c r="AE120" s="5" t="s">
        <v>80</v>
      </c>
      <c r="AF120" s="10">
        <v>35500</v>
      </c>
      <c r="AG120" s="7">
        <v>45838</v>
      </c>
      <c r="AH120" s="10">
        <v>43000</v>
      </c>
      <c r="AI120" s="10">
        <v>20000</v>
      </c>
      <c r="AJ120" s="11">
        <f t="shared" si="1"/>
        <v>25.799999999999997</v>
      </c>
      <c r="AK120" s="12">
        <f>IF(B120="","",OR(K120="Not in use",K120="Low use")+AND(N120&lt;&gt;"",N120&lt;&gt;"TBD")+AND(ISNUMBER(U120),U120&lt;=EDATE('Scoring Settings'!$B$4,'Scoring Settings'!$B$8))+AND(ISNUMBER(L120),L120&lt;='Scoring Settings'!$B$7))</f>
        <v>3</v>
      </c>
      <c r="AL120" s="5" t="s">
        <v>96</v>
      </c>
      <c r="AM120" s="8" t="str">
        <f>IF(B120="","",IF(Z120="N","Easy",IF(OR(AND(ISNUMBER(AB120),AB120&gt;'Scoring Settings'!$B$11),AND(ISNUMBER(W120),W120&gt;'Scoring Settings'!$B$12),AND(ISNUMBER(M120),M120&lt;='Scoring Settings'!$B$13)),"High","Medium")))</f>
        <v>High</v>
      </c>
      <c r="AN120" s="5" t="s">
        <v>196</v>
      </c>
      <c r="AO120" s="7">
        <v>44286</v>
      </c>
      <c r="AP120" s="5" t="s">
        <v>372</v>
      </c>
      <c r="AQ120" s="29" t="s">
        <v>876</v>
      </c>
    </row>
    <row r="121" spans="1:43" ht="42.75">
      <c r="A121" s="28">
        <v>63447</v>
      </c>
      <c r="B121" s="5" t="s">
        <v>1794</v>
      </c>
      <c r="C121" s="5" t="s">
        <v>639</v>
      </c>
      <c r="D121" s="5" t="s">
        <v>88</v>
      </c>
      <c r="E121" s="5" t="s">
        <v>298</v>
      </c>
      <c r="F121" s="5"/>
      <c r="G121" s="5"/>
      <c r="H121" s="5"/>
      <c r="I121" s="6">
        <v>3443</v>
      </c>
      <c r="J121" s="7">
        <v>44298</v>
      </c>
      <c r="K121" s="8" t="str">
        <f>IF(B121="","",IF(AND(I121="",J121=""),"Unknown",IF(OR(AND(ISNUMBER(I121),I121=0),AND(ISNUMBER(J121),J121&lt;=EDATE('Scoring Settings'!$B$4,-'Scoring Settings'!$B$5))),"Not in use",IF(AND(ISNUMBER(I121),I121&lt;'Scoring Settings'!$B$6),"Low use","Active"))))</f>
        <v>Active</v>
      </c>
      <c r="L121" s="5">
        <v>3</v>
      </c>
      <c r="M121" s="5">
        <v>4</v>
      </c>
      <c r="N121" s="5" t="s">
        <v>180</v>
      </c>
      <c r="O121" s="5" t="s">
        <v>73</v>
      </c>
      <c r="P121" s="5" t="s">
        <v>1795</v>
      </c>
      <c r="Q121" s="9">
        <v>3</v>
      </c>
      <c r="R121" s="5" t="s">
        <v>93</v>
      </c>
      <c r="S121" s="5" t="s">
        <v>94</v>
      </c>
      <c r="T121" s="5" t="s">
        <v>184</v>
      </c>
      <c r="U121" s="7">
        <v>44561</v>
      </c>
      <c r="V121" s="5" t="s">
        <v>95</v>
      </c>
      <c r="W121" s="6">
        <v>8000</v>
      </c>
      <c r="X121" s="5" t="s">
        <v>79</v>
      </c>
      <c r="Y121" s="9">
        <v>3</v>
      </c>
      <c r="Z121" s="5" t="s">
        <v>80</v>
      </c>
      <c r="AA121" s="5" t="s">
        <v>205</v>
      </c>
      <c r="AB121" s="9">
        <v>3</v>
      </c>
      <c r="AC121" s="5" t="s">
        <v>79</v>
      </c>
      <c r="AD121" s="5" t="s">
        <v>82</v>
      </c>
      <c r="AE121" s="5" t="s">
        <v>79</v>
      </c>
      <c r="AF121" s="10">
        <v>55000</v>
      </c>
      <c r="AG121" s="7">
        <v>48365</v>
      </c>
      <c r="AH121" s="10">
        <v>316000</v>
      </c>
      <c r="AI121" s="10">
        <v>32000</v>
      </c>
      <c r="AJ121" s="11">
        <f t="shared" si="1"/>
        <v>118.5</v>
      </c>
      <c r="AK121" s="12">
        <f>IF(B121="","",OR(K121="Not in use",K121="Low use")+AND(N121&lt;&gt;"",N121&lt;&gt;"TBD")+AND(ISNUMBER(U121),U121&lt;=EDATE('Scoring Settings'!$B$4,'Scoring Settings'!$B$8))+AND(ISNUMBER(L121),L121&lt;='Scoring Settings'!$B$7))</f>
        <v>2</v>
      </c>
      <c r="AL121" s="5" t="s">
        <v>96</v>
      </c>
      <c r="AM121" s="8" t="str">
        <f>IF(B121="","",IF(Z121="N","Easy",IF(OR(AND(ISNUMBER(AB121),AB121&gt;'Scoring Settings'!$B$11),AND(ISNUMBER(W121),W121&gt;'Scoring Settings'!$B$12),AND(ISNUMBER(M121),M121&lt;='Scoring Settings'!$B$13)),"High","Medium")))</f>
        <v>High</v>
      </c>
      <c r="AN121" s="5" t="s">
        <v>196</v>
      </c>
      <c r="AO121" s="7">
        <v>44561</v>
      </c>
      <c r="AP121" s="5" t="s">
        <v>197</v>
      </c>
      <c r="AQ121" s="29" t="s">
        <v>1568</v>
      </c>
    </row>
    <row r="122" spans="1:43">
      <c r="A122" s="28">
        <v>17295</v>
      </c>
      <c r="B122" s="5" t="s">
        <v>1810</v>
      </c>
      <c r="C122" s="5" t="s">
        <v>371</v>
      </c>
      <c r="D122" s="5" t="s">
        <v>162</v>
      </c>
      <c r="E122" s="5" t="s">
        <v>68</v>
      </c>
      <c r="F122" s="5"/>
      <c r="G122" s="5"/>
      <c r="H122" s="5"/>
      <c r="I122" s="6">
        <v>111</v>
      </c>
      <c r="J122" s="7">
        <v>44285</v>
      </c>
      <c r="K122" s="8" t="str">
        <f>IF(B122="","",IF(AND(I122="",J122=""),"Unknown",IF(OR(AND(ISNUMBER(I122),I122=0),AND(ISNUMBER(J122),J122&lt;=EDATE('Scoring Settings'!$B$4,-'Scoring Settings'!$B$5))),"Not in use",IF(AND(ISNUMBER(I122),I122&lt;'Scoring Settings'!$B$6),"Low use","Active"))))</f>
        <v>Active</v>
      </c>
      <c r="L122" s="5">
        <v>2</v>
      </c>
      <c r="M122" s="5">
        <v>3</v>
      </c>
      <c r="N122" s="5" t="s">
        <v>289</v>
      </c>
      <c r="O122" s="5" t="s">
        <v>73</v>
      </c>
      <c r="P122" s="5" t="s">
        <v>1811</v>
      </c>
      <c r="Q122" s="9">
        <v>4</v>
      </c>
      <c r="R122" s="5" t="s">
        <v>478</v>
      </c>
      <c r="S122" s="5" t="s">
        <v>479</v>
      </c>
      <c r="T122" s="5" t="s">
        <v>72</v>
      </c>
      <c r="U122" s="7">
        <v>43844</v>
      </c>
      <c r="V122" s="5" t="s">
        <v>78</v>
      </c>
      <c r="W122" s="6">
        <v>77</v>
      </c>
      <c r="X122" s="5" t="s">
        <v>79</v>
      </c>
      <c r="Y122" s="9">
        <v>1</v>
      </c>
      <c r="Z122" s="5" t="s">
        <v>80</v>
      </c>
      <c r="AA122" s="5" t="s">
        <v>81</v>
      </c>
      <c r="AB122" s="9">
        <v>2</v>
      </c>
      <c r="AC122" s="5" t="s">
        <v>80</v>
      </c>
      <c r="AD122" s="5" t="s">
        <v>82</v>
      </c>
      <c r="AE122" s="5" t="s">
        <v>79</v>
      </c>
      <c r="AF122" s="10">
        <v>32500</v>
      </c>
      <c r="AG122" s="7">
        <v>45838</v>
      </c>
      <c r="AH122" s="10">
        <v>27000</v>
      </c>
      <c r="AI122" s="10">
        <v>28500</v>
      </c>
      <c r="AJ122" s="11">
        <f t="shared" si="1"/>
        <v>11.368421052631579</v>
      </c>
      <c r="AK122" s="12">
        <f>IF(B122="","",OR(K122="Not in use",K122="Low use")+AND(N122&lt;&gt;"",N122&lt;&gt;"TBD")+AND(ISNUMBER(U122),U122&lt;=EDATE('Scoring Settings'!$B$4,'Scoring Settings'!$B$8))+AND(ISNUMBER(L122),L122&lt;='Scoring Settings'!$B$7))</f>
        <v>3</v>
      </c>
      <c r="AL122" s="5" t="s">
        <v>2217</v>
      </c>
      <c r="AM122" s="8" t="str">
        <f>IF(B122="","",IF(Z122="N","Easy",IF(OR(AND(ISNUMBER(AB122),AB122&gt;'Scoring Settings'!$B$11),AND(ISNUMBER(W122),W122&gt;'Scoring Settings'!$B$12),AND(ISNUMBER(M122),M122&lt;='Scoring Settings'!$B$13)),"High","Medium")))</f>
        <v>Medium</v>
      </c>
      <c r="AN122" s="5" t="s">
        <v>196</v>
      </c>
      <c r="AO122" s="7">
        <v>44316</v>
      </c>
      <c r="AP122" s="5" t="s">
        <v>372</v>
      </c>
      <c r="AQ122" s="29" t="s">
        <v>1120</v>
      </c>
    </row>
    <row r="123" spans="1:43">
      <c r="A123" s="28">
        <v>27245</v>
      </c>
      <c r="B123" s="5" t="s">
        <v>1820</v>
      </c>
      <c r="C123" s="5" t="s">
        <v>200</v>
      </c>
      <c r="D123" s="5" t="s">
        <v>115</v>
      </c>
      <c r="E123" s="5" t="s">
        <v>68</v>
      </c>
      <c r="F123" s="5"/>
      <c r="G123" s="5"/>
      <c r="H123" s="5"/>
      <c r="I123" s="6">
        <v>0</v>
      </c>
      <c r="J123" s="7">
        <v>44205</v>
      </c>
      <c r="K123" s="8" t="str">
        <f>IF(B123="","",IF(AND(I123="",J123=""),"Unknown",IF(OR(AND(ISNUMBER(I123),I123=0),AND(ISNUMBER(J123),J123&lt;=EDATE('Scoring Settings'!$B$4,-'Scoring Settings'!$B$5))),"Not in use",IF(AND(ISNUMBER(I123),I123&lt;'Scoring Settings'!$B$6),"Low use","Active"))))</f>
        <v>Not in use</v>
      </c>
      <c r="L123" s="5">
        <v>1</v>
      </c>
      <c r="M123" s="5">
        <v>4</v>
      </c>
      <c r="N123" s="5" t="s">
        <v>72</v>
      </c>
      <c r="O123" s="5" t="s">
        <v>73</v>
      </c>
      <c r="P123" s="5" t="s">
        <v>1821</v>
      </c>
      <c r="Q123" s="9">
        <v>4</v>
      </c>
      <c r="R123" s="5" t="s">
        <v>358</v>
      </c>
      <c r="S123" s="5" t="s">
        <v>133</v>
      </c>
      <c r="T123" s="5" t="s">
        <v>109</v>
      </c>
      <c r="U123" s="7">
        <v>43555</v>
      </c>
      <c r="V123" s="5" t="s">
        <v>135</v>
      </c>
      <c r="W123" s="6">
        <v>580</v>
      </c>
      <c r="X123" s="5" t="s">
        <v>79</v>
      </c>
      <c r="Y123" s="9">
        <v>1</v>
      </c>
      <c r="Z123" s="5" t="s">
        <v>79</v>
      </c>
      <c r="AA123" s="5" t="s">
        <v>110</v>
      </c>
      <c r="AB123" s="9">
        <v>3</v>
      </c>
      <c r="AC123" s="5" t="s">
        <v>79</v>
      </c>
      <c r="AD123" s="5" t="s">
        <v>79</v>
      </c>
      <c r="AE123" s="5" t="s">
        <v>82</v>
      </c>
      <c r="AF123" s="10">
        <v>50000</v>
      </c>
      <c r="AG123" s="7">
        <v>49643</v>
      </c>
      <c r="AH123" s="10">
        <v>58000</v>
      </c>
      <c r="AI123" s="10">
        <v>43500</v>
      </c>
      <c r="AJ123" s="11">
        <f t="shared" si="1"/>
        <v>16</v>
      </c>
      <c r="AK123" s="12">
        <f>IF(B123="","",OR(K123="Not in use",K123="Low use")+AND(N123&lt;&gt;"",N123&lt;&gt;"TBD")+AND(ISNUMBER(U123),U123&lt;=EDATE('Scoring Settings'!$B$4,'Scoring Settings'!$B$8))+AND(ISNUMBER(L123),L123&lt;='Scoring Settings'!$B$7))</f>
        <v>3</v>
      </c>
      <c r="AL123" s="5" t="s">
        <v>223</v>
      </c>
      <c r="AM123" s="8" t="str">
        <f>IF(B123="","",IF(Z123="N","Easy",IF(OR(AND(ISNUMBER(AB123),AB123&gt;'Scoring Settings'!$B$11),AND(ISNUMBER(W123),W123&gt;'Scoring Settings'!$B$12),AND(ISNUMBER(M123),M123&lt;='Scoring Settings'!$B$13)),"High","Medium")))</f>
        <v>Easy</v>
      </c>
      <c r="AN123" s="5" t="s">
        <v>196</v>
      </c>
      <c r="AO123" s="7">
        <v>44227</v>
      </c>
      <c r="AP123" s="5" t="s">
        <v>372</v>
      </c>
      <c r="AQ123" s="29" t="s">
        <v>1597</v>
      </c>
    </row>
    <row r="124" spans="1:43">
      <c r="A124" s="28">
        <v>194483</v>
      </c>
      <c r="B124" s="5" t="s">
        <v>1832</v>
      </c>
      <c r="C124" s="5" t="s">
        <v>667</v>
      </c>
      <c r="D124" s="5" t="s">
        <v>115</v>
      </c>
      <c r="E124" s="5" t="s">
        <v>68</v>
      </c>
      <c r="F124" s="5"/>
      <c r="G124" s="5"/>
      <c r="H124" s="5"/>
      <c r="I124" s="6">
        <v>24</v>
      </c>
      <c r="J124" s="7">
        <v>44243</v>
      </c>
      <c r="K124" s="8" t="str">
        <f>IF(B124="","",IF(AND(I124="",J124=""),"Unknown",IF(OR(AND(ISNUMBER(I124),I124=0),AND(ISNUMBER(J124),J124&lt;=EDATE('Scoring Settings'!$B$4,-'Scoring Settings'!$B$5))),"Not in use",IF(AND(ISNUMBER(I124),I124&lt;'Scoring Settings'!$B$6),"Low use","Active"))))</f>
        <v>Low use</v>
      </c>
      <c r="L124" s="5">
        <v>1</v>
      </c>
      <c r="M124" s="5">
        <v>3</v>
      </c>
      <c r="N124" s="5"/>
      <c r="O124" s="5" t="s">
        <v>73</v>
      </c>
      <c r="P124" s="5" t="s">
        <v>1833</v>
      </c>
      <c r="Q124" s="9">
        <v>4</v>
      </c>
      <c r="R124" s="5" t="s">
        <v>335</v>
      </c>
      <c r="S124" s="5" t="s">
        <v>336</v>
      </c>
      <c r="T124" s="5" t="s">
        <v>184</v>
      </c>
      <c r="U124" s="7">
        <v>45473</v>
      </c>
      <c r="V124" s="5" t="s">
        <v>78</v>
      </c>
      <c r="W124" s="6">
        <v>3480</v>
      </c>
      <c r="X124" s="5" t="s">
        <v>80</v>
      </c>
      <c r="Y124" s="9">
        <v>10</v>
      </c>
      <c r="Z124" s="5" t="s">
        <v>80</v>
      </c>
      <c r="AA124" s="5" t="s">
        <v>205</v>
      </c>
      <c r="AB124" s="9">
        <v>6</v>
      </c>
      <c r="AC124" s="5" t="s">
        <v>79</v>
      </c>
      <c r="AD124" s="5" t="s">
        <v>79</v>
      </c>
      <c r="AE124" s="5" t="s">
        <v>82</v>
      </c>
      <c r="AF124" s="10">
        <v>22000</v>
      </c>
      <c r="AG124" s="7">
        <v>47664</v>
      </c>
      <c r="AH124" s="10">
        <v>78500</v>
      </c>
      <c r="AI124" s="10">
        <v>16500</v>
      </c>
      <c r="AJ124" s="11">
        <f t="shared" si="1"/>
        <v>57.090909090909093</v>
      </c>
      <c r="AK124" s="12">
        <f>IF(B124="","",OR(K124="Not in use",K124="Low use")+AND(N124&lt;&gt;"",N124&lt;&gt;"TBD")+AND(ISNUMBER(U124),U124&lt;=EDATE('Scoring Settings'!$B$4,'Scoring Settings'!$B$8))+AND(ISNUMBER(L124),L124&lt;='Scoring Settings'!$B$7))</f>
        <v>2</v>
      </c>
      <c r="AL124" s="5" t="s">
        <v>96</v>
      </c>
      <c r="AM124" s="8" t="str">
        <f>IF(B124="","",IF(Z124="N","Easy",IF(OR(AND(ISNUMBER(AB124),AB124&gt;'Scoring Settings'!$B$11),AND(ISNUMBER(W124),W124&gt;'Scoring Settings'!$B$12),AND(ISNUMBER(M124),M124&lt;='Scoring Settings'!$B$13)),"High","Medium")))</f>
        <v>High</v>
      </c>
      <c r="AN124" s="5" t="s">
        <v>196</v>
      </c>
      <c r="AO124" s="7">
        <v>44347</v>
      </c>
      <c r="AP124" s="5" t="s">
        <v>372</v>
      </c>
      <c r="AQ124" s="29" t="s">
        <v>1200</v>
      </c>
    </row>
    <row r="125" spans="1:43">
      <c r="A125" s="28">
        <v>174085</v>
      </c>
      <c r="B125" s="5" t="s">
        <v>1835</v>
      </c>
      <c r="C125" s="5" t="s">
        <v>138</v>
      </c>
      <c r="D125" s="5" t="s">
        <v>139</v>
      </c>
      <c r="E125" s="5" t="s">
        <v>311</v>
      </c>
      <c r="F125" s="5"/>
      <c r="G125" s="5"/>
      <c r="H125" s="5"/>
      <c r="I125" s="6">
        <v>8</v>
      </c>
      <c r="J125" s="7">
        <v>44168</v>
      </c>
      <c r="K125" s="8" t="str">
        <f>IF(B125="","",IF(AND(I125="",J125=""),"Unknown",IF(OR(AND(ISNUMBER(I125),I125=0),AND(ISNUMBER(J125),J125&lt;=EDATE('Scoring Settings'!$B$4,-'Scoring Settings'!$B$5))),"Not in use",IF(AND(ISNUMBER(I125),I125&lt;'Scoring Settings'!$B$6),"Low use","Active"))))</f>
        <v>Low use</v>
      </c>
      <c r="L125" s="5">
        <v>2</v>
      </c>
      <c r="M125" s="5">
        <v>4</v>
      </c>
      <c r="N125" s="5"/>
      <c r="O125" s="5" t="s">
        <v>191</v>
      </c>
      <c r="P125" s="5" t="s">
        <v>192</v>
      </c>
      <c r="Q125" s="9">
        <v>0</v>
      </c>
      <c r="R125" s="5" t="s">
        <v>193</v>
      </c>
      <c r="S125" s="5" t="s">
        <v>318</v>
      </c>
      <c r="T125" s="5" t="s">
        <v>195</v>
      </c>
      <c r="U125" s="7"/>
      <c r="V125" s="5" t="s">
        <v>135</v>
      </c>
      <c r="W125" s="6">
        <v>34</v>
      </c>
      <c r="X125" s="5" t="s">
        <v>79</v>
      </c>
      <c r="Y125" s="9">
        <v>5</v>
      </c>
      <c r="Z125" s="5" t="s">
        <v>79</v>
      </c>
      <c r="AA125" s="5" t="s">
        <v>110</v>
      </c>
      <c r="AB125" s="9">
        <v>0</v>
      </c>
      <c r="AC125" s="5" t="s">
        <v>82</v>
      </c>
      <c r="AD125" s="5" t="s">
        <v>79</v>
      </c>
      <c r="AE125" s="5" t="s">
        <v>80</v>
      </c>
      <c r="AF125" s="10">
        <v>14000</v>
      </c>
      <c r="AG125" s="7">
        <v>48244</v>
      </c>
      <c r="AH125" s="10">
        <v>8500</v>
      </c>
      <c r="AI125" s="10">
        <v>12500</v>
      </c>
      <c r="AJ125" s="11">
        <f t="shared" si="1"/>
        <v>8.16</v>
      </c>
      <c r="AK125" s="12">
        <f>IF(B125="","",OR(K125="Not in use",K125="Low use")+AND(N125&lt;&gt;"",N125&lt;&gt;"TBD")+AND(ISNUMBER(U125),U125&lt;=EDATE('Scoring Settings'!$B$4,'Scoring Settings'!$B$8))+AND(ISNUMBER(L125),L125&lt;='Scoring Settings'!$B$7))</f>
        <v>2</v>
      </c>
      <c r="AL125" s="5" t="s">
        <v>223</v>
      </c>
      <c r="AM125" s="8" t="str">
        <f>IF(B125="","",IF(Z125="N","Easy",IF(OR(AND(ISNUMBER(AB125),AB125&gt;'Scoring Settings'!$B$11),AND(ISNUMBER(W125),W125&gt;'Scoring Settings'!$B$12),AND(ISNUMBER(M125),M125&lt;='Scoring Settings'!$B$13)),"High","Medium")))</f>
        <v>Easy</v>
      </c>
      <c r="AN125" s="5" t="s">
        <v>196</v>
      </c>
      <c r="AO125" s="7">
        <v>44530</v>
      </c>
      <c r="AP125" s="5" t="s">
        <v>359</v>
      </c>
      <c r="AQ125" s="29" t="s">
        <v>688</v>
      </c>
    </row>
    <row r="126" spans="1:43">
      <c r="A126" s="28">
        <v>79581</v>
      </c>
      <c r="B126" s="5" t="s">
        <v>1840</v>
      </c>
      <c r="C126" s="5" t="s">
        <v>639</v>
      </c>
      <c r="D126" s="5" t="s">
        <v>88</v>
      </c>
      <c r="E126" s="5" t="s">
        <v>298</v>
      </c>
      <c r="F126" s="5"/>
      <c r="G126" s="5"/>
      <c r="H126" s="5"/>
      <c r="I126" s="6">
        <v>5</v>
      </c>
      <c r="J126" s="7">
        <v>43913</v>
      </c>
      <c r="K126" s="8" t="str">
        <f>IF(B126="","",IF(AND(I126="",J126=""),"Unknown",IF(OR(AND(ISNUMBER(I126),I126=0),AND(ISNUMBER(J126),J126&lt;=EDATE('Scoring Settings'!$B$4,-'Scoring Settings'!$B$5))),"Not in use",IF(AND(ISNUMBER(I126),I126&lt;'Scoring Settings'!$B$6),"Low use","Active"))))</f>
        <v>Not in use</v>
      </c>
      <c r="L126" s="5">
        <v>1</v>
      </c>
      <c r="M126" s="5">
        <v>4</v>
      </c>
      <c r="N126" s="5"/>
      <c r="O126" s="5" t="s">
        <v>73</v>
      </c>
      <c r="P126" s="5" t="s">
        <v>1841</v>
      </c>
      <c r="Q126" s="9">
        <v>3</v>
      </c>
      <c r="R126" s="5" t="s">
        <v>72</v>
      </c>
      <c r="S126" s="5" t="s">
        <v>479</v>
      </c>
      <c r="T126" s="5" t="s">
        <v>77</v>
      </c>
      <c r="U126" s="7">
        <v>43844</v>
      </c>
      <c r="V126" s="5" t="s">
        <v>135</v>
      </c>
      <c r="W126" s="6">
        <v>76</v>
      </c>
      <c r="X126" s="5" t="s">
        <v>79</v>
      </c>
      <c r="Y126" s="9">
        <v>5</v>
      </c>
      <c r="Z126" s="5" t="s">
        <v>80</v>
      </c>
      <c r="AA126" s="5" t="s">
        <v>81</v>
      </c>
      <c r="AB126" s="9">
        <v>3</v>
      </c>
      <c r="AC126" s="5" t="s">
        <v>82</v>
      </c>
      <c r="AD126" s="5" t="s">
        <v>79</v>
      </c>
      <c r="AE126" s="5" t="s">
        <v>82</v>
      </c>
      <c r="AF126" s="10">
        <v>55000</v>
      </c>
      <c r="AG126" s="7">
        <v>47695</v>
      </c>
      <c r="AH126" s="10">
        <v>27500</v>
      </c>
      <c r="AI126" s="10">
        <v>44000</v>
      </c>
      <c r="AJ126" s="11">
        <f t="shared" si="1"/>
        <v>7.5</v>
      </c>
      <c r="AK126" s="12">
        <f>IF(B126="","",OR(K126="Not in use",K126="Low use")+AND(N126&lt;&gt;"",N126&lt;&gt;"TBD")+AND(ISNUMBER(U126),U126&lt;=EDATE('Scoring Settings'!$B$4,'Scoring Settings'!$B$8))+AND(ISNUMBER(L126),L126&lt;='Scoring Settings'!$B$7))</f>
        <v>3</v>
      </c>
      <c r="AL126" s="5" t="s">
        <v>96</v>
      </c>
      <c r="AM126" s="8" t="str">
        <f>IF(B126="","",IF(Z126="N","Easy",IF(OR(AND(ISNUMBER(AB126),AB126&gt;'Scoring Settings'!$B$11),AND(ISNUMBER(W126),W126&gt;'Scoring Settings'!$B$12),AND(ISNUMBER(M126),M126&lt;='Scoring Settings'!$B$13)),"High","Medium")))</f>
        <v>Medium</v>
      </c>
      <c r="AN126" s="5" t="s">
        <v>196</v>
      </c>
      <c r="AO126" s="7">
        <v>44377</v>
      </c>
      <c r="AP126" s="5" t="s">
        <v>359</v>
      </c>
      <c r="AQ126" s="29" t="s">
        <v>276</v>
      </c>
    </row>
    <row r="127" spans="1:43">
      <c r="A127" s="28">
        <v>12800</v>
      </c>
      <c r="B127" s="5" t="s">
        <v>1861</v>
      </c>
      <c r="C127" s="5" t="s">
        <v>333</v>
      </c>
      <c r="D127" s="5" t="s">
        <v>115</v>
      </c>
      <c r="E127" s="5" t="s">
        <v>68</v>
      </c>
      <c r="F127" s="5"/>
      <c r="G127" s="5"/>
      <c r="H127" s="5"/>
      <c r="I127" s="6">
        <v>700</v>
      </c>
      <c r="J127" s="7">
        <v>44309</v>
      </c>
      <c r="K127" s="8" t="str">
        <f>IF(B127="","",IF(AND(I127="",J127=""),"Unknown",IF(OR(AND(ISNUMBER(I127),I127=0),AND(ISNUMBER(J127),J127&lt;=EDATE('Scoring Settings'!$B$4,-'Scoring Settings'!$B$5))),"Not in use",IF(AND(ISNUMBER(I127),I127&lt;'Scoring Settings'!$B$6),"Low use","Active"))))</f>
        <v>Active</v>
      </c>
      <c r="L127" s="5">
        <v>2</v>
      </c>
      <c r="M127" s="5">
        <v>4</v>
      </c>
      <c r="N127" s="5" t="s">
        <v>856</v>
      </c>
      <c r="O127" s="5" t="s">
        <v>130</v>
      </c>
      <c r="P127" s="5" t="s">
        <v>880</v>
      </c>
      <c r="Q127" s="9">
        <v>3</v>
      </c>
      <c r="R127" s="5" t="s">
        <v>107</v>
      </c>
      <c r="S127" s="5" t="s">
        <v>108</v>
      </c>
      <c r="T127" s="5" t="s">
        <v>168</v>
      </c>
      <c r="U127" s="7">
        <v>43655</v>
      </c>
      <c r="V127" s="5" t="s">
        <v>135</v>
      </c>
      <c r="W127" s="6">
        <v>150</v>
      </c>
      <c r="X127" s="5" t="s">
        <v>80</v>
      </c>
      <c r="Y127" s="9">
        <v>7</v>
      </c>
      <c r="Z127" s="5" t="s">
        <v>80</v>
      </c>
      <c r="AA127" s="5" t="s">
        <v>81</v>
      </c>
      <c r="AB127" s="9">
        <v>2</v>
      </c>
      <c r="AC127" s="5" t="s">
        <v>82</v>
      </c>
      <c r="AD127" s="5" t="s">
        <v>79</v>
      </c>
      <c r="AE127" s="5" t="s">
        <v>82</v>
      </c>
      <c r="AF127" s="10">
        <v>25500</v>
      </c>
      <c r="AG127" s="7">
        <v>48244</v>
      </c>
      <c r="AH127" s="10">
        <v>23500</v>
      </c>
      <c r="AI127" s="10">
        <v>14500</v>
      </c>
      <c r="AJ127" s="11">
        <f t="shared" si="1"/>
        <v>19.448275862068964</v>
      </c>
      <c r="AK127" s="12">
        <f>IF(B127="","",OR(K127="Not in use",K127="Low use")+AND(N127&lt;&gt;"",N127&lt;&gt;"TBD")+AND(ISNUMBER(U127),U127&lt;=EDATE('Scoring Settings'!$B$4,'Scoring Settings'!$B$8))+AND(ISNUMBER(L127),L127&lt;='Scoring Settings'!$B$7))</f>
        <v>3</v>
      </c>
      <c r="AL127" s="5" t="s">
        <v>2217</v>
      </c>
      <c r="AM127" s="8" t="str">
        <f>IF(B127="","",IF(Z127="N","Easy",IF(OR(AND(ISNUMBER(AB127),AB127&gt;'Scoring Settings'!$B$11),AND(ISNUMBER(W127),W127&gt;'Scoring Settings'!$B$12),AND(ISNUMBER(M127),M127&lt;='Scoring Settings'!$B$13)),"High","Medium")))</f>
        <v>Medium</v>
      </c>
      <c r="AN127" s="5" t="s">
        <v>196</v>
      </c>
      <c r="AO127" s="7">
        <v>44469</v>
      </c>
      <c r="AP127" s="5" t="s">
        <v>359</v>
      </c>
      <c r="AQ127" s="29" t="s">
        <v>1862</v>
      </c>
    </row>
    <row r="128" spans="1:43">
      <c r="A128" s="28">
        <v>28122</v>
      </c>
      <c r="B128" s="5" t="s">
        <v>1863</v>
      </c>
      <c r="C128" s="5" t="s">
        <v>483</v>
      </c>
      <c r="D128" s="5" t="s">
        <v>88</v>
      </c>
      <c r="E128" s="5" t="s">
        <v>68</v>
      </c>
      <c r="F128" s="5"/>
      <c r="G128" s="5"/>
      <c r="H128" s="5"/>
      <c r="I128" s="6">
        <v>525</v>
      </c>
      <c r="J128" s="7">
        <v>44270</v>
      </c>
      <c r="K128" s="8" t="str">
        <f>IF(B128="","",IF(AND(I128="",J128=""),"Unknown",IF(OR(AND(ISNUMBER(I128),I128=0),AND(ISNUMBER(J128),J128&lt;=EDATE('Scoring Settings'!$B$4,-'Scoring Settings'!$B$5))),"Not in use",IF(AND(ISNUMBER(I128),I128&lt;'Scoring Settings'!$B$6),"Low use","Active"))))</f>
        <v>Active</v>
      </c>
      <c r="L128" s="5">
        <v>5</v>
      </c>
      <c r="M128" s="5">
        <v>1</v>
      </c>
      <c r="N128" s="5" t="s">
        <v>865</v>
      </c>
      <c r="O128" s="5" t="s">
        <v>130</v>
      </c>
      <c r="P128" s="5" t="s">
        <v>1864</v>
      </c>
      <c r="Q128" s="9">
        <v>3</v>
      </c>
      <c r="R128" s="5" t="s">
        <v>132</v>
      </c>
      <c r="S128" s="5" t="s">
        <v>72</v>
      </c>
      <c r="T128" s="5" t="s">
        <v>168</v>
      </c>
      <c r="U128" s="7">
        <v>44227</v>
      </c>
      <c r="V128" s="5" t="s">
        <v>135</v>
      </c>
      <c r="W128" s="6">
        <v>170</v>
      </c>
      <c r="X128" s="5" t="s">
        <v>79</v>
      </c>
      <c r="Y128" s="9">
        <v>7</v>
      </c>
      <c r="Z128" s="5" t="s">
        <v>79</v>
      </c>
      <c r="AA128" s="5" t="s">
        <v>110</v>
      </c>
      <c r="AB128" s="9">
        <v>34</v>
      </c>
      <c r="AC128" s="5" t="s">
        <v>79</v>
      </c>
      <c r="AD128" s="5" t="s">
        <v>82</v>
      </c>
      <c r="AE128" s="5" t="s">
        <v>79</v>
      </c>
      <c r="AF128" s="10">
        <v>110000</v>
      </c>
      <c r="AG128" s="7">
        <v>47149</v>
      </c>
      <c r="AH128" s="10">
        <v>117500</v>
      </c>
      <c r="AI128" s="10">
        <v>65500</v>
      </c>
      <c r="AJ128" s="11">
        <f t="shared" si="1"/>
        <v>21.526717557251906</v>
      </c>
      <c r="AK128" s="12">
        <f>IF(B128="","",OR(K128="Not in use",K128="Low use")+AND(N128&lt;&gt;"",N128&lt;&gt;"TBD")+AND(ISNUMBER(U128),U128&lt;=EDATE('Scoring Settings'!$B$4,'Scoring Settings'!$B$8))+AND(ISNUMBER(L128),L128&lt;='Scoring Settings'!$B$7))</f>
        <v>2</v>
      </c>
      <c r="AL128" s="5" t="s">
        <v>2217</v>
      </c>
      <c r="AM128" s="8" t="str">
        <f>IF(B128="","",IF(Z128="N","Easy",IF(OR(AND(ISNUMBER(AB128),AB128&gt;'Scoring Settings'!$B$11),AND(ISNUMBER(W128),W128&gt;'Scoring Settings'!$B$12),AND(ISNUMBER(M128),M128&lt;='Scoring Settings'!$B$13)),"High","Medium")))</f>
        <v>Easy</v>
      </c>
      <c r="AN128" s="5" t="s">
        <v>196</v>
      </c>
      <c r="AO128" s="7">
        <v>44439</v>
      </c>
      <c r="AP128" s="5" t="s">
        <v>197</v>
      </c>
      <c r="AQ128" s="29" t="s">
        <v>1865</v>
      </c>
    </row>
    <row r="129" spans="1:43">
      <c r="A129" s="28">
        <v>137085</v>
      </c>
      <c r="B129" s="5" t="s">
        <v>1884</v>
      </c>
      <c r="C129" s="5" t="s">
        <v>639</v>
      </c>
      <c r="D129" s="5" t="s">
        <v>88</v>
      </c>
      <c r="E129" s="5" t="s">
        <v>68</v>
      </c>
      <c r="F129" s="5"/>
      <c r="G129" s="5"/>
      <c r="H129" s="5"/>
      <c r="I129" s="6">
        <v>0</v>
      </c>
      <c r="J129" s="7">
        <v>44271</v>
      </c>
      <c r="K129" s="8" t="str">
        <f>IF(B129="","",IF(AND(I129="",J129=""),"Unknown",IF(OR(AND(ISNUMBER(I129),I129=0),AND(ISNUMBER(J129),J129&lt;=EDATE('Scoring Settings'!$B$4,-'Scoring Settings'!$B$5))),"Not in use",IF(AND(ISNUMBER(I129),I129&lt;'Scoring Settings'!$B$6),"Low use","Active"))))</f>
        <v>Not in use</v>
      </c>
      <c r="L129" s="5">
        <v>3</v>
      </c>
      <c r="M129" s="5">
        <v>4</v>
      </c>
      <c r="N129" s="5" t="s">
        <v>543</v>
      </c>
      <c r="O129" s="5" t="s">
        <v>191</v>
      </c>
      <c r="P129" s="5" t="s">
        <v>192</v>
      </c>
      <c r="Q129" s="9">
        <v>0</v>
      </c>
      <c r="R129" s="5" t="s">
        <v>193</v>
      </c>
      <c r="S129" s="5" t="s">
        <v>318</v>
      </c>
      <c r="T129" s="5" t="s">
        <v>195</v>
      </c>
      <c r="U129" s="7"/>
      <c r="V129" s="5" t="s">
        <v>95</v>
      </c>
      <c r="W129" s="6">
        <v>6</v>
      </c>
      <c r="X129" s="5" t="s">
        <v>80</v>
      </c>
      <c r="Y129" s="9">
        <v>10</v>
      </c>
      <c r="Z129" s="5" t="s">
        <v>79</v>
      </c>
      <c r="AA129" s="5" t="s">
        <v>110</v>
      </c>
      <c r="AB129" s="9">
        <v>0</v>
      </c>
      <c r="AC129" s="5" t="s">
        <v>82</v>
      </c>
      <c r="AD129" s="5" t="s">
        <v>80</v>
      </c>
      <c r="AE129" s="5" t="s">
        <v>80</v>
      </c>
      <c r="AF129" s="10">
        <v>22500</v>
      </c>
      <c r="AG129" s="7">
        <v>46965</v>
      </c>
      <c r="AH129" s="10">
        <v>20000</v>
      </c>
      <c r="AI129" s="10">
        <v>20000</v>
      </c>
      <c r="AJ129" s="11">
        <f t="shared" si="1"/>
        <v>12</v>
      </c>
      <c r="AK129" s="12">
        <f>IF(B129="","",OR(K129="Not in use",K129="Low use")+AND(N129&lt;&gt;"",N129&lt;&gt;"TBD")+AND(ISNUMBER(U129),U129&lt;=EDATE('Scoring Settings'!$B$4,'Scoring Settings'!$B$8))+AND(ISNUMBER(L129),L129&lt;='Scoring Settings'!$B$7))</f>
        <v>2</v>
      </c>
      <c r="AL129" s="5" t="s">
        <v>223</v>
      </c>
      <c r="AM129" s="8" t="str">
        <f>IF(B129="","",IF(Z129="N","Easy",IF(OR(AND(ISNUMBER(AB129),AB129&gt;'Scoring Settings'!$B$11),AND(ISNUMBER(W129),W129&gt;'Scoring Settings'!$B$12),AND(ISNUMBER(M129),M129&lt;='Scoring Settings'!$B$13)),"High","Medium")))</f>
        <v>Easy</v>
      </c>
      <c r="AN129" s="5" t="s">
        <v>196</v>
      </c>
      <c r="AO129" s="7">
        <v>44286</v>
      </c>
      <c r="AP129" s="5" t="s">
        <v>372</v>
      </c>
      <c r="AQ129" s="29" t="s">
        <v>375</v>
      </c>
    </row>
    <row r="130" spans="1:43">
      <c r="A130" s="28">
        <v>46702</v>
      </c>
      <c r="B130" s="5" t="s">
        <v>1911</v>
      </c>
      <c r="C130" s="5" t="s">
        <v>470</v>
      </c>
      <c r="D130" s="5" t="s">
        <v>297</v>
      </c>
      <c r="E130" s="5" t="s">
        <v>68</v>
      </c>
      <c r="F130" s="5"/>
      <c r="G130" s="5"/>
      <c r="H130" s="5"/>
      <c r="I130" s="6">
        <v>3</v>
      </c>
      <c r="J130" s="7">
        <v>43985</v>
      </c>
      <c r="K130" s="8" t="str">
        <f>IF(B130="","",IF(AND(I130="",J130=""),"Unknown",IF(OR(AND(ISNUMBER(I130),I130=0),AND(ISNUMBER(J130),J130&lt;=EDATE('Scoring Settings'!$B$4,-'Scoring Settings'!$B$5))),"Not in use",IF(AND(ISNUMBER(I130),I130&lt;'Scoring Settings'!$B$6),"Low use","Active"))))</f>
        <v>Not in use</v>
      </c>
      <c r="L130" s="5">
        <v>2</v>
      </c>
      <c r="M130" s="5">
        <v>3</v>
      </c>
      <c r="N130" s="5" t="s">
        <v>1912</v>
      </c>
      <c r="O130" s="5" t="s">
        <v>143</v>
      </c>
      <c r="P130" s="5" t="s">
        <v>144</v>
      </c>
      <c r="Q130" s="9">
        <v>0</v>
      </c>
      <c r="R130" s="5" t="s">
        <v>145</v>
      </c>
      <c r="S130" s="5" t="s">
        <v>145</v>
      </c>
      <c r="T130" s="5" t="s">
        <v>146</v>
      </c>
      <c r="U130" s="7">
        <v>45565</v>
      </c>
      <c r="V130" s="5" t="s">
        <v>135</v>
      </c>
      <c r="W130" s="6">
        <v>69</v>
      </c>
      <c r="X130" s="5" t="s">
        <v>80</v>
      </c>
      <c r="Y130" s="9">
        <v>10</v>
      </c>
      <c r="Z130" s="5" t="s">
        <v>80</v>
      </c>
      <c r="AA130" s="5" t="s">
        <v>185</v>
      </c>
      <c r="AB130" s="9">
        <v>3</v>
      </c>
      <c r="AC130" s="5" t="s">
        <v>79</v>
      </c>
      <c r="AD130" s="5" t="s">
        <v>82</v>
      </c>
      <c r="AE130" s="5" t="s">
        <v>79</v>
      </c>
      <c r="AF130" s="10">
        <v>42500</v>
      </c>
      <c r="AG130" s="7">
        <v>47848</v>
      </c>
      <c r="AH130" s="10">
        <v>70000</v>
      </c>
      <c r="AI130" s="10">
        <v>24000</v>
      </c>
      <c r="AJ130" s="11">
        <f t="shared" si="1"/>
        <v>35</v>
      </c>
      <c r="AK130" s="12">
        <f>IF(B130="","",OR(K130="Not in use",K130="Low use")+AND(N130&lt;&gt;"",N130&lt;&gt;"TBD")+AND(ISNUMBER(U130),U130&lt;=EDATE('Scoring Settings'!$B$4,'Scoring Settings'!$B$8))+AND(ISNUMBER(L130),L130&lt;='Scoring Settings'!$B$7))</f>
        <v>3</v>
      </c>
      <c r="AL130" s="5" t="s">
        <v>96</v>
      </c>
      <c r="AM130" s="8" t="str">
        <f>IF(B130="","",IF(Z130="N","Easy",IF(OR(AND(ISNUMBER(AB130),AB130&gt;'Scoring Settings'!$B$11),AND(ISNUMBER(W130),W130&gt;'Scoring Settings'!$B$12),AND(ISNUMBER(M130),M130&lt;='Scoring Settings'!$B$13)),"High","Medium")))</f>
        <v>Medium</v>
      </c>
      <c r="AN130" s="5" t="s">
        <v>196</v>
      </c>
      <c r="AO130" s="7">
        <v>44561</v>
      </c>
      <c r="AP130" s="5" t="s">
        <v>197</v>
      </c>
      <c r="AQ130" s="29" t="s">
        <v>399</v>
      </c>
    </row>
    <row r="131" spans="1:43">
      <c r="A131" s="28">
        <v>27155</v>
      </c>
      <c r="B131" s="5" t="s">
        <v>1920</v>
      </c>
      <c r="C131" s="5" t="s">
        <v>409</v>
      </c>
      <c r="D131" s="5" t="s">
        <v>115</v>
      </c>
      <c r="E131" s="5" t="s">
        <v>298</v>
      </c>
      <c r="F131" s="5"/>
      <c r="G131" s="5"/>
      <c r="H131" s="5"/>
      <c r="I131" s="6">
        <v>0</v>
      </c>
      <c r="J131" s="7">
        <v>44107</v>
      </c>
      <c r="K131" s="8" t="str">
        <f>IF(B131="","",IF(AND(I131="",J131=""),"Unknown",IF(OR(AND(ISNUMBER(I131),I131=0),AND(ISNUMBER(J131),J131&lt;=EDATE('Scoring Settings'!$B$4,-'Scoring Settings'!$B$5))),"Not in use",IF(AND(ISNUMBER(I131),I131&lt;'Scoring Settings'!$B$6),"Low use","Active"))))</f>
        <v>Not in use</v>
      </c>
      <c r="L131" s="5">
        <v>2</v>
      </c>
      <c r="M131" s="5">
        <v>4</v>
      </c>
      <c r="N131" s="5"/>
      <c r="O131" s="5" t="s">
        <v>143</v>
      </c>
      <c r="P131" s="5" t="s">
        <v>144</v>
      </c>
      <c r="Q131" s="9">
        <v>0</v>
      </c>
      <c r="R131" s="5" t="s">
        <v>145</v>
      </c>
      <c r="S131" s="5" t="s">
        <v>145</v>
      </c>
      <c r="T131" s="5" t="s">
        <v>146</v>
      </c>
      <c r="U131" s="7">
        <v>44651</v>
      </c>
      <c r="V131" s="5" t="s">
        <v>95</v>
      </c>
      <c r="W131" s="6">
        <v>80</v>
      </c>
      <c r="X131" s="5" t="s">
        <v>80</v>
      </c>
      <c r="Y131" s="9">
        <v>7</v>
      </c>
      <c r="Z131" s="5" t="s">
        <v>80</v>
      </c>
      <c r="AA131" s="5" t="s">
        <v>205</v>
      </c>
      <c r="AB131" s="9">
        <v>2</v>
      </c>
      <c r="AC131" s="5" t="s">
        <v>79</v>
      </c>
      <c r="AD131" s="5" t="s">
        <v>82</v>
      </c>
      <c r="AE131" s="5" t="s">
        <v>82</v>
      </c>
      <c r="AF131" s="10">
        <v>50000</v>
      </c>
      <c r="AG131" s="7">
        <v>45688</v>
      </c>
      <c r="AH131" s="10">
        <v>54000</v>
      </c>
      <c r="AI131" s="10">
        <v>22000</v>
      </c>
      <c r="AJ131" s="11">
        <f t="shared" si="1"/>
        <v>29.454545454545453</v>
      </c>
      <c r="AK131" s="12">
        <f>IF(B131="","",OR(K131="Not in use",K131="Low use")+AND(N131&lt;&gt;"",N131&lt;&gt;"TBD")+AND(ISNUMBER(U131),U131&lt;=EDATE('Scoring Settings'!$B$4,'Scoring Settings'!$B$8))+AND(ISNUMBER(L131),L131&lt;='Scoring Settings'!$B$7))</f>
        <v>3</v>
      </c>
      <c r="AL131" s="5" t="s">
        <v>96</v>
      </c>
      <c r="AM131" s="8" t="str">
        <f>IF(B131="","",IF(Z131="N","Easy",IF(OR(AND(ISNUMBER(AB131),AB131&gt;'Scoring Settings'!$B$11),AND(ISNUMBER(W131),W131&gt;'Scoring Settings'!$B$12),AND(ISNUMBER(M131),M131&lt;='Scoring Settings'!$B$13)),"High","Medium")))</f>
        <v>Medium</v>
      </c>
      <c r="AN131" s="5" t="s">
        <v>196</v>
      </c>
      <c r="AO131" s="7">
        <v>44561</v>
      </c>
      <c r="AP131" s="5" t="s">
        <v>197</v>
      </c>
      <c r="AQ131" s="29" t="s">
        <v>276</v>
      </c>
    </row>
    <row r="132" spans="1:43">
      <c r="A132" s="28">
        <v>112077</v>
      </c>
      <c r="B132" s="5" t="s">
        <v>1963</v>
      </c>
      <c r="C132" s="5" t="s">
        <v>287</v>
      </c>
      <c r="D132" s="5" t="s">
        <v>162</v>
      </c>
      <c r="E132" s="5" t="s">
        <v>68</v>
      </c>
      <c r="F132" s="5"/>
      <c r="G132" s="5"/>
      <c r="H132" s="5"/>
      <c r="I132" s="6">
        <v>0</v>
      </c>
      <c r="J132" s="7">
        <v>44293</v>
      </c>
      <c r="K132" s="8" t="str">
        <f>IF(B132="","",IF(AND(I132="",J132=""),"Unknown",IF(OR(AND(ISNUMBER(I132),I132=0),AND(ISNUMBER(J132),J132&lt;=EDATE('Scoring Settings'!$B$4,-'Scoring Settings'!$B$5))),"Not in use",IF(AND(ISNUMBER(I132),I132&lt;'Scoring Settings'!$B$6),"Low use","Active"))))</f>
        <v>Not in use</v>
      </c>
      <c r="L132" s="5">
        <v>4</v>
      </c>
      <c r="M132" s="5">
        <v>2</v>
      </c>
      <c r="N132" s="5" t="s">
        <v>458</v>
      </c>
      <c r="O132" s="5" t="s">
        <v>143</v>
      </c>
      <c r="P132" s="5" t="s">
        <v>144</v>
      </c>
      <c r="Q132" s="9">
        <v>0</v>
      </c>
      <c r="R132" s="5" t="s">
        <v>145</v>
      </c>
      <c r="S132" s="5" t="s">
        <v>145</v>
      </c>
      <c r="T132" s="5" t="s">
        <v>146</v>
      </c>
      <c r="U132" s="7">
        <v>45351</v>
      </c>
      <c r="V132" s="5" t="s">
        <v>135</v>
      </c>
      <c r="W132" s="6">
        <v>180</v>
      </c>
      <c r="X132" s="5" t="s">
        <v>79</v>
      </c>
      <c r="Y132" s="9">
        <v>7</v>
      </c>
      <c r="Z132" s="5" t="s">
        <v>80</v>
      </c>
      <c r="AA132" s="5" t="s">
        <v>205</v>
      </c>
      <c r="AB132" s="9">
        <v>7</v>
      </c>
      <c r="AC132" s="5" t="s">
        <v>82</v>
      </c>
      <c r="AD132" s="5" t="s">
        <v>82</v>
      </c>
      <c r="AE132" s="5" t="s">
        <v>80</v>
      </c>
      <c r="AF132" s="10">
        <v>29500</v>
      </c>
      <c r="AG132" s="7">
        <v>48699</v>
      </c>
      <c r="AH132" s="10">
        <v>54000</v>
      </c>
      <c r="AI132" s="10">
        <v>18000</v>
      </c>
      <c r="AJ132" s="11">
        <f t="shared" si="1"/>
        <v>36</v>
      </c>
      <c r="AK132" s="12">
        <f>IF(B132="","",OR(K132="Not in use",K132="Low use")+AND(N132&lt;&gt;"",N132&lt;&gt;"TBD")+AND(ISNUMBER(U132),U132&lt;=EDATE('Scoring Settings'!$B$4,'Scoring Settings'!$B$8))+AND(ISNUMBER(L132),L132&lt;='Scoring Settings'!$B$7))</f>
        <v>2</v>
      </c>
      <c r="AL132" s="5" t="s">
        <v>2217</v>
      </c>
      <c r="AM132" s="8" t="str">
        <f>IF(B132="","",IF(Z132="N","Easy",IF(OR(AND(ISNUMBER(AB132),AB132&gt;'Scoring Settings'!$B$11),AND(ISNUMBER(W132),W132&gt;'Scoring Settings'!$B$12),AND(ISNUMBER(M132),M132&lt;='Scoring Settings'!$B$13)),"High","Medium")))</f>
        <v>High</v>
      </c>
      <c r="AN132" s="5" t="s">
        <v>196</v>
      </c>
      <c r="AO132" s="7">
        <v>44316</v>
      </c>
      <c r="AP132" s="5" t="s">
        <v>372</v>
      </c>
      <c r="AQ132" s="29" t="s">
        <v>1964</v>
      </c>
    </row>
    <row r="133" spans="1:43">
      <c r="A133" s="28">
        <v>188809</v>
      </c>
      <c r="B133" s="5" t="s">
        <v>1994</v>
      </c>
      <c r="C133" s="5" t="s">
        <v>667</v>
      </c>
      <c r="D133" s="5" t="s">
        <v>115</v>
      </c>
      <c r="E133" s="5" t="s">
        <v>68</v>
      </c>
      <c r="F133" s="5"/>
      <c r="G133" s="5"/>
      <c r="H133" s="5"/>
      <c r="I133" s="6">
        <v>0</v>
      </c>
      <c r="J133" s="7">
        <v>44221</v>
      </c>
      <c r="K133" s="8" t="str">
        <f>IF(B133="","",IF(AND(I133="",J133=""),"Unknown",IF(OR(AND(ISNUMBER(I133),I133=0),AND(ISNUMBER(J133),J133&lt;=EDATE('Scoring Settings'!$B$4,-'Scoring Settings'!$B$5))),"Not in use",IF(AND(ISNUMBER(I133),I133&lt;'Scoring Settings'!$B$6),"Low use","Active"))))</f>
        <v>Not in use</v>
      </c>
      <c r="L133" s="5">
        <v>4</v>
      </c>
      <c r="M133" s="5">
        <v>1</v>
      </c>
      <c r="N133" s="5" t="s">
        <v>668</v>
      </c>
      <c r="O133" s="5" t="s">
        <v>130</v>
      </c>
      <c r="P133" s="5" t="s">
        <v>1995</v>
      </c>
      <c r="Q133" s="9">
        <v>4</v>
      </c>
      <c r="R133" s="5" t="s">
        <v>166</v>
      </c>
      <c r="S133" s="5" t="s">
        <v>167</v>
      </c>
      <c r="T133" s="5" t="s">
        <v>195</v>
      </c>
      <c r="U133" s="7">
        <v>45482</v>
      </c>
      <c r="V133" s="5" t="s">
        <v>78</v>
      </c>
      <c r="W133" s="6">
        <v>210</v>
      </c>
      <c r="X133" s="5" t="s">
        <v>80</v>
      </c>
      <c r="Y133" s="9">
        <v>10</v>
      </c>
      <c r="Z133" s="5" t="s">
        <v>79</v>
      </c>
      <c r="AA133" s="5" t="s">
        <v>110</v>
      </c>
      <c r="AB133" s="9">
        <v>45</v>
      </c>
      <c r="AC133" s="5" t="s">
        <v>82</v>
      </c>
      <c r="AD133" s="5" t="s">
        <v>80</v>
      </c>
      <c r="AE133" s="5" t="s">
        <v>79</v>
      </c>
      <c r="AF133" s="10">
        <v>95000</v>
      </c>
      <c r="AG133" s="7">
        <v>45716</v>
      </c>
      <c r="AH133" s="10">
        <v>187500</v>
      </c>
      <c r="AI133" s="10">
        <v>57000</v>
      </c>
      <c r="AJ133" s="11">
        <f t="shared" ref="AJ133:AJ196" si="2">IF(AND(ISNUMBER(AH133),ISNUMBER(AI133),N(AI133)&gt;0),AH133/AI133*12,"")</f>
        <v>39.473684210526315</v>
      </c>
      <c r="AK133" s="12">
        <f>IF(B133="","",OR(K133="Not in use",K133="Low use")+AND(N133&lt;&gt;"",N133&lt;&gt;"TBD")+AND(ISNUMBER(U133),U133&lt;=EDATE('Scoring Settings'!$B$4,'Scoring Settings'!$B$8))+AND(ISNUMBER(L133),L133&lt;='Scoring Settings'!$B$7))</f>
        <v>2</v>
      </c>
      <c r="AL133" s="5" t="s">
        <v>2217</v>
      </c>
      <c r="AM133" s="8" t="str">
        <f>IF(B133="","",IF(Z133="N","Easy",IF(OR(AND(ISNUMBER(AB133),AB133&gt;'Scoring Settings'!$B$11),AND(ISNUMBER(W133),W133&gt;'Scoring Settings'!$B$12),AND(ISNUMBER(M133),M133&lt;='Scoring Settings'!$B$13)),"High","Medium")))</f>
        <v>Easy</v>
      </c>
      <c r="AN133" s="5" t="s">
        <v>196</v>
      </c>
      <c r="AO133" s="7">
        <v>44227</v>
      </c>
      <c r="AP133" s="5" t="s">
        <v>372</v>
      </c>
      <c r="AQ133" s="29" t="s">
        <v>1996</v>
      </c>
    </row>
    <row r="134" spans="1:43">
      <c r="A134" s="28">
        <v>182066</v>
      </c>
      <c r="B134" s="5" t="s">
        <v>1997</v>
      </c>
      <c r="C134" s="5" t="s">
        <v>66</v>
      </c>
      <c r="D134" s="5" t="s">
        <v>67</v>
      </c>
      <c r="E134" s="5" t="s">
        <v>68</v>
      </c>
      <c r="F134" s="5"/>
      <c r="G134" s="5"/>
      <c r="H134" s="5"/>
      <c r="I134" s="6">
        <v>11</v>
      </c>
      <c r="J134" s="7">
        <v>44286</v>
      </c>
      <c r="K134" s="8" t="str">
        <f>IF(B134="","",IF(AND(I134="",J134=""),"Unknown",IF(OR(AND(ISNUMBER(I134),I134=0),AND(ISNUMBER(J134),J134&lt;=EDATE('Scoring Settings'!$B$4,-'Scoring Settings'!$B$5))),"Not in use",IF(AND(ISNUMBER(I134),I134&lt;'Scoring Settings'!$B$6),"Low use","Active"))))</f>
        <v>Low use</v>
      </c>
      <c r="L134" s="5">
        <v>3</v>
      </c>
      <c r="M134" s="5">
        <v>3</v>
      </c>
      <c r="N134" s="5" t="s">
        <v>227</v>
      </c>
      <c r="O134" s="5" t="s">
        <v>73</v>
      </c>
      <c r="P134" s="5" t="s">
        <v>1405</v>
      </c>
      <c r="Q134" s="9">
        <v>1</v>
      </c>
      <c r="R134" s="5" t="s">
        <v>352</v>
      </c>
      <c r="S134" s="5" t="s">
        <v>353</v>
      </c>
      <c r="T134" s="5" t="s">
        <v>184</v>
      </c>
      <c r="U134" s="7">
        <v>47127</v>
      </c>
      <c r="V134" s="5" t="s">
        <v>95</v>
      </c>
      <c r="W134" s="6">
        <v>980</v>
      </c>
      <c r="X134" s="5" t="s">
        <v>80</v>
      </c>
      <c r="Y134" s="9">
        <v>10</v>
      </c>
      <c r="Z134" s="5" t="s">
        <v>79</v>
      </c>
      <c r="AA134" s="5" t="s">
        <v>110</v>
      </c>
      <c r="AB134" s="9">
        <v>3</v>
      </c>
      <c r="AC134" s="5" t="s">
        <v>79</v>
      </c>
      <c r="AD134" s="5" t="s">
        <v>82</v>
      </c>
      <c r="AE134" s="5" t="s">
        <v>82</v>
      </c>
      <c r="AF134" s="10">
        <v>27500</v>
      </c>
      <c r="AG134" s="7">
        <v>47208</v>
      </c>
      <c r="AH134" s="10">
        <v>26500</v>
      </c>
      <c r="AI134" s="10">
        <v>23500</v>
      </c>
      <c r="AJ134" s="11">
        <f t="shared" si="2"/>
        <v>13.531914893617021</v>
      </c>
      <c r="AK134" s="12">
        <f>IF(B134="","",OR(K134="Not in use",K134="Low use")+AND(N134&lt;&gt;"",N134&lt;&gt;"TBD")+AND(ISNUMBER(U134),U134&lt;=EDATE('Scoring Settings'!$B$4,'Scoring Settings'!$B$8))+AND(ISNUMBER(L134),L134&lt;='Scoring Settings'!$B$7))</f>
        <v>2</v>
      </c>
      <c r="AL134" s="5" t="s">
        <v>223</v>
      </c>
      <c r="AM134" s="8" t="str">
        <f>IF(B134="","",IF(Z134="N","Easy",IF(OR(AND(ISNUMBER(AB134),AB134&gt;'Scoring Settings'!$B$11),AND(ISNUMBER(W134),W134&gt;'Scoring Settings'!$B$12),AND(ISNUMBER(M134),M134&lt;='Scoring Settings'!$B$13)),"High","Medium")))</f>
        <v>Easy</v>
      </c>
      <c r="AN134" s="5" t="s">
        <v>196</v>
      </c>
      <c r="AO134" s="7">
        <v>44500</v>
      </c>
      <c r="AP134" s="5" t="s">
        <v>197</v>
      </c>
      <c r="AQ134" s="29" t="s">
        <v>688</v>
      </c>
    </row>
    <row r="135" spans="1:43">
      <c r="A135" s="28">
        <v>127313</v>
      </c>
      <c r="B135" s="5" t="s">
        <v>2003</v>
      </c>
      <c r="C135" s="5" t="s">
        <v>126</v>
      </c>
      <c r="D135" s="5" t="s">
        <v>88</v>
      </c>
      <c r="E135" s="5" t="s">
        <v>68</v>
      </c>
      <c r="F135" s="5"/>
      <c r="G135" s="5"/>
      <c r="H135" s="5"/>
      <c r="I135" s="6">
        <v>0</v>
      </c>
      <c r="J135" s="7">
        <v>43655</v>
      </c>
      <c r="K135" s="8" t="str">
        <f>IF(B135="","",IF(AND(I135="",J135=""),"Unknown",IF(OR(AND(ISNUMBER(I135),I135=0),AND(ISNUMBER(J135),J135&lt;=EDATE('Scoring Settings'!$B$4,-'Scoring Settings'!$B$5))),"Not in use",IF(AND(ISNUMBER(I135),I135&lt;'Scoring Settings'!$B$6),"Low use","Active"))))</f>
        <v>Not in use</v>
      </c>
      <c r="L135" s="5">
        <v>1</v>
      </c>
      <c r="M135" s="5">
        <v>3</v>
      </c>
      <c r="N135" s="5" t="s">
        <v>1592</v>
      </c>
      <c r="O135" s="5" t="s">
        <v>73</v>
      </c>
      <c r="P135" s="5" t="s">
        <v>1500</v>
      </c>
      <c r="Q135" s="9">
        <v>4</v>
      </c>
      <c r="R135" s="5" t="s">
        <v>358</v>
      </c>
      <c r="S135" s="5" t="s">
        <v>133</v>
      </c>
      <c r="T135" s="5" t="s">
        <v>77</v>
      </c>
      <c r="U135" s="7">
        <v>43555</v>
      </c>
      <c r="V135" s="5" t="s">
        <v>135</v>
      </c>
      <c r="W135" s="6">
        <v>10</v>
      </c>
      <c r="X135" s="5" t="s">
        <v>79</v>
      </c>
      <c r="Y135" s="9">
        <v>5</v>
      </c>
      <c r="Z135" s="5" t="s">
        <v>79</v>
      </c>
      <c r="AA135" s="5" t="s">
        <v>110</v>
      </c>
      <c r="AB135" s="9">
        <v>5</v>
      </c>
      <c r="AC135" s="5" t="s">
        <v>82</v>
      </c>
      <c r="AD135" s="5" t="s">
        <v>82</v>
      </c>
      <c r="AE135" s="5" t="s">
        <v>82</v>
      </c>
      <c r="AF135" s="10">
        <v>65000</v>
      </c>
      <c r="AG135" s="7">
        <v>46112</v>
      </c>
      <c r="AH135" s="10">
        <v>91000</v>
      </c>
      <c r="AI135" s="10">
        <v>62000</v>
      </c>
      <c r="AJ135" s="11">
        <f t="shared" si="2"/>
        <v>17.612903225806452</v>
      </c>
      <c r="AK135" s="12">
        <f>IF(B135="","",OR(K135="Not in use",K135="Low use")+AND(N135&lt;&gt;"",N135&lt;&gt;"TBD")+AND(ISNUMBER(U135),U135&lt;=EDATE('Scoring Settings'!$B$4,'Scoring Settings'!$B$8))+AND(ISNUMBER(L135),L135&lt;='Scoring Settings'!$B$7))</f>
        <v>4</v>
      </c>
      <c r="AL135" s="5" t="s">
        <v>223</v>
      </c>
      <c r="AM135" s="8" t="str">
        <f>IF(B135="","",IF(Z135="N","Easy",IF(OR(AND(ISNUMBER(AB135),AB135&gt;'Scoring Settings'!$B$11),AND(ISNUMBER(W135),W135&gt;'Scoring Settings'!$B$12),AND(ISNUMBER(M135),M135&lt;='Scoring Settings'!$B$13)),"High","Medium")))</f>
        <v>Easy</v>
      </c>
      <c r="AN135" s="5" t="s">
        <v>196</v>
      </c>
      <c r="AO135" s="7">
        <v>44347</v>
      </c>
      <c r="AP135" s="5" t="s">
        <v>372</v>
      </c>
      <c r="AQ135" s="29" t="s">
        <v>595</v>
      </c>
    </row>
    <row r="136" spans="1:43">
      <c r="A136" s="28">
        <v>88864</v>
      </c>
      <c r="B136" s="5" t="s">
        <v>2007</v>
      </c>
      <c r="C136" s="5" t="s">
        <v>453</v>
      </c>
      <c r="D136" s="5" t="s">
        <v>67</v>
      </c>
      <c r="E136" s="5" t="s">
        <v>68</v>
      </c>
      <c r="F136" s="5"/>
      <c r="G136" s="5"/>
      <c r="H136" s="5"/>
      <c r="I136" s="6">
        <v>0</v>
      </c>
      <c r="J136" s="7">
        <v>44270</v>
      </c>
      <c r="K136" s="8" t="str">
        <f>IF(B136="","",IF(AND(I136="",J136=""),"Unknown",IF(OR(AND(ISNUMBER(I136),I136=0),AND(ISNUMBER(J136),J136&lt;=EDATE('Scoring Settings'!$B$4,-'Scoring Settings'!$B$5))),"Not in use",IF(AND(ISNUMBER(I136),I136&lt;'Scoring Settings'!$B$6),"Low use","Active"))))</f>
        <v>Not in use</v>
      </c>
      <c r="L136" s="5">
        <v>2</v>
      </c>
      <c r="M136" s="5">
        <v>3</v>
      </c>
      <c r="N136" s="5" t="s">
        <v>190</v>
      </c>
      <c r="O136" s="5" t="s">
        <v>73</v>
      </c>
      <c r="P136" s="5" t="s">
        <v>2008</v>
      </c>
      <c r="Q136" s="9">
        <v>4</v>
      </c>
      <c r="R136" s="5" t="s">
        <v>239</v>
      </c>
      <c r="S136" s="5" t="s">
        <v>72</v>
      </c>
      <c r="T136" s="5" t="s">
        <v>122</v>
      </c>
      <c r="U136" s="7">
        <v>44316</v>
      </c>
      <c r="V136" s="5" t="s">
        <v>135</v>
      </c>
      <c r="W136" s="6">
        <v>45</v>
      </c>
      <c r="X136" s="5" t="s">
        <v>79</v>
      </c>
      <c r="Y136" s="9">
        <v>3</v>
      </c>
      <c r="Z136" s="5" t="s">
        <v>79</v>
      </c>
      <c r="AA136" s="5" t="s">
        <v>110</v>
      </c>
      <c r="AB136" s="9">
        <v>4</v>
      </c>
      <c r="AC136" s="5" t="s">
        <v>82</v>
      </c>
      <c r="AD136" s="5" t="s">
        <v>82</v>
      </c>
      <c r="AE136" s="5" t="s">
        <v>82</v>
      </c>
      <c r="AF136" s="10">
        <v>39000</v>
      </c>
      <c r="AG136" s="7">
        <v>46783</v>
      </c>
      <c r="AH136" s="10">
        <v>32500</v>
      </c>
      <c r="AI136" s="10">
        <v>37500</v>
      </c>
      <c r="AJ136" s="11">
        <f t="shared" si="2"/>
        <v>10.4</v>
      </c>
      <c r="AK136" s="12">
        <f>IF(B136="","",OR(K136="Not in use",K136="Low use")+AND(N136&lt;&gt;"",N136&lt;&gt;"TBD")+AND(ISNUMBER(U136),U136&lt;=EDATE('Scoring Settings'!$B$4,'Scoring Settings'!$B$8))+AND(ISNUMBER(L136),L136&lt;='Scoring Settings'!$B$7))</f>
        <v>4</v>
      </c>
      <c r="AL136" s="5" t="s">
        <v>223</v>
      </c>
      <c r="AM136" s="8" t="str">
        <f>IF(B136="","",IF(Z136="N","Easy",IF(OR(AND(ISNUMBER(AB136),AB136&gt;'Scoring Settings'!$B$11),AND(ISNUMBER(W136),W136&gt;'Scoring Settings'!$B$12),AND(ISNUMBER(M136),M136&lt;='Scoring Settings'!$B$13)),"High","Medium")))</f>
        <v>Easy</v>
      </c>
      <c r="AN136" s="5" t="s">
        <v>196</v>
      </c>
      <c r="AO136" s="7">
        <v>44286</v>
      </c>
      <c r="AP136" s="5" t="s">
        <v>372</v>
      </c>
      <c r="AQ136" s="29" t="s">
        <v>375</v>
      </c>
    </row>
    <row r="137" spans="1:43">
      <c r="A137" s="28">
        <v>83299</v>
      </c>
      <c r="B137" s="5" t="s">
        <v>2021</v>
      </c>
      <c r="C137" s="5" t="s">
        <v>301</v>
      </c>
      <c r="D137" s="5" t="s">
        <v>162</v>
      </c>
      <c r="E137" s="5" t="s">
        <v>68</v>
      </c>
      <c r="F137" s="5"/>
      <c r="G137" s="5"/>
      <c r="H137" s="5"/>
      <c r="I137" s="6">
        <v>0</v>
      </c>
      <c r="J137" s="7">
        <v>44304</v>
      </c>
      <c r="K137" s="8" t="str">
        <f>IF(B137="","",IF(AND(I137="",J137=""),"Unknown",IF(OR(AND(ISNUMBER(I137),I137=0),AND(ISNUMBER(J137),J137&lt;=EDATE('Scoring Settings'!$B$4,-'Scoring Settings'!$B$5))),"Not in use",IF(AND(ISNUMBER(I137),I137&lt;'Scoring Settings'!$B$6),"Low use","Active"))))</f>
        <v>Not in use</v>
      </c>
      <c r="L137" s="5">
        <v>3</v>
      </c>
      <c r="M137" s="5">
        <v>3</v>
      </c>
      <c r="N137" s="5" t="s">
        <v>458</v>
      </c>
      <c r="O137" s="5" t="s">
        <v>73</v>
      </c>
      <c r="P137" s="5" t="s">
        <v>2022</v>
      </c>
      <c r="Q137" s="9">
        <v>1</v>
      </c>
      <c r="R137" s="5" t="s">
        <v>251</v>
      </c>
      <c r="S137" s="5" t="s">
        <v>133</v>
      </c>
      <c r="T137" s="5" t="s">
        <v>72</v>
      </c>
      <c r="U137" s="7">
        <v>44165</v>
      </c>
      <c r="V137" s="5" t="s">
        <v>135</v>
      </c>
      <c r="W137" s="6">
        <v>140</v>
      </c>
      <c r="X137" s="5" t="s">
        <v>80</v>
      </c>
      <c r="Y137" s="9">
        <v>10</v>
      </c>
      <c r="Z137" s="5" t="s">
        <v>79</v>
      </c>
      <c r="AA137" s="5" t="s">
        <v>110</v>
      </c>
      <c r="AB137" s="9">
        <v>8</v>
      </c>
      <c r="AC137" s="5" t="s">
        <v>79</v>
      </c>
      <c r="AD137" s="5" t="s">
        <v>82</v>
      </c>
      <c r="AE137" s="5" t="s">
        <v>79</v>
      </c>
      <c r="AF137" s="10">
        <v>42500</v>
      </c>
      <c r="AG137" s="7">
        <v>48426</v>
      </c>
      <c r="AH137" s="10">
        <v>42000</v>
      </c>
      <c r="AI137" s="10">
        <v>33500</v>
      </c>
      <c r="AJ137" s="11">
        <f t="shared" si="2"/>
        <v>15.044776119402986</v>
      </c>
      <c r="AK137" s="12">
        <f>IF(B137="","",OR(K137="Not in use",K137="Low use")+AND(N137&lt;&gt;"",N137&lt;&gt;"TBD")+AND(ISNUMBER(U137),U137&lt;=EDATE('Scoring Settings'!$B$4,'Scoring Settings'!$B$8))+AND(ISNUMBER(L137),L137&lt;='Scoring Settings'!$B$7))</f>
        <v>3</v>
      </c>
      <c r="AL137" s="5" t="s">
        <v>2217</v>
      </c>
      <c r="AM137" s="8" t="str">
        <f>IF(B137="","",IF(Z137="N","Easy",IF(OR(AND(ISNUMBER(AB137),AB137&gt;'Scoring Settings'!$B$11),AND(ISNUMBER(W137),W137&gt;'Scoring Settings'!$B$12),AND(ISNUMBER(M137),M137&lt;='Scoring Settings'!$B$13)),"High","Medium")))</f>
        <v>Easy</v>
      </c>
      <c r="AN137" s="5" t="s">
        <v>196</v>
      </c>
      <c r="AO137" s="7">
        <v>44316</v>
      </c>
      <c r="AP137" s="5" t="s">
        <v>372</v>
      </c>
      <c r="AQ137" s="29" t="s">
        <v>1964</v>
      </c>
    </row>
    <row r="138" spans="1:43">
      <c r="A138" s="28">
        <v>101970</v>
      </c>
      <c r="B138" s="5" t="s">
        <v>2034</v>
      </c>
      <c r="C138" s="5" t="s">
        <v>634</v>
      </c>
      <c r="D138" s="5" t="s">
        <v>297</v>
      </c>
      <c r="E138" s="5" t="s">
        <v>68</v>
      </c>
      <c r="F138" s="5"/>
      <c r="G138" s="5"/>
      <c r="H138" s="5"/>
      <c r="I138" s="6">
        <v>10</v>
      </c>
      <c r="J138" s="7">
        <v>44272</v>
      </c>
      <c r="K138" s="8" t="str">
        <f>IF(B138="","",IF(AND(I138="",J138=""),"Unknown",IF(OR(AND(ISNUMBER(I138),I138=0),AND(ISNUMBER(J138),J138&lt;=EDATE('Scoring Settings'!$B$4,-'Scoring Settings'!$B$5))),"Not in use",IF(AND(ISNUMBER(I138),I138&lt;'Scoring Settings'!$B$6),"Low use","Active"))))</f>
        <v>Low use</v>
      </c>
      <c r="L138" s="5">
        <v>2</v>
      </c>
      <c r="M138" s="5">
        <v>4</v>
      </c>
      <c r="N138" s="5" t="s">
        <v>723</v>
      </c>
      <c r="O138" s="5" t="s">
        <v>73</v>
      </c>
      <c r="P138" s="5" t="s">
        <v>1928</v>
      </c>
      <c r="Q138" s="9">
        <v>3</v>
      </c>
      <c r="R138" s="5" t="s">
        <v>132</v>
      </c>
      <c r="S138" s="5" t="s">
        <v>133</v>
      </c>
      <c r="T138" s="5" t="s">
        <v>77</v>
      </c>
      <c r="U138" s="7">
        <v>44227</v>
      </c>
      <c r="V138" s="5" t="s">
        <v>135</v>
      </c>
      <c r="W138" s="6">
        <v>2820</v>
      </c>
      <c r="X138" s="5" t="s">
        <v>80</v>
      </c>
      <c r="Y138" s="9">
        <v>10</v>
      </c>
      <c r="Z138" s="5" t="s">
        <v>79</v>
      </c>
      <c r="AA138" s="5" t="s">
        <v>110</v>
      </c>
      <c r="AB138" s="9">
        <v>2</v>
      </c>
      <c r="AC138" s="5" t="s">
        <v>80</v>
      </c>
      <c r="AD138" s="5" t="s">
        <v>79</v>
      </c>
      <c r="AE138" s="5" t="s">
        <v>82</v>
      </c>
      <c r="AF138" s="10">
        <v>55000</v>
      </c>
      <c r="AG138" s="7">
        <v>48548</v>
      </c>
      <c r="AH138" s="10">
        <v>112000</v>
      </c>
      <c r="AI138" s="10">
        <v>53500</v>
      </c>
      <c r="AJ138" s="11">
        <f t="shared" si="2"/>
        <v>25.121495327102799</v>
      </c>
      <c r="AK138" s="12">
        <f>IF(B138="","",OR(K138="Not in use",K138="Low use")+AND(N138&lt;&gt;"",N138&lt;&gt;"TBD")+AND(ISNUMBER(U138),U138&lt;=EDATE('Scoring Settings'!$B$4,'Scoring Settings'!$B$8))+AND(ISNUMBER(L138),L138&lt;='Scoring Settings'!$B$7))</f>
        <v>4</v>
      </c>
      <c r="AL138" s="5" t="s">
        <v>223</v>
      </c>
      <c r="AM138" s="8" t="str">
        <f>IF(B138="","",IF(Z138="N","Easy",IF(OR(AND(ISNUMBER(AB138),AB138&gt;'Scoring Settings'!$B$11),AND(ISNUMBER(W138),W138&gt;'Scoring Settings'!$B$12),AND(ISNUMBER(M138),M138&lt;='Scoring Settings'!$B$13)),"High","Medium")))</f>
        <v>Easy</v>
      </c>
      <c r="AN138" s="5" t="s">
        <v>196</v>
      </c>
      <c r="AO138" s="7">
        <v>44347</v>
      </c>
      <c r="AP138" s="5" t="s">
        <v>372</v>
      </c>
      <c r="AQ138" s="29" t="s">
        <v>595</v>
      </c>
    </row>
    <row r="139" spans="1:43">
      <c r="A139" s="28">
        <v>64381</v>
      </c>
      <c r="B139" s="5" t="s">
        <v>2038</v>
      </c>
      <c r="C139" s="5" t="s">
        <v>234</v>
      </c>
      <c r="D139" s="5" t="s">
        <v>102</v>
      </c>
      <c r="E139" s="5" t="s">
        <v>68</v>
      </c>
      <c r="F139" s="5"/>
      <c r="G139" s="5"/>
      <c r="H139" s="5"/>
      <c r="I139" s="6">
        <v>674</v>
      </c>
      <c r="J139" s="7">
        <v>44287</v>
      </c>
      <c r="K139" s="8" t="str">
        <f>IF(B139="","",IF(AND(I139="",J139=""),"Unknown",IF(OR(AND(ISNUMBER(I139),I139=0),AND(ISNUMBER(J139),J139&lt;=EDATE('Scoring Settings'!$B$4,-'Scoring Settings'!$B$5))),"Not in use",IF(AND(ISNUMBER(I139),I139&lt;'Scoring Settings'!$B$6),"Low use","Active"))))</f>
        <v>Active</v>
      </c>
      <c r="L139" s="5">
        <v>4</v>
      </c>
      <c r="M139" s="5">
        <v>2</v>
      </c>
      <c r="N139" s="5" t="s">
        <v>1163</v>
      </c>
      <c r="O139" s="5" t="s">
        <v>130</v>
      </c>
      <c r="P139" s="5" t="s">
        <v>2039</v>
      </c>
      <c r="Q139" s="9">
        <v>3</v>
      </c>
      <c r="R139" s="5" t="s">
        <v>251</v>
      </c>
      <c r="S139" s="5" t="s">
        <v>133</v>
      </c>
      <c r="T139" s="5" t="s">
        <v>195</v>
      </c>
      <c r="U139" s="7" t="s">
        <v>72</v>
      </c>
      <c r="V139" s="5" t="s">
        <v>78</v>
      </c>
      <c r="W139" s="6">
        <v>82</v>
      </c>
      <c r="X139" s="5" t="s">
        <v>80</v>
      </c>
      <c r="Y139" s="9">
        <v>5</v>
      </c>
      <c r="Z139" s="5" t="s">
        <v>79</v>
      </c>
      <c r="AA139" s="5" t="s">
        <v>110</v>
      </c>
      <c r="AB139" s="9">
        <v>18</v>
      </c>
      <c r="AC139" s="5" t="s">
        <v>80</v>
      </c>
      <c r="AD139" s="5" t="s">
        <v>79</v>
      </c>
      <c r="AE139" s="5" t="s">
        <v>82</v>
      </c>
      <c r="AF139" s="10">
        <v>55000</v>
      </c>
      <c r="AG139" s="7">
        <v>49460</v>
      </c>
      <c r="AH139" s="10">
        <v>103500</v>
      </c>
      <c r="AI139" s="10">
        <v>42500</v>
      </c>
      <c r="AJ139" s="11">
        <f t="shared" si="2"/>
        <v>29.223529411764702</v>
      </c>
      <c r="AK139" s="12">
        <f>IF(B139="","",OR(K139="Not in use",K139="Low use")+AND(N139&lt;&gt;"",N139&lt;&gt;"TBD")+AND(ISNUMBER(U139),U139&lt;=EDATE('Scoring Settings'!$B$4,'Scoring Settings'!$B$8))+AND(ISNUMBER(L139),L139&lt;='Scoring Settings'!$B$7))</f>
        <v>1</v>
      </c>
      <c r="AL139" s="5" t="s">
        <v>2217</v>
      </c>
      <c r="AM139" s="8" t="str">
        <f>IF(B139="","",IF(Z139="N","Easy",IF(OR(AND(ISNUMBER(AB139),AB139&gt;'Scoring Settings'!$B$11),AND(ISNUMBER(W139),W139&gt;'Scoring Settings'!$B$12),AND(ISNUMBER(M139),M139&lt;='Scoring Settings'!$B$13)),"High","Medium")))</f>
        <v>Easy</v>
      </c>
      <c r="AN139" s="5" t="s">
        <v>196</v>
      </c>
      <c r="AO139" s="7">
        <v>44530</v>
      </c>
      <c r="AP139" s="5" t="s">
        <v>197</v>
      </c>
      <c r="AQ139" s="29" t="s">
        <v>1104</v>
      </c>
    </row>
    <row r="140" spans="1:43">
      <c r="A140" s="28">
        <v>130013</v>
      </c>
      <c r="B140" s="5" t="s">
        <v>2064</v>
      </c>
      <c r="C140" s="5" t="s">
        <v>138</v>
      </c>
      <c r="D140" s="5" t="s">
        <v>139</v>
      </c>
      <c r="E140" s="5" t="s">
        <v>68</v>
      </c>
      <c r="F140" s="5"/>
      <c r="G140" s="5"/>
      <c r="H140" s="5"/>
      <c r="I140" s="6">
        <v>0</v>
      </c>
      <c r="J140" s="7">
        <v>44309</v>
      </c>
      <c r="K140" s="8" t="str">
        <f>IF(B140="","",IF(AND(I140="",J140=""),"Unknown",IF(OR(AND(ISNUMBER(I140),I140=0),AND(ISNUMBER(J140),J140&lt;=EDATE('Scoring Settings'!$B$4,-'Scoring Settings'!$B$5))),"Not in use",IF(AND(ISNUMBER(I140),I140&lt;'Scoring Settings'!$B$6),"Low use","Active"))))</f>
        <v>Not in use</v>
      </c>
      <c r="L140" s="5">
        <v>4</v>
      </c>
      <c r="M140" s="5">
        <v>2</v>
      </c>
      <c r="N140" s="5" t="s">
        <v>366</v>
      </c>
      <c r="O140" s="5" t="s">
        <v>143</v>
      </c>
      <c r="P140" s="5" t="s">
        <v>144</v>
      </c>
      <c r="Q140" s="9">
        <v>0</v>
      </c>
      <c r="R140" s="5" t="s">
        <v>145</v>
      </c>
      <c r="S140" s="5" t="s">
        <v>145</v>
      </c>
      <c r="T140" s="5" t="s">
        <v>146</v>
      </c>
      <c r="U140" s="7"/>
      <c r="V140" s="5" t="s">
        <v>78</v>
      </c>
      <c r="W140" s="6">
        <v>150</v>
      </c>
      <c r="X140" s="5" t="s">
        <v>80</v>
      </c>
      <c r="Y140" s="9">
        <v>10</v>
      </c>
      <c r="Z140" s="5" t="s">
        <v>79</v>
      </c>
      <c r="AA140" s="5" t="s">
        <v>110</v>
      </c>
      <c r="AB140" s="9">
        <v>17</v>
      </c>
      <c r="AC140" s="5" t="s">
        <v>82</v>
      </c>
      <c r="AD140" s="5" t="s">
        <v>79</v>
      </c>
      <c r="AE140" s="5" t="s">
        <v>82</v>
      </c>
      <c r="AF140" s="10">
        <v>60000</v>
      </c>
      <c r="AG140" s="7">
        <v>48852</v>
      </c>
      <c r="AH140" s="10">
        <v>85500</v>
      </c>
      <c r="AI140" s="10">
        <v>28000</v>
      </c>
      <c r="AJ140" s="11">
        <f t="shared" si="2"/>
        <v>36.642857142857139</v>
      </c>
      <c r="AK140" s="12">
        <f>IF(B140="","",OR(K140="Not in use",K140="Low use")+AND(N140&lt;&gt;"",N140&lt;&gt;"TBD")+AND(ISNUMBER(U140),U140&lt;=EDATE('Scoring Settings'!$B$4,'Scoring Settings'!$B$8))+AND(ISNUMBER(L140),L140&lt;='Scoring Settings'!$B$7))</f>
        <v>2</v>
      </c>
      <c r="AL140" s="5" t="s">
        <v>2217</v>
      </c>
      <c r="AM140" s="8" t="str">
        <f>IF(B140="","",IF(Z140="N","Easy",IF(OR(AND(ISNUMBER(AB140),AB140&gt;'Scoring Settings'!$B$11),AND(ISNUMBER(W140),W140&gt;'Scoring Settings'!$B$12),AND(ISNUMBER(M140),M140&lt;='Scoring Settings'!$B$13)),"High","Medium")))</f>
        <v>Easy</v>
      </c>
      <c r="AN140" s="5" t="s">
        <v>196</v>
      </c>
      <c r="AO140" s="7">
        <v>44316</v>
      </c>
      <c r="AP140" s="5" t="s">
        <v>372</v>
      </c>
      <c r="AQ140" s="29" t="s">
        <v>2065</v>
      </c>
    </row>
    <row r="141" spans="1:43">
      <c r="A141" s="28">
        <v>113609</v>
      </c>
      <c r="B141" s="5" t="s">
        <v>2070</v>
      </c>
      <c r="C141" s="5" t="s">
        <v>634</v>
      </c>
      <c r="D141" s="5" t="s">
        <v>297</v>
      </c>
      <c r="E141" s="5" t="s">
        <v>68</v>
      </c>
      <c r="F141" s="5"/>
      <c r="G141" s="5"/>
      <c r="H141" s="5"/>
      <c r="I141" s="6">
        <v>0</v>
      </c>
      <c r="J141" s="7">
        <v>44232</v>
      </c>
      <c r="K141" s="8" t="str">
        <f>IF(B141="","",IF(AND(I141="",J141=""),"Unknown",IF(OR(AND(ISNUMBER(I141),I141=0),AND(ISNUMBER(J141),J141&lt;=EDATE('Scoring Settings'!$B$4,-'Scoring Settings'!$B$5))),"Not in use",IF(AND(ISNUMBER(I141),I141&lt;'Scoring Settings'!$B$6),"Low use","Active"))))</f>
        <v>Not in use</v>
      </c>
      <c r="L141" s="5">
        <v>3</v>
      </c>
      <c r="M141" s="5">
        <v>3</v>
      </c>
      <c r="N141" s="5"/>
      <c r="O141" s="5" t="s">
        <v>73</v>
      </c>
      <c r="P141" s="5" t="s">
        <v>2071</v>
      </c>
      <c r="Q141" s="9">
        <v>1</v>
      </c>
      <c r="R141" s="5" t="s">
        <v>203</v>
      </c>
      <c r="S141" s="5" t="s">
        <v>204</v>
      </c>
      <c r="T141" s="5" t="s">
        <v>72</v>
      </c>
      <c r="U141" s="7">
        <v>47269</v>
      </c>
      <c r="V141" s="5" t="s">
        <v>95</v>
      </c>
      <c r="W141" s="6">
        <v>2020</v>
      </c>
      <c r="X141" s="5" t="s">
        <v>80</v>
      </c>
      <c r="Y141" s="9">
        <v>10</v>
      </c>
      <c r="Z141" s="5" t="s">
        <v>79</v>
      </c>
      <c r="AA141" s="5" t="s">
        <v>110</v>
      </c>
      <c r="AB141" s="9">
        <v>2</v>
      </c>
      <c r="AC141" s="5" t="s">
        <v>82</v>
      </c>
      <c r="AD141" s="5" t="s">
        <v>82</v>
      </c>
      <c r="AE141" s="5" t="s">
        <v>79</v>
      </c>
      <c r="AF141" s="10">
        <v>16000</v>
      </c>
      <c r="AG141" s="7">
        <v>47422</v>
      </c>
      <c r="AH141" s="10">
        <v>14500</v>
      </c>
      <c r="AI141" s="10">
        <v>16000</v>
      </c>
      <c r="AJ141" s="11">
        <f t="shared" si="2"/>
        <v>10.875</v>
      </c>
      <c r="AK141" s="12">
        <f>IF(B141="","",OR(K141="Not in use",K141="Low use")+AND(N141&lt;&gt;"",N141&lt;&gt;"TBD")+AND(ISNUMBER(U141),U141&lt;=EDATE('Scoring Settings'!$B$4,'Scoring Settings'!$B$8))+AND(ISNUMBER(L141),L141&lt;='Scoring Settings'!$B$7))</f>
        <v>1</v>
      </c>
      <c r="AL141" s="5" t="s">
        <v>223</v>
      </c>
      <c r="AM141" s="8" t="str">
        <f>IF(B141="","",IF(Z141="N","Easy",IF(OR(AND(ISNUMBER(AB141),AB141&gt;'Scoring Settings'!$B$11),AND(ISNUMBER(W141),W141&gt;'Scoring Settings'!$B$12),AND(ISNUMBER(M141),M141&lt;='Scoring Settings'!$B$13)),"High","Medium")))</f>
        <v>Easy</v>
      </c>
      <c r="AN141" s="5" t="s">
        <v>196</v>
      </c>
      <c r="AO141" s="7">
        <v>44255</v>
      </c>
      <c r="AP141" s="5" t="s">
        <v>372</v>
      </c>
      <c r="AQ141" s="29" t="s">
        <v>611</v>
      </c>
    </row>
    <row r="142" spans="1:43">
      <c r="A142" s="28">
        <v>132720</v>
      </c>
      <c r="B142" s="5" t="s">
        <v>2077</v>
      </c>
      <c r="C142" s="5" t="s">
        <v>265</v>
      </c>
      <c r="D142" s="5" t="s">
        <v>102</v>
      </c>
      <c r="E142" s="5" t="s">
        <v>68</v>
      </c>
      <c r="F142" s="5"/>
      <c r="G142" s="5"/>
      <c r="H142" s="5"/>
      <c r="I142" s="6">
        <v>0</v>
      </c>
      <c r="J142" s="7">
        <v>44210</v>
      </c>
      <c r="K142" s="8" t="str">
        <f>IF(B142="","",IF(AND(I142="",J142=""),"Unknown",IF(OR(AND(ISNUMBER(I142),I142=0),AND(ISNUMBER(J142),J142&lt;=EDATE('Scoring Settings'!$B$4,-'Scoring Settings'!$B$5))),"Not in use",IF(AND(ISNUMBER(I142),I142&lt;'Scoring Settings'!$B$6),"Low use","Active"))))</f>
        <v>Not in use</v>
      </c>
      <c r="L142" s="5">
        <v>2</v>
      </c>
      <c r="M142" s="5">
        <v>4</v>
      </c>
      <c r="N142" s="5"/>
      <c r="O142" s="5" t="s">
        <v>191</v>
      </c>
      <c r="P142" s="5" t="s">
        <v>192</v>
      </c>
      <c r="Q142" s="9">
        <v>0</v>
      </c>
      <c r="R142" s="5" t="s">
        <v>193</v>
      </c>
      <c r="S142" s="5" t="s">
        <v>194</v>
      </c>
      <c r="T142" s="5" t="s">
        <v>195</v>
      </c>
      <c r="U142" s="7"/>
      <c r="V142" s="5" t="s">
        <v>95</v>
      </c>
      <c r="W142" s="6">
        <v>75</v>
      </c>
      <c r="X142" s="5" t="s">
        <v>80</v>
      </c>
      <c r="Y142" s="9">
        <v>5</v>
      </c>
      <c r="Z142" s="5" t="s">
        <v>79</v>
      </c>
      <c r="AA142" s="5" t="s">
        <v>110</v>
      </c>
      <c r="AB142" s="9">
        <v>1</v>
      </c>
      <c r="AC142" s="5" t="s">
        <v>82</v>
      </c>
      <c r="AD142" s="5" t="s">
        <v>82</v>
      </c>
      <c r="AE142" s="5" t="s">
        <v>79</v>
      </c>
      <c r="AF142" s="10">
        <v>14000</v>
      </c>
      <c r="AG142" s="7">
        <v>46234</v>
      </c>
      <c r="AH142" s="10">
        <v>11000</v>
      </c>
      <c r="AI142" s="10">
        <v>13500</v>
      </c>
      <c r="AJ142" s="11">
        <f t="shared" si="2"/>
        <v>9.7777777777777768</v>
      </c>
      <c r="AK142" s="12">
        <f>IF(B142="","",OR(K142="Not in use",K142="Low use")+AND(N142&lt;&gt;"",N142&lt;&gt;"TBD")+AND(ISNUMBER(U142),U142&lt;=EDATE('Scoring Settings'!$B$4,'Scoring Settings'!$B$8))+AND(ISNUMBER(L142),L142&lt;='Scoring Settings'!$B$7))</f>
        <v>2</v>
      </c>
      <c r="AL142" s="5" t="s">
        <v>223</v>
      </c>
      <c r="AM142" s="8" t="str">
        <f>IF(B142="","",IF(Z142="N","Easy",IF(OR(AND(ISNUMBER(AB142),AB142&gt;'Scoring Settings'!$B$11),AND(ISNUMBER(W142),W142&gt;'Scoring Settings'!$B$12),AND(ISNUMBER(M142),M142&lt;='Scoring Settings'!$B$13)),"High","Medium")))</f>
        <v>Easy</v>
      </c>
      <c r="AN142" s="5" t="s">
        <v>196</v>
      </c>
      <c r="AO142" s="7">
        <v>44227</v>
      </c>
      <c r="AP142" s="5" t="s">
        <v>372</v>
      </c>
      <c r="AQ142" s="29" t="s">
        <v>1597</v>
      </c>
    </row>
    <row r="143" spans="1:43">
      <c r="A143" s="28">
        <v>134908</v>
      </c>
      <c r="B143" s="5" t="s">
        <v>2095</v>
      </c>
      <c r="C143" s="5" t="s">
        <v>467</v>
      </c>
      <c r="D143" s="5" t="s">
        <v>297</v>
      </c>
      <c r="E143" s="5" t="s">
        <v>68</v>
      </c>
      <c r="F143" s="5"/>
      <c r="G143" s="5"/>
      <c r="H143" s="5"/>
      <c r="I143" s="6">
        <v>0</v>
      </c>
      <c r="J143" s="7">
        <v>43663</v>
      </c>
      <c r="K143" s="8" t="str">
        <f>IF(B143="","",IF(AND(I143="",J143=""),"Unknown",IF(OR(AND(ISNUMBER(I143),I143=0),AND(ISNUMBER(J143),J143&lt;=EDATE('Scoring Settings'!$B$4,-'Scoring Settings'!$B$5))),"Not in use",IF(AND(ISNUMBER(I143),I143&lt;'Scoring Settings'!$B$6),"Low use","Active"))))</f>
        <v>Not in use</v>
      </c>
      <c r="L143" s="5">
        <v>3</v>
      </c>
      <c r="M143" s="5">
        <v>3</v>
      </c>
      <c r="N143" s="5" t="s">
        <v>306</v>
      </c>
      <c r="O143" s="5" t="s">
        <v>73</v>
      </c>
      <c r="P143" s="5" t="s">
        <v>2096</v>
      </c>
      <c r="Q143" s="9">
        <v>3</v>
      </c>
      <c r="R143" s="5" t="s">
        <v>72</v>
      </c>
      <c r="S143" s="5" t="s">
        <v>240</v>
      </c>
      <c r="T143" s="5" t="s">
        <v>72</v>
      </c>
      <c r="U143" s="7">
        <v>44316</v>
      </c>
      <c r="V143" s="5" t="s">
        <v>135</v>
      </c>
      <c r="W143" s="6">
        <v>9</v>
      </c>
      <c r="X143" s="5" t="s">
        <v>80</v>
      </c>
      <c r="Y143" s="9">
        <v>7</v>
      </c>
      <c r="Z143" s="5" t="s">
        <v>79</v>
      </c>
      <c r="AA143" s="5" t="s">
        <v>110</v>
      </c>
      <c r="AB143" s="9">
        <v>5</v>
      </c>
      <c r="AC143" s="5" t="s">
        <v>80</v>
      </c>
      <c r="AD143" s="5" t="s">
        <v>80</v>
      </c>
      <c r="AE143" s="5" t="s">
        <v>79</v>
      </c>
      <c r="AF143" s="10">
        <v>42000</v>
      </c>
      <c r="AG143" s="7">
        <v>47208</v>
      </c>
      <c r="AH143" s="10">
        <v>18000</v>
      </c>
      <c r="AI143" s="10">
        <v>36000</v>
      </c>
      <c r="AJ143" s="11">
        <f t="shared" si="2"/>
        <v>6</v>
      </c>
      <c r="AK143" s="12">
        <f>IF(B143="","",OR(K143="Not in use",K143="Low use")+AND(N143&lt;&gt;"",N143&lt;&gt;"TBD")+AND(ISNUMBER(U143),U143&lt;=EDATE('Scoring Settings'!$B$4,'Scoring Settings'!$B$8))+AND(ISNUMBER(L143),L143&lt;='Scoring Settings'!$B$7))</f>
        <v>3</v>
      </c>
      <c r="AL143" s="5" t="s">
        <v>2217</v>
      </c>
      <c r="AM143" s="8" t="str">
        <f>IF(B143="","",IF(Z143="N","Easy",IF(OR(AND(ISNUMBER(AB143),AB143&gt;'Scoring Settings'!$B$11),AND(ISNUMBER(W143),W143&gt;'Scoring Settings'!$B$12),AND(ISNUMBER(M143),M143&lt;='Scoring Settings'!$B$13)),"High","Medium")))</f>
        <v>Easy</v>
      </c>
      <c r="AN143" s="5" t="s">
        <v>196</v>
      </c>
      <c r="AO143" s="7">
        <v>44469</v>
      </c>
      <c r="AP143" s="5" t="s">
        <v>197</v>
      </c>
      <c r="AQ143" s="29" t="s">
        <v>619</v>
      </c>
    </row>
    <row r="144" spans="1:43">
      <c r="A144" s="28">
        <v>14599</v>
      </c>
      <c r="B144" s="5" t="s">
        <v>2104</v>
      </c>
      <c r="C144" s="5" t="s">
        <v>395</v>
      </c>
      <c r="D144" s="5" t="s">
        <v>88</v>
      </c>
      <c r="E144" s="5" t="s">
        <v>68</v>
      </c>
      <c r="F144" s="5"/>
      <c r="G144" s="5"/>
      <c r="H144" s="5"/>
      <c r="I144" s="6">
        <v>6</v>
      </c>
      <c r="J144" s="7">
        <v>43839</v>
      </c>
      <c r="K144" s="8" t="str">
        <f>IF(B144="","",IF(AND(I144="",J144=""),"Unknown",IF(OR(AND(ISNUMBER(I144),I144=0),AND(ISNUMBER(J144),J144&lt;=EDATE('Scoring Settings'!$B$4,-'Scoring Settings'!$B$5))),"Not in use",IF(AND(ISNUMBER(I144),I144&lt;'Scoring Settings'!$B$6),"Low use","Active"))))</f>
        <v>Not in use</v>
      </c>
      <c r="L144" s="5">
        <v>2</v>
      </c>
      <c r="M144" s="5">
        <v>3</v>
      </c>
      <c r="N144" s="5"/>
      <c r="O144" s="5" t="s">
        <v>130</v>
      </c>
      <c r="P144" s="5" t="s">
        <v>2105</v>
      </c>
      <c r="Q144" s="9">
        <v>4</v>
      </c>
      <c r="R144" s="5" t="s">
        <v>182</v>
      </c>
      <c r="S144" s="5" t="s">
        <v>183</v>
      </c>
      <c r="T144" s="5" t="s">
        <v>168</v>
      </c>
      <c r="U144" s="7">
        <v>42855</v>
      </c>
      <c r="V144" s="5" t="s">
        <v>78</v>
      </c>
      <c r="W144" s="6">
        <v>20</v>
      </c>
      <c r="X144" s="5" t="s">
        <v>79</v>
      </c>
      <c r="Y144" s="9">
        <v>7</v>
      </c>
      <c r="Z144" s="5" t="s">
        <v>80</v>
      </c>
      <c r="AA144" s="5" t="s">
        <v>205</v>
      </c>
      <c r="AB144" s="9">
        <v>7</v>
      </c>
      <c r="AC144" s="5" t="s">
        <v>82</v>
      </c>
      <c r="AD144" s="5" t="s">
        <v>82</v>
      </c>
      <c r="AE144" s="5" t="s">
        <v>79</v>
      </c>
      <c r="AF144" s="10">
        <v>24500</v>
      </c>
      <c r="AG144" s="7">
        <v>49552</v>
      </c>
      <c r="AH144" s="10">
        <v>23500</v>
      </c>
      <c r="AI144" s="10">
        <v>20500</v>
      </c>
      <c r="AJ144" s="11">
        <f t="shared" si="2"/>
        <v>13.756097560975608</v>
      </c>
      <c r="AK144" s="12">
        <f>IF(B144="","",OR(K144="Not in use",K144="Low use")+AND(N144&lt;&gt;"",N144&lt;&gt;"TBD")+AND(ISNUMBER(U144),U144&lt;=EDATE('Scoring Settings'!$B$4,'Scoring Settings'!$B$8))+AND(ISNUMBER(L144),L144&lt;='Scoring Settings'!$B$7))</f>
        <v>3</v>
      </c>
      <c r="AL144" s="5" t="s">
        <v>96</v>
      </c>
      <c r="AM144" s="8" t="str">
        <f>IF(B144="","",IF(Z144="N","Easy",IF(OR(AND(ISNUMBER(AB144),AB144&gt;'Scoring Settings'!$B$11),AND(ISNUMBER(W144),W144&gt;'Scoring Settings'!$B$12),AND(ISNUMBER(M144),M144&lt;='Scoring Settings'!$B$13)),"High","Medium")))</f>
        <v>High</v>
      </c>
      <c r="AN144" s="5" t="s">
        <v>196</v>
      </c>
      <c r="AO144" s="7">
        <v>44561</v>
      </c>
      <c r="AP144" s="5" t="s">
        <v>197</v>
      </c>
      <c r="AQ144" s="29" t="s">
        <v>276</v>
      </c>
    </row>
    <row r="145" spans="1:43">
      <c r="A145" s="28">
        <v>98727</v>
      </c>
      <c r="B145" s="5" t="s">
        <v>2110</v>
      </c>
      <c r="C145" s="5" t="s">
        <v>343</v>
      </c>
      <c r="D145" s="5" t="s">
        <v>102</v>
      </c>
      <c r="E145" s="5" t="s">
        <v>298</v>
      </c>
      <c r="F145" s="5"/>
      <c r="G145" s="5"/>
      <c r="H145" s="5"/>
      <c r="I145" s="6">
        <v>95</v>
      </c>
      <c r="J145" s="7">
        <v>44278</v>
      </c>
      <c r="K145" s="8" t="str">
        <f>IF(B145="","",IF(AND(I145="",J145=""),"Unknown",IF(OR(AND(ISNUMBER(I145),I145=0),AND(ISNUMBER(J145),J145&lt;=EDATE('Scoring Settings'!$B$4,-'Scoring Settings'!$B$5))),"Not in use",IF(AND(ISNUMBER(I145),I145&lt;'Scoring Settings'!$B$6),"Low use","Active"))))</f>
        <v>Active</v>
      </c>
      <c r="L145" s="5">
        <v>2</v>
      </c>
      <c r="M145" s="5">
        <v>4</v>
      </c>
      <c r="N145" s="5" t="s">
        <v>72</v>
      </c>
      <c r="O145" s="5" t="s">
        <v>73</v>
      </c>
      <c r="P145" s="5" t="s">
        <v>1329</v>
      </c>
      <c r="Q145" s="9">
        <v>1</v>
      </c>
      <c r="R145" s="5" t="s">
        <v>132</v>
      </c>
      <c r="S145" s="5" t="s">
        <v>133</v>
      </c>
      <c r="T145" s="5" t="s">
        <v>72</v>
      </c>
      <c r="U145" s="7">
        <v>44227</v>
      </c>
      <c r="V145" s="5" t="s">
        <v>95</v>
      </c>
      <c r="W145" s="6">
        <v>120</v>
      </c>
      <c r="X145" s="5" t="s">
        <v>80</v>
      </c>
      <c r="Y145" s="9">
        <v>10</v>
      </c>
      <c r="Z145" s="5" t="s">
        <v>80</v>
      </c>
      <c r="AA145" s="5" t="s">
        <v>81</v>
      </c>
      <c r="AB145" s="9">
        <v>3</v>
      </c>
      <c r="AC145" s="5" t="s">
        <v>82</v>
      </c>
      <c r="AD145" s="5" t="s">
        <v>82</v>
      </c>
      <c r="AE145" s="5" t="s">
        <v>82</v>
      </c>
      <c r="AF145" s="10">
        <v>17000</v>
      </c>
      <c r="AG145" s="7">
        <v>47177</v>
      </c>
      <c r="AH145" s="10">
        <v>14000</v>
      </c>
      <c r="AI145" s="10">
        <v>12000</v>
      </c>
      <c r="AJ145" s="11">
        <f t="shared" si="2"/>
        <v>14</v>
      </c>
      <c r="AK145" s="12">
        <f>IF(B145="","",OR(K145="Not in use",K145="Low use")+AND(N145&lt;&gt;"",N145&lt;&gt;"TBD")+AND(ISNUMBER(U145),U145&lt;=EDATE('Scoring Settings'!$B$4,'Scoring Settings'!$B$8))+AND(ISNUMBER(L145),L145&lt;='Scoring Settings'!$B$7))</f>
        <v>2</v>
      </c>
      <c r="AL145" s="5" t="s">
        <v>96</v>
      </c>
      <c r="AM145" s="8" t="str">
        <f>IF(B145="","",IF(Z145="N","Easy",IF(OR(AND(ISNUMBER(AB145),AB145&gt;'Scoring Settings'!$B$11),AND(ISNUMBER(W145),W145&gt;'Scoring Settings'!$B$12),AND(ISNUMBER(M145),M145&lt;='Scoring Settings'!$B$13)),"High","Medium")))</f>
        <v>Medium</v>
      </c>
      <c r="AN145" s="5" t="s">
        <v>196</v>
      </c>
      <c r="AO145" s="7">
        <v>44500</v>
      </c>
      <c r="AP145" s="5" t="s">
        <v>197</v>
      </c>
      <c r="AQ145" s="29" t="s">
        <v>669</v>
      </c>
    </row>
    <row r="146" spans="1:43">
      <c r="A146" s="28">
        <v>34462</v>
      </c>
      <c r="B146" s="5" t="s">
        <v>2125</v>
      </c>
      <c r="C146" s="5" t="s">
        <v>305</v>
      </c>
      <c r="D146" s="5" t="s">
        <v>297</v>
      </c>
      <c r="E146" s="5" t="s">
        <v>68</v>
      </c>
      <c r="F146" s="5"/>
      <c r="G146" s="5"/>
      <c r="H146" s="5"/>
      <c r="I146" s="6">
        <v>0</v>
      </c>
      <c r="J146" s="7">
        <v>44222</v>
      </c>
      <c r="K146" s="8" t="str">
        <f>IF(B146="","",IF(AND(I146="",J146=""),"Unknown",IF(OR(AND(ISNUMBER(I146),I146=0),AND(ISNUMBER(J146),J146&lt;=EDATE('Scoring Settings'!$B$4,-'Scoring Settings'!$B$5))),"Not in use",IF(AND(ISNUMBER(I146),I146&lt;'Scoring Settings'!$B$6),"Low use","Active"))))</f>
        <v>Not in use</v>
      </c>
      <c r="L146" s="5">
        <v>2</v>
      </c>
      <c r="M146" s="5">
        <v>4</v>
      </c>
      <c r="N146" s="5"/>
      <c r="O146" s="5" t="s">
        <v>191</v>
      </c>
      <c r="P146" s="5" t="s">
        <v>192</v>
      </c>
      <c r="Q146" s="9">
        <v>0</v>
      </c>
      <c r="R146" s="5" t="s">
        <v>193</v>
      </c>
      <c r="S146" s="5" t="s">
        <v>318</v>
      </c>
      <c r="T146" s="5" t="s">
        <v>195</v>
      </c>
      <c r="U146" s="7"/>
      <c r="V146" s="5" t="s">
        <v>135</v>
      </c>
      <c r="W146" s="6">
        <v>16</v>
      </c>
      <c r="X146" s="5" t="s">
        <v>80</v>
      </c>
      <c r="Y146" s="9">
        <v>5</v>
      </c>
      <c r="Z146" s="5" t="s">
        <v>79</v>
      </c>
      <c r="AA146" s="5" t="s">
        <v>110</v>
      </c>
      <c r="AB146" s="9">
        <v>0</v>
      </c>
      <c r="AC146" s="5" t="s">
        <v>82</v>
      </c>
      <c r="AD146" s="5" t="s">
        <v>79</v>
      </c>
      <c r="AE146" s="5" t="s">
        <v>80</v>
      </c>
      <c r="AF146" s="10">
        <v>28500</v>
      </c>
      <c r="AG146" s="7">
        <v>47299</v>
      </c>
      <c r="AH146" s="10">
        <v>18000</v>
      </c>
      <c r="AI146" s="10">
        <v>26500</v>
      </c>
      <c r="AJ146" s="11">
        <f t="shared" si="2"/>
        <v>8.1509433962264151</v>
      </c>
      <c r="AK146" s="12">
        <f>IF(B146="","",OR(K146="Not in use",K146="Low use")+AND(N146&lt;&gt;"",N146&lt;&gt;"TBD")+AND(ISNUMBER(U146),U146&lt;=EDATE('Scoring Settings'!$B$4,'Scoring Settings'!$B$8))+AND(ISNUMBER(L146),L146&lt;='Scoring Settings'!$B$7))</f>
        <v>2</v>
      </c>
      <c r="AL146" s="5" t="s">
        <v>223</v>
      </c>
      <c r="AM146" s="8" t="str">
        <f>IF(B146="","",IF(Z146="N","Easy",IF(OR(AND(ISNUMBER(AB146),AB146&gt;'Scoring Settings'!$B$11),AND(ISNUMBER(W146),W146&gt;'Scoring Settings'!$B$12),AND(ISNUMBER(M146),M146&lt;='Scoring Settings'!$B$13)),"High","Medium")))</f>
        <v>Easy</v>
      </c>
      <c r="AN146" s="5" t="s">
        <v>196</v>
      </c>
      <c r="AO146" s="7">
        <v>44227</v>
      </c>
      <c r="AP146" s="5" t="s">
        <v>372</v>
      </c>
      <c r="AQ146" s="29" t="s">
        <v>1597</v>
      </c>
    </row>
    <row r="147" spans="1:43" ht="42.75">
      <c r="A147" s="28">
        <v>82740</v>
      </c>
      <c r="B147" s="5" t="s">
        <v>2128</v>
      </c>
      <c r="C147" s="5" t="s">
        <v>230</v>
      </c>
      <c r="D147" s="5" t="s">
        <v>115</v>
      </c>
      <c r="E147" s="5" t="s">
        <v>298</v>
      </c>
      <c r="F147" s="5"/>
      <c r="G147" s="5"/>
      <c r="H147" s="5"/>
      <c r="I147" s="6">
        <v>12</v>
      </c>
      <c r="J147" s="7">
        <v>44176</v>
      </c>
      <c r="K147" s="8" t="str">
        <f>IF(B147="","",IF(AND(I147="",J147=""),"Unknown",IF(OR(AND(ISNUMBER(I147),I147=0),AND(ISNUMBER(J147),J147&lt;=EDATE('Scoring Settings'!$B$4,-'Scoring Settings'!$B$5))),"Not in use",IF(AND(ISNUMBER(I147),I147&lt;'Scoring Settings'!$B$6),"Low use","Active"))))</f>
        <v>Low use</v>
      </c>
      <c r="L147" s="5">
        <v>2</v>
      </c>
      <c r="M147" s="5">
        <v>4</v>
      </c>
      <c r="N147" s="5" t="s">
        <v>755</v>
      </c>
      <c r="O147" s="5" t="s">
        <v>191</v>
      </c>
      <c r="P147" s="5" t="s">
        <v>192</v>
      </c>
      <c r="Q147" s="9">
        <v>0</v>
      </c>
      <c r="R147" s="5" t="s">
        <v>193</v>
      </c>
      <c r="S147" s="5" t="s">
        <v>194</v>
      </c>
      <c r="T147" s="5" t="s">
        <v>195</v>
      </c>
      <c r="U147" s="7">
        <v>44742</v>
      </c>
      <c r="V147" s="5" t="s">
        <v>135</v>
      </c>
      <c r="W147" s="6">
        <v>20</v>
      </c>
      <c r="X147" s="5" t="s">
        <v>79</v>
      </c>
      <c r="Y147" s="9">
        <v>3</v>
      </c>
      <c r="Z147" s="5" t="s">
        <v>80</v>
      </c>
      <c r="AA147" s="5" t="s">
        <v>205</v>
      </c>
      <c r="AB147" s="9">
        <v>1</v>
      </c>
      <c r="AC147" s="5" t="s">
        <v>79</v>
      </c>
      <c r="AD147" s="5" t="s">
        <v>80</v>
      </c>
      <c r="AE147" s="5" t="s">
        <v>80</v>
      </c>
      <c r="AF147" s="10">
        <v>20000</v>
      </c>
      <c r="AG147" s="7">
        <v>47238</v>
      </c>
      <c r="AH147" s="10">
        <v>30000</v>
      </c>
      <c r="AI147" s="10">
        <v>11000</v>
      </c>
      <c r="AJ147" s="11">
        <f t="shared" si="2"/>
        <v>32.727272727272727</v>
      </c>
      <c r="AK147" s="12">
        <f>IF(B147="","",OR(K147="Not in use",K147="Low use")+AND(N147&lt;&gt;"",N147&lt;&gt;"TBD")+AND(ISNUMBER(U147),U147&lt;=EDATE('Scoring Settings'!$B$4,'Scoring Settings'!$B$8))+AND(ISNUMBER(L147),L147&lt;='Scoring Settings'!$B$7))</f>
        <v>3</v>
      </c>
      <c r="AL147" s="5" t="s">
        <v>96</v>
      </c>
      <c r="AM147" s="8" t="str">
        <f>IF(B147="","",IF(Z147="N","Easy",IF(OR(AND(ISNUMBER(AB147),AB147&gt;'Scoring Settings'!$B$11),AND(ISNUMBER(W147),W147&gt;'Scoring Settings'!$B$12),AND(ISNUMBER(M147),M147&lt;='Scoring Settings'!$B$13)),"High","Medium")))</f>
        <v>Medium</v>
      </c>
      <c r="AN147" s="5" t="s">
        <v>196</v>
      </c>
      <c r="AO147" s="7">
        <v>44530</v>
      </c>
      <c r="AP147" s="5" t="s">
        <v>197</v>
      </c>
      <c r="AQ147" s="29" t="s">
        <v>2129</v>
      </c>
    </row>
    <row r="148" spans="1:43">
      <c r="A148" s="28">
        <v>194702</v>
      </c>
      <c r="B148" s="5" t="s">
        <v>2135</v>
      </c>
      <c r="C148" s="5" t="s">
        <v>316</v>
      </c>
      <c r="D148" s="5" t="s">
        <v>67</v>
      </c>
      <c r="E148" s="5" t="s">
        <v>68</v>
      </c>
      <c r="F148" s="5"/>
      <c r="G148" s="5"/>
      <c r="H148" s="5"/>
      <c r="I148" s="6">
        <v>20</v>
      </c>
      <c r="J148" s="7">
        <v>44190</v>
      </c>
      <c r="K148" s="8" t="str">
        <f>IF(B148="","",IF(AND(I148="",J148=""),"Unknown",IF(OR(AND(ISNUMBER(I148),I148=0),AND(ISNUMBER(J148),J148&lt;=EDATE('Scoring Settings'!$B$4,-'Scoring Settings'!$B$5))),"Not in use",IF(AND(ISNUMBER(I148),I148&lt;'Scoring Settings'!$B$6),"Low use","Active"))))</f>
        <v>Low use</v>
      </c>
      <c r="L148" s="5">
        <v>1</v>
      </c>
      <c r="M148" s="5">
        <v>4</v>
      </c>
      <c r="N148" s="5" t="s">
        <v>227</v>
      </c>
      <c r="O148" s="5" t="s">
        <v>143</v>
      </c>
      <c r="P148" s="5" t="s">
        <v>144</v>
      </c>
      <c r="Q148" s="9">
        <v>0</v>
      </c>
      <c r="R148" s="5" t="s">
        <v>145</v>
      </c>
      <c r="S148" s="5" t="s">
        <v>145</v>
      </c>
      <c r="T148" s="5" t="s">
        <v>146</v>
      </c>
      <c r="U148" s="7">
        <v>45260</v>
      </c>
      <c r="V148" s="5" t="s">
        <v>95</v>
      </c>
      <c r="W148" s="6">
        <v>96</v>
      </c>
      <c r="X148" s="5" t="s">
        <v>80</v>
      </c>
      <c r="Y148" s="9">
        <v>7</v>
      </c>
      <c r="Z148" s="5" t="s">
        <v>79</v>
      </c>
      <c r="AA148" s="5" t="s">
        <v>110</v>
      </c>
      <c r="AB148" s="9">
        <v>0</v>
      </c>
      <c r="AC148" s="5" t="s">
        <v>79</v>
      </c>
      <c r="AD148" s="5" t="s">
        <v>80</v>
      </c>
      <c r="AE148" s="5" t="s">
        <v>79</v>
      </c>
      <c r="AF148" s="10">
        <v>110000</v>
      </c>
      <c r="AG148" s="7">
        <v>48822</v>
      </c>
      <c r="AH148" s="10">
        <v>109500</v>
      </c>
      <c r="AI148" s="10">
        <v>66000</v>
      </c>
      <c r="AJ148" s="11">
        <f t="shared" si="2"/>
        <v>19.90909090909091</v>
      </c>
      <c r="AK148" s="12">
        <f>IF(B148="","",OR(K148="Not in use",K148="Low use")+AND(N148&lt;&gt;"",N148&lt;&gt;"TBD")+AND(ISNUMBER(U148),U148&lt;=EDATE('Scoring Settings'!$B$4,'Scoring Settings'!$B$8))+AND(ISNUMBER(L148),L148&lt;='Scoring Settings'!$B$7))</f>
        <v>3</v>
      </c>
      <c r="AL148" s="5" t="s">
        <v>223</v>
      </c>
      <c r="AM148" s="8" t="str">
        <f>IF(B148="","",IF(Z148="N","Easy",IF(OR(AND(ISNUMBER(AB148),AB148&gt;'Scoring Settings'!$B$11),AND(ISNUMBER(W148),W148&gt;'Scoring Settings'!$B$12),AND(ISNUMBER(M148),M148&lt;='Scoring Settings'!$B$13)),"High","Medium")))</f>
        <v>Easy</v>
      </c>
      <c r="AN148" s="5" t="s">
        <v>196</v>
      </c>
      <c r="AO148" s="7">
        <v>44377</v>
      </c>
      <c r="AP148" s="5" t="s">
        <v>359</v>
      </c>
      <c r="AQ148" s="29" t="s">
        <v>595</v>
      </c>
    </row>
    <row r="149" spans="1:43">
      <c r="A149" s="28">
        <v>29678</v>
      </c>
      <c r="B149" s="5" t="s">
        <v>2136</v>
      </c>
      <c r="C149" s="5" t="s">
        <v>371</v>
      </c>
      <c r="D149" s="5" t="s">
        <v>162</v>
      </c>
      <c r="E149" s="5" t="s">
        <v>68</v>
      </c>
      <c r="F149" s="5"/>
      <c r="G149" s="5"/>
      <c r="H149" s="5"/>
      <c r="I149" s="6">
        <v>8</v>
      </c>
      <c r="J149" s="7">
        <v>44312</v>
      </c>
      <c r="K149" s="8" t="str">
        <f>IF(B149="","",IF(AND(I149="",J149=""),"Unknown",IF(OR(AND(ISNUMBER(I149),I149=0),AND(ISNUMBER(J149),J149&lt;=EDATE('Scoring Settings'!$B$4,-'Scoring Settings'!$B$5))),"Not in use",IF(AND(ISNUMBER(I149),I149&lt;'Scoring Settings'!$B$6),"Low use","Active"))))</f>
        <v>Low use</v>
      </c>
      <c r="L149" s="5">
        <v>1</v>
      </c>
      <c r="M149" s="5">
        <v>4</v>
      </c>
      <c r="N149" s="5" t="s">
        <v>711</v>
      </c>
      <c r="O149" s="5" t="s">
        <v>73</v>
      </c>
      <c r="P149" s="5" t="s">
        <v>1432</v>
      </c>
      <c r="Q149" s="9">
        <v>4</v>
      </c>
      <c r="R149" s="5" t="s">
        <v>72</v>
      </c>
      <c r="S149" s="5" t="s">
        <v>94</v>
      </c>
      <c r="T149" s="5" t="s">
        <v>77</v>
      </c>
      <c r="U149" s="7">
        <v>44561</v>
      </c>
      <c r="V149" s="5" t="s">
        <v>135</v>
      </c>
      <c r="W149" s="6">
        <v>84</v>
      </c>
      <c r="X149" s="5" t="s">
        <v>79</v>
      </c>
      <c r="Y149" s="9">
        <v>1</v>
      </c>
      <c r="Z149" s="5" t="s">
        <v>79</v>
      </c>
      <c r="AA149" s="5" t="s">
        <v>110</v>
      </c>
      <c r="AB149" s="9">
        <v>0</v>
      </c>
      <c r="AC149" s="5" t="s">
        <v>82</v>
      </c>
      <c r="AD149" s="5" t="s">
        <v>79</v>
      </c>
      <c r="AE149" s="5" t="s">
        <v>80</v>
      </c>
      <c r="AF149" s="10">
        <v>55000</v>
      </c>
      <c r="AG149" s="7">
        <v>48273</v>
      </c>
      <c r="AH149" s="10">
        <v>29500</v>
      </c>
      <c r="AI149" s="10">
        <v>45500</v>
      </c>
      <c r="AJ149" s="11">
        <f t="shared" si="2"/>
        <v>7.780219780219781</v>
      </c>
      <c r="AK149" s="12">
        <f>IF(B149="","",OR(K149="Not in use",K149="Low use")+AND(N149&lt;&gt;"",N149&lt;&gt;"TBD")+AND(ISNUMBER(U149),U149&lt;=EDATE('Scoring Settings'!$B$4,'Scoring Settings'!$B$8))+AND(ISNUMBER(L149),L149&lt;='Scoring Settings'!$B$7))</f>
        <v>4</v>
      </c>
      <c r="AL149" s="5" t="s">
        <v>223</v>
      </c>
      <c r="AM149" s="8" t="str">
        <f>IF(B149="","",IF(Z149="N","Easy",IF(OR(AND(ISNUMBER(AB149),AB149&gt;'Scoring Settings'!$B$11),AND(ISNUMBER(W149),W149&gt;'Scoring Settings'!$B$12),AND(ISNUMBER(M149),M149&lt;='Scoring Settings'!$B$13)),"High","Medium")))</f>
        <v>Easy</v>
      </c>
      <c r="AN149" s="5" t="s">
        <v>196</v>
      </c>
      <c r="AO149" s="7">
        <v>44439</v>
      </c>
      <c r="AP149" s="5" t="s">
        <v>197</v>
      </c>
      <c r="AQ149" s="29" t="s">
        <v>252</v>
      </c>
    </row>
    <row r="150" spans="1:43" ht="42.75" hidden="1">
      <c r="A150" s="28">
        <v>169039</v>
      </c>
      <c r="B150" s="5" t="s">
        <v>86</v>
      </c>
      <c r="C150" s="5" t="s">
        <v>87</v>
      </c>
      <c r="D150" s="5" t="s">
        <v>88</v>
      </c>
      <c r="E150" s="5" t="s">
        <v>68</v>
      </c>
      <c r="F150" s="5" t="s">
        <v>89</v>
      </c>
      <c r="G150" s="5" t="s">
        <v>90</v>
      </c>
      <c r="H150" s="5" t="s">
        <v>91</v>
      </c>
      <c r="I150" s="6">
        <v>0</v>
      </c>
      <c r="J150" s="7">
        <v>43955</v>
      </c>
      <c r="K150" s="8" t="str">
        <f>IF(B150="","",IF(AND(I150="",J150=""),"Unknown",IF(OR(AND(ISNUMBER(I150),I150=0),AND(ISNUMBER(J150),J150&lt;=EDATE('Scoring Settings'!$B$4,-'Scoring Settings'!$B$5))),"Not in use",IF(AND(ISNUMBER(I150),I150&lt;'Scoring Settings'!$B$6),"Low use","Active"))))</f>
        <v>Not in use</v>
      </c>
      <c r="L150" s="5">
        <v>3</v>
      </c>
      <c r="M150" s="5">
        <v>3</v>
      </c>
      <c r="N150" s="5"/>
      <c r="O150" s="5" t="s">
        <v>73</v>
      </c>
      <c r="P150" s="5" t="s">
        <v>92</v>
      </c>
      <c r="Q150" s="9">
        <v>3</v>
      </c>
      <c r="R150" s="5" t="s">
        <v>93</v>
      </c>
      <c r="S150" s="5" t="s">
        <v>94</v>
      </c>
      <c r="T150" s="5" t="s">
        <v>72</v>
      </c>
      <c r="U150" s="7">
        <v>44561</v>
      </c>
      <c r="V150" s="5" t="s">
        <v>95</v>
      </c>
      <c r="W150" s="6">
        <v>110</v>
      </c>
      <c r="X150" s="5" t="s">
        <v>80</v>
      </c>
      <c r="Y150" s="9">
        <v>10</v>
      </c>
      <c r="Z150" s="5" t="s">
        <v>80</v>
      </c>
      <c r="AA150" s="5" t="s">
        <v>81</v>
      </c>
      <c r="AB150" s="9">
        <v>6</v>
      </c>
      <c r="AC150" s="5" t="s">
        <v>80</v>
      </c>
      <c r="AD150" s="5" t="s">
        <v>79</v>
      </c>
      <c r="AE150" s="5" t="s">
        <v>80</v>
      </c>
      <c r="AF150" s="13">
        <v>50000</v>
      </c>
      <c r="AG150" s="7">
        <v>46081</v>
      </c>
      <c r="AH150" s="13">
        <v>36000</v>
      </c>
      <c r="AI150" s="10">
        <v>26000</v>
      </c>
      <c r="AJ150" s="11">
        <f t="shared" si="2"/>
        <v>16.615384615384613</v>
      </c>
      <c r="AK150" s="12">
        <f>IF(B150="","",OR(K150="Not in use",K150="Low use")+AND(N150&lt;&gt;"",N150&lt;&gt;"TBD")+AND(ISNUMBER(U150),U150&lt;=EDATE('Scoring Settings'!$B$4,'Scoring Settings'!$B$8))+AND(ISNUMBER(L150),L150&lt;='Scoring Settings'!$B$7))</f>
        <v>2</v>
      </c>
      <c r="AL150" s="5" t="s">
        <v>96</v>
      </c>
      <c r="AM150" s="8" t="str">
        <f>IF(B150="","",IF(Z150="N","Easy",IF(OR(AND(ISNUMBER(AB150),AB150&gt;'Scoring Settings'!$B$11),AND(ISNUMBER(W150),W150&gt;'Scoring Settings'!$B$12),AND(ISNUMBER(M150),M150&lt;='Scoring Settings'!$B$13)),"High","Medium")))</f>
        <v>High</v>
      </c>
      <c r="AN150" s="5" t="s">
        <v>97</v>
      </c>
      <c r="AO150" s="7">
        <v>44865</v>
      </c>
      <c r="AP150" s="5" t="s">
        <v>98</v>
      </c>
      <c r="AQ150" s="29" t="s">
        <v>99</v>
      </c>
    </row>
    <row r="151" spans="1:43" hidden="1">
      <c r="A151" s="28">
        <v>44505</v>
      </c>
      <c r="B151" s="5" t="s">
        <v>125</v>
      </c>
      <c r="C151" s="5" t="s">
        <v>126</v>
      </c>
      <c r="D151" s="5" t="s">
        <v>88</v>
      </c>
      <c r="E151" s="5" t="s">
        <v>68</v>
      </c>
      <c r="F151" s="5" t="s">
        <v>127</v>
      </c>
      <c r="G151" s="5" t="s">
        <v>128</v>
      </c>
      <c r="H151" s="5" t="s">
        <v>129</v>
      </c>
      <c r="I151" s="6">
        <v>17</v>
      </c>
      <c r="J151" s="7">
        <v>44195</v>
      </c>
      <c r="K151" s="8" t="str">
        <f>IF(B151="","",IF(AND(I151="",J151=""),"Unknown",IF(OR(AND(ISNUMBER(I151),I151=0),AND(ISNUMBER(J151),J151&lt;=EDATE('Scoring Settings'!$B$4,-'Scoring Settings'!$B$5))),"Not in use",IF(AND(ISNUMBER(I151),I151&lt;'Scoring Settings'!$B$6),"Low use","Active"))))</f>
        <v>Low use</v>
      </c>
      <c r="L151" s="5">
        <v>3</v>
      </c>
      <c r="M151" s="5">
        <v>4</v>
      </c>
      <c r="N151" s="5" t="s">
        <v>72</v>
      </c>
      <c r="O151" s="5" t="s">
        <v>130</v>
      </c>
      <c r="P151" s="5" t="s">
        <v>131</v>
      </c>
      <c r="Q151" s="9">
        <v>1</v>
      </c>
      <c r="R151" s="5" t="s">
        <v>132</v>
      </c>
      <c r="S151" s="5" t="s">
        <v>133</v>
      </c>
      <c r="T151" s="5" t="s">
        <v>134</v>
      </c>
      <c r="U151" s="7">
        <v>44227</v>
      </c>
      <c r="V151" s="5" t="s">
        <v>135</v>
      </c>
      <c r="W151" s="6">
        <v>760</v>
      </c>
      <c r="X151" s="5" t="s">
        <v>79</v>
      </c>
      <c r="Y151" s="9">
        <v>3</v>
      </c>
      <c r="Z151" s="5" t="s">
        <v>80</v>
      </c>
      <c r="AA151" s="5" t="s">
        <v>81</v>
      </c>
      <c r="AB151" s="9">
        <v>0</v>
      </c>
      <c r="AC151" s="5" t="s">
        <v>82</v>
      </c>
      <c r="AD151" s="5" t="s">
        <v>80</v>
      </c>
      <c r="AE151" s="5" t="s">
        <v>82</v>
      </c>
      <c r="AF151" s="13">
        <v>13000</v>
      </c>
      <c r="AG151" s="7">
        <v>48029</v>
      </c>
      <c r="AH151" s="10">
        <v>20000</v>
      </c>
      <c r="AI151" s="10">
        <v>9500</v>
      </c>
      <c r="AJ151" s="11">
        <f t="shared" si="2"/>
        <v>25.263157894736842</v>
      </c>
      <c r="AK151" s="12">
        <f>IF(B151="","",OR(K151="Not in use",K151="Low use")+AND(N151&lt;&gt;"",N151&lt;&gt;"TBD")+AND(ISNUMBER(U151),U151&lt;=EDATE('Scoring Settings'!$B$4,'Scoring Settings'!$B$8))+AND(ISNUMBER(L151),L151&lt;='Scoring Settings'!$B$7))</f>
        <v>2</v>
      </c>
      <c r="AL151" s="5" t="s">
        <v>96</v>
      </c>
      <c r="AM151" s="8" t="str">
        <f>IF(B151="","",IF(Z151="N","Easy",IF(OR(AND(ISNUMBER(AB151),AB151&gt;'Scoring Settings'!$B$11),AND(ISNUMBER(W151),W151&gt;'Scoring Settings'!$B$12),AND(ISNUMBER(M151),M151&lt;='Scoring Settings'!$B$13)),"High","Medium")))</f>
        <v>Medium</v>
      </c>
      <c r="AN151" s="5" t="s">
        <v>97</v>
      </c>
      <c r="AO151" s="7">
        <v>44742</v>
      </c>
      <c r="AP151" s="5" t="s">
        <v>98</v>
      </c>
      <c r="AQ151" s="29" t="s">
        <v>136</v>
      </c>
    </row>
    <row r="152" spans="1:43" hidden="1">
      <c r="A152" s="28">
        <v>78649</v>
      </c>
      <c r="B152" s="5" t="s">
        <v>219</v>
      </c>
      <c r="C152" s="5" t="s">
        <v>220</v>
      </c>
      <c r="D152" s="5" t="s">
        <v>139</v>
      </c>
      <c r="E152" s="5" t="s">
        <v>68</v>
      </c>
      <c r="F152" s="5" t="s">
        <v>152</v>
      </c>
      <c r="G152" s="5" t="s">
        <v>221</v>
      </c>
      <c r="H152" s="5" t="s">
        <v>71</v>
      </c>
      <c r="I152" s="6">
        <v>3</v>
      </c>
      <c r="J152" s="7">
        <v>44251</v>
      </c>
      <c r="K152" s="8" t="str">
        <f>IF(B152="","",IF(AND(I152="",J152=""),"Unknown",IF(OR(AND(ISNUMBER(I152),I152=0),AND(ISNUMBER(J152),J152&lt;=EDATE('Scoring Settings'!$B$4,-'Scoring Settings'!$B$5))),"Not in use",IF(AND(ISNUMBER(I152),I152&lt;'Scoring Settings'!$B$6),"Low use","Active"))))</f>
        <v>Low use</v>
      </c>
      <c r="L152" s="5">
        <v>1</v>
      </c>
      <c r="M152" s="5">
        <v>4</v>
      </c>
      <c r="N152" s="5"/>
      <c r="O152" s="5" t="s">
        <v>73</v>
      </c>
      <c r="P152" s="5" t="s">
        <v>222</v>
      </c>
      <c r="Q152" s="9">
        <v>1</v>
      </c>
      <c r="R152" s="5" t="s">
        <v>182</v>
      </c>
      <c r="S152" s="5" t="s">
        <v>183</v>
      </c>
      <c r="T152" s="5" t="s">
        <v>77</v>
      </c>
      <c r="U152" s="7">
        <v>42855</v>
      </c>
      <c r="V152" s="5" t="s">
        <v>135</v>
      </c>
      <c r="W152" s="6">
        <v>160</v>
      </c>
      <c r="X152" s="5" t="s">
        <v>79</v>
      </c>
      <c r="Y152" s="9">
        <v>3</v>
      </c>
      <c r="Z152" s="5" t="s">
        <v>79</v>
      </c>
      <c r="AA152" s="5" t="s">
        <v>110</v>
      </c>
      <c r="AB152" s="9">
        <v>2</v>
      </c>
      <c r="AC152" s="5" t="s">
        <v>80</v>
      </c>
      <c r="AD152" s="5" t="s">
        <v>79</v>
      </c>
      <c r="AE152" s="5" t="s">
        <v>82</v>
      </c>
      <c r="AF152" s="10">
        <v>16000</v>
      </c>
      <c r="AG152" s="7">
        <v>47695</v>
      </c>
      <c r="AH152" s="10">
        <v>13500</v>
      </c>
      <c r="AI152" s="10">
        <v>13000</v>
      </c>
      <c r="AJ152" s="11">
        <f t="shared" si="2"/>
        <v>12.461538461538463</v>
      </c>
      <c r="AK152" s="12">
        <f>IF(B152="","",OR(K152="Not in use",K152="Low use")+AND(N152&lt;&gt;"",N152&lt;&gt;"TBD")+AND(ISNUMBER(U152),U152&lt;=EDATE('Scoring Settings'!$B$4,'Scoring Settings'!$B$8))+AND(ISNUMBER(L152),L152&lt;='Scoring Settings'!$B$7))</f>
        <v>3</v>
      </c>
      <c r="AL152" s="5" t="s">
        <v>223</v>
      </c>
      <c r="AM152" s="8" t="str">
        <f>IF(B152="","",IF(Z152="N","Easy",IF(OR(AND(ISNUMBER(AB152),AB152&gt;'Scoring Settings'!$B$11),AND(ISNUMBER(W152),W152&gt;'Scoring Settings'!$B$12),AND(ISNUMBER(M152),M152&lt;='Scoring Settings'!$B$13)),"High","Medium")))</f>
        <v>Easy</v>
      </c>
      <c r="AN152" s="5" t="s">
        <v>97</v>
      </c>
      <c r="AO152" s="7">
        <v>44804</v>
      </c>
      <c r="AP152" s="5" t="s">
        <v>98</v>
      </c>
      <c r="AQ152" s="29" t="s">
        <v>136</v>
      </c>
    </row>
    <row r="153" spans="1:43" hidden="1">
      <c r="A153" s="28">
        <v>83802</v>
      </c>
      <c r="B153" s="5" t="s">
        <v>229</v>
      </c>
      <c r="C153" s="5" t="s">
        <v>230</v>
      </c>
      <c r="D153" s="5" t="s">
        <v>115</v>
      </c>
      <c r="E153" s="5" t="s">
        <v>68</v>
      </c>
      <c r="F153" s="5" t="s">
        <v>201</v>
      </c>
      <c r="G153" s="5" t="s">
        <v>221</v>
      </c>
      <c r="H153" s="5" t="s">
        <v>71</v>
      </c>
      <c r="I153" s="6">
        <v>83</v>
      </c>
      <c r="J153" s="7">
        <v>44309</v>
      </c>
      <c r="K153" s="8" t="str">
        <f>IF(B153="","",IF(AND(I153="",J153=""),"Unknown",IF(OR(AND(ISNUMBER(I153),I153=0),AND(ISNUMBER(J153),J153&lt;=EDATE('Scoring Settings'!$B$4,-'Scoring Settings'!$B$5))),"Not in use",IF(AND(ISNUMBER(I153),I153&lt;'Scoring Settings'!$B$6),"Low use","Active"))))</f>
        <v>Active</v>
      </c>
      <c r="L153" s="5">
        <v>4</v>
      </c>
      <c r="M153" s="5">
        <v>1</v>
      </c>
      <c r="N153" s="5" t="s">
        <v>231</v>
      </c>
      <c r="O153" s="5" t="s">
        <v>130</v>
      </c>
      <c r="P153" s="5" t="s">
        <v>232</v>
      </c>
      <c r="Q153" s="9">
        <v>3</v>
      </c>
      <c r="R153" s="5" t="s">
        <v>132</v>
      </c>
      <c r="S153" s="5" t="s">
        <v>133</v>
      </c>
      <c r="T153" s="5" t="s">
        <v>134</v>
      </c>
      <c r="U153" s="7">
        <v>44227</v>
      </c>
      <c r="V153" s="5" t="s">
        <v>135</v>
      </c>
      <c r="W153" s="6">
        <v>120</v>
      </c>
      <c r="X153" s="5" t="s">
        <v>79</v>
      </c>
      <c r="Y153" s="9">
        <v>5</v>
      </c>
      <c r="Z153" s="5" t="s">
        <v>79</v>
      </c>
      <c r="AA153" s="5" t="s">
        <v>110</v>
      </c>
      <c r="AB153" s="9">
        <v>19</v>
      </c>
      <c r="AC153" s="5" t="s">
        <v>80</v>
      </c>
      <c r="AD153" s="5" t="s">
        <v>80</v>
      </c>
      <c r="AE153" s="5" t="s">
        <v>79</v>
      </c>
      <c r="AF153" s="10">
        <v>80000</v>
      </c>
      <c r="AG153" s="7">
        <v>48883</v>
      </c>
      <c r="AH153" s="10">
        <v>118000</v>
      </c>
      <c r="AI153" s="10">
        <v>66000</v>
      </c>
      <c r="AJ153" s="11">
        <f t="shared" si="2"/>
        <v>21.454545454545453</v>
      </c>
      <c r="AK153" s="12">
        <f>IF(B153="","",OR(K153="Not in use",K153="Low use")+AND(N153&lt;&gt;"",N153&lt;&gt;"TBD")+AND(ISNUMBER(U153),U153&lt;=EDATE('Scoring Settings'!$B$4,'Scoring Settings'!$B$8))+AND(ISNUMBER(L153),L153&lt;='Scoring Settings'!$B$7))</f>
        <v>2</v>
      </c>
      <c r="AL153" s="5" t="s">
        <v>2217</v>
      </c>
      <c r="AM153" s="8" t="str">
        <f>IF(B153="","",IF(Z153="N","Easy",IF(OR(AND(ISNUMBER(AB153),AB153&gt;'Scoring Settings'!$B$11),AND(ISNUMBER(W153),W153&gt;'Scoring Settings'!$B$12),AND(ISNUMBER(M153),M153&lt;='Scoring Settings'!$B$13)),"High","Medium")))</f>
        <v>Easy</v>
      </c>
      <c r="AN153" s="5" t="s">
        <v>97</v>
      </c>
      <c r="AO153" s="7">
        <v>44865</v>
      </c>
      <c r="AP153" s="5" t="s">
        <v>98</v>
      </c>
      <c r="AQ153" s="29" t="s">
        <v>136</v>
      </c>
    </row>
    <row r="154" spans="1:43" hidden="1">
      <c r="A154" s="28">
        <v>59075</v>
      </c>
      <c r="B154" s="5" t="s">
        <v>248</v>
      </c>
      <c r="C154" s="5" t="s">
        <v>87</v>
      </c>
      <c r="D154" s="5" t="s">
        <v>88</v>
      </c>
      <c r="E154" s="5" t="s">
        <v>68</v>
      </c>
      <c r="F154" s="5" t="s">
        <v>249</v>
      </c>
      <c r="G154" s="5" t="s">
        <v>128</v>
      </c>
      <c r="H154" s="5" t="s">
        <v>105</v>
      </c>
      <c r="I154" s="6">
        <v>23</v>
      </c>
      <c r="J154" s="7">
        <v>44182</v>
      </c>
      <c r="K154" s="8" t="str">
        <f>IF(B154="","",IF(AND(I154="",J154=""),"Unknown",IF(OR(AND(ISNUMBER(I154),I154=0),AND(ISNUMBER(J154),J154&lt;=EDATE('Scoring Settings'!$B$4,-'Scoring Settings'!$B$5))),"Not in use",IF(AND(ISNUMBER(I154),I154&lt;'Scoring Settings'!$B$6),"Low use","Active"))))</f>
        <v>Low use</v>
      </c>
      <c r="L154" s="5">
        <v>3</v>
      </c>
      <c r="M154" s="5">
        <v>4</v>
      </c>
      <c r="N154" s="5" t="s">
        <v>180</v>
      </c>
      <c r="O154" s="5" t="s">
        <v>73</v>
      </c>
      <c r="P154" s="5" t="s">
        <v>250</v>
      </c>
      <c r="Q154" s="9">
        <v>4</v>
      </c>
      <c r="R154" s="5" t="s">
        <v>251</v>
      </c>
      <c r="S154" s="5" t="s">
        <v>133</v>
      </c>
      <c r="T154" s="5" t="s">
        <v>72</v>
      </c>
      <c r="U154" s="7">
        <v>44165</v>
      </c>
      <c r="V154" s="5" t="s">
        <v>135</v>
      </c>
      <c r="W154" s="6">
        <v>40</v>
      </c>
      <c r="X154" s="5" t="s">
        <v>79</v>
      </c>
      <c r="Y154" s="9">
        <v>7</v>
      </c>
      <c r="Z154" s="5" t="s">
        <v>79</v>
      </c>
      <c r="AA154" s="5" t="s">
        <v>110</v>
      </c>
      <c r="AB154" s="9">
        <v>2</v>
      </c>
      <c r="AC154" s="5" t="s">
        <v>79</v>
      </c>
      <c r="AD154" s="5" t="s">
        <v>80</v>
      </c>
      <c r="AE154" s="5" t="s">
        <v>80</v>
      </c>
      <c r="AF154" s="10">
        <v>47000</v>
      </c>
      <c r="AG154" s="7">
        <v>48213</v>
      </c>
      <c r="AH154" s="10">
        <v>25500</v>
      </c>
      <c r="AI154" s="10">
        <v>45000</v>
      </c>
      <c r="AJ154" s="11">
        <f t="shared" si="2"/>
        <v>6.8</v>
      </c>
      <c r="AK154" s="12">
        <f>IF(B154="","",OR(K154="Not in use",K154="Low use")+AND(N154&lt;&gt;"",N154&lt;&gt;"TBD")+AND(ISNUMBER(U154),U154&lt;=EDATE('Scoring Settings'!$B$4,'Scoring Settings'!$B$8))+AND(ISNUMBER(L154),L154&lt;='Scoring Settings'!$B$7))</f>
        <v>3</v>
      </c>
      <c r="AL154" s="5" t="s">
        <v>223</v>
      </c>
      <c r="AM154" s="8" t="str">
        <f>IF(B154="","",IF(Z154="N","Easy",IF(OR(AND(ISNUMBER(AB154),AB154&gt;'Scoring Settings'!$B$11),AND(ISNUMBER(W154),W154&gt;'Scoring Settings'!$B$12),AND(ISNUMBER(M154),M154&lt;='Scoring Settings'!$B$13)),"High","Medium")))</f>
        <v>Easy</v>
      </c>
      <c r="AN154" s="5" t="s">
        <v>97</v>
      </c>
      <c r="AO154" s="7">
        <v>44773</v>
      </c>
      <c r="AP154" s="5" t="s">
        <v>197</v>
      </c>
      <c r="AQ154" s="29" t="s">
        <v>252</v>
      </c>
    </row>
    <row r="155" spans="1:43" hidden="1">
      <c r="A155" s="28">
        <v>11182</v>
      </c>
      <c r="B155" s="5" t="s">
        <v>264</v>
      </c>
      <c r="C155" s="5" t="s">
        <v>265</v>
      </c>
      <c r="D155" s="5" t="s">
        <v>102</v>
      </c>
      <c r="E155" s="5" t="s">
        <v>68</v>
      </c>
      <c r="F155" s="5" t="s">
        <v>266</v>
      </c>
      <c r="G155" s="5" t="s">
        <v>267</v>
      </c>
      <c r="H155" s="5" t="s">
        <v>174</v>
      </c>
      <c r="I155" s="6">
        <v>5</v>
      </c>
      <c r="J155" s="7">
        <v>44070</v>
      </c>
      <c r="K155" s="8" t="str">
        <f>IF(B155="","",IF(AND(I155="",J155=""),"Unknown",IF(OR(AND(ISNUMBER(I155),I155=0),AND(ISNUMBER(J155),J155&lt;=EDATE('Scoring Settings'!$B$4,-'Scoring Settings'!$B$5))),"Not in use",IF(AND(ISNUMBER(I155),I155&lt;'Scoring Settings'!$B$6),"Low use","Active"))))</f>
        <v>Not in use</v>
      </c>
      <c r="L155" s="5">
        <v>2</v>
      </c>
      <c r="M155" s="5">
        <v>4</v>
      </c>
      <c r="N155" s="5"/>
      <c r="O155" s="5" t="s">
        <v>130</v>
      </c>
      <c r="P155" s="5" t="s">
        <v>268</v>
      </c>
      <c r="Q155" s="9">
        <v>2</v>
      </c>
      <c r="R155" s="5" t="s">
        <v>245</v>
      </c>
      <c r="S155" s="5" t="s">
        <v>246</v>
      </c>
      <c r="T155" s="5" t="s">
        <v>168</v>
      </c>
      <c r="U155" s="7">
        <v>45777</v>
      </c>
      <c r="V155" s="5" t="s">
        <v>135</v>
      </c>
      <c r="W155" s="6">
        <v>22</v>
      </c>
      <c r="X155" s="5" t="s">
        <v>79</v>
      </c>
      <c r="Y155" s="9">
        <v>1</v>
      </c>
      <c r="Z155" s="5" t="s">
        <v>79</v>
      </c>
      <c r="AA155" s="5" t="s">
        <v>110</v>
      </c>
      <c r="AB155" s="9">
        <v>0</v>
      </c>
      <c r="AC155" s="5" t="s">
        <v>79</v>
      </c>
      <c r="AD155" s="5" t="s">
        <v>82</v>
      </c>
      <c r="AE155" s="5" t="s">
        <v>82</v>
      </c>
      <c r="AF155" s="10">
        <v>22500</v>
      </c>
      <c r="AG155" s="7">
        <v>47879</v>
      </c>
      <c r="AH155" s="10">
        <v>20000</v>
      </c>
      <c r="AI155" s="10">
        <v>21000</v>
      </c>
      <c r="AJ155" s="11">
        <f t="shared" si="2"/>
        <v>11.428571428571427</v>
      </c>
      <c r="AK155" s="12">
        <f>IF(B155="","",OR(K155="Not in use",K155="Low use")+AND(N155&lt;&gt;"",N155&lt;&gt;"TBD")+AND(ISNUMBER(U155),U155&lt;=EDATE('Scoring Settings'!$B$4,'Scoring Settings'!$B$8))+AND(ISNUMBER(L155),L155&lt;='Scoring Settings'!$B$7))</f>
        <v>2</v>
      </c>
      <c r="AL155" s="5" t="s">
        <v>223</v>
      </c>
      <c r="AM155" s="8" t="str">
        <f>IF(B155="","",IF(Z155="N","Easy",IF(OR(AND(ISNUMBER(AB155),AB155&gt;'Scoring Settings'!$B$11),AND(ISNUMBER(W155),W155&gt;'Scoring Settings'!$B$12),AND(ISNUMBER(M155),M155&lt;='Scoring Settings'!$B$13)),"High","Medium")))</f>
        <v>Easy</v>
      </c>
      <c r="AN155" s="5" t="s">
        <v>97</v>
      </c>
      <c r="AO155" s="7">
        <v>44926</v>
      </c>
      <c r="AP155" s="5" t="s">
        <v>98</v>
      </c>
      <c r="AQ155" s="29" t="s">
        <v>213</v>
      </c>
    </row>
    <row r="156" spans="1:43" hidden="1">
      <c r="A156" s="28">
        <v>192167</v>
      </c>
      <c r="B156" s="5" t="s">
        <v>283</v>
      </c>
      <c r="C156" s="5" t="s">
        <v>265</v>
      </c>
      <c r="D156" s="5" t="s">
        <v>102</v>
      </c>
      <c r="E156" s="5" t="s">
        <v>68</v>
      </c>
      <c r="F156" s="5" t="s">
        <v>249</v>
      </c>
      <c r="G156" s="5" t="s">
        <v>284</v>
      </c>
      <c r="H156" s="5" t="s">
        <v>118</v>
      </c>
      <c r="I156" s="6">
        <v>16</v>
      </c>
      <c r="J156" s="7">
        <v>44223</v>
      </c>
      <c r="K156" s="8" t="str">
        <f>IF(B156="","",IF(AND(I156="",J156=""),"Unknown",IF(OR(AND(ISNUMBER(I156),I156=0),AND(ISNUMBER(J156),J156&lt;=EDATE('Scoring Settings'!$B$4,-'Scoring Settings'!$B$5))),"Not in use",IF(AND(ISNUMBER(I156),I156&lt;'Scoring Settings'!$B$6),"Low use","Active"))))</f>
        <v>Low use</v>
      </c>
      <c r="L156" s="5">
        <v>1</v>
      </c>
      <c r="M156" s="5">
        <v>4</v>
      </c>
      <c r="N156" s="5"/>
      <c r="O156" s="5" t="s">
        <v>130</v>
      </c>
      <c r="P156" s="5" t="s">
        <v>285</v>
      </c>
      <c r="Q156" s="9">
        <v>3</v>
      </c>
      <c r="R156" s="5" t="s">
        <v>107</v>
      </c>
      <c r="S156" s="5" t="s">
        <v>108</v>
      </c>
      <c r="T156" s="5" t="s">
        <v>195</v>
      </c>
      <c r="U156" s="7">
        <v>43655</v>
      </c>
      <c r="V156" s="5" t="s">
        <v>78</v>
      </c>
      <c r="W156" s="6">
        <v>43</v>
      </c>
      <c r="X156" s="5" t="s">
        <v>80</v>
      </c>
      <c r="Y156" s="9">
        <v>7</v>
      </c>
      <c r="Z156" s="5" t="s">
        <v>80</v>
      </c>
      <c r="AA156" s="5" t="s">
        <v>123</v>
      </c>
      <c r="AB156" s="9">
        <v>0</v>
      </c>
      <c r="AC156" s="5" t="s">
        <v>79</v>
      </c>
      <c r="AD156" s="5" t="s">
        <v>80</v>
      </c>
      <c r="AE156" s="5" t="s">
        <v>82</v>
      </c>
      <c r="AF156" s="10">
        <v>27500</v>
      </c>
      <c r="AG156" s="7">
        <v>49490</v>
      </c>
      <c r="AH156" s="10">
        <v>42500</v>
      </c>
      <c r="AI156" s="10">
        <v>14500</v>
      </c>
      <c r="AJ156" s="11">
        <f t="shared" si="2"/>
        <v>35.172413793103445</v>
      </c>
      <c r="AK156" s="12">
        <f>IF(B156="","",OR(K156="Not in use",K156="Low use")+AND(N156&lt;&gt;"",N156&lt;&gt;"TBD")+AND(ISNUMBER(U156),U156&lt;=EDATE('Scoring Settings'!$B$4,'Scoring Settings'!$B$8))+AND(ISNUMBER(L156),L156&lt;='Scoring Settings'!$B$7))</f>
        <v>3</v>
      </c>
      <c r="AL156" s="5" t="s">
        <v>96</v>
      </c>
      <c r="AM156" s="8" t="str">
        <f>IF(B156="","",IF(Z156="N","Easy",IF(OR(AND(ISNUMBER(AB156),AB156&gt;'Scoring Settings'!$B$11),AND(ISNUMBER(W156),W156&gt;'Scoring Settings'!$B$12),AND(ISNUMBER(M156),M156&lt;='Scoring Settings'!$B$13)),"High","Medium")))</f>
        <v>Medium</v>
      </c>
      <c r="AN156" s="5" t="s">
        <v>97</v>
      </c>
      <c r="AO156" s="7">
        <v>44804</v>
      </c>
      <c r="AP156" s="5" t="s">
        <v>197</v>
      </c>
      <c r="AQ156" s="29" t="s">
        <v>276</v>
      </c>
    </row>
    <row r="157" spans="1:43" hidden="1">
      <c r="A157" s="28">
        <v>103549</v>
      </c>
      <c r="B157" s="5" t="s">
        <v>332</v>
      </c>
      <c r="C157" s="5" t="s">
        <v>333</v>
      </c>
      <c r="D157" s="5" t="s">
        <v>115</v>
      </c>
      <c r="E157" s="5" t="s">
        <v>298</v>
      </c>
      <c r="F157" s="5" t="s">
        <v>243</v>
      </c>
      <c r="G157" s="5" t="s">
        <v>117</v>
      </c>
      <c r="H157" s="5" t="s">
        <v>91</v>
      </c>
      <c r="I157" s="6">
        <v>1431</v>
      </c>
      <c r="J157" s="7">
        <v>44279</v>
      </c>
      <c r="K157" s="8" t="str">
        <f>IF(B157="","",IF(AND(I157="",J157=""),"Unknown",IF(OR(AND(ISNUMBER(I157),I157=0),AND(ISNUMBER(J157),J157&lt;=EDATE('Scoring Settings'!$B$4,-'Scoring Settings'!$B$5))),"Not in use",IF(AND(ISNUMBER(I157),I157&lt;'Scoring Settings'!$B$6),"Low use","Active"))))</f>
        <v>Active</v>
      </c>
      <c r="L157" s="5">
        <v>1</v>
      </c>
      <c r="M157" s="5">
        <v>4</v>
      </c>
      <c r="N157" s="5"/>
      <c r="O157" s="5" t="s">
        <v>73</v>
      </c>
      <c r="P157" s="5" t="s">
        <v>334</v>
      </c>
      <c r="Q157" s="9">
        <v>3</v>
      </c>
      <c r="R157" s="5" t="s">
        <v>335</v>
      </c>
      <c r="S157" s="5" t="s">
        <v>336</v>
      </c>
      <c r="T157" s="5" t="s">
        <v>122</v>
      </c>
      <c r="U157" s="7">
        <v>45473</v>
      </c>
      <c r="V157" s="5" t="s">
        <v>135</v>
      </c>
      <c r="W157" s="6">
        <v>150</v>
      </c>
      <c r="X157" s="5" t="s">
        <v>80</v>
      </c>
      <c r="Y157" s="9">
        <v>7</v>
      </c>
      <c r="Z157" s="5" t="s">
        <v>80</v>
      </c>
      <c r="AA157" s="5" t="s">
        <v>185</v>
      </c>
      <c r="AB157" s="9">
        <v>1</v>
      </c>
      <c r="AC157" s="5" t="s">
        <v>82</v>
      </c>
      <c r="AD157" s="5" t="s">
        <v>79</v>
      </c>
      <c r="AE157" s="5" t="s">
        <v>82</v>
      </c>
      <c r="AF157" s="10">
        <v>50000</v>
      </c>
      <c r="AG157" s="7">
        <v>46234</v>
      </c>
      <c r="AH157" s="10">
        <v>28000</v>
      </c>
      <c r="AI157" s="10">
        <v>33000</v>
      </c>
      <c r="AJ157" s="11">
        <f t="shared" si="2"/>
        <v>10.181818181818182</v>
      </c>
      <c r="AK157" s="12">
        <f>IF(B157="","",OR(K157="Not in use",K157="Low use")+AND(N157&lt;&gt;"",N157&lt;&gt;"TBD")+AND(ISNUMBER(U157),U157&lt;=EDATE('Scoring Settings'!$B$4,'Scoring Settings'!$B$8))+AND(ISNUMBER(L157),L157&lt;='Scoring Settings'!$B$7))</f>
        <v>1</v>
      </c>
      <c r="AL157" s="5" t="s">
        <v>96</v>
      </c>
      <c r="AM157" s="8" t="str">
        <f>IF(B157="","",IF(Z157="N","Easy",IF(OR(AND(ISNUMBER(AB157),AB157&gt;'Scoring Settings'!$B$11),AND(ISNUMBER(W157),W157&gt;'Scoring Settings'!$B$12),AND(ISNUMBER(M157),M157&lt;='Scoring Settings'!$B$13)),"High","Medium")))</f>
        <v>Medium</v>
      </c>
      <c r="AN157" s="5" t="s">
        <v>97</v>
      </c>
      <c r="AO157" s="7">
        <v>44804</v>
      </c>
      <c r="AP157" s="5" t="s">
        <v>98</v>
      </c>
      <c r="AQ157" s="29" t="s">
        <v>170</v>
      </c>
    </row>
    <row r="158" spans="1:43" hidden="1">
      <c r="A158" s="28">
        <v>36154</v>
      </c>
      <c r="B158" s="5" t="s">
        <v>349</v>
      </c>
      <c r="C158" s="5" t="s">
        <v>138</v>
      </c>
      <c r="D158" s="5" t="s">
        <v>139</v>
      </c>
      <c r="E158" s="5" t="s">
        <v>68</v>
      </c>
      <c r="F158" s="5" t="s">
        <v>89</v>
      </c>
      <c r="G158" s="5" t="s">
        <v>221</v>
      </c>
      <c r="H158" s="5" t="s">
        <v>129</v>
      </c>
      <c r="I158" s="6">
        <v>74</v>
      </c>
      <c r="J158" s="7">
        <v>44271</v>
      </c>
      <c r="K158" s="8" t="str">
        <f>IF(B158="","",IF(AND(I158="",J158=""),"Unknown",IF(OR(AND(ISNUMBER(I158),I158=0),AND(ISNUMBER(J158),J158&lt;=EDATE('Scoring Settings'!$B$4,-'Scoring Settings'!$B$5))),"Not in use",IF(AND(ISNUMBER(I158),I158&lt;'Scoring Settings'!$B$6),"Low use","Active"))))</f>
        <v>Active</v>
      </c>
      <c r="L158" s="5">
        <v>1</v>
      </c>
      <c r="M158" s="5">
        <v>4</v>
      </c>
      <c r="N158" s="5" t="s">
        <v>350</v>
      </c>
      <c r="O158" s="5" t="s">
        <v>130</v>
      </c>
      <c r="P158" s="5" t="s">
        <v>351</v>
      </c>
      <c r="Q158" s="9">
        <v>3</v>
      </c>
      <c r="R158" s="5" t="s">
        <v>352</v>
      </c>
      <c r="S158" s="5" t="s">
        <v>353</v>
      </c>
      <c r="T158" s="5" t="s">
        <v>168</v>
      </c>
      <c r="U158" s="7">
        <v>47127</v>
      </c>
      <c r="V158" s="5" t="s">
        <v>135</v>
      </c>
      <c r="W158" s="6">
        <v>540</v>
      </c>
      <c r="X158" s="5" t="s">
        <v>79</v>
      </c>
      <c r="Y158" s="9">
        <v>3</v>
      </c>
      <c r="Z158" s="5" t="s">
        <v>79</v>
      </c>
      <c r="AA158" s="5" t="s">
        <v>110</v>
      </c>
      <c r="AB158" s="9">
        <v>0</v>
      </c>
      <c r="AC158" s="5" t="s">
        <v>82</v>
      </c>
      <c r="AD158" s="5" t="s">
        <v>82</v>
      </c>
      <c r="AE158" s="5" t="s">
        <v>82</v>
      </c>
      <c r="AF158" s="10">
        <v>37000</v>
      </c>
      <c r="AG158" s="7">
        <v>45838</v>
      </c>
      <c r="AH158" s="10">
        <v>32000</v>
      </c>
      <c r="AI158" s="10">
        <v>27000</v>
      </c>
      <c r="AJ158" s="11">
        <f t="shared" si="2"/>
        <v>14.222222222222221</v>
      </c>
      <c r="AK158" s="12">
        <f>IF(B158="","",OR(K158="Not in use",K158="Low use")+AND(N158&lt;&gt;"",N158&lt;&gt;"TBD")+AND(ISNUMBER(U158),U158&lt;=EDATE('Scoring Settings'!$B$4,'Scoring Settings'!$B$8))+AND(ISNUMBER(L158),L158&lt;='Scoring Settings'!$B$7))</f>
        <v>2</v>
      </c>
      <c r="AL158" s="5" t="s">
        <v>2217</v>
      </c>
      <c r="AM158" s="8" t="str">
        <f>IF(B158="","",IF(Z158="N","Easy",IF(OR(AND(ISNUMBER(AB158),AB158&gt;'Scoring Settings'!$B$11),AND(ISNUMBER(W158),W158&gt;'Scoring Settings'!$B$12),AND(ISNUMBER(M158),M158&lt;='Scoring Settings'!$B$13)),"High","Medium")))</f>
        <v>Easy</v>
      </c>
      <c r="AN158" s="5" t="s">
        <v>97</v>
      </c>
      <c r="AO158" s="7">
        <v>44834</v>
      </c>
      <c r="AP158" s="5" t="s">
        <v>197</v>
      </c>
      <c r="AQ158" s="29" t="s">
        <v>354</v>
      </c>
    </row>
    <row r="159" spans="1:43" ht="42.75" hidden="1">
      <c r="A159" s="28">
        <v>78230</v>
      </c>
      <c r="B159" s="5" t="s">
        <v>400</v>
      </c>
      <c r="C159" s="5" t="s">
        <v>138</v>
      </c>
      <c r="D159" s="5" t="s">
        <v>139</v>
      </c>
      <c r="E159" s="5" t="s">
        <v>298</v>
      </c>
      <c r="F159" s="5" t="s">
        <v>326</v>
      </c>
      <c r="G159" s="5" t="s">
        <v>278</v>
      </c>
      <c r="H159" s="5" t="s">
        <v>142</v>
      </c>
      <c r="I159" s="6">
        <v>14</v>
      </c>
      <c r="J159" s="7">
        <v>44265</v>
      </c>
      <c r="K159" s="8" t="str">
        <f>IF(B159="","",IF(AND(I159="",J159=""),"Unknown",IF(OR(AND(ISNUMBER(I159),I159=0),AND(ISNUMBER(J159),J159&lt;=EDATE('Scoring Settings'!$B$4,-'Scoring Settings'!$B$5))),"Not in use",IF(AND(ISNUMBER(I159),I159&lt;'Scoring Settings'!$B$6),"Low use","Active"))))</f>
        <v>Low use</v>
      </c>
      <c r="L159" s="5">
        <v>2</v>
      </c>
      <c r="M159" s="5">
        <v>4</v>
      </c>
      <c r="N159" s="5" t="s">
        <v>401</v>
      </c>
      <c r="O159" s="5" t="s">
        <v>143</v>
      </c>
      <c r="P159" s="5" t="s">
        <v>144</v>
      </c>
      <c r="Q159" s="9">
        <v>0</v>
      </c>
      <c r="R159" s="5" t="s">
        <v>145</v>
      </c>
      <c r="S159" s="5" t="s">
        <v>145</v>
      </c>
      <c r="T159" s="5" t="s">
        <v>146</v>
      </c>
      <c r="U159" s="7"/>
      <c r="V159" s="5" t="s">
        <v>135</v>
      </c>
      <c r="W159" s="6">
        <v>7050</v>
      </c>
      <c r="X159" s="5" t="s">
        <v>79</v>
      </c>
      <c r="Y159" s="9">
        <v>3</v>
      </c>
      <c r="Z159" s="5" t="s">
        <v>80</v>
      </c>
      <c r="AA159" s="5" t="s">
        <v>81</v>
      </c>
      <c r="AB159" s="9">
        <v>3</v>
      </c>
      <c r="AC159" s="5" t="s">
        <v>79</v>
      </c>
      <c r="AD159" s="5" t="s">
        <v>79</v>
      </c>
      <c r="AE159" s="5" t="s">
        <v>82</v>
      </c>
      <c r="AF159" s="10">
        <v>70000</v>
      </c>
      <c r="AG159" s="7">
        <v>46234</v>
      </c>
      <c r="AH159" s="10">
        <v>262000</v>
      </c>
      <c r="AI159" s="10">
        <v>31500</v>
      </c>
      <c r="AJ159" s="11">
        <f t="shared" si="2"/>
        <v>99.809523809523824</v>
      </c>
      <c r="AK159" s="12">
        <f>IF(B159="","",OR(K159="Not in use",K159="Low use")+AND(N159&lt;&gt;"",N159&lt;&gt;"TBD")+AND(ISNUMBER(U159),U159&lt;=EDATE('Scoring Settings'!$B$4,'Scoring Settings'!$B$8))+AND(ISNUMBER(L159),L159&lt;='Scoring Settings'!$B$7))</f>
        <v>3</v>
      </c>
      <c r="AL159" s="5" t="s">
        <v>96</v>
      </c>
      <c r="AM159" s="8" t="str">
        <f>IF(B159="","",IF(Z159="N","Easy",IF(OR(AND(ISNUMBER(AB159),AB159&gt;'Scoring Settings'!$B$11),AND(ISNUMBER(W159),W159&gt;'Scoring Settings'!$B$12),AND(ISNUMBER(M159),M159&lt;='Scoring Settings'!$B$13)),"High","Medium")))</f>
        <v>High</v>
      </c>
      <c r="AN159" s="5" t="s">
        <v>97</v>
      </c>
      <c r="AO159" s="7">
        <v>44651</v>
      </c>
      <c r="AP159" s="5" t="s">
        <v>197</v>
      </c>
      <c r="AQ159" s="29" t="s">
        <v>402</v>
      </c>
    </row>
    <row r="160" spans="1:43" hidden="1">
      <c r="A160" s="28">
        <v>33667</v>
      </c>
      <c r="B160" s="5" t="s">
        <v>403</v>
      </c>
      <c r="C160" s="5" t="s">
        <v>215</v>
      </c>
      <c r="D160" s="5" t="s">
        <v>139</v>
      </c>
      <c r="E160" s="5" t="s">
        <v>68</v>
      </c>
      <c r="F160" s="5" t="s">
        <v>266</v>
      </c>
      <c r="G160" s="5" t="s">
        <v>404</v>
      </c>
      <c r="H160" s="5" t="s">
        <v>189</v>
      </c>
      <c r="I160" s="6">
        <v>25</v>
      </c>
      <c r="J160" s="7">
        <v>44305</v>
      </c>
      <c r="K160" s="8" t="str">
        <f>IF(B160="","",IF(AND(I160="",J160=""),"Unknown",IF(OR(AND(ISNUMBER(I160),I160=0),AND(ISNUMBER(J160),J160&lt;=EDATE('Scoring Settings'!$B$4,-'Scoring Settings'!$B$5))),"Not in use",IF(AND(ISNUMBER(I160),I160&lt;'Scoring Settings'!$B$6),"Low use","Active"))))</f>
        <v>Active</v>
      </c>
      <c r="L160" s="5">
        <v>4</v>
      </c>
      <c r="M160" s="5">
        <v>2</v>
      </c>
      <c r="N160" s="5" t="s">
        <v>405</v>
      </c>
      <c r="O160" s="5" t="s">
        <v>73</v>
      </c>
      <c r="P160" s="5" t="s">
        <v>406</v>
      </c>
      <c r="Q160" s="9">
        <v>3</v>
      </c>
      <c r="R160" s="5" t="s">
        <v>251</v>
      </c>
      <c r="S160" s="5" t="s">
        <v>133</v>
      </c>
      <c r="T160" s="5" t="s">
        <v>122</v>
      </c>
      <c r="U160" s="7">
        <v>44165</v>
      </c>
      <c r="V160" s="5" t="s">
        <v>135</v>
      </c>
      <c r="W160" s="6">
        <v>4430</v>
      </c>
      <c r="X160" s="5" t="s">
        <v>80</v>
      </c>
      <c r="Y160" s="9">
        <v>10</v>
      </c>
      <c r="Z160" s="5" t="s">
        <v>79</v>
      </c>
      <c r="AA160" s="5" t="s">
        <v>110</v>
      </c>
      <c r="AB160" s="9">
        <v>28</v>
      </c>
      <c r="AC160" s="5" t="s">
        <v>79</v>
      </c>
      <c r="AD160" s="5" t="s">
        <v>82</v>
      </c>
      <c r="AE160" s="5" t="s">
        <v>79</v>
      </c>
      <c r="AF160" s="10">
        <v>120000</v>
      </c>
      <c r="AG160" s="7">
        <v>46630</v>
      </c>
      <c r="AH160" s="10">
        <v>165500</v>
      </c>
      <c r="AI160" s="10">
        <v>101000</v>
      </c>
      <c r="AJ160" s="11">
        <f t="shared" si="2"/>
        <v>19.663366336633661</v>
      </c>
      <c r="AK160" s="12">
        <f>IF(B160="","",OR(K160="Not in use",K160="Low use")+AND(N160&lt;&gt;"",N160&lt;&gt;"TBD")+AND(ISNUMBER(U160),U160&lt;=EDATE('Scoring Settings'!$B$4,'Scoring Settings'!$B$8))+AND(ISNUMBER(L160),L160&lt;='Scoring Settings'!$B$7))</f>
        <v>2</v>
      </c>
      <c r="AL160" s="5" t="s">
        <v>2217</v>
      </c>
      <c r="AM160" s="8" t="str">
        <f>IF(B160="","",IF(Z160="N","Easy",IF(OR(AND(ISNUMBER(AB160),AB160&gt;'Scoring Settings'!$B$11),AND(ISNUMBER(W160),W160&gt;'Scoring Settings'!$B$12),AND(ISNUMBER(M160),M160&lt;='Scoring Settings'!$B$13)),"High","Medium")))</f>
        <v>Easy</v>
      </c>
      <c r="AN160" s="5" t="s">
        <v>97</v>
      </c>
      <c r="AO160" s="7">
        <v>44742</v>
      </c>
      <c r="AP160" s="5" t="s">
        <v>197</v>
      </c>
      <c r="AQ160" s="29" t="s">
        <v>407</v>
      </c>
    </row>
    <row r="161" spans="1:43" hidden="1">
      <c r="A161" s="28">
        <v>109222</v>
      </c>
      <c r="B161" s="5" t="s">
        <v>411</v>
      </c>
      <c r="C161" s="5" t="s">
        <v>343</v>
      </c>
      <c r="D161" s="5" t="s">
        <v>102</v>
      </c>
      <c r="E161" s="5" t="s">
        <v>68</v>
      </c>
      <c r="F161" s="5" t="s">
        <v>69</v>
      </c>
      <c r="G161" s="5" t="s">
        <v>271</v>
      </c>
      <c r="H161" s="5" t="s">
        <v>91</v>
      </c>
      <c r="I161" s="6">
        <v>14</v>
      </c>
      <c r="J161" s="7">
        <v>44227</v>
      </c>
      <c r="K161" s="8" t="str">
        <f>IF(B161="","",IF(AND(I161="",J161=""),"Unknown",IF(OR(AND(ISNUMBER(I161),I161=0),AND(ISNUMBER(J161),J161&lt;=EDATE('Scoring Settings'!$B$4,-'Scoring Settings'!$B$5))),"Not in use",IF(AND(ISNUMBER(I161),I161&lt;'Scoring Settings'!$B$6),"Low use","Active"))))</f>
        <v>Low use</v>
      </c>
      <c r="L161" s="5">
        <v>2</v>
      </c>
      <c r="M161" s="5">
        <v>3</v>
      </c>
      <c r="N161" s="5"/>
      <c r="O161" s="5" t="s">
        <v>73</v>
      </c>
      <c r="P161" s="5" t="s">
        <v>412</v>
      </c>
      <c r="Q161" s="9">
        <v>1</v>
      </c>
      <c r="R161" s="5" t="s">
        <v>166</v>
      </c>
      <c r="S161" s="5" t="s">
        <v>72</v>
      </c>
      <c r="T161" s="5" t="s">
        <v>122</v>
      </c>
      <c r="U161" s="7">
        <v>45209</v>
      </c>
      <c r="V161" s="5" t="s">
        <v>135</v>
      </c>
      <c r="W161" s="6">
        <v>9</v>
      </c>
      <c r="X161" s="5" t="s">
        <v>80</v>
      </c>
      <c r="Y161" s="9">
        <v>5</v>
      </c>
      <c r="Z161" s="5" t="s">
        <v>79</v>
      </c>
      <c r="AA161" s="5" t="s">
        <v>110</v>
      </c>
      <c r="AB161" s="9">
        <v>6</v>
      </c>
      <c r="AC161" s="5" t="s">
        <v>82</v>
      </c>
      <c r="AD161" s="5" t="s">
        <v>82</v>
      </c>
      <c r="AE161" s="5" t="s">
        <v>82</v>
      </c>
      <c r="AF161" s="10">
        <v>28000</v>
      </c>
      <c r="AG161" s="7">
        <v>46053</v>
      </c>
      <c r="AH161" s="10">
        <v>40000</v>
      </c>
      <c r="AI161" s="10">
        <v>24000</v>
      </c>
      <c r="AJ161" s="11">
        <f t="shared" si="2"/>
        <v>20</v>
      </c>
      <c r="AK161" s="12">
        <f>IF(B161="","",OR(K161="Not in use",K161="Low use")+AND(N161&lt;&gt;"",N161&lt;&gt;"TBD")+AND(ISNUMBER(U161),U161&lt;=EDATE('Scoring Settings'!$B$4,'Scoring Settings'!$B$8))+AND(ISNUMBER(L161),L161&lt;='Scoring Settings'!$B$7))</f>
        <v>2</v>
      </c>
      <c r="AL161" s="5" t="s">
        <v>223</v>
      </c>
      <c r="AM161" s="8" t="str">
        <f>IF(B161="","",IF(Z161="N","Easy",IF(OR(AND(ISNUMBER(AB161),AB161&gt;'Scoring Settings'!$B$11),AND(ISNUMBER(W161),W161&gt;'Scoring Settings'!$B$12),AND(ISNUMBER(M161),M161&lt;='Scoring Settings'!$B$13)),"High","Medium")))</f>
        <v>Easy</v>
      </c>
      <c r="AN161" s="5" t="s">
        <v>97</v>
      </c>
      <c r="AO161" s="7">
        <v>44926</v>
      </c>
      <c r="AP161" s="5" t="s">
        <v>98</v>
      </c>
      <c r="AQ161" s="29" t="s">
        <v>149</v>
      </c>
    </row>
    <row r="162" spans="1:43" ht="42.75" hidden="1">
      <c r="A162" s="28">
        <v>105930</v>
      </c>
      <c r="B162" s="5" t="s">
        <v>415</v>
      </c>
      <c r="C162" s="5" t="s">
        <v>172</v>
      </c>
      <c r="D162" s="5" t="s">
        <v>162</v>
      </c>
      <c r="E162" s="5" t="s">
        <v>298</v>
      </c>
      <c r="F162" s="5" t="s">
        <v>178</v>
      </c>
      <c r="G162" s="5" t="s">
        <v>104</v>
      </c>
      <c r="H162" s="5" t="s">
        <v>129</v>
      </c>
      <c r="I162" s="6">
        <v>127</v>
      </c>
      <c r="J162" s="7">
        <v>44290</v>
      </c>
      <c r="K162" s="8" t="str">
        <f>IF(B162="","",IF(AND(I162="",J162=""),"Unknown",IF(OR(AND(ISNUMBER(I162),I162=0),AND(ISNUMBER(J162),J162&lt;=EDATE('Scoring Settings'!$B$4,-'Scoring Settings'!$B$5))),"Not in use",IF(AND(ISNUMBER(I162),I162&lt;'Scoring Settings'!$B$6),"Low use","Active"))))</f>
        <v>Active</v>
      </c>
      <c r="L162" s="5">
        <v>2</v>
      </c>
      <c r="M162" s="5">
        <v>4</v>
      </c>
      <c r="N162" s="5" t="s">
        <v>416</v>
      </c>
      <c r="O162" s="5" t="s">
        <v>191</v>
      </c>
      <c r="P162" s="5" t="s">
        <v>192</v>
      </c>
      <c r="Q162" s="9">
        <v>0</v>
      </c>
      <c r="R162" s="5" t="s">
        <v>193</v>
      </c>
      <c r="S162" s="5" t="s">
        <v>318</v>
      </c>
      <c r="T162" s="5" t="s">
        <v>195</v>
      </c>
      <c r="U162" s="7"/>
      <c r="V162" s="5" t="s">
        <v>135</v>
      </c>
      <c r="W162" s="6">
        <v>14</v>
      </c>
      <c r="X162" s="5" t="s">
        <v>79</v>
      </c>
      <c r="Y162" s="9">
        <v>5</v>
      </c>
      <c r="Z162" s="5" t="s">
        <v>79</v>
      </c>
      <c r="AA162" s="5" t="s">
        <v>110</v>
      </c>
      <c r="AB162" s="9">
        <v>3</v>
      </c>
      <c r="AC162" s="5" t="s">
        <v>79</v>
      </c>
      <c r="AD162" s="5" t="s">
        <v>79</v>
      </c>
      <c r="AE162" s="5" t="s">
        <v>82</v>
      </c>
      <c r="AF162" s="10">
        <v>29000</v>
      </c>
      <c r="AG162" s="7">
        <v>48791</v>
      </c>
      <c r="AH162" s="10">
        <v>19000</v>
      </c>
      <c r="AI162" s="10">
        <v>18500</v>
      </c>
      <c r="AJ162" s="11">
        <f t="shared" si="2"/>
        <v>12.324324324324323</v>
      </c>
      <c r="AK162" s="12">
        <f>IF(B162="","",OR(K162="Not in use",K162="Low use")+AND(N162&lt;&gt;"",N162&lt;&gt;"TBD")+AND(ISNUMBER(U162),U162&lt;=EDATE('Scoring Settings'!$B$4,'Scoring Settings'!$B$8))+AND(ISNUMBER(L162),L162&lt;='Scoring Settings'!$B$7))</f>
        <v>2</v>
      </c>
      <c r="AL162" s="5" t="s">
        <v>2217</v>
      </c>
      <c r="AM162" s="8" t="str">
        <f>IF(B162="","",IF(Z162="N","Easy",IF(OR(AND(ISNUMBER(AB162),AB162&gt;'Scoring Settings'!$B$11),AND(ISNUMBER(W162),W162&gt;'Scoring Settings'!$B$12),AND(ISNUMBER(M162),M162&lt;='Scoring Settings'!$B$13)),"High","Medium")))</f>
        <v>Easy</v>
      </c>
      <c r="AN162" s="5" t="s">
        <v>97</v>
      </c>
      <c r="AO162" s="7">
        <v>44681</v>
      </c>
      <c r="AP162" s="5" t="s">
        <v>197</v>
      </c>
      <c r="AQ162" s="29" t="s">
        <v>417</v>
      </c>
    </row>
    <row r="163" spans="1:43" ht="42.75" hidden="1">
      <c r="A163" s="28">
        <v>28755</v>
      </c>
      <c r="B163" s="5" t="s">
        <v>418</v>
      </c>
      <c r="C163" s="5" t="s">
        <v>259</v>
      </c>
      <c r="D163" s="5" t="s">
        <v>67</v>
      </c>
      <c r="E163" s="5" t="s">
        <v>68</v>
      </c>
      <c r="F163" s="5" t="s">
        <v>419</v>
      </c>
      <c r="G163" s="5" t="s">
        <v>70</v>
      </c>
      <c r="H163" s="5" t="s">
        <v>118</v>
      </c>
      <c r="I163" s="6">
        <v>12</v>
      </c>
      <c r="J163" s="7">
        <v>44224</v>
      </c>
      <c r="K163" s="8" t="str">
        <f>IF(B163="","",IF(AND(I163="",J163=""),"Unknown",IF(OR(AND(ISNUMBER(I163),I163=0),AND(ISNUMBER(J163),J163&lt;=EDATE('Scoring Settings'!$B$4,-'Scoring Settings'!$B$5))),"Not in use",IF(AND(ISNUMBER(I163),I163&lt;'Scoring Settings'!$B$6),"Low use","Active"))))</f>
        <v>Low use</v>
      </c>
      <c r="L163" s="5">
        <v>1</v>
      </c>
      <c r="M163" s="5">
        <v>4</v>
      </c>
      <c r="N163" s="5"/>
      <c r="O163" s="5" t="s">
        <v>73</v>
      </c>
      <c r="P163" s="5" t="s">
        <v>420</v>
      </c>
      <c r="Q163" s="9">
        <v>3</v>
      </c>
      <c r="R163" s="5" t="s">
        <v>330</v>
      </c>
      <c r="S163" s="5" t="s">
        <v>331</v>
      </c>
      <c r="T163" s="5" t="s">
        <v>72</v>
      </c>
      <c r="U163" s="7">
        <v>45046</v>
      </c>
      <c r="V163" s="5" t="s">
        <v>135</v>
      </c>
      <c r="W163" s="6">
        <v>220</v>
      </c>
      <c r="X163" s="5" t="s">
        <v>80</v>
      </c>
      <c r="Y163" s="9">
        <v>5</v>
      </c>
      <c r="Z163" s="5" t="s">
        <v>80</v>
      </c>
      <c r="AA163" s="5" t="s">
        <v>205</v>
      </c>
      <c r="AB163" s="9">
        <v>1</v>
      </c>
      <c r="AC163" s="5" t="s">
        <v>82</v>
      </c>
      <c r="AD163" s="5" t="s">
        <v>82</v>
      </c>
      <c r="AE163" s="5" t="s">
        <v>79</v>
      </c>
      <c r="AF163" s="10">
        <v>50000</v>
      </c>
      <c r="AG163" s="7">
        <v>48121</v>
      </c>
      <c r="AH163" s="10">
        <v>37000</v>
      </c>
      <c r="AI163" s="10">
        <v>28000</v>
      </c>
      <c r="AJ163" s="11">
        <f t="shared" si="2"/>
        <v>15.857142857142858</v>
      </c>
      <c r="AK163" s="12">
        <f>IF(B163="","",OR(K163="Not in use",K163="Low use")+AND(N163&lt;&gt;"",N163&lt;&gt;"TBD")+AND(ISNUMBER(U163),U163&lt;=EDATE('Scoring Settings'!$B$4,'Scoring Settings'!$B$8))+AND(ISNUMBER(L163),L163&lt;='Scoring Settings'!$B$7))</f>
        <v>2</v>
      </c>
      <c r="AL163" s="5" t="s">
        <v>96</v>
      </c>
      <c r="AM163" s="8" t="str">
        <f>IF(B163="","",IF(Z163="N","Easy",IF(OR(AND(ISNUMBER(AB163),AB163&gt;'Scoring Settings'!$B$11),AND(ISNUMBER(W163),W163&gt;'Scoring Settings'!$B$12),AND(ISNUMBER(M163),M163&lt;='Scoring Settings'!$B$13)),"High","Medium")))</f>
        <v>Medium</v>
      </c>
      <c r="AN163" s="5" t="s">
        <v>97</v>
      </c>
      <c r="AO163" s="7">
        <v>44926</v>
      </c>
      <c r="AP163" s="5" t="s">
        <v>98</v>
      </c>
      <c r="AQ163" s="29" t="s">
        <v>421</v>
      </c>
    </row>
    <row r="164" spans="1:43" hidden="1">
      <c r="A164" s="28">
        <v>135553</v>
      </c>
      <c r="B164" s="5" t="s">
        <v>473</v>
      </c>
      <c r="C164" s="5" t="s">
        <v>395</v>
      </c>
      <c r="D164" s="5" t="s">
        <v>88</v>
      </c>
      <c r="E164" s="5" t="s">
        <v>298</v>
      </c>
      <c r="F164" s="5" t="s">
        <v>326</v>
      </c>
      <c r="G164" s="5" t="s">
        <v>237</v>
      </c>
      <c r="H164" s="5" t="s">
        <v>142</v>
      </c>
      <c r="I164" s="6">
        <v>124</v>
      </c>
      <c r="J164" s="7">
        <v>44306</v>
      </c>
      <c r="K164" s="8" t="str">
        <f>IF(B164="","",IF(AND(I164="",J164=""),"Unknown",IF(OR(AND(ISNUMBER(I164),I164=0),AND(ISNUMBER(J164),J164&lt;=EDATE('Scoring Settings'!$B$4,-'Scoring Settings'!$B$5))),"Not in use",IF(AND(ISNUMBER(I164),I164&lt;'Scoring Settings'!$B$6),"Low use","Active"))))</f>
        <v>Active</v>
      </c>
      <c r="L164" s="5">
        <v>2</v>
      </c>
      <c r="M164" s="5">
        <v>3</v>
      </c>
      <c r="N164" s="5" t="s">
        <v>474</v>
      </c>
      <c r="O164" s="5" t="s">
        <v>143</v>
      </c>
      <c r="P164" s="5" t="s">
        <v>144</v>
      </c>
      <c r="Q164" s="9">
        <v>0</v>
      </c>
      <c r="R164" s="5" t="s">
        <v>145</v>
      </c>
      <c r="S164" s="5" t="s">
        <v>145</v>
      </c>
      <c r="T164" s="5" t="s">
        <v>146</v>
      </c>
      <c r="U164" s="7">
        <v>45900</v>
      </c>
      <c r="V164" s="5" t="s">
        <v>78</v>
      </c>
      <c r="W164" s="6">
        <v>360</v>
      </c>
      <c r="X164" s="5" t="s">
        <v>80</v>
      </c>
      <c r="Y164" s="9">
        <v>5</v>
      </c>
      <c r="Z164" s="5" t="s">
        <v>79</v>
      </c>
      <c r="AA164" s="5" t="s">
        <v>110</v>
      </c>
      <c r="AB164" s="9">
        <v>1</v>
      </c>
      <c r="AC164" s="5" t="s">
        <v>80</v>
      </c>
      <c r="AD164" s="5" t="s">
        <v>79</v>
      </c>
      <c r="AE164" s="5" t="s">
        <v>79</v>
      </c>
      <c r="AF164" s="10">
        <v>75000</v>
      </c>
      <c r="AG164" s="7">
        <v>47664</v>
      </c>
      <c r="AH164" s="10">
        <v>48000</v>
      </c>
      <c r="AI164" s="10">
        <v>51500</v>
      </c>
      <c r="AJ164" s="11">
        <f t="shared" si="2"/>
        <v>11.184466019417476</v>
      </c>
      <c r="AK164" s="12">
        <f>IF(B164="","",OR(K164="Not in use",K164="Low use")+AND(N164&lt;&gt;"",N164&lt;&gt;"TBD")+AND(ISNUMBER(U164),U164&lt;=EDATE('Scoring Settings'!$B$4,'Scoring Settings'!$B$8))+AND(ISNUMBER(L164),L164&lt;='Scoring Settings'!$B$7))</f>
        <v>2</v>
      </c>
      <c r="AL164" s="5" t="s">
        <v>223</v>
      </c>
      <c r="AM164" s="8" t="str">
        <f>IF(B164="","",IF(Z164="N","Easy",IF(OR(AND(ISNUMBER(AB164),AB164&gt;'Scoring Settings'!$B$11),AND(ISNUMBER(W164),W164&gt;'Scoring Settings'!$B$12),AND(ISNUMBER(M164),M164&lt;='Scoring Settings'!$B$13)),"High","Medium")))</f>
        <v>Easy</v>
      </c>
      <c r="AN164" s="5" t="s">
        <v>97</v>
      </c>
      <c r="AO164" s="7">
        <v>44773</v>
      </c>
      <c r="AP164" s="5" t="s">
        <v>98</v>
      </c>
      <c r="AQ164" s="29" t="s">
        <v>149</v>
      </c>
    </row>
    <row r="165" spans="1:43" hidden="1">
      <c r="A165" s="28">
        <v>121829</v>
      </c>
      <c r="B165" s="5" t="s">
        <v>475</v>
      </c>
      <c r="C165" s="5" t="s">
        <v>215</v>
      </c>
      <c r="D165" s="5" t="s">
        <v>139</v>
      </c>
      <c r="E165" s="5" t="s">
        <v>68</v>
      </c>
      <c r="F165" s="5" t="s">
        <v>476</v>
      </c>
      <c r="G165" s="5" t="s">
        <v>128</v>
      </c>
      <c r="H165" s="5" t="s">
        <v>105</v>
      </c>
      <c r="I165" s="6">
        <v>0</v>
      </c>
      <c r="J165" s="7">
        <v>44137</v>
      </c>
      <c r="K165" s="8" t="str">
        <f>IF(B165="","",IF(AND(I165="",J165=""),"Unknown",IF(OR(AND(ISNUMBER(I165),I165=0),AND(ISNUMBER(J165),J165&lt;=EDATE('Scoring Settings'!$B$4,-'Scoring Settings'!$B$5))),"Not in use",IF(AND(ISNUMBER(I165),I165&lt;'Scoring Settings'!$B$6),"Low use","Active"))))</f>
        <v>Not in use</v>
      </c>
      <c r="L165" s="5">
        <v>2</v>
      </c>
      <c r="M165" s="5">
        <v>4</v>
      </c>
      <c r="N165" s="5"/>
      <c r="O165" s="5" t="s">
        <v>73</v>
      </c>
      <c r="P165" s="5" t="s">
        <v>477</v>
      </c>
      <c r="Q165" s="9">
        <v>2</v>
      </c>
      <c r="R165" s="5" t="s">
        <v>478</v>
      </c>
      <c r="S165" s="5" t="s">
        <v>479</v>
      </c>
      <c r="T165" s="5" t="s">
        <v>77</v>
      </c>
      <c r="U165" s="7">
        <v>43844</v>
      </c>
      <c r="V165" s="5" t="s">
        <v>95</v>
      </c>
      <c r="W165" s="6">
        <v>420</v>
      </c>
      <c r="X165" s="5" t="s">
        <v>80</v>
      </c>
      <c r="Y165" s="9">
        <v>7</v>
      </c>
      <c r="Z165" s="5" t="s">
        <v>80</v>
      </c>
      <c r="AA165" s="5" t="s">
        <v>81</v>
      </c>
      <c r="AB165" s="9">
        <v>2</v>
      </c>
      <c r="AC165" s="5" t="s">
        <v>82</v>
      </c>
      <c r="AD165" s="5" t="s">
        <v>79</v>
      </c>
      <c r="AE165" s="5" t="s">
        <v>79</v>
      </c>
      <c r="AF165" s="10">
        <v>31000</v>
      </c>
      <c r="AG165" s="7">
        <v>47118</v>
      </c>
      <c r="AH165" s="10">
        <v>32000</v>
      </c>
      <c r="AI165" s="10">
        <v>16500</v>
      </c>
      <c r="AJ165" s="11">
        <f t="shared" si="2"/>
        <v>23.272727272727273</v>
      </c>
      <c r="AK165" s="12">
        <f>IF(B165="","",OR(K165="Not in use",K165="Low use")+AND(N165&lt;&gt;"",N165&lt;&gt;"TBD")+AND(ISNUMBER(U165),U165&lt;=EDATE('Scoring Settings'!$B$4,'Scoring Settings'!$B$8))+AND(ISNUMBER(L165),L165&lt;='Scoring Settings'!$B$7))</f>
        <v>3</v>
      </c>
      <c r="AL165" s="5" t="s">
        <v>96</v>
      </c>
      <c r="AM165" s="8" t="str">
        <f>IF(B165="","",IF(Z165="N","Easy",IF(OR(AND(ISNUMBER(AB165),AB165&gt;'Scoring Settings'!$B$11),AND(ISNUMBER(W165),W165&gt;'Scoring Settings'!$B$12),AND(ISNUMBER(M165),M165&lt;='Scoring Settings'!$B$13)),"High","Medium")))</f>
        <v>Medium</v>
      </c>
      <c r="AN165" s="5" t="s">
        <v>97</v>
      </c>
      <c r="AO165" s="7">
        <v>44651</v>
      </c>
      <c r="AP165" s="5" t="s">
        <v>98</v>
      </c>
      <c r="AQ165" s="29" t="s">
        <v>149</v>
      </c>
    </row>
    <row r="166" spans="1:43" hidden="1">
      <c r="A166" s="28">
        <v>136912</v>
      </c>
      <c r="B166" s="5" t="s">
        <v>484</v>
      </c>
      <c r="C166" s="5" t="s">
        <v>270</v>
      </c>
      <c r="D166" s="5" t="s">
        <v>139</v>
      </c>
      <c r="E166" s="5" t="s">
        <v>68</v>
      </c>
      <c r="F166" s="5" t="s">
        <v>263</v>
      </c>
      <c r="G166" s="5" t="s">
        <v>267</v>
      </c>
      <c r="H166" s="5" t="s">
        <v>71</v>
      </c>
      <c r="I166" s="6">
        <v>15</v>
      </c>
      <c r="J166" s="7">
        <v>44240</v>
      </c>
      <c r="K166" s="8" t="str">
        <f>IF(B166="","",IF(AND(I166="",J166=""),"Unknown",IF(OR(AND(ISNUMBER(I166),I166=0),AND(ISNUMBER(J166),J166&lt;=EDATE('Scoring Settings'!$B$4,-'Scoring Settings'!$B$5))),"Not in use",IF(AND(ISNUMBER(I166),I166&lt;'Scoring Settings'!$B$6),"Low use","Active"))))</f>
        <v>Low use</v>
      </c>
      <c r="L166" s="5">
        <v>3</v>
      </c>
      <c r="M166" s="5">
        <v>2</v>
      </c>
      <c r="N166" s="5"/>
      <c r="O166" s="5" t="s">
        <v>73</v>
      </c>
      <c r="P166" s="5" t="s">
        <v>485</v>
      </c>
      <c r="Q166" s="9">
        <v>5</v>
      </c>
      <c r="R166" s="5" t="s">
        <v>107</v>
      </c>
      <c r="S166" s="5" t="s">
        <v>108</v>
      </c>
      <c r="T166" s="5" t="s">
        <v>184</v>
      </c>
      <c r="U166" s="7">
        <v>43655</v>
      </c>
      <c r="V166" s="5" t="s">
        <v>135</v>
      </c>
      <c r="W166" s="6">
        <v>65</v>
      </c>
      <c r="X166" s="5" t="s">
        <v>79</v>
      </c>
      <c r="Y166" s="9">
        <v>3</v>
      </c>
      <c r="Z166" s="5" t="s">
        <v>80</v>
      </c>
      <c r="AA166" s="5" t="s">
        <v>205</v>
      </c>
      <c r="AB166" s="9">
        <v>6</v>
      </c>
      <c r="AC166" s="5" t="s">
        <v>80</v>
      </c>
      <c r="AD166" s="5" t="s">
        <v>82</v>
      </c>
      <c r="AE166" s="5" t="s">
        <v>79</v>
      </c>
      <c r="AF166" s="10">
        <v>210000</v>
      </c>
      <c r="AG166" s="7">
        <v>48152</v>
      </c>
      <c r="AH166" s="10">
        <v>126500</v>
      </c>
      <c r="AI166" s="10">
        <v>133000</v>
      </c>
      <c r="AJ166" s="11">
        <f t="shared" si="2"/>
        <v>11.413533834586467</v>
      </c>
      <c r="AK166" s="12">
        <f>IF(B166="","",OR(K166="Not in use",K166="Low use")+AND(N166&lt;&gt;"",N166&lt;&gt;"TBD")+AND(ISNUMBER(U166),U166&lt;=EDATE('Scoring Settings'!$B$4,'Scoring Settings'!$B$8))+AND(ISNUMBER(L166),L166&lt;='Scoring Settings'!$B$7))</f>
        <v>2</v>
      </c>
      <c r="AL166" s="5" t="s">
        <v>96</v>
      </c>
      <c r="AM166" s="8" t="str">
        <f>IF(B166="","",IF(Z166="N","Easy",IF(OR(AND(ISNUMBER(AB166),AB166&gt;'Scoring Settings'!$B$11),AND(ISNUMBER(W166),W166&gt;'Scoring Settings'!$B$12),AND(ISNUMBER(M166),M166&lt;='Scoring Settings'!$B$13)),"High","Medium")))</f>
        <v>High</v>
      </c>
      <c r="AN166" s="5" t="s">
        <v>97</v>
      </c>
      <c r="AO166" s="7">
        <v>44377</v>
      </c>
      <c r="AP166" s="5" t="s">
        <v>197</v>
      </c>
      <c r="AQ166" s="29" t="s">
        <v>486</v>
      </c>
    </row>
    <row r="167" spans="1:43" hidden="1">
      <c r="A167" s="28">
        <v>196675</v>
      </c>
      <c r="B167" s="5" t="s">
        <v>498</v>
      </c>
      <c r="C167" s="5" t="s">
        <v>301</v>
      </c>
      <c r="D167" s="5" t="s">
        <v>162</v>
      </c>
      <c r="E167" s="5" t="s">
        <v>68</v>
      </c>
      <c r="F167" s="5" t="s">
        <v>266</v>
      </c>
      <c r="G167" s="5" t="s">
        <v>284</v>
      </c>
      <c r="H167" s="5" t="s">
        <v>142</v>
      </c>
      <c r="I167" s="6">
        <v>16</v>
      </c>
      <c r="J167" s="7">
        <v>44274</v>
      </c>
      <c r="K167" s="8" t="str">
        <f>IF(B167="","",IF(AND(I167="",J167=""),"Unknown",IF(OR(AND(ISNUMBER(I167),I167=0),AND(ISNUMBER(J167),J167&lt;=EDATE('Scoring Settings'!$B$4,-'Scoring Settings'!$B$5))),"Not in use",IF(AND(ISNUMBER(I167),I167&lt;'Scoring Settings'!$B$6),"Low use","Active"))))</f>
        <v>Low use</v>
      </c>
      <c r="L167" s="5">
        <v>1</v>
      </c>
      <c r="M167" s="5">
        <v>4</v>
      </c>
      <c r="N167" s="5" t="s">
        <v>458</v>
      </c>
      <c r="O167" s="5" t="s">
        <v>143</v>
      </c>
      <c r="P167" s="5" t="s">
        <v>144</v>
      </c>
      <c r="Q167" s="9">
        <v>0</v>
      </c>
      <c r="R167" s="5" t="s">
        <v>145</v>
      </c>
      <c r="S167" s="5" t="s">
        <v>145</v>
      </c>
      <c r="T167" s="5" t="s">
        <v>146</v>
      </c>
      <c r="U167" s="7"/>
      <c r="V167" s="5" t="s">
        <v>135</v>
      </c>
      <c r="W167" s="6">
        <v>650</v>
      </c>
      <c r="X167" s="5" t="s">
        <v>79</v>
      </c>
      <c r="Y167" s="9">
        <v>5</v>
      </c>
      <c r="Z167" s="5" t="s">
        <v>79</v>
      </c>
      <c r="AA167" s="5" t="s">
        <v>110</v>
      </c>
      <c r="AB167" s="9">
        <v>3</v>
      </c>
      <c r="AC167" s="5" t="s">
        <v>80</v>
      </c>
      <c r="AD167" s="5" t="s">
        <v>79</v>
      </c>
      <c r="AE167" s="5" t="s">
        <v>80</v>
      </c>
      <c r="AF167" s="10">
        <v>40500</v>
      </c>
      <c r="AG167" s="7">
        <v>47573</v>
      </c>
      <c r="AH167" s="10">
        <v>48000</v>
      </c>
      <c r="AI167" s="10">
        <v>27000</v>
      </c>
      <c r="AJ167" s="11">
        <f t="shared" si="2"/>
        <v>21.333333333333332</v>
      </c>
      <c r="AK167" s="12">
        <f>IF(B167="","",OR(K167="Not in use",K167="Low use")+AND(N167&lt;&gt;"",N167&lt;&gt;"TBD")+AND(ISNUMBER(U167),U167&lt;=EDATE('Scoring Settings'!$B$4,'Scoring Settings'!$B$8))+AND(ISNUMBER(L167),L167&lt;='Scoring Settings'!$B$7))</f>
        <v>3</v>
      </c>
      <c r="AL167" s="5" t="s">
        <v>223</v>
      </c>
      <c r="AM167" s="8" t="str">
        <f>IF(B167="","",IF(Z167="N","Easy",IF(OR(AND(ISNUMBER(AB167),AB167&gt;'Scoring Settings'!$B$11),AND(ISNUMBER(W167),W167&gt;'Scoring Settings'!$B$12),AND(ISNUMBER(M167),M167&lt;='Scoring Settings'!$B$13)),"High","Medium")))</f>
        <v>Easy</v>
      </c>
      <c r="AN167" s="5" t="s">
        <v>97</v>
      </c>
      <c r="AO167" s="7">
        <v>44712</v>
      </c>
      <c r="AP167" s="5" t="s">
        <v>197</v>
      </c>
      <c r="AQ167" s="29" t="s">
        <v>499</v>
      </c>
    </row>
    <row r="168" spans="1:43" hidden="1">
      <c r="A168" s="28">
        <v>39279</v>
      </c>
      <c r="B168" s="5" t="s">
        <v>500</v>
      </c>
      <c r="C168" s="5" t="s">
        <v>423</v>
      </c>
      <c r="D168" s="5" t="s">
        <v>67</v>
      </c>
      <c r="E168" s="5" t="s">
        <v>68</v>
      </c>
      <c r="F168" s="5" t="s">
        <v>209</v>
      </c>
      <c r="G168" s="5" t="s">
        <v>267</v>
      </c>
      <c r="H168" s="5" t="s">
        <v>142</v>
      </c>
      <c r="I168" s="6">
        <v>720</v>
      </c>
      <c r="J168" s="7">
        <v>44285</v>
      </c>
      <c r="K168" s="8" t="str">
        <f>IF(B168="","",IF(AND(I168="",J168=""),"Unknown",IF(OR(AND(ISNUMBER(I168),I168=0),AND(ISNUMBER(J168),J168&lt;=EDATE('Scoring Settings'!$B$4,-'Scoring Settings'!$B$5))),"Not in use",IF(AND(ISNUMBER(I168),I168&lt;'Scoring Settings'!$B$6),"Low use","Active"))))</f>
        <v>Active</v>
      </c>
      <c r="L168" s="5">
        <v>4</v>
      </c>
      <c r="M168" s="5">
        <v>2</v>
      </c>
      <c r="N168" s="5" t="s">
        <v>501</v>
      </c>
      <c r="O168" s="5" t="s">
        <v>143</v>
      </c>
      <c r="P168" s="5" t="s">
        <v>144</v>
      </c>
      <c r="Q168" s="9">
        <v>0</v>
      </c>
      <c r="R168" s="5" t="s">
        <v>145</v>
      </c>
      <c r="S168" s="5" t="s">
        <v>145</v>
      </c>
      <c r="T168" s="5" t="s">
        <v>146</v>
      </c>
      <c r="U168" s="7"/>
      <c r="V168" s="5" t="s">
        <v>135</v>
      </c>
      <c r="W168" s="6">
        <v>400</v>
      </c>
      <c r="X168" s="5" t="s">
        <v>79</v>
      </c>
      <c r="Y168" s="9">
        <v>2</v>
      </c>
      <c r="Z168" s="5" t="s">
        <v>80</v>
      </c>
      <c r="AA168" s="5" t="s">
        <v>185</v>
      </c>
      <c r="AB168" s="9">
        <v>28</v>
      </c>
      <c r="AC168" s="5" t="s">
        <v>82</v>
      </c>
      <c r="AD168" s="5" t="s">
        <v>80</v>
      </c>
      <c r="AE168" s="5" t="s">
        <v>80</v>
      </c>
      <c r="AF168" s="10">
        <v>165000</v>
      </c>
      <c r="AG168" s="7">
        <v>46965</v>
      </c>
      <c r="AH168" s="10">
        <v>278000</v>
      </c>
      <c r="AI168" s="10">
        <v>66000</v>
      </c>
      <c r="AJ168" s="11">
        <f t="shared" si="2"/>
        <v>50.545454545454547</v>
      </c>
      <c r="AK168" s="12">
        <f>IF(B168="","",OR(K168="Not in use",K168="Low use")+AND(N168&lt;&gt;"",N168&lt;&gt;"TBD")+AND(ISNUMBER(U168),U168&lt;=EDATE('Scoring Settings'!$B$4,'Scoring Settings'!$B$8))+AND(ISNUMBER(L168),L168&lt;='Scoring Settings'!$B$7))</f>
        <v>1</v>
      </c>
      <c r="AL168" s="5" t="s">
        <v>2217</v>
      </c>
      <c r="AM168" s="8" t="str">
        <f>IF(B168="","",IF(Z168="N","Easy",IF(OR(AND(ISNUMBER(AB168),AB168&gt;'Scoring Settings'!$B$11),AND(ISNUMBER(W168),W168&gt;'Scoring Settings'!$B$12),AND(ISNUMBER(M168),M168&lt;='Scoring Settings'!$B$13)),"High","Medium")))</f>
        <v>High</v>
      </c>
      <c r="AN168" s="5" t="s">
        <v>97</v>
      </c>
      <c r="AO168" s="7">
        <v>44712</v>
      </c>
      <c r="AP168" s="5" t="s">
        <v>197</v>
      </c>
      <c r="AQ168" s="29" t="s">
        <v>502</v>
      </c>
    </row>
    <row r="169" spans="1:43" hidden="1">
      <c r="A169" s="28">
        <v>83598</v>
      </c>
      <c r="B169" s="5" t="s">
        <v>519</v>
      </c>
      <c r="C169" s="5" t="s">
        <v>495</v>
      </c>
      <c r="D169" s="5" t="s">
        <v>162</v>
      </c>
      <c r="E169" s="5" t="s">
        <v>68</v>
      </c>
      <c r="F169" s="5" t="s">
        <v>116</v>
      </c>
      <c r="G169" s="5" t="s">
        <v>128</v>
      </c>
      <c r="H169" s="5" t="s">
        <v>105</v>
      </c>
      <c r="I169" s="6">
        <v>2</v>
      </c>
      <c r="J169" s="7">
        <v>43845</v>
      </c>
      <c r="K169" s="8" t="str">
        <f>IF(B169="","",IF(AND(I169="",J169=""),"Unknown",IF(OR(AND(ISNUMBER(I169),I169=0),AND(ISNUMBER(J169),J169&lt;=EDATE('Scoring Settings'!$B$4,-'Scoring Settings'!$B$5))),"Not in use",IF(AND(ISNUMBER(I169),I169&lt;'Scoring Settings'!$B$6),"Low use","Active"))))</f>
        <v>Not in use</v>
      </c>
      <c r="L169" s="5">
        <v>3</v>
      </c>
      <c r="M169" s="5">
        <v>2</v>
      </c>
      <c r="N169" s="5"/>
      <c r="O169" s="5" t="s">
        <v>73</v>
      </c>
      <c r="P169" s="5" t="s">
        <v>520</v>
      </c>
      <c r="Q169" s="9">
        <v>5</v>
      </c>
      <c r="R169" s="5" t="s">
        <v>182</v>
      </c>
      <c r="S169" s="5" t="s">
        <v>183</v>
      </c>
      <c r="T169" s="5" t="s">
        <v>77</v>
      </c>
      <c r="U169" s="7">
        <v>42855</v>
      </c>
      <c r="V169" s="5" t="s">
        <v>95</v>
      </c>
      <c r="W169" s="6">
        <v>240</v>
      </c>
      <c r="X169" s="5" t="s">
        <v>79</v>
      </c>
      <c r="Y169" s="9">
        <v>5</v>
      </c>
      <c r="Z169" s="5" t="s">
        <v>79</v>
      </c>
      <c r="AA169" s="5" t="s">
        <v>110</v>
      </c>
      <c r="AB169" s="9">
        <v>15</v>
      </c>
      <c r="AC169" s="5" t="s">
        <v>80</v>
      </c>
      <c r="AD169" s="5" t="s">
        <v>82</v>
      </c>
      <c r="AE169" s="5" t="s">
        <v>82</v>
      </c>
      <c r="AF169" s="10">
        <v>105000</v>
      </c>
      <c r="AG169" s="7">
        <v>49368</v>
      </c>
      <c r="AH169" s="10">
        <v>53000</v>
      </c>
      <c r="AI169" s="10">
        <v>92000</v>
      </c>
      <c r="AJ169" s="11">
        <f t="shared" si="2"/>
        <v>6.9130434782608692</v>
      </c>
      <c r="AK169" s="12">
        <f>IF(B169="","",OR(K169="Not in use",K169="Low use")+AND(N169&lt;&gt;"",N169&lt;&gt;"TBD")+AND(ISNUMBER(U169),U169&lt;=EDATE('Scoring Settings'!$B$4,'Scoring Settings'!$B$8))+AND(ISNUMBER(L169),L169&lt;='Scoring Settings'!$B$7))</f>
        <v>2</v>
      </c>
      <c r="AL169" s="5" t="s">
        <v>223</v>
      </c>
      <c r="AM169" s="8" t="str">
        <f>IF(B169="","",IF(Z169="N","Easy",IF(OR(AND(ISNUMBER(AB169),AB169&gt;'Scoring Settings'!$B$11),AND(ISNUMBER(W169),W169&gt;'Scoring Settings'!$B$12),AND(ISNUMBER(M169),M169&lt;='Scoring Settings'!$B$13)),"High","Medium")))</f>
        <v>Easy</v>
      </c>
      <c r="AN169" s="5" t="s">
        <v>97</v>
      </c>
      <c r="AO169" s="7">
        <v>44620</v>
      </c>
      <c r="AP169" s="5" t="s">
        <v>197</v>
      </c>
      <c r="AQ169" s="29" t="s">
        <v>252</v>
      </c>
    </row>
    <row r="170" spans="1:43" hidden="1">
      <c r="A170" s="28">
        <v>63735</v>
      </c>
      <c r="B170" s="5" t="s">
        <v>538</v>
      </c>
      <c r="C170" s="5" t="s">
        <v>156</v>
      </c>
      <c r="D170" s="5" t="s">
        <v>139</v>
      </c>
      <c r="E170" s="5" t="s">
        <v>68</v>
      </c>
      <c r="F170" s="5" t="s">
        <v>266</v>
      </c>
      <c r="G170" s="5" t="s">
        <v>117</v>
      </c>
      <c r="H170" s="5" t="s">
        <v>118</v>
      </c>
      <c r="I170" s="6">
        <v>17</v>
      </c>
      <c r="J170" s="7">
        <v>44300</v>
      </c>
      <c r="K170" s="8" t="str">
        <f>IF(B170="","",IF(AND(I170="",J170=""),"Unknown",IF(OR(AND(ISNUMBER(I170),I170=0),AND(ISNUMBER(J170),J170&lt;=EDATE('Scoring Settings'!$B$4,-'Scoring Settings'!$B$5))),"Not in use",IF(AND(ISNUMBER(I170),I170&lt;'Scoring Settings'!$B$6),"Low use","Active"))))</f>
        <v>Low use</v>
      </c>
      <c r="L170" s="5">
        <v>1</v>
      </c>
      <c r="M170" s="5">
        <v>3</v>
      </c>
      <c r="N170" s="5"/>
      <c r="O170" s="5" t="s">
        <v>130</v>
      </c>
      <c r="P170" s="5" t="s">
        <v>539</v>
      </c>
      <c r="Q170" s="9">
        <v>1</v>
      </c>
      <c r="R170" s="5" t="s">
        <v>358</v>
      </c>
      <c r="S170" s="5" t="s">
        <v>133</v>
      </c>
      <c r="T170" s="5" t="s">
        <v>134</v>
      </c>
      <c r="U170" s="7">
        <v>43555</v>
      </c>
      <c r="V170" s="5" t="s">
        <v>95</v>
      </c>
      <c r="W170" s="6">
        <v>68</v>
      </c>
      <c r="X170" s="5" t="s">
        <v>79</v>
      </c>
      <c r="Y170" s="9">
        <v>2</v>
      </c>
      <c r="Z170" s="5" t="s">
        <v>79</v>
      </c>
      <c r="AA170" s="5" t="s">
        <v>110</v>
      </c>
      <c r="AB170" s="9">
        <v>6</v>
      </c>
      <c r="AC170" s="5" t="s">
        <v>82</v>
      </c>
      <c r="AD170" s="5" t="s">
        <v>80</v>
      </c>
      <c r="AE170" s="5" t="s">
        <v>82</v>
      </c>
      <c r="AF170" s="10">
        <v>9500</v>
      </c>
      <c r="AG170" s="7">
        <v>47087</v>
      </c>
      <c r="AH170" s="10">
        <v>12500</v>
      </c>
      <c r="AI170" s="10">
        <v>9000</v>
      </c>
      <c r="AJ170" s="11">
        <f t="shared" si="2"/>
        <v>16.666666666666664</v>
      </c>
      <c r="AK170" s="12">
        <f>IF(B170="","",OR(K170="Not in use",K170="Low use")+AND(N170&lt;&gt;"",N170&lt;&gt;"TBD")+AND(ISNUMBER(U170),U170&lt;=EDATE('Scoring Settings'!$B$4,'Scoring Settings'!$B$8))+AND(ISNUMBER(L170),L170&lt;='Scoring Settings'!$B$7))</f>
        <v>3</v>
      </c>
      <c r="AL170" s="5" t="s">
        <v>223</v>
      </c>
      <c r="AM170" s="8" t="str">
        <f>IF(B170="","",IF(Z170="N","Easy",IF(OR(AND(ISNUMBER(AB170),AB170&gt;'Scoring Settings'!$B$11),AND(ISNUMBER(W170),W170&gt;'Scoring Settings'!$B$12),AND(ISNUMBER(M170),M170&lt;='Scoring Settings'!$B$13)),"High","Medium")))</f>
        <v>Easy</v>
      </c>
      <c r="AN170" s="5" t="s">
        <v>97</v>
      </c>
      <c r="AO170" s="7">
        <v>44712</v>
      </c>
      <c r="AP170" s="5" t="s">
        <v>98</v>
      </c>
      <c r="AQ170" s="29" t="s">
        <v>213</v>
      </c>
    </row>
    <row r="171" spans="1:43" hidden="1">
      <c r="A171" s="28">
        <v>22340</v>
      </c>
      <c r="B171" s="5" t="s">
        <v>577</v>
      </c>
      <c r="C171" s="5" t="s">
        <v>287</v>
      </c>
      <c r="D171" s="5" t="s">
        <v>162</v>
      </c>
      <c r="E171" s="5" t="s">
        <v>68</v>
      </c>
      <c r="F171" s="5" t="s">
        <v>266</v>
      </c>
      <c r="G171" s="5" t="s">
        <v>271</v>
      </c>
      <c r="H171" s="5" t="s">
        <v>71</v>
      </c>
      <c r="I171" s="6">
        <v>3</v>
      </c>
      <c r="J171" s="7">
        <v>44051</v>
      </c>
      <c r="K171" s="8" t="str">
        <f>IF(B171="","",IF(AND(I171="",J171=""),"Unknown",IF(OR(AND(ISNUMBER(I171),I171=0),AND(ISNUMBER(J171),J171&lt;=EDATE('Scoring Settings'!$B$4,-'Scoring Settings'!$B$5))),"Not in use",IF(AND(ISNUMBER(I171),I171&lt;'Scoring Settings'!$B$6),"Low use","Active"))))</f>
        <v>Not in use</v>
      </c>
      <c r="L171" s="5">
        <v>1</v>
      </c>
      <c r="M171" s="5">
        <v>3</v>
      </c>
      <c r="N171" s="5"/>
      <c r="O171" s="5" t="s">
        <v>191</v>
      </c>
      <c r="P171" s="5" t="s">
        <v>192</v>
      </c>
      <c r="Q171" s="9">
        <v>0</v>
      </c>
      <c r="R171" s="5" t="s">
        <v>193</v>
      </c>
      <c r="S171" s="5" t="s">
        <v>318</v>
      </c>
      <c r="T171" s="5" t="s">
        <v>195</v>
      </c>
      <c r="U171" s="7"/>
      <c r="V171" s="5" t="s">
        <v>135</v>
      </c>
      <c r="W171" s="6">
        <v>23</v>
      </c>
      <c r="X171" s="5" t="s">
        <v>79</v>
      </c>
      <c r="Y171" s="9">
        <v>5</v>
      </c>
      <c r="Z171" s="5" t="s">
        <v>80</v>
      </c>
      <c r="AA171" s="5" t="s">
        <v>81</v>
      </c>
      <c r="AB171" s="9">
        <v>4</v>
      </c>
      <c r="AC171" s="5" t="s">
        <v>80</v>
      </c>
      <c r="AD171" s="5" t="s">
        <v>82</v>
      </c>
      <c r="AE171" s="5" t="s">
        <v>80</v>
      </c>
      <c r="AF171" s="10">
        <v>28500</v>
      </c>
      <c r="AG171" s="7">
        <v>46721</v>
      </c>
      <c r="AH171" s="10">
        <v>35000</v>
      </c>
      <c r="AI171" s="10">
        <v>18000</v>
      </c>
      <c r="AJ171" s="11">
        <f t="shared" si="2"/>
        <v>23.333333333333332</v>
      </c>
      <c r="AK171" s="12">
        <f>IF(B171="","",OR(K171="Not in use",K171="Low use")+AND(N171&lt;&gt;"",N171&lt;&gt;"TBD")+AND(ISNUMBER(U171),U171&lt;=EDATE('Scoring Settings'!$B$4,'Scoring Settings'!$B$8))+AND(ISNUMBER(L171),L171&lt;='Scoring Settings'!$B$7))</f>
        <v>2</v>
      </c>
      <c r="AL171" s="5" t="s">
        <v>96</v>
      </c>
      <c r="AM171" s="8" t="str">
        <f>IF(B171="","",IF(Z171="N","Easy",IF(OR(AND(ISNUMBER(AB171),AB171&gt;'Scoring Settings'!$B$11),AND(ISNUMBER(W171),W171&gt;'Scoring Settings'!$B$12),AND(ISNUMBER(M171),M171&lt;='Scoring Settings'!$B$13)),"High","Medium")))</f>
        <v>Medium</v>
      </c>
      <c r="AN171" s="5" t="s">
        <v>97</v>
      </c>
      <c r="AO171" s="7">
        <v>44712</v>
      </c>
      <c r="AP171" s="5" t="s">
        <v>197</v>
      </c>
      <c r="AQ171" s="29" t="s">
        <v>276</v>
      </c>
    </row>
    <row r="172" spans="1:43" ht="42.75" hidden="1">
      <c r="A172" s="28">
        <v>51675</v>
      </c>
      <c r="B172" s="5" t="s">
        <v>582</v>
      </c>
      <c r="C172" s="5" t="s">
        <v>161</v>
      </c>
      <c r="D172" s="5" t="s">
        <v>162</v>
      </c>
      <c r="E172" s="5" t="s">
        <v>68</v>
      </c>
      <c r="F172" s="5" t="s">
        <v>173</v>
      </c>
      <c r="G172" s="5" t="s">
        <v>179</v>
      </c>
      <c r="H172" s="5" t="s">
        <v>118</v>
      </c>
      <c r="I172" s="6">
        <v>4</v>
      </c>
      <c r="J172" s="7">
        <v>44309</v>
      </c>
      <c r="K172" s="8" t="str">
        <f>IF(B172="","",IF(AND(I172="",J172=""),"Unknown",IF(OR(AND(ISNUMBER(I172),I172=0),AND(ISNUMBER(J172),J172&lt;=EDATE('Scoring Settings'!$B$4,-'Scoring Settings'!$B$5))),"Not in use",IF(AND(ISNUMBER(I172),I172&lt;'Scoring Settings'!$B$6),"Low use","Active"))))</f>
        <v>Low use</v>
      </c>
      <c r="L172" s="5">
        <v>1</v>
      </c>
      <c r="M172" s="5">
        <v>4</v>
      </c>
      <c r="N172" s="5"/>
      <c r="O172" s="5" t="s">
        <v>73</v>
      </c>
      <c r="P172" s="5" t="s">
        <v>583</v>
      </c>
      <c r="Q172" s="9">
        <v>2</v>
      </c>
      <c r="R172" s="5" t="s">
        <v>107</v>
      </c>
      <c r="S172" s="5" t="s">
        <v>108</v>
      </c>
      <c r="T172" s="5" t="s">
        <v>122</v>
      </c>
      <c r="U172" s="7">
        <v>43655</v>
      </c>
      <c r="V172" s="5" t="s">
        <v>135</v>
      </c>
      <c r="W172" s="6">
        <v>1010</v>
      </c>
      <c r="X172" s="5" t="s">
        <v>79</v>
      </c>
      <c r="Y172" s="9">
        <v>7</v>
      </c>
      <c r="Z172" s="5" t="s">
        <v>79</v>
      </c>
      <c r="AA172" s="5" t="s">
        <v>110</v>
      </c>
      <c r="AB172" s="9">
        <v>2</v>
      </c>
      <c r="AC172" s="5" t="s">
        <v>82</v>
      </c>
      <c r="AD172" s="5" t="s">
        <v>79</v>
      </c>
      <c r="AE172" s="5" t="s">
        <v>80</v>
      </c>
      <c r="AF172" s="10">
        <v>43000</v>
      </c>
      <c r="AG172" s="7">
        <v>46568</v>
      </c>
      <c r="AH172" s="10">
        <v>47000</v>
      </c>
      <c r="AI172" s="10">
        <v>36000</v>
      </c>
      <c r="AJ172" s="11">
        <f t="shared" si="2"/>
        <v>15.666666666666668</v>
      </c>
      <c r="AK172" s="12">
        <f>IF(B172="","",OR(K172="Not in use",K172="Low use")+AND(N172&lt;&gt;"",N172&lt;&gt;"TBD")+AND(ISNUMBER(U172),U172&lt;=EDATE('Scoring Settings'!$B$4,'Scoring Settings'!$B$8))+AND(ISNUMBER(L172),L172&lt;='Scoring Settings'!$B$7))</f>
        <v>3</v>
      </c>
      <c r="AL172" s="5" t="s">
        <v>223</v>
      </c>
      <c r="AM172" s="8" t="str">
        <f>IF(B172="","",IF(Z172="N","Easy",IF(OR(AND(ISNUMBER(AB172),AB172&gt;'Scoring Settings'!$B$11),AND(ISNUMBER(W172),W172&gt;'Scoring Settings'!$B$12),AND(ISNUMBER(M172),M172&lt;='Scoring Settings'!$B$13)),"High","Medium")))</f>
        <v>Easy</v>
      </c>
      <c r="AN172" s="5" t="s">
        <v>97</v>
      </c>
      <c r="AO172" s="7">
        <v>44620</v>
      </c>
      <c r="AP172" s="5" t="s">
        <v>197</v>
      </c>
      <c r="AQ172" s="29" t="s">
        <v>584</v>
      </c>
    </row>
    <row r="173" spans="1:43" hidden="1">
      <c r="A173" s="28">
        <v>137415</v>
      </c>
      <c r="B173" s="5" t="s">
        <v>606</v>
      </c>
      <c r="C173" s="5" t="s">
        <v>151</v>
      </c>
      <c r="D173" s="5" t="s">
        <v>102</v>
      </c>
      <c r="E173" s="5" t="s">
        <v>68</v>
      </c>
      <c r="F173" s="5" t="s">
        <v>396</v>
      </c>
      <c r="G173" s="5" t="s">
        <v>356</v>
      </c>
      <c r="H173" s="5" t="s">
        <v>71</v>
      </c>
      <c r="I173" s="6">
        <v>67</v>
      </c>
      <c r="J173" s="7">
        <v>44313</v>
      </c>
      <c r="K173" s="8" t="str">
        <f>IF(B173="","",IF(AND(I173="",J173=""),"Unknown",IF(OR(AND(ISNUMBER(I173),I173=0),AND(ISNUMBER(J173),J173&lt;=EDATE('Scoring Settings'!$B$4,-'Scoring Settings'!$B$5))),"Not in use",IF(AND(ISNUMBER(I173),I173&lt;'Scoring Settings'!$B$6),"Low use","Active"))))</f>
        <v>Active</v>
      </c>
      <c r="L173" s="5">
        <v>2</v>
      </c>
      <c r="M173" s="5">
        <v>4</v>
      </c>
      <c r="N173" s="5" t="s">
        <v>72</v>
      </c>
      <c r="O173" s="5" t="s">
        <v>73</v>
      </c>
      <c r="P173" s="5" t="s">
        <v>607</v>
      </c>
      <c r="Q173" s="9">
        <v>1</v>
      </c>
      <c r="R173" s="5" t="s">
        <v>478</v>
      </c>
      <c r="S173" s="5" t="s">
        <v>479</v>
      </c>
      <c r="T173" s="5" t="s">
        <v>122</v>
      </c>
      <c r="U173" s="7">
        <v>43844</v>
      </c>
      <c r="V173" s="5" t="s">
        <v>135</v>
      </c>
      <c r="W173" s="6">
        <v>5530</v>
      </c>
      <c r="X173" s="5" t="s">
        <v>80</v>
      </c>
      <c r="Y173" s="9">
        <v>5</v>
      </c>
      <c r="Z173" s="5" t="s">
        <v>80</v>
      </c>
      <c r="AA173" s="5" t="s">
        <v>185</v>
      </c>
      <c r="AB173" s="9">
        <v>0</v>
      </c>
      <c r="AC173" s="5" t="s">
        <v>79</v>
      </c>
      <c r="AD173" s="5" t="s">
        <v>80</v>
      </c>
      <c r="AE173" s="5" t="s">
        <v>79</v>
      </c>
      <c r="AF173" s="10">
        <v>35000</v>
      </c>
      <c r="AG173" s="7">
        <v>45688</v>
      </c>
      <c r="AH173" s="10">
        <v>135500</v>
      </c>
      <c r="AI173" s="10">
        <v>28000</v>
      </c>
      <c r="AJ173" s="11">
        <f t="shared" si="2"/>
        <v>58.071428571428569</v>
      </c>
      <c r="AK173" s="12">
        <f>IF(B173="","",OR(K173="Not in use",K173="Low use")+AND(N173&lt;&gt;"",N173&lt;&gt;"TBD")+AND(ISNUMBER(U173),U173&lt;=EDATE('Scoring Settings'!$B$4,'Scoring Settings'!$B$8))+AND(ISNUMBER(L173),L173&lt;='Scoring Settings'!$B$7))</f>
        <v>2</v>
      </c>
      <c r="AL173" s="5" t="s">
        <v>96</v>
      </c>
      <c r="AM173" s="8" t="str">
        <f>IF(B173="","",IF(Z173="N","Easy",IF(OR(AND(ISNUMBER(AB173),AB173&gt;'Scoring Settings'!$B$11),AND(ISNUMBER(W173),W173&gt;'Scoring Settings'!$B$12),AND(ISNUMBER(M173),M173&lt;='Scoring Settings'!$B$13)),"High","Medium")))</f>
        <v>High</v>
      </c>
      <c r="AN173" s="5" t="s">
        <v>97</v>
      </c>
      <c r="AO173" s="7">
        <v>44681</v>
      </c>
      <c r="AP173" s="5" t="s">
        <v>197</v>
      </c>
      <c r="AQ173" s="29" t="s">
        <v>399</v>
      </c>
    </row>
    <row r="174" spans="1:43" ht="42.75" hidden="1">
      <c r="A174" s="28">
        <v>169482</v>
      </c>
      <c r="B174" s="5" t="s">
        <v>608</v>
      </c>
      <c r="C174" s="5" t="s">
        <v>161</v>
      </c>
      <c r="D174" s="5" t="s">
        <v>162</v>
      </c>
      <c r="E174" s="5" t="s">
        <v>68</v>
      </c>
      <c r="F174" s="5" t="s">
        <v>326</v>
      </c>
      <c r="G174" s="5" t="s">
        <v>404</v>
      </c>
      <c r="H174" s="5" t="s">
        <v>142</v>
      </c>
      <c r="I174" s="6">
        <v>231</v>
      </c>
      <c r="J174" s="7">
        <v>44310</v>
      </c>
      <c r="K174" s="8" t="str">
        <f>IF(B174="","",IF(AND(I174="",J174=""),"Unknown",IF(OR(AND(ISNUMBER(I174),I174=0),AND(ISNUMBER(J174),J174&lt;=EDATE('Scoring Settings'!$B$4,-'Scoring Settings'!$B$5))),"Not in use",IF(AND(ISNUMBER(I174),I174&lt;'Scoring Settings'!$B$6),"Low use","Active"))))</f>
        <v>Active</v>
      </c>
      <c r="L174" s="5">
        <v>3</v>
      </c>
      <c r="M174" s="5">
        <v>4</v>
      </c>
      <c r="N174" s="5" t="s">
        <v>289</v>
      </c>
      <c r="O174" s="5" t="s">
        <v>143</v>
      </c>
      <c r="P174" s="5" t="s">
        <v>144</v>
      </c>
      <c r="Q174" s="9">
        <v>0</v>
      </c>
      <c r="R174" s="5" t="s">
        <v>145</v>
      </c>
      <c r="S174" s="5" t="s">
        <v>145</v>
      </c>
      <c r="T174" s="5" t="s">
        <v>146</v>
      </c>
      <c r="U174" s="7"/>
      <c r="V174" s="5" t="s">
        <v>95</v>
      </c>
      <c r="W174" s="6">
        <v>640</v>
      </c>
      <c r="X174" s="5" t="s">
        <v>79</v>
      </c>
      <c r="Y174" s="9">
        <v>7</v>
      </c>
      <c r="Z174" s="5" t="s">
        <v>80</v>
      </c>
      <c r="AA174" s="5" t="s">
        <v>147</v>
      </c>
      <c r="AB174" s="9">
        <v>2</v>
      </c>
      <c r="AC174" s="5" t="s">
        <v>82</v>
      </c>
      <c r="AD174" s="5" t="s">
        <v>82</v>
      </c>
      <c r="AE174" s="5" t="s">
        <v>82</v>
      </c>
      <c r="AF174" s="10">
        <v>26500</v>
      </c>
      <c r="AG174" s="7">
        <v>47483</v>
      </c>
      <c r="AH174" s="10">
        <v>24500</v>
      </c>
      <c r="AI174" s="10">
        <v>11500</v>
      </c>
      <c r="AJ174" s="11">
        <f t="shared" si="2"/>
        <v>25.565217391304351</v>
      </c>
      <c r="AK174" s="12">
        <f>IF(B174="","",OR(K174="Not in use",K174="Low use")+AND(N174&lt;&gt;"",N174&lt;&gt;"TBD")+AND(ISNUMBER(U174),U174&lt;=EDATE('Scoring Settings'!$B$4,'Scoring Settings'!$B$8))+AND(ISNUMBER(L174),L174&lt;='Scoring Settings'!$B$7))</f>
        <v>1</v>
      </c>
      <c r="AL174" s="5" t="s">
        <v>96</v>
      </c>
      <c r="AM174" s="8" t="str">
        <f>IF(B174="","",IF(Z174="N","Easy",IF(OR(AND(ISNUMBER(AB174),AB174&gt;'Scoring Settings'!$B$11),AND(ISNUMBER(W174),W174&gt;'Scoring Settings'!$B$12),AND(ISNUMBER(M174),M174&lt;='Scoring Settings'!$B$13)),"High","Medium")))</f>
        <v>Medium</v>
      </c>
      <c r="AN174" s="5" t="s">
        <v>97</v>
      </c>
      <c r="AO174" s="7">
        <v>44926</v>
      </c>
      <c r="AP174" s="5" t="s">
        <v>98</v>
      </c>
      <c r="AQ174" s="29" t="s">
        <v>364</v>
      </c>
    </row>
    <row r="175" spans="1:43" hidden="1">
      <c r="A175" s="28">
        <v>75871</v>
      </c>
      <c r="B175" s="5" t="s">
        <v>625</v>
      </c>
      <c r="C175" s="5" t="s">
        <v>522</v>
      </c>
      <c r="D175" s="5" t="s">
        <v>297</v>
      </c>
      <c r="E175" s="5" t="s">
        <v>298</v>
      </c>
      <c r="F175" s="5" t="s">
        <v>302</v>
      </c>
      <c r="G175" s="5" t="s">
        <v>271</v>
      </c>
      <c r="H175" s="5" t="s">
        <v>118</v>
      </c>
      <c r="I175" s="6">
        <v>0</v>
      </c>
      <c r="J175" s="7">
        <v>43777</v>
      </c>
      <c r="K175" s="8" t="str">
        <f>IF(B175="","",IF(AND(I175="",J175=""),"Unknown",IF(OR(AND(ISNUMBER(I175),I175=0),AND(ISNUMBER(J175),J175&lt;=EDATE('Scoring Settings'!$B$4,-'Scoring Settings'!$B$5))),"Not in use",IF(AND(ISNUMBER(I175),I175&lt;'Scoring Settings'!$B$6),"Low use","Active"))))</f>
        <v>Not in use</v>
      </c>
      <c r="L175" s="5">
        <v>3</v>
      </c>
      <c r="M175" s="5">
        <v>4</v>
      </c>
      <c r="N175" s="5"/>
      <c r="O175" s="5" t="s">
        <v>130</v>
      </c>
      <c r="P175" s="5" t="s">
        <v>626</v>
      </c>
      <c r="Q175" s="9">
        <v>3</v>
      </c>
      <c r="R175" s="5" t="s">
        <v>75</v>
      </c>
      <c r="S175" s="5" t="s">
        <v>76</v>
      </c>
      <c r="T175" s="5" t="s">
        <v>168</v>
      </c>
      <c r="U175" s="7">
        <v>46399</v>
      </c>
      <c r="V175" s="5" t="s">
        <v>78</v>
      </c>
      <c r="W175" s="6">
        <v>920</v>
      </c>
      <c r="X175" s="5" t="s">
        <v>80</v>
      </c>
      <c r="Y175" s="9">
        <v>10</v>
      </c>
      <c r="Z175" s="5" t="s">
        <v>80</v>
      </c>
      <c r="AA175" s="5" t="s">
        <v>205</v>
      </c>
      <c r="AB175" s="9">
        <v>3</v>
      </c>
      <c r="AC175" s="5" t="s">
        <v>80</v>
      </c>
      <c r="AD175" s="5" t="s">
        <v>82</v>
      </c>
      <c r="AE175" s="5" t="s">
        <v>82</v>
      </c>
      <c r="AF175" s="10">
        <v>40000</v>
      </c>
      <c r="AG175" s="7">
        <v>46568</v>
      </c>
      <c r="AH175" s="10">
        <v>87500</v>
      </c>
      <c r="AI175" s="10">
        <v>29000</v>
      </c>
      <c r="AJ175" s="11">
        <f t="shared" si="2"/>
        <v>36.206896551724135</v>
      </c>
      <c r="AK175" s="12">
        <f>IF(B175="","",OR(K175="Not in use",K175="Low use")+AND(N175&lt;&gt;"",N175&lt;&gt;"TBD")+AND(ISNUMBER(U175),U175&lt;=EDATE('Scoring Settings'!$B$4,'Scoring Settings'!$B$8))+AND(ISNUMBER(L175),L175&lt;='Scoring Settings'!$B$7))</f>
        <v>1</v>
      </c>
      <c r="AL175" s="5" t="s">
        <v>96</v>
      </c>
      <c r="AM175" s="8" t="str">
        <f>IF(B175="","",IF(Z175="N","Easy",IF(OR(AND(ISNUMBER(AB175),AB175&gt;'Scoring Settings'!$B$11),AND(ISNUMBER(W175),W175&gt;'Scoring Settings'!$B$12),AND(ISNUMBER(M175),M175&lt;='Scoring Settings'!$B$13)),"High","Medium")))</f>
        <v>Medium</v>
      </c>
      <c r="AN175" s="5" t="s">
        <v>97</v>
      </c>
      <c r="AO175" s="7">
        <v>44681</v>
      </c>
      <c r="AP175" s="5" t="s">
        <v>98</v>
      </c>
      <c r="AQ175" s="29" t="s">
        <v>149</v>
      </c>
    </row>
    <row r="176" spans="1:43" hidden="1">
      <c r="A176" s="28">
        <v>169972</v>
      </c>
      <c r="B176" s="5" t="s">
        <v>635</v>
      </c>
      <c r="C176" s="5" t="s">
        <v>242</v>
      </c>
      <c r="D176" s="5" t="s">
        <v>115</v>
      </c>
      <c r="E176" s="5" t="s">
        <v>311</v>
      </c>
      <c r="F176" s="5" t="s">
        <v>387</v>
      </c>
      <c r="G176" s="5" t="s">
        <v>210</v>
      </c>
      <c r="H176" s="5" t="s">
        <v>174</v>
      </c>
      <c r="I176" s="6">
        <v>6</v>
      </c>
      <c r="J176" s="7">
        <v>43985</v>
      </c>
      <c r="K176" s="8" t="str">
        <f>IF(B176="","",IF(AND(I176="",J176=""),"Unknown",IF(OR(AND(ISNUMBER(I176),I176=0),AND(ISNUMBER(J176),J176&lt;=EDATE('Scoring Settings'!$B$4,-'Scoring Settings'!$B$5))),"Not in use",IF(AND(ISNUMBER(I176),I176&lt;'Scoring Settings'!$B$6),"Low use","Active"))))</f>
        <v>Not in use</v>
      </c>
      <c r="L176" s="5">
        <v>4</v>
      </c>
      <c r="M176" s="5">
        <v>1</v>
      </c>
      <c r="N176" s="5" t="s">
        <v>549</v>
      </c>
      <c r="O176" s="5" t="s">
        <v>130</v>
      </c>
      <c r="P176" s="5" t="s">
        <v>636</v>
      </c>
      <c r="Q176" s="9">
        <v>4</v>
      </c>
      <c r="R176" s="5" t="s">
        <v>75</v>
      </c>
      <c r="S176" s="5" t="s">
        <v>121</v>
      </c>
      <c r="T176" s="5" t="s">
        <v>195</v>
      </c>
      <c r="U176" s="7">
        <v>46217</v>
      </c>
      <c r="V176" s="5" t="s">
        <v>78</v>
      </c>
      <c r="W176" s="6">
        <v>300</v>
      </c>
      <c r="X176" s="5" t="s">
        <v>80</v>
      </c>
      <c r="Y176" s="9">
        <v>10</v>
      </c>
      <c r="Z176" s="5" t="s">
        <v>79</v>
      </c>
      <c r="AA176" s="5" t="s">
        <v>110</v>
      </c>
      <c r="AB176" s="9">
        <v>64</v>
      </c>
      <c r="AC176" s="5" t="s">
        <v>82</v>
      </c>
      <c r="AD176" s="5" t="s">
        <v>82</v>
      </c>
      <c r="AE176" s="5" t="s">
        <v>80</v>
      </c>
      <c r="AF176" s="10">
        <v>125000</v>
      </c>
      <c r="AG176" s="7">
        <v>49490</v>
      </c>
      <c r="AH176" s="10">
        <v>447000</v>
      </c>
      <c r="AI176" s="10">
        <v>94500</v>
      </c>
      <c r="AJ176" s="11">
        <f t="shared" si="2"/>
        <v>56.761904761904759</v>
      </c>
      <c r="AK176" s="12">
        <f>IF(B176="","",OR(K176="Not in use",K176="Low use")+AND(N176&lt;&gt;"",N176&lt;&gt;"TBD")+AND(ISNUMBER(U176),U176&lt;=EDATE('Scoring Settings'!$B$4,'Scoring Settings'!$B$8))+AND(ISNUMBER(L176),L176&lt;='Scoring Settings'!$B$7))</f>
        <v>2</v>
      </c>
      <c r="AL176" s="5" t="s">
        <v>2217</v>
      </c>
      <c r="AM176" s="8" t="str">
        <f>IF(B176="","",IF(Z176="N","Easy",IF(OR(AND(ISNUMBER(AB176),AB176&gt;'Scoring Settings'!$B$11),AND(ISNUMBER(W176),W176&gt;'Scoring Settings'!$B$12),AND(ISNUMBER(M176),M176&lt;='Scoring Settings'!$B$13)),"High","Medium")))</f>
        <v>Easy</v>
      </c>
      <c r="AN176" s="5" t="s">
        <v>97</v>
      </c>
      <c r="AO176" s="7">
        <v>44651</v>
      </c>
      <c r="AP176" s="5" t="s">
        <v>197</v>
      </c>
      <c r="AQ176" s="29" t="s">
        <v>637</v>
      </c>
    </row>
    <row r="177" spans="1:43" hidden="1">
      <c r="A177" s="28">
        <v>51864</v>
      </c>
      <c r="B177" s="5" t="s">
        <v>638</v>
      </c>
      <c r="C177" s="5" t="s">
        <v>639</v>
      </c>
      <c r="D177" s="5" t="s">
        <v>88</v>
      </c>
      <c r="E177" s="5" t="s">
        <v>298</v>
      </c>
      <c r="F177" s="5" t="s">
        <v>188</v>
      </c>
      <c r="G177" s="5" t="s">
        <v>210</v>
      </c>
      <c r="H177" s="5" t="s">
        <v>118</v>
      </c>
      <c r="I177" s="6">
        <v>79</v>
      </c>
      <c r="J177" s="7">
        <v>44293</v>
      </c>
      <c r="K177" s="8" t="str">
        <f>IF(B177="","",IF(AND(I177="",J177=""),"Unknown",IF(OR(AND(ISNUMBER(I177),I177=0),AND(ISNUMBER(J177),J177&lt;=EDATE('Scoring Settings'!$B$4,-'Scoring Settings'!$B$5))),"Not in use",IF(AND(ISNUMBER(I177),I177&lt;'Scoring Settings'!$B$6),"Low use","Active"))))</f>
        <v>Active</v>
      </c>
      <c r="L177" s="5">
        <v>5</v>
      </c>
      <c r="M177" s="5">
        <v>2</v>
      </c>
      <c r="N177" s="5" t="s">
        <v>543</v>
      </c>
      <c r="O177" s="5" t="s">
        <v>73</v>
      </c>
      <c r="P177" s="5" t="s">
        <v>640</v>
      </c>
      <c r="Q177" s="9">
        <v>5</v>
      </c>
      <c r="R177" s="5" t="s">
        <v>203</v>
      </c>
      <c r="S177" s="5" t="s">
        <v>204</v>
      </c>
      <c r="T177" s="5" t="s">
        <v>122</v>
      </c>
      <c r="U177" s="7">
        <v>47269</v>
      </c>
      <c r="V177" s="5" t="s">
        <v>135</v>
      </c>
      <c r="W177" s="6">
        <v>26</v>
      </c>
      <c r="X177" s="5" t="s">
        <v>79</v>
      </c>
      <c r="Y177" s="9">
        <v>5</v>
      </c>
      <c r="Z177" s="5" t="s">
        <v>79</v>
      </c>
      <c r="AA177" s="5" t="s">
        <v>110</v>
      </c>
      <c r="AB177" s="9">
        <v>7</v>
      </c>
      <c r="AC177" s="5" t="s">
        <v>79</v>
      </c>
      <c r="AD177" s="5" t="s">
        <v>80</v>
      </c>
      <c r="AE177" s="5" t="s">
        <v>82</v>
      </c>
      <c r="AF177" s="10">
        <v>80000</v>
      </c>
      <c r="AG177" s="7">
        <v>48304</v>
      </c>
      <c r="AH177" s="10">
        <v>30500</v>
      </c>
      <c r="AI177" s="10">
        <v>47000</v>
      </c>
      <c r="AJ177" s="11">
        <f t="shared" si="2"/>
        <v>7.787234042553191</v>
      </c>
      <c r="AK177" s="12">
        <f>IF(B177="","",OR(K177="Not in use",K177="Low use")+AND(N177&lt;&gt;"",N177&lt;&gt;"TBD")+AND(ISNUMBER(U177),U177&lt;=EDATE('Scoring Settings'!$B$4,'Scoring Settings'!$B$8))+AND(ISNUMBER(L177),L177&lt;='Scoring Settings'!$B$7))</f>
        <v>1</v>
      </c>
      <c r="AL177" s="5" t="s">
        <v>2217</v>
      </c>
      <c r="AM177" s="8" t="str">
        <f>IF(B177="","",IF(Z177="N","Easy",IF(OR(AND(ISNUMBER(AB177),AB177&gt;'Scoring Settings'!$B$11),AND(ISNUMBER(W177),W177&gt;'Scoring Settings'!$B$12),AND(ISNUMBER(M177),M177&lt;='Scoring Settings'!$B$13)),"High","Medium")))</f>
        <v>Easy</v>
      </c>
      <c r="AN177" s="5" t="s">
        <v>97</v>
      </c>
      <c r="AO177" s="7">
        <v>44865</v>
      </c>
      <c r="AP177" s="5" t="s">
        <v>98</v>
      </c>
      <c r="AQ177" s="29" t="s">
        <v>149</v>
      </c>
    </row>
    <row r="178" spans="1:43" hidden="1">
      <c r="A178" s="28">
        <v>185074</v>
      </c>
      <c r="B178" s="5" t="s">
        <v>645</v>
      </c>
      <c r="C178" s="5" t="s">
        <v>453</v>
      </c>
      <c r="D178" s="5" t="s">
        <v>67</v>
      </c>
      <c r="E178" s="5" t="s">
        <v>68</v>
      </c>
      <c r="F178" s="5" t="s">
        <v>266</v>
      </c>
      <c r="G178" s="5" t="s">
        <v>284</v>
      </c>
      <c r="H178" s="5" t="s">
        <v>129</v>
      </c>
      <c r="I178" s="6">
        <v>39</v>
      </c>
      <c r="J178" s="7">
        <v>44291</v>
      </c>
      <c r="K178" s="8" t="str">
        <f>IF(B178="","",IF(AND(I178="",J178=""),"Unknown",IF(OR(AND(ISNUMBER(I178),I178=0),AND(ISNUMBER(J178),J178&lt;=EDATE('Scoring Settings'!$B$4,-'Scoring Settings'!$B$5))),"Not in use",IF(AND(ISNUMBER(I178),I178&lt;'Scoring Settings'!$B$6),"Low use","Active"))))</f>
        <v>Active</v>
      </c>
      <c r="L178" s="5">
        <v>3</v>
      </c>
      <c r="M178" s="5">
        <v>4</v>
      </c>
      <c r="N178" s="5" t="s">
        <v>442</v>
      </c>
      <c r="O178" s="5" t="s">
        <v>130</v>
      </c>
      <c r="P178" s="5" t="s">
        <v>646</v>
      </c>
      <c r="Q178" s="9">
        <v>2</v>
      </c>
      <c r="R178" s="5" t="s">
        <v>132</v>
      </c>
      <c r="S178" s="5" t="s">
        <v>133</v>
      </c>
      <c r="T178" s="5" t="s">
        <v>168</v>
      </c>
      <c r="U178" s="7">
        <v>44227</v>
      </c>
      <c r="V178" s="5" t="s">
        <v>135</v>
      </c>
      <c r="W178" s="6">
        <v>380</v>
      </c>
      <c r="X178" s="5" t="s">
        <v>80</v>
      </c>
      <c r="Y178" s="9">
        <v>7</v>
      </c>
      <c r="Z178" s="5" t="s">
        <v>79</v>
      </c>
      <c r="AA178" s="5" t="s">
        <v>110</v>
      </c>
      <c r="AB178" s="9">
        <v>2</v>
      </c>
      <c r="AC178" s="5" t="s">
        <v>82</v>
      </c>
      <c r="AD178" s="5" t="s">
        <v>82</v>
      </c>
      <c r="AE178" s="5" t="s">
        <v>79</v>
      </c>
      <c r="AF178" s="10">
        <v>22500</v>
      </c>
      <c r="AG178" s="7">
        <v>46173</v>
      </c>
      <c r="AH178" s="10">
        <v>30500</v>
      </c>
      <c r="AI178" s="10">
        <v>19000</v>
      </c>
      <c r="AJ178" s="11">
        <f t="shared" si="2"/>
        <v>19.263157894736842</v>
      </c>
      <c r="AK178" s="12">
        <f>IF(B178="","",OR(K178="Not in use",K178="Low use")+AND(N178&lt;&gt;"",N178&lt;&gt;"TBD")+AND(ISNUMBER(U178),U178&lt;=EDATE('Scoring Settings'!$B$4,'Scoring Settings'!$B$8))+AND(ISNUMBER(L178),L178&lt;='Scoring Settings'!$B$7))</f>
        <v>2</v>
      </c>
      <c r="AL178" s="5" t="s">
        <v>223</v>
      </c>
      <c r="AM178" s="8" t="str">
        <f>IF(B178="","",IF(Z178="N","Easy",IF(OR(AND(ISNUMBER(AB178),AB178&gt;'Scoring Settings'!$B$11),AND(ISNUMBER(W178),W178&gt;'Scoring Settings'!$B$12),AND(ISNUMBER(M178),M178&lt;='Scoring Settings'!$B$13)),"High","Medium")))</f>
        <v>Easy</v>
      </c>
      <c r="AN178" s="5" t="s">
        <v>97</v>
      </c>
      <c r="AO178" s="7">
        <v>44592</v>
      </c>
      <c r="AP178" s="5" t="s">
        <v>98</v>
      </c>
      <c r="AQ178" s="29" t="s">
        <v>149</v>
      </c>
    </row>
    <row r="179" spans="1:43" hidden="1">
      <c r="A179" s="28">
        <v>29508</v>
      </c>
      <c r="B179" s="5" t="s">
        <v>649</v>
      </c>
      <c r="C179" s="5" t="s">
        <v>423</v>
      </c>
      <c r="D179" s="5" t="s">
        <v>67</v>
      </c>
      <c r="E179" s="5" t="s">
        <v>311</v>
      </c>
      <c r="F179" s="5" t="s">
        <v>560</v>
      </c>
      <c r="G179" s="5" t="s">
        <v>284</v>
      </c>
      <c r="H179" s="5" t="s">
        <v>174</v>
      </c>
      <c r="I179" s="6">
        <v>0</v>
      </c>
      <c r="J179" s="7">
        <v>43887</v>
      </c>
      <c r="K179" s="8" t="str">
        <f>IF(B179="","",IF(AND(I179="",J179=""),"Unknown",IF(OR(AND(ISNUMBER(I179),I179=0),AND(ISNUMBER(J179),J179&lt;=EDATE('Scoring Settings'!$B$4,-'Scoring Settings'!$B$5))),"Not in use",IF(AND(ISNUMBER(I179),I179&lt;'Scoring Settings'!$B$6),"Low use","Active"))))</f>
        <v>Not in use</v>
      </c>
      <c r="L179" s="5">
        <v>2</v>
      </c>
      <c r="M179" s="5">
        <v>3</v>
      </c>
      <c r="N179" s="5"/>
      <c r="O179" s="5" t="s">
        <v>73</v>
      </c>
      <c r="P179" s="5" t="s">
        <v>650</v>
      </c>
      <c r="Q179" s="9">
        <v>1</v>
      </c>
      <c r="R179" s="5" t="s">
        <v>251</v>
      </c>
      <c r="S179" s="5" t="s">
        <v>133</v>
      </c>
      <c r="T179" s="5" t="s">
        <v>77</v>
      </c>
      <c r="U179" s="7">
        <v>44165</v>
      </c>
      <c r="V179" s="5" t="s">
        <v>135</v>
      </c>
      <c r="W179" s="6">
        <v>41</v>
      </c>
      <c r="X179" s="5" t="s">
        <v>80</v>
      </c>
      <c r="Y179" s="9">
        <v>7</v>
      </c>
      <c r="Z179" s="5" t="s">
        <v>79</v>
      </c>
      <c r="AA179" s="5" t="s">
        <v>110</v>
      </c>
      <c r="AB179" s="9">
        <v>4</v>
      </c>
      <c r="AC179" s="5" t="s">
        <v>82</v>
      </c>
      <c r="AD179" s="5" t="s">
        <v>82</v>
      </c>
      <c r="AE179" s="5" t="s">
        <v>82</v>
      </c>
      <c r="AF179" s="10">
        <v>8500</v>
      </c>
      <c r="AG179" s="7">
        <v>46356</v>
      </c>
      <c r="AH179" s="10">
        <v>8500</v>
      </c>
      <c r="AI179" s="10">
        <v>7000</v>
      </c>
      <c r="AJ179" s="11">
        <f t="shared" si="2"/>
        <v>14.571428571428569</v>
      </c>
      <c r="AK179" s="12">
        <f>IF(B179="","",OR(K179="Not in use",K179="Low use")+AND(N179&lt;&gt;"",N179&lt;&gt;"TBD")+AND(ISNUMBER(U179),U179&lt;=EDATE('Scoring Settings'!$B$4,'Scoring Settings'!$B$8))+AND(ISNUMBER(L179),L179&lt;='Scoring Settings'!$B$7))</f>
        <v>3</v>
      </c>
      <c r="AL179" s="5" t="s">
        <v>223</v>
      </c>
      <c r="AM179" s="8" t="str">
        <f>IF(B179="","",IF(Z179="N","Easy",IF(OR(AND(ISNUMBER(AB179),AB179&gt;'Scoring Settings'!$B$11),AND(ISNUMBER(W179),W179&gt;'Scoring Settings'!$B$12),AND(ISNUMBER(M179),M179&lt;='Scoring Settings'!$B$13)),"High","Medium")))</f>
        <v>Easy</v>
      </c>
      <c r="AN179" s="5" t="s">
        <v>97</v>
      </c>
      <c r="AO179" s="7">
        <v>44651</v>
      </c>
      <c r="AP179" s="5" t="s">
        <v>98</v>
      </c>
      <c r="AQ179" s="29" t="s">
        <v>213</v>
      </c>
    </row>
    <row r="180" spans="1:43" hidden="1">
      <c r="A180" s="28">
        <v>47137</v>
      </c>
      <c r="B180" s="5" t="s">
        <v>657</v>
      </c>
      <c r="C180" s="5" t="s">
        <v>287</v>
      </c>
      <c r="D180" s="5" t="s">
        <v>162</v>
      </c>
      <c r="E180" s="5" t="s">
        <v>68</v>
      </c>
      <c r="F180" s="5" t="s">
        <v>396</v>
      </c>
      <c r="G180" s="5" t="s">
        <v>179</v>
      </c>
      <c r="H180" s="5" t="s">
        <v>142</v>
      </c>
      <c r="I180" s="6">
        <v>63</v>
      </c>
      <c r="J180" s="7">
        <v>44284</v>
      </c>
      <c r="K180" s="8" t="str">
        <f>IF(B180="","",IF(AND(I180="",J180=""),"Unknown",IF(OR(AND(ISNUMBER(I180),I180=0),AND(ISNUMBER(J180),J180&lt;=EDATE('Scoring Settings'!$B$4,-'Scoring Settings'!$B$5))),"Not in use",IF(AND(ISNUMBER(I180),I180&lt;'Scoring Settings'!$B$6),"Low use","Active"))))</f>
        <v>Active</v>
      </c>
      <c r="L180" s="5">
        <v>3</v>
      </c>
      <c r="M180" s="5">
        <v>2</v>
      </c>
      <c r="N180" s="5" t="s">
        <v>458</v>
      </c>
      <c r="O180" s="5" t="s">
        <v>143</v>
      </c>
      <c r="P180" s="5" t="s">
        <v>144</v>
      </c>
      <c r="Q180" s="9">
        <v>0</v>
      </c>
      <c r="R180" s="5" t="s">
        <v>145</v>
      </c>
      <c r="S180" s="5" t="s">
        <v>145</v>
      </c>
      <c r="T180" s="5" t="s">
        <v>146</v>
      </c>
      <c r="U180" s="7">
        <v>45260</v>
      </c>
      <c r="V180" s="5" t="s">
        <v>78</v>
      </c>
      <c r="W180" s="6">
        <v>120</v>
      </c>
      <c r="X180" s="5" t="s">
        <v>79</v>
      </c>
      <c r="Y180" s="9">
        <v>3</v>
      </c>
      <c r="Z180" s="5" t="s">
        <v>79</v>
      </c>
      <c r="AA180" s="5" t="s">
        <v>110</v>
      </c>
      <c r="AB180" s="9">
        <v>8</v>
      </c>
      <c r="AC180" s="5" t="s">
        <v>82</v>
      </c>
      <c r="AD180" s="5" t="s">
        <v>80</v>
      </c>
      <c r="AE180" s="5" t="s">
        <v>79</v>
      </c>
      <c r="AF180" s="10">
        <v>215000</v>
      </c>
      <c r="AG180" s="7">
        <v>46053</v>
      </c>
      <c r="AH180" s="10">
        <v>290500</v>
      </c>
      <c r="AI180" s="10">
        <v>83000</v>
      </c>
      <c r="AJ180" s="11">
        <f t="shared" si="2"/>
        <v>42</v>
      </c>
      <c r="AK180" s="12">
        <f>IF(B180="","",OR(K180="Not in use",K180="Low use")+AND(N180&lt;&gt;"",N180&lt;&gt;"TBD")+AND(ISNUMBER(U180),U180&lt;=EDATE('Scoring Settings'!$B$4,'Scoring Settings'!$B$8))+AND(ISNUMBER(L180),L180&lt;='Scoring Settings'!$B$7))</f>
        <v>1</v>
      </c>
      <c r="AL180" s="5" t="s">
        <v>2217</v>
      </c>
      <c r="AM180" s="8" t="str">
        <f>IF(B180="","",IF(Z180="N","Easy",IF(OR(AND(ISNUMBER(AB180),AB180&gt;'Scoring Settings'!$B$11),AND(ISNUMBER(W180),W180&gt;'Scoring Settings'!$B$12),AND(ISNUMBER(M180),M180&lt;='Scoring Settings'!$B$13)),"High","Medium")))</f>
        <v>Easy</v>
      </c>
      <c r="AN180" s="5" t="s">
        <v>97</v>
      </c>
      <c r="AO180" s="7">
        <v>44377</v>
      </c>
      <c r="AP180" s="5" t="s">
        <v>197</v>
      </c>
      <c r="AQ180" s="29" t="s">
        <v>658</v>
      </c>
    </row>
    <row r="181" spans="1:43" hidden="1">
      <c r="A181" s="28">
        <v>134800</v>
      </c>
      <c r="B181" s="5" t="s">
        <v>687</v>
      </c>
      <c r="C181" s="5" t="s">
        <v>259</v>
      </c>
      <c r="D181" s="5" t="s">
        <v>67</v>
      </c>
      <c r="E181" s="5" t="s">
        <v>68</v>
      </c>
      <c r="F181" s="5" t="s">
        <v>157</v>
      </c>
      <c r="G181" s="5" t="s">
        <v>153</v>
      </c>
      <c r="H181" s="5" t="s">
        <v>142</v>
      </c>
      <c r="I181" s="6">
        <v>0</v>
      </c>
      <c r="J181" s="7">
        <v>44289</v>
      </c>
      <c r="K181" s="8" t="str">
        <f>IF(B181="","",IF(AND(I181="",J181=""),"Unknown",IF(OR(AND(ISNUMBER(I181),I181=0),AND(ISNUMBER(J181),J181&lt;=EDATE('Scoring Settings'!$B$4,-'Scoring Settings'!$B$5))),"Not in use",IF(AND(ISNUMBER(I181),I181&lt;'Scoring Settings'!$B$6),"Low use","Active"))))</f>
        <v>Not in use</v>
      </c>
      <c r="L181" s="5">
        <v>1</v>
      </c>
      <c r="M181" s="5">
        <v>3</v>
      </c>
      <c r="N181" s="5"/>
      <c r="O181" s="5" t="s">
        <v>143</v>
      </c>
      <c r="P181" s="5" t="s">
        <v>144</v>
      </c>
      <c r="Q181" s="9">
        <v>0</v>
      </c>
      <c r="R181" s="5" t="s">
        <v>145</v>
      </c>
      <c r="S181" s="5" t="s">
        <v>145</v>
      </c>
      <c r="T181" s="5" t="s">
        <v>146</v>
      </c>
      <c r="U181" s="7">
        <v>44926</v>
      </c>
      <c r="V181" s="5" t="s">
        <v>135</v>
      </c>
      <c r="W181" s="6">
        <v>6490</v>
      </c>
      <c r="X181" s="5" t="s">
        <v>80</v>
      </c>
      <c r="Y181" s="9">
        <v>5</v>
      </c>
      <c r="Z181" s="5" t="s">
        <v>79</v>
      </c>
      <c r="AA181" s="5" t="s">
        <v>110</v>
      </c>
      <c r="AB181" s="9">
        <v>5</v>
      </c>
      <c r="AC181" s="5" t="s">
        <v>82</v>
      </c>
      <c r="AD181" s="5" t="s">
        <v>80</v>
      </c>
      <c r="AE181" s="5" t="s">
        <v>82</v>
      </c>
      <c r="AF181" s="10">
        <v>11500</v>
      </c>
      <c r="AG181" s="7">
        <v>49217</v>
      </c>
      <c r="AH181" s="10">
        <v>32000</v>
      </c>
      <c r="AI181" s="10">
        <v>7000</v>
      </c>
      <c r="AJ181" s="11">
        <f t="shared" si="2"/>
        <v>54.857142857142854</v>
      </c>
      <c r="AK181" s="12">
        <f>IF(B181="","",OR(K181="Not in use",K181="Low use")+AND(N181&lt;&gt;"",N181&lt;&gt;"TBD")+AND(ISNUMBER(U181),U181&lt;=EDATE('Scoring Settings'!$B$4,'Scoring Settings'!$B$8))+AND(ISNUMBER(L181),L181&lt;='Scoring Settings'!$B$7))</f>
        <v>2</v>
      </c>
      <c r="AL181" s="5" t="s">
        <v>223</v>
      </c>
      <c r="AM181" s="8" t="str">
        <f>IF(B181="","",IF(Z181="N","Easy",IF(OR(AND(ISNUMBER(AB181),AB181&gt;'Scoring Settings'!$B$11),AND(ISNUMBER(W181),W181&gt;'Scoring Settings'!$B$12),AND(ISNUMBER(M181),M181&lt;='Scoring Settings'!$B$13)),"High","Medium")))</f>
        <v>Easy</v>
      </c>
      <c r="AN181" s="5" t="s">
        <v>97</v>
      </c>
      <c r="AO181" s="7">
        <v>44865</v>
      </c>
      <c r="AP181" s="5" t="s">
        <v>197</v>
      </c>
      <c r="AQ181" s="29" t="s">
        <v>688</v>
      </c>
    </row>
    <row r="182" spans="1:43" ht="42.75" hidden="1">
      <c r="A182" s="28">
        <v>119660</v>
      </c>
      <c r="B182" s="5" t="s">
        <v>690</v>
      </c>
      <c r="C182" s="5" t="s">
        <v>371</v>
      </c>
      <c r="D182" s="5" t="s">
        <v>162</v>
      </c>
      <c r="E182" s="5" t="s">
        <v>68</v>
      </c>
      <c r="F182" s="5" t="s">
        <v>157</v>
      </c>
      <c r="G182" s="5" t="s">
        <v>267</v>
      </c>
      <c r="H182" s="5" t="s">
        <v>174</v>
      </c>
      <c r="I182" s="6">
        <v>4</v>
      </c>
      <c r="J182" s="7">
        <v>43798</v>
      </c>
      <c r="K182" s="8" t="str">
        <f>IF(B182="","",IF(AND(I182="",J182=""),"Unknown",IF(OR(AND(ISNUMBER(I182),I182=0),AND(ISNUMBER(J182),J182&lt;=EDATE('Scoring Settings'!$B$4,-'Scoring Settings'!$B$5))),"Not in use",IF(AND(ISNUMBER(I182),I182&lt;'Scoring Settings'!$B$6),"Low use","Active"))))</f>
        <v>Not in use</v>
      </c>
      <c r="L182" s="5">
        <v>3</v>
      </c>
      <c r="M182" s="5">
        <v>4</v>
      </c>
      <c r="N182" s="5"/>
      <c r="O182" s="5" t="s">
        <v>73</v>
      </c>
      <c r="P182" s="5" t="s">
        <v>691</v>
      </c>
      <c r="Q182" s="9">
        <v>1</v>
      </c>
      <c r="R182" s="5" t="s">
        <v>72</v>
      </c>
      <c r="S182" s="5" t="s">
        <v>72</v>
      </c>
      <c r="T182" s="5" t="s">
        <v>77</v>
      </c>
      <c r="U182" s="7">
        <v>46217</v>
      </c>
      <c r="V182" s="5" t="s">
        <v>95</v>
      </c>
      <c r="W182" s="6">
        <v>220</v>
      </c>
      <c r="X182" s="5" t="s">
        <v>80</v>
      </c>
      <c r="Y182" s="9">
        <v>10</v>
      </c>
      <c r="Z182" s="5" t="s">
        <v>80</v>
      </c>
      <c r="AA182" s="5" t="s">
        <v>205</v>
      </c>
      <c r="AB182" s="9">
        <v>0</v>
      </c>
      <c r="AC182" s="5" t="s">
        <v>79</v>
      </c>
      <c r="AD182" s="5" t="s">
        <v>82</v>
      </c>
      <c r="AE182" s="5" t="s">
        <v>82</v>
      </c>
      <c r="AF182" s="10">
        <v>26000</v>
      </c>
      <c r="AG182" s="7">
        <v>47208</v>
      </c>
      <c r="AH182" s="10">
        <v>13500</v>
      </c>
      <c r="AI182" s="10">
        <v>15500</v>
      </c>
      <c r="AJ182" s="11">
        <f t="shared" si="2"/>
        <v>10.451612903225806</v>
      </c>
      <c r="AK182" s="12">
        <f>IF(B182="","",OR(K182="Not in use",K182="Low use")+AND(N182&lt;&gt;"",N182&lt;&gt;"TBD")+AND(ISNUMBER(U182),U182&lt;=EDATE('Scoring Settings'!$B$4,'Scoring Settings'!$B$8))+AND(ISNUMBER(L182),L182&lt;='Scoring Settings'!$B$7))</f>
        <v>1</v>
      </c>
      <c r="AL182" s="5" t="s">
        <v>96</v>
      </c>
      <c r="AM182" s="8" t="str">
        <f>IF(B182="","",IF(Z182="N","Easy",IF(OR(AND(ISNUMBER(AB182),AB182&gt;'Scoring Settings'!$B$11),AND(ISNUMBER(W182),W182&gt;'Scoring Settings'!$B$12),AND(ISNUMBER(M182),M182&lt;='Scoring Settings'!$B$13)),"High","Medium")))</f>
        <v>Medium</v>
      </c>
      <c r="AN182" s="5" t="s">
        <v>97</v>
      </c>
      <c r="AO182" s="7">
        <v>44926</v>
      </c>
      <c r="AP182" s="5" t="s">
        <v>98</v>
      </c>
      <c r="AQ182" s="29" t="s">
        <v>692</v>
      </c>
    </row>
    <row r="183" spans="1:43" hidden="1">
      <c r="A183" s="28">
        <v>175504</v>
      </c>
      <c r="B183" s="5" t="s">
        <v>693</v>
      </c>
      <c r="C183" s="5" t="s">
        <v>423</v>
      </c>
      <c r="D183" s="5" t="s">
        <v>67</v>
      </c>
      <c r="E183" s="5" t="s">
        <v>68</v>
      </c>
      <c r="F183" s="5" t="s">
        <v>263</v>
      </c>
      <c r="G183" s="5" t="s">
        <v>271</v>
      </c>
      <c r="H183" s="5" t="s">
        <v>91</v>
      </c>
      <c r="I183" s="6">
        <v>18</v>
      </c>
      <c r="J183" s="7">
        <v>44184</v>
      </c>
      <c r="K183" s="8" t="str">
        <f>IF(B183="","",IF(AND(I183="",J183=""),"Unknown",IF(OR(AND(ISNUMBER(I183),I183=0),AND(ISNUMBER(J183),J183&lt;=EDATE('Scoring Settings'!$B$4,-'Scoring Settings'!$B$5))),"Not in use",IF(AND(ISNUMBER(I183),I183&lt;'Scoring Settings'!$B$6),"Low use","Active"))))</f>
        <v>Low use</v>
      </c>
      <c r="L183" s="5">
        <v>2</v>
      </c>
      <c r="M183" s="5">
        <v>3</v>
      </c>
      <c r="N183" s="5"/>
      <c r="O183" s="5" t="s">
        <v>73</v>
      </c>
      <c r="P183" s="5" t="s">
        <v>694</v>
      </c>
      <c r="Q183" s="9">
        <v>1</v>
      </c>
      <c r="R183" s="5" t="s">
        <v>251</v>
      </c>
      <c r="S183" s="5" t="s">
        <v>133</v>
      </c>
      <c r="T183" s="5" t="s">
        <v>72</v>
      </c>
      <c r="U183" s="7">
        <v>44165</v>
      </c>
      <c r="V183" s="5" t="s">
        <v>78</v>
      </c>
      <c r="W183" s="6">
        <v>240</v>
      </c>
      <c r="X183" s="5" t="s">
        <v>80</v>
      </c>
      <c r="Y183" s="9">
        <v>7</v>
      </c>
      <c r="Z183" s="5" t="s">
        <v>80</v>
      </c>
      <c r="AA183" s="5" t="s">
        <v>123</v>
      </c>
      <c r="AB183" s="9">
        <v>8</v>
      </c>
      <c r="AC183" s="5" t="s">
        <v>82</v>
      </c>
      <c r="AD183" s="5" t="s">
        <v>82</v>
      </c>
      <c r="AE183" s="5" t="s">
        <v>79</v>
      </c>
      <c r="AF183" s="10">
        <v>12500</v>
      </c>
      <c r="AG183" s="7">
        <v>48791</v>
      </c>
      <c r="AH183" s="10">
        <v>8500</v>
      </c>
      <c r="AI183" s="10">
        <v>10000</v>
      </c>
      <c r="AJ183" s="11">
        <f t="shared" si="2"/>
        <v>10.199999999999999</v>
      </c>
      <c r="AK183" s="12">
        <f>IF(B183="","",OR(K183="Not in use",K183="Low use")+AND(N183&lt;&gt;"",N183&lt;&gt;"TBD")+AND(ISNUMBER(U183),U183&lt;=EDATE('Scoring Settings'!$B$4,'Scoring Settings'!$B$8))+AND(ISNUMBER(L183),L183&lt;='Scoring Settings'!$B$7))</f>
        <v>3</v>
      </c>
      <c r="AL183" s="5" t="s">
        <v>96</v>
      </c>
      <c r="AM183" s="8" t="str">
        <f>IF(B183="","",IF(Z183="N","Easy",IF(OR(AND(ISNUMBER(AB183),AB183&gt;'Scoring Settings'!$B$11),AND(ISNUMBER(W183),W183&gt;'Scoring Settings'!$B$12),AND(ISNUMBER(M183),M183&lt;='Scoring Settings'!$B$13)),"High","Medium")))</f>
        <v>High</v>
      </c>
      <c r="AN183" s="5" t="s">
        <v>97</v>
      </c>
      <c r="AO183" s="7">
        <v>44773</v>
      </c>
      <c r="AP183" s="5" t="s">
        <v>197</v>
      </c>
      <c r="AQ183" s="29" t="s">
        <v>276</v>
      </c>
    </row>
    <row r="184" spans="1:43" ht="42.75" hidden="1">
      <c r="A184" s="28">
        <v>190321</v>
      </c>
      <c r="B184" s="5" t="s">
        <v>715</v>
      </c>
      <c r="C184" s="5" t="s">
        <v>305</v>
      </c>
      <c r="D184" s="5" t="s">
        <v>297</v>
      </c>
      <c r="E184" s="5" t="s">
        <v>68</v>
      </c>
      <c r="F184" s="5" t="s">
        <v>299</v>
      </c>
      <c r="G184" s="5" t="s">
        <v>221</v>
      </c>
      <c r="H184" s="5" t="s">
        <v>142</v>
      </c>
      <c r="I184" s="6">
        <v>163</v>
      </c>
      <c r="J184" s="7">
        <v>44308</v>
      </c>
      <c r="K184" s="8" t="str">
        <f>IF(B184="","",IF(AND(I184="",J184=""),"Unknown",IF(OR(AND(ISNUMBER(I184),I184=0),AND(ISNUMBER(J184),J184&lt;=EDATE('Scoring Settings'!$B$4,-'Scoring Settings'!$B$5))),"Not in use",IF(AND(ISNUMBER(I184),I184&lt;'Scoring Settings'!$B$6),"Low use","Active"))))</f>
        <v>Active</v>
      </c>
      <c r="L184" s="5">
        <v>2</v>
      </c>
      <c r="M184" s="5">
        <v>3</v>
      </c>
      <c r="N184" s="5" t="s">
        <v>617</v>
      </c>
      <c r="O184" s="5" t="s">
        <v>143</v>
      </c>
      <c r="P184" s="5" t="s">
        <v>144</v>
      </c>
      <c r="Q184" s="9">
        <v>0</v>
      </c>
      <c r="R184" s="5" t="s">
        <v>145</v>
      </c>
      <c r="S184" s="5" t="s">
        <v>145</v>
      </c>
      <c r="T184" s="5" t="s">
        <v>146</v>
      </c>
      <c r="U184" s="7"/>
      <c r="V184" s="5" t="s">
        <v>95</v>
      </c>
      <c r="W184" s="6">
        <v>2210</v>
      </c>
      <c r="X184" s="5" t="s">
        <v>79</v>
      </c>
      <c r="Y184" s="9">
        <v>2</v>
      </c>
      <c r="Z184" s="5" t="s">
        <v>79</v>
      </c>
      <c r="AA184" s="5" t="s">
        <v>110</v>
      </c>
      <c r="AB184" s="9">
        <v>2</v>
      </c>
      <c r="AC184" s="5" t="s">
        <v>80</v>
      </c>
      <c r="AD184" s="5" t="s">
        <v>82</v>
      </c>
      <c r="AE184" s="5" t="s">
        <v>80</v>
      </c>
      <c r="AF184" s="10">
        <v>110000</v>
      </c>
      <c r="AG184" s="7">
        <v>45838</v>
      </c>
      <c r="AH184" s="10">
        <v>109500</v>
      </c>
      <c r="AI184" s="10">
        <v>68500</v>
      </c>
      <c r="AJ184" s="11">
        <f t="shared" si="2"/>
        <v>19.182481751824817</v>
      </c>
      <c r="AK184" s="12">
        <f>IF(B184="","",OR(K184="Not in use",K184="Low use")+AND(N184&lt;&gt;"",N184&lt;&gt;"TBD")+AND(ISNUMBER(U184),U184&lt;=EDATE('Scoring Settings'!$B$4,'Scoring Settings'!$B$8))+AND(ISNUMBER(L184),L184&lt;='Scoring Settings'!$B$7))</f>
        <v>2</v>
      </c>
      <c r="AL184" s="5" t="s">
        <v>223</v>
      </c>
      <c r="AM184" s="8" t="str">
        <f>IF(B184="","",IF(Z184="N","Easy",IF(OR(AND(ISNUMBER(AB184),AB184&gt;'Scoring Settings'!$B$11),AND(ISNUMBER(W184),W184&gt;'Scoring Settings'!$B$12),AND(ISNUMBER(M184),M184&lt;='Scoring Settings'!$B$13)),"High","Medium")))</f>
        <v>Easy</v>
      </c>
      <c r="AN184" s="5" t="s">
        <v>97</v>
      </c>
      <c r="AO184" s="7">
        <v>44651</v>
      </c>
      <c r="AP184" s="5" t="s">
        <v>197</v>
      </c>
      <c r="AQ184" s="29" t="s">
        <v>716</v>
      </c>
    </row>
    <row r="185" spans="1:43" hidden="1">
      <c r="A185" s="28">
        <v>97406</v>
      </c>
      <c r="B185" s="5" t="s">
        <v>720</v>
      </c>
      <c r="C185" s="5" t="s">
        <v>66</v>
      </c>
      <c r="D185" s="5" t="s">
        <v>67</v>
      </c>
      <c r="E185" s="5" t="s">
        <v>68</v>
      </c>
      <c r="F185" s="5" t="s">
        <v>157</v>
      </c>
      <c r="G185" s="5" t="s">
        <v>141</v>
      </c>
      <c r="H185" s="5" t="s">
        <v>91</v>
      </c>
      <c r="I185" s="6">
        <v>3</v>
      </c>
      <c r="J185" s="7">
        <v>44307</v>
      </c>
      <c r="K185" s="8" t="str">
        <f>IF(B185="","",IF(AND(I185="",J185=""),"Unknown",IF(OR(AND(ISNUMBER(I185),I185=0),AND(ISNUMBER(J185),J185&lt;=EDATE('Scoring Settings'!$B$4,-'Scoring Settings'!$B$5))),"Not in use",IF(AND(ISNUMBER(I185),I185&lt;'Scoring Settings'!$B$6),"Low use","Active"))))</f>
        <v>Low use</v>
      </c>
      <c r="L185" s="5">
        <v>4</v>
      </c>
      <c r="M185" s="5">
        <v>2</v>
      </c>
      <c r="N185" s="5"/>
      <c r="O185" s="5" t="s">
        <v>73</v>
      </c>
      <c r="P185" s="5" t="s">
        <v>721</v>
      </c>
      <c r="Q185" s="9">
        <v>3</v>
      </c>
      <c r="R185" s="5" t="s">
        <v>478</v>
      </c>
      <c r="S185" s="5" t="s">
        <v>479</v>
      </c>
      <c r="T185" s="5" t="s">
        <v>109</v>
      </c>
      <c r="U185" s="7">
        <v>43844</v>
      </c>
      <c r="V185" s="5" t="s">
        <v>135</v>
      </c>
      <c r="W185" s="6">
        <v>1</v>
      </c>
      <c r="X185" s="5" t="s">
        <v>80</v>
      </c>
      <c r="Y185" s="9">
        <v>10</v>
      </c>
      <c r="Z185" s="5" t="s">
        <v>79</v>
      </c>
      <c r="AA185" s="5" t="s">
        <v>110</v>
      </c>
      <c r="AB185" s="9">
        <v>20</v>
      </c>
      <c r="AC185" s="5" t="s">
        <v>82</v>
      </c>
      <c r="AD185" s="5" t="s">
        <v>82</v>
      </c>
      <c r="AE185" s="5" t="s">
        <v>82</v>
      </c>
      <c r="AF185" s="10">
        <v>80000</v>
      </c>
      <c r="AG185" s="7">
        <v>48365</v>
      </c>
      <c r="AH185" s="10">
        <v>129500</v>
      </c>
      <c r="AI185" s="10">
        <v>64500</v>
      </c>
      <c r="AJ185" s="11">
        <f t="shared" si="2"/>
        <v>24.093023255813954</v>
      </c>
      <c r="AK185" s="12">
        <f>IF(B185="","",OR(K185="Not in use",K185="Low use")+AND(N185&lt;&gt;"",N185&lt;&gt;"TBD")+AND(ISNUMBER(U185),U185&lt;=EDATE('Scoring Settings'!$B$4,'Scoring Settings'!$B$8))+AND(ISNUMBER(L185),L185&lt;='Scoring Settings'!$B$7))</f>
        <v>2</v>
      </c>
      <c r="AL185" s="5" t="s">
        <v>223</v>
      </c>
      <c r="AM185" s="8" t="str">
        <f>IF(B185="","",IF(Z185="N","Easy",IF(OR(AND(ISNUMBER(AB185),AB185&gt;'Scoring Settings'!$B$11),AND(ISNUMBER(W185),W185&gt;'Scoring Settings'!$B$12),AND(ISNUMBER(M185),M185&lt;='Scoring Settings'!$B$13)),"High","Medium")))</f>
        <v>Easy</v>
      </c>
      <c r="AN185" s="5" t="s">
        <v>97</v>
      </c>
      <c r="AO185" s="7">
        <v>44651</v>
      </c>
      <c r="AP185" s="5" t="s">
        <v>197</v>
      </c>
      <c r="AQ185" s="29" t="s">
        <v>499</v>
      </c>
    </row>
    <row r="186" spans="1:43" hidden="1">
      <c r="A186" s="28">
        <v>128872</v>
      </c>
      <c r="B186" s="5" t="s">
        <v>731</v>
      </c>
      <c r="C186" s="5" t="s">
        <v>151</v>
      </c>
      <c r="D186" s="5" t="s">
        <v>102</v>
      </c>
      <c r="E186" s="5" t="s">
        <v>68</v>
      </c>
      <c r="F186" s="5" t="s">
        <v>178</v>
      </c>
      <c r="G186" s="5" t="s">
        <v>70</v>
      </c>
      <c r="H186" s="5" t="s">
        <v>189</v>
      </c>
      <c r="I186" s="6">
        <v>0</v>
      </c>
      <c r="J186" s="7">
        <v>43944</v>
      </c>
      <c r="K186" s="8" t="str">
        <f>IF(B186="","",IF(AND(I186="",J186=""),"Unknown",IF(OR(AND(ISNUMBER(I186),I186=0),AND(ISNUMBER(J186),J186&lt;=EDATE('Scoring Settings'!$B$4,-'Scoring Settings'!$B$5))),"Not in use",IF(AND(ISNUMBER(I186),I186&lt;'Scoring Settings'!$B$6),"Low use","Active"))))</f>
        <v>Not in use</v>
      </c>
      <c r="L186" s="5">
        <v>1</v>
      </c>
      <c r="M186" s="5">
        <v>3</v>
      </c>
      <c r="N186" s="5"/>
      <c r="O186" s="5" t="s">
        <v>73</v>
      </c>
      <c r="P186" s="5" t="s">
        <v>732</v>
      </c>
      <c r="Q186" s="9">
        <v>4</v>
      </c>
      <c r="R186" s="5" t="s">
        <v>245</v>
      </c>
      <c r="S186" s="5" t="s">
        <v>246</v>
      </c>
      <c r="T186" s="5" t="s">
        <v>122</v>
      </c>
      <c r="U186" s="7">
        <v>45777</v>
      </c>
      <c r="V186" s="5" t="s">
        <v>135</v>
      </c>
      <c r="W186" s="6">
        <v>500</v>
      </c>
      <c r="X186" s="5" t="s">
        <v>80</v>
      </c>
      <c r="Y186" s="9">
        <v>10</v>
      </c>
      <c r="Z186" s="5" t="s">
        <v>80</v>
      </c>
      <c r="AA186" s="5" t="s">
        <v>205</v>
      </c>
      <c r="AB186" s="9">
        <v>4</v>
      </c>
      <c r="AC186" s="5" t="s">
        <v>80</v>
      </c>
      <c r="AD186" s="5" t="s">
        <v>79</v>
      </c>
      <c r="AE186" s="5" t="s">
        <v>82</v>
      </c>
      <c r="AF186" s="10">
        <v>50000</v>
      </c>
      <c r="AG186" s="7">
        <v>48548</v>
      </c>
      <c r="AH186" s="10">
        <v>95000</v>
      </c>
      <c r="AI186" s="10">
        <v>42500</v>
      </c>
      <c r="AJ186" s="11">
        <f t="shared" si="2"/>
        <v>26.823529411764707</v>
      </c>
      <c r="AK186" s="12">
        <f>IF(B186="","",OR(K186="Not in use",K186="Low use")+AND(N186&lt;&gt;"",N186&lt;&gt;"TBD")+AND(ISNUMBER(U186),U186&lt;=EDATE('Scoring Settings'!$B$4,'Scoring Settings'!$B$8))+AND(ISNUMBER(L186),L186&lt;='Scoring Settings'!$B$7))</f>
        <v>2</v>
      </c>
      <c r="AL186" s="5" t="s">
        <v>96</v>
      </c>
      <c r="AM186" s="8" t="str">
        <f>IF(B186="","",IF(Z186="N","Easy",IF(OR(AND(ISNUMBER(AB186),AB186&gt;'Scoring Settings'!$B$11),AND(ISNUMBER(W186),W186&gt;'Scoring Settings'!$B$12),AND(ISNUMBER(M186),M186&lt;='Scoring Settings'!$B$13)),"High","Medium")))</f>
        <v>Medium</v>
      </c>
      <c r="AN186" s="5" t="s">
        <v>97</v>
      </c>
      <c r="AO186" s="7">
        <v>44377</v>
      </c>
      <c r="AP186" s="5" t="s">
        <v>197</v>
      </c>
      <c r="AQ186" s="29" t="s">
        <v>669</v>
      </c>
    </row>
    <row r="187" spans="1:43" ht="42.75" hidden="1">
      <c r="A187" s="28">
        <v>13123</v>
      </c>
      <c r="B187" s="5" t="s">
        <v>741</v>
      </c>
      <c r="C187" s="5" t="s">
        <v>305</v>
      </c>
      <c r="D187" s="5" t="s">
        <v>297</v>
      </c>
      <c r="E187" s="5" t="s">
        <v>298</v>
      </c>
      <c r="F187" s="5" t="s">
        <v>173</v>
      </c>
      <c r="G187" s="5" t="s">
        <v>278</v>
      </c>
      <c r="H187" s="5" t="s">
        <v>105</v>
      </c>
      <c r="I187" s="6">
        <v>232</v>
      </c>
      <c r="J187" s="7">
        <v>44309</v>
      </c>
      <c r="K187" s="8" t="str">
        <f>IF(B187="","",IF(AND(I187="",J187=""),"Unknown",IF(OR(AND(ISNUMBER(I187),I187=0),AND(ISNUMBER(J187),J187&lt;=EDATE('Scoring Settings'!$B$4,-'Scoring Settings'!$B$5))),"Not in use",IF(AND(ISNUMBER(I187),I187&lt;'Scoring Settings'!$B$6),"Low use","Active"))))</f>
        <v>Active</v>
      </c>
      <c r="L187" s="5">
        <v>5</v>
      </c>
      <c r="M187" s="5">
        <v>2</v>
      </c>
      <c r="N187" s="5" t="s">
        <v>306</v>
      </c>
      <c r="O187" s="5" t="s">
        <v>130</v>
      </c>
      <c r="P187" s="5" t="s">
        <v>742</v>
      </c>
      <c r="Q187" s="9">
        <v>3</v>
      </c>
      <c r="R187" s="5" t="s">
        <v>251</v>
      </c>
      <c r="S187" s="5" t="s">
        <v>133</v>
      </c>
      <c r="T187" s="5" t="s">
        <v>134</v>
      </c>
      <c r="U187" s="7">
        <v>44165</v>
      </c>
      <c r="V187" s="5" t="s">
        <v>135</v>
      </c>
      <c r="W187" s="6">
        <v>220</v>
      </c>
      <c r="X187" s="5" t="s">
        <v>80</v>
      </c>
      <c r="Y187" s="9">
        <v>5</v>
      </c>
      <c r="Z187" s="5" t="s">
        <v>80</v>
      </c>
      <c r="AA187" s="5" t="s">
        <v>185</v>
      </c>
      <c r="AB187" s="9">
        <v>20</v>
      </c>
      <c r="AC187" s="5" t="s">
        <v>82</v>
      </c>
      <c r="AD187" s="5" t="s">
        <v>79</v>
      </c>
      <c r="AE187" s="5" t="s">
        <v>79</v>
      </c>
      <c r="AF187" s="10">
        <v>50000</v>
      </c>
      <c r="AG187" s="7">
        <v>46996</v>
      </c>
      <c r="AH187" s="10">
        <v>52500</v>
      </c>
      <c r="AI187" s="10">
        <v>33500</v>
      </c>
      <c r="AJ187" s="11">
        <f t="shared" si="2"/>
        <v>18.805970149253731</v>
      </c>
      <c r="AK187" s="12">
        <f>IF(B187="","",OR(K187="Not in use",K187="Low use")+AND(N187&lt;&gt;"",N187&lt;&gt;"TBD")+AND(ISNUMBER(U187),U187&lt;=EDATE('Scoring Settings'!$B$4,'Scoring Settings'!$B$8))+AND(ISNUMBER(L187),L187&lt;='Scoring Settings'!$B$7))</f>
        <v>2</v>
      </c>
      <c r="AL187" s="5" t="s">
        <v>2217</v>
      </c>
      <c r="AM187" s="8" t="str">
        <f>IF(B187="","",IF(Z187="N","Easy",IF(OR(AND(ISNUMBER(AB187),AB187&gt;'Scoring Settings'!$B$11),AND(ISNUMBER(W187),W187&gt;'Scoring Settings'!$B$12),AND(ISNUMBER(M187),M187&lt;='Scoring Settings'!$B$13)),"High","Medium")))</f>
        <v>High</v>
      </c>
      <c r="AN187" s="5" t="s">
        <v>97</v>
      </c>
      <c r="AO187" s="7">
        <v>44804</v>
      </c>
      <c r="AP187" s="5" t="s">
        <v>98</v>
      </c>
      <c r="AQ187" s="29" t="s">
        <v>743</v>
      </c>
    </row>
    <row r="188" spans="1:43" hidden="1">
      <c r="A188" s="28">
        <v>142019</v>
      </c>
      <c r="B188" s="5" t="s">
        <v>759</v>
      </c>
      <c r="C188" s="5" t="s">
        <v>259</v>
      </c>
      <c r="D188" s="5" t="s">
        <v>67</v>
      </c>
      <c r="E188" s="5" t="s">
        <v>298</v>
      </c>
      <c r="F188" s="5" t="s">
        <v>326</v>
      </c>
      <c r="G188" s="5" t="s">
        <v>210</v>
      </c>
      <c r="H188" s="5" t="s">
        <v>142</v>
      </c>
      <c r="I188" s="6">
        <v>5615</v>
      </c>
      <c r="J188" s="7">
        <v>44289</v>
      </c>
      <c r="K188" s="8" t="str">
        <f>IF(B188="","",IF(AND(I188="",J188=""),"Unknown",IF(OR(AND(ISNUMBER(I188),I188=0),AND(ISNUMBER(J188),J188&lt;=EDATE('Scoring Settings'!$B$4,-'Scoring Settings'!$B$5))),"Not in use",IF(AND(ISNUMBER(I188),I188&lt;'Scoring Settings'!$B$6),"Low use","Active"))))</f>
        <v>Active</v>
      </c>
      <c r="L188" s="5">
        <v>4</v>
      </c>
      <c r="M188" s="5">
        <v>2</v>
      </c>
      <c r="N188" s="5" t="s">
        <v>211</v>
      </c>
      <c r="O188" s="5" t="s">
        <v>143</v>
      </c>
      <c r="P188" s="5" t="s">
        <v>144</v>
      </c>
      <c r="Q188" s="9">
        <v>0</v>
      </c>
      <c r="R188" s="5" t="s">
        <v>145</v>
      </c>
      <c r="S188" s="5" t="s">
        <v>145</v>
      </c>
      <c r="T188" s="5" t="s">
        <v>146</v>
      </c>
      <c r="U188" s="7">
        <v>44985</v>
      </c>
      <c r="V188" s="5" t="s">
        <v>78</v>
      </c>
      <c r="W188" s="6">
        <v>200</v>
      </c>
      <c r="X188" s="5" t="s">
        <v>80</v>
      </c>
      <c r="Y188" s="9">
        <v>5</v>
      </c>
      <c r="Z188" s="5" t="s">
        <v>79</v>
      </c>
      <c r="AA188" s="5" t="s">
        <v>110</v>
      </c>
      <c r="AB188" s="9">
        <v>15</v>
      </c>
      <c r="AC188" s="5" t="s">
        <v>82</v>
      </c>
      <c r="AD188" s="5" t="s">
        <v>82</v>
      </c>
      <c r="AE188" s="5" t="s">
        <v>82</v>
      </c>
      <c r="AF188" s="10">
        <v>60000</v>
      </c>
      <c r="AG188" s="7">
        <v>49582</v>
      </c>
      <c r="AH188" s="10">
        <v>69000</v>
      </c>
      <c r="AI188" s="10">
        <v>25500</v>
      </c>
      <c r="AJ188" s="11">
        <f t="shared" si="2"/>
        <v>32.470588235294116</v>
      </c>
      <c r="AK188" s="12">
        <f>IF(B188="","",OR(K188="Not in use",K188="Low use")+AND(N188&lt;&gt;"",N188&lt;&gt;"TBD")+AND(ISNUMBER(U188),U188&lt;=EDATE('Scoring Settings'!$B$4,'Scoring Settings'!$B$8))+AND(ISNUMBER(L188),L188&lt;='Scoring Settings'!$B$7))</f>
        <v>1</v>
      </c>
      <c r="AL188" s="5" t="s">
        <v>2217</v>
      </c>
      <c r="AM188" s="8" t="str">
        <f>IF(B188="","",IF(Z188="N","Easy",IF(OR(AND(ISNUMBER(AB188),AB188&gt;'Scoring Settings'!$B$11),AND(ISNUMBER(W188),W188&gt;'Scoring Settings'!$B$12),AND(ISNUMBER(M188),M188&lt;='Scoring Settings'!$B$13)),"High","Medium")))</f>
        <v>Easy</v>
      </c>
      <c r="AN188" s="5" t="s">
        <v>97</v>
      </c>
      <c r="AO188" s="7">
        <v>44681</v>
      </c>
      <c r="AP188" s="5" t="s">
        <v>197</v>
      </c>
      <c r="AQ188" s="29" t="s">
        <v>760</v>
      </c>
    </row>
    <row r="189" spans="1:43" hidden="1">
      <c r="A189" s="28">
        <v>164339</v>
      </c>
      <c r="B189" s="5" t="s">
        <v>767</v>
      </c>
      <c r="C189" s="5" t="s">
        <v>66</v>
      </c>
      <c r="D189" s="5" t="s">
        <v>67</v>
      </c>
      <c r="E189" s="5" t="s">
        <v>68</v>
      </c>
      <c r="F189" s="5" t="s">
        <v>312</v>
      </c>
      <c r="G189" s="5" t="s">
        <v>141</v>
      </c>
      <c r="H189" s="5" t="s">
        <v>71</v>
      </c>
      <c r="I189" s="6">
        <v>0</v>
      </c>
      <c r="J189" s="7">
        <v>44019</v>
      </c>
      <c r="K189" s="8" t="str">
        <f>IF(B189="","",IF(AND(I189="",J189=""),"Unknown",IF(OR(AND(ISNUMBER(I189),I189=0),AND(ISNUMBER(J189),J189&lt;=EDATE('Scoring Settings'!$B$4,-'Scoring Settings'!$B$5))),"Not in use",IF(AND(ISNUMBER(I189),I189&lt;'Scoring Settings'!$B$6),"Low use","Active"))))</f>
        <v>Not in use</v>
      </c>
      <c r="L189" s="5">
        <v>1</v>
      </c>
      <c r="M189" s="5">
        <v>4</v>
      </c>
      <c r="N189" s="5" t="s">
        <v>190</v>
      </c>
      <c r="O189" s="5" t="s">
        <v>73</v>
      </c>
      <c r="P189" s="5" t="s">
        <v>768</v>
      </c>
      <c r="Q189" s="9">
        <v>3</v>
      </c>
      <c r="R189" s="5" t="s">
        <v>352</v>
      </c>
      <c r="S189" s="5" t="s">
        <v>353</v>
      </c>
      <c r="T189" s="5" t="s">
        <v>77</v>
      </c>
      <c r="U189" s="7">
        <v>47127</v>
      </c>
      <c r="V189" s="5" t="s">
        <v>135</v>
      </c>
      <c r="W189" s="6">
        <v>440</v>
      </c>
      <c r="X189" s="5" t="s">
        <v>80</v>
      </c>
      <c r="Y189" s="9">
        <v>7</v>
      </c>
      <c r="Z189" s="5" t="s">
        <v>79</v>
      </c>
      <c r="AA189" s="5" t="s">
        <v>110</v>
      </c>
      <c r="AB189" s="9">
        <v>3</v>
      </c>
      <c r="AC189" s="5" t="s">
        <v>80</v>
      </c>
      <c r="AD189" s="5" t="s">
        <v>79</v>
      </c>
      <c r="AE189" s="5" t="s">
        <v>79</v>
      </c>
      <c r="AF189" s="10">
        <v>38500</v>
      </c>
      <c r="AG189" s="7">
        <v>46873</v>
      </c>
      <c r="AH189" s="10">
        <v>20500</v>
      </c>
      <c r="AI189" s="10">
        <v>33000</v>
      </c>
      <c r="AJ189" s="11">
        <f t="shared" si="2"/>
        <v>7.454545454545455</v>
      </c>
      <c r="AK189" s="12">
        <f>IF(B189="","",OR(K189="Not in use",K189="Low use")+AND(N189&lt;&gt;"",N189&lt;&gt;"TBD")+AND(ISNUMBER(U189),U189&lt;=EDATE('Scoring Settings'!$B$4,'Scoring Settings'!$B$8))+AND(ISNUMBER(L189),L189&lt;='Scoring Settings'!$B$7))</f>
        <v>3</v>
      </c>
      <c r="AL189" s="5" t="s">
        <v>223</v>
      </c>
      <c r="AM189" s="8" t="str">
        <f>IF(B189="","",IF(Z189="N","Easy",IF(OR(AND(ISNUMBER(AB189),AB189&gt;'Scoring Settings'!$B$11),AND(ISNUMBER(W189),W189&gt;'Scoring Settings'!$B$12),AND(ISNUMBER(M189),M189&lt;='Scoring Settings'!$B$13)),"High","Medium")))</f>
        <v>Easy</v>
      </c>
      <c r="AN189" s="5" t="s">
        <v>97</v>
      </c>
      <c r="AO189" s="7">
        <v>44773</v>
      </c>
      <c r="AP189" s="5" t="s">
        <v>197</v>
      </c>
      <c r="AQ189" s="29" t="s">
        <v>688</v>
      </c>
    </row>
    <row r="190" spans="1:43" ht="42.75" hidden="1">
      <c r="A190" s="28">
        <v>39249</v>
      </c>
      <c r="B190" s="5" t="s">
        <v>788</v>
      </c>
      <c r="C190" s="5" t="s">
        <v>343</v>
      </c>
      <c r="D190" s="5" t="s">
        <v>102</v>
      </c>
      <c r="E190" s="5" t="s">
        <v>68</v>
      </c>
      <c r="F190" s="5" t="s">
        <v>476</v>
      </c>
      <c r="G190" s="5" t="s">
        <v>141</v>
      </c>
      <c r="H190" s="5" t="s">
        <v>142</v>
      </c>
      <c r="I190" s="6">
        <v>106</v>
      </c>
      <c r="J190" s="7">
        <v>44283</v>
      </c>
      <c r="K190" s="8" t="str">
        <f>IF(B190="","",IF(AND(I190="",J190=""),"Unknown",IF(OR(AND(ISNUMBER(I190),I190=0),AND(ISNUMBER(J190),J190&lt;=EDATE('Scoring Settings'!$B$4,-'Scoring Settings'!$B$5))),"Not in use",IF(AND(ISNUMBER(I190),I190&lt;'Scoring Settings'!$B$6),"Low use","Active"))))</f>
        <v>Active</v>
      </c>
      <c r="L190" s="5">
        <v>3</v>
      </c>
      <c r="M190" s="5">
        <v>3</v>
      </c>
      <c r="N190" s="5" t="s">
        <v>72</v>
      </c>
      <c r="O190" s="5" t="s">
        <v>143</v>
      </c>
      <c r="P190" s="5" t="s">
        <v>144</v>
      </c>
      <c r="Q190" s="9">
        <v>0</v>
      </c>
      <c r="R190" s="5" t="s">
        <v>145</v>
      </c>
      <c r="S190" s="5" t="s">
        <v>145</v>
      </c>
      <c r="T190" s="5" t="s">
        <v>146</v>
      </c>
      <c r="U190" s="7"/>
      <c r="V190" s="5" t="s">
        <v>135</v>
      </c>
      <c r="W190" s="6">
        <v>15</v>
      </c>
      <c r="X190" s="5" t="s">
        <v>79</v>
      </c>
      <c r="Y190" s="9">
        <v>1</v>
      </c>
      <c r="Z190" s="5" t="s">
        <v>79</v>
      </c>
      <c r="AA190" s="5" t="s">
        <v>110</v>
      </c>
      <c r="AB190" s="9">
        <v>1</v>
      </c>
      <c r="AC190" s="5" t="s">
        <v>82</v>
      </c>
      <c r="AD190" s="5" t="s">
        <v>79</v>
      </c>
      <c r="AE190" s="5" t="s">
        <v>79</v>
      </c>
      <c r="AF190" s="10">
        <v>115000</v>
      </c>
      <c r="AG190" s="7">
        <v>46295</v>
      </c>
      <c r="AH190" s="10">
        <v>59000</v>
      </c>
      <c r="AI190" s="10">
        <v>80500</v>
      </c>
      <c r="AJ190" s="11">
        <f t="shared" si="2"/>
        <v>8.7950310559006226</v>
      </c>
      <c r="AK190" s="12">
        <f>IF(B190="","",OR(K190="Not in use",K190="Low use")+AND(N190&lt;&gt;"",N190&lt;&gt;"TBD")+AND(ISNUMBER(U190),U190&lt;=EDATE('Scoring Settings'!$B$4,'Scoring Settings'!$B$8))+AND(ISNUMBER(L190),L190&lt;='Scoring Settings'!$B$7))</f>
        <v>0</v>
      </c>
      <c r="AL190" s="5" t="s">
        <v>223</v>
      </c>
      <c r="AM190" s="8" t="str">
        <f>IF(B190="","",IF(Z190="N","Easy",IF(OR(AND(ISNUMBER(AB190),AB190&gt;'Scoring Settings'!$B$11),AND(ISNUMBER(W190),W190&gt;'Scoring Settings'!$B$12),AND(ISNUMBER(M190),M190&lt;='Scoring Settings'!$B$13)),"High","Medium")))</f>
        <v>Easy</v>
      </c>
      <c r="AN190" s="5" t="s">
        <v>97</v>
      </c>
      <c r="AO190" s="7">
        <v>44592</v>
      </c>
      <c r="AP190" s="5" t="s">
        <v>197</v>
      </c>
      <c r="AQ190" s="29" t="s">
        <v>789</v>
      </c>
    </row>
    <row r="191" spans="1:43" ht="42.75" hidden="1">
      <c r="A191" s="28">
        <v>110203</v>
      </c>
      <c r="B191" s="5" t="s">
        <v>800</v>
      </c>
      <c r="C191" s="5" t="s">
        <v>699</v>
      </c>
      <c r="D191" s="5" t="s">
        <v>297</v>
      </c>
      <c r="E191" s="5" t="s">
        <v>68</v>
      </c>
      <c r="F191" s="5" t="s">
        <v>476</v>
      </c>
      <c r="G191" s="5" t="s">
        <v>210</v>
      </c>
      <c r="H191" s="5" t="s">
        <v>105</v>
      </c>
      <c r="I191" s="6">
        <v>261</v>
      </c>
      <c r="J191" s="7">
        <v>44295</v>
      </c>
      <c r="K191" s="8" t="str">
        <f>IF(B191="","",IF(AND(I191="",J191=""),"Unknown",IF(OR(AND(ISNUMBER(I191),I191=0),AND(ISNUMBER(J191),J191&lt;=EDATE('Scoring Settings'!$B$4,-'Scoring Settings'!$B$5))),"Not in use",IF(AND(ISNUMBER(I191),I191&lt;'Scoring Settings'!$B$6),"Low use","Active"))))</f>
        <v>Active</v>
      </c>
      <c r="L191" s="5">
        <v>3</v>
      </c>
      <c r="M191" s="5">
        <v>3</v>
      </c>
      <c r="N191" s="5" t="s">
        <v>306</v>
      </c>
      <c r="O191" s="5" t="s">
        <v>130</v>
      </c>
      <c r="P191" s="5" t="s">
        <v>801</v>
      </c>
      <c r="Q191" s="9">
        <v>3</v>
      </c>
      <c r="R191" s="5" t="s">
        <v>330</v>
      </c>
      <c r="S191" s="5" t="s">
        <v>331</v>
      </c>
      <c r="T191" s="5" t="s">
        <v>195</v>
      </c>
      <c r="U191" s="7">
        <v>45046</v>
      </c>
      <c r="V191" s="5" t="s">
        <v>78</v>
      </c>
      <c r="W191" s="6">
        <v>2480</v>
      </c>
      <c r="X191" s="5" t="s">
        <v>80</v>
      </c>
      <c r="Y191" s="9">
        <v>10</v>
      </c>
      <c r="Z191" s="5" t="s">
        <v>80</v>
      </c>
      <c r="AA191" s="5" t="s">
        <v>81</v>
      </c>
      <c r="AB191" s="9">
        <v>5</v>
      </c>
      <c r="AC191" s="5" t="s">
        <v>82</v>
      </c>
      <c r="AD191" s="5" t="s">
        <v>79</v>
      </c>
      <c r="AE191" s="5" t="s">
        <v>80</v>
      </c>
      <c r="AF191" s="10">
        <v>24500</v>
      </c>
      <c r="AG191" s="7">
        <v>47726</v>
      </c>
      <c r="AH191" s="10">
        <v>60000</v>
      </c>
      <c r="AI191" s="10">
        <v>21000</v>
      </c>
      <c r="AJ191" s="11">
        <f t="shared" si="2"/>
        <v>34.285714285714285</v>
      </c>
      <c r="AK191" s="12">
        <f>IF(B191="","",OR(K191="Not in use",K191="Low use")+AND(N191&lt;&gt;"",N191&lt;&gt;"TBD")+AND(ISNUMBER(U191),U191&lt;=EDATE('Scoring Settings'!$B$4,'Scoring Settings'!$B$8))+AND(ISNUMBER(L191),L191&lt;='Scoring Settings'!$B$7))</f>
        <v>1</v>
      </c>
      <c r="AL191" s="5" t="s">
        <v>2217</v>
      </c>
      <c r="AM191" s="8" t="str">
        <f>IF(B191="","",IF(Z191="N","Easy",IF(OR(AND(ISNUMBER(AB191),AB191&gt;'Scoring Settings'!$B$11),AND(ISNUMBER(W191),W191&gt;'Scoring Settings'!$B$12),AND(ISNUMBER(M191),M191&lt;='Scoring Settings'!$B$13)),"High","Medium")))</f>
        <v>High</v>
      </c>
      <c r="AN191" s="5" t="s">
        <v>97</v>
      </c>
      <c r="AO191" s="7">
        <v>44865</v>
      </c>
      <c r="AP191" s="5" t="s">
        <v>98</v>
      </c>
      <c r="AQ191" s="29" t="s">
        <v>802</v>
      </c>
    </row>
    <row r="192" spans="1:43" hidden="1">
      <c r="A192" s="28">
        <v>91317</v>
      </c>
      <c r="B192" s="5" t="s">
        <v>803</v>
      </c>
      <c r="C192" s="5" t="s">
        <v>333</v>
      </c>
      <c r="D192" s="5" t="s">
        <v>115</v>
      </c>
      <c r="E192" s="5" t="s">
        <v>68</v>
      </c>
      <c r="F192" s="5" t="s">
        <v>116</v>
      </c>
      <c r="G192" s="5" t="s">
        <v>117</v>
      </c>
      <c r="H192" s="5" t="s">
        <v>189</v>
      </c>
      <c r="I192" s="6">
        <v>5</v>
      </c>
      <c r="J192" s="7">
        <v>44243</v>
      </c>
      <c r="K192" s="8" t="str">
        <f>IF(B192="","",IF(AND(I192="",J192=""),"Unknown",IF(OR(AND(ISNUMBER(I192),I192=0),AND(ISNUMBER(J192),J192&lt;=EDATE('Scoring Settings'!$B$4,-'Scoring Settings'!$B$5))),"Not in use",IF(AND(ISNUMBER(I192),I192&lt;'Scoring Settings'!$B$6),"Low use","Active"))))</f>
        <v>Low use</v>
      </c>
      <c r="L192" s="5">
        <v>2</v>
      </c>
      <c r="M192" s="5">
        <v>4</v>
      </c>
      <c r="N192" s="5" t="s">
        <v>755</v>
      </c>
      <c r="O192" s="5" t="s">
        <v>130</v>
      </c>
      <c r="P192" s="5" t="s">
        <v>804</v>
      </c>
      <c r="Q192" s="9">
        <v>1</v>
      </c>
      <c r="R192" s="5" t="s">
        <v>166</v>
      </c>
      <c r="S192" s="5" t="s">
        <v>308</v>
      </c>
      <c r="T192" s="5" t="s">
        <v>168</v>
      </c>
      <c r="U192" s="7">
        <v>45209</v>
      </c>
      <c r="V192" s="5" t="s">
        <v>95</v>
      </c>
      <c r="W192" s="6">
        <v>260</v>
      </c>
      <c r="X192" s="5" t="s">
        <v>80</v>
      </c>
      <c r="Y192" s="9">
        <v>7</v>
      </c>
      <c r="Z192" s="5" t="s">
        <v>79</v>
      </c>
      <c r="AA192" s="5" t="s">
        <v>110</v>
      </c>
      <c r="AB192" s="9">
        <v>0</v>
      </c>
      <c r="AC192" s="5" t="s">
        <v>82</v>
      </c>
      <c r="AD192" s="5" t="s">
        <v>82</v>
      </c>
      <c r="AE192" s="5" t="s">
        <v>82</v>
      </c>
      <c r="AF192" s="10">
        <v>19000</v>
      </c>
      <c r="AG192" s="7">
        <v>45747</v>
      </c>
      <c r="AH192" s="10">
        <v>19000</v>
      </c>
      <c r="AI192" s="10">
        <v>16000</v>
      </c>
      <c r="AJ192" s="11">
        <f t="shared" si="2"/>
        <v>14.25</v>
      </c>
      <c r="AK192" s="12">
        <f>IF(B192="","",OR(K192="Not in use",K192="Low use")+AND(N192&lt;&gt;"",N192&lt;&gt;"TBD")+AND(ISNUMBER(U192),U192&lt;=EDATE('Scoring Settings'!$B$4,'Scoring Settings'!$B$8))+AND(ISNUMBER(L192),L192&lt;='Scoring Settings'!$B$7))</f>
        <v>3</v>
      </c>
      <c r="AL192" s="5" t="s">
        <v>2217</v>
      </c>
      <c r="AM192" s="8" t="str">
        <f>IF(B192="","",IF(Z192="N","Easy",IF(OR(AND(ISNUMBER(AB192),AB192&gt;'Scoring Settings'!$B$11),AND(ISNUMBER(W192),W192&gt;'Scoring Settings'!$B$12),AND(ISNUMBER(M192),M192&lt;='Scoring Settings'!$B$13)),"High","Medium")))</f>
        <v>Easy</v>
      </c>
      <c r="AN192" s="5" t="s">
        <v>97</v>
      </c>
      <c r="AO192" s="7">
        <v>44681</v>
      </c>
      <c r="AP192" s="5" t="s">
        <v>98</v>
      </c>
      <c r="AQ192" s="29" t="s">
        <v>170</v>
      </c>
    </row>
    <row r="193" spans="1:43" hidden="1">
      <c r="A193" s="28">
        <v>152484</v>
      </c>
      <c r="B193" s="5" t="s">
        <v>824</v>
      </c>
      <c r="C193" s="5" t="s">
        <v>453</v>
      </c>
      <c r="D193" s="5" t="s">
        <v>67</v>
      </c>
      <c r="E193" s="5" t="s">
        <v>68</v>
      </c>
      <c r="F193" s="5" t="s">
        <v>263</v>
      </c>
      <c r="G193" s="5" t="s">
        <v>284</v>
      </c>
      <c r="H193" s="5" t="s">
        <v>118</v>
      </c>
      <c r="I193" s="6">
        <v>6</v>
      </c>
      <c r="J193" s="7">
        <v>43744</v>
      </c>
      <c r="K193" s="8" t="str">
        <f>IF(B193="","",IF(AND(I193="",J193=""),"Unknown",IF(OR(AND(ISNUMBER(I193),I193=0),AND(ISNUMBER(J193),J193&lt;=EDATE('Scoring Settings'!$B$4,-'Scoring Settings'!$B$5))),"Not in use",IF(AND(ISNUMBER(I193),I193&lt;'Scoring Settings'!$B$6),"Low use","Active"))))</f>
        <v>Not in use</v>
      </c>
      <c r="L193" s="5">
        <v>2</v>
      </c>
      <c r="M193" s="5">
        <v>4</v>
      </c>
      <c r="N193" s="5" t="s">
        <v>72</v>
      </c>
      <c r="O193" s="5" t="s">
        <v>130</v>
      </c>
      <c r="P193" s="5" t="s">
        <v>825</v>
      </c>
      <c r="Q193" s="9">
        <v>1</v>
      </c>
      <c r="R193" s="5" t="s">
        <v>256</v>
      </c>
      <c r="S193" s="5" t="s">
        <v>257</v>
      </c>
      <c r="T193" s="5" t="s">
        <v>134</v>
      </c>
      <c r="U193" s="7">
        <v>45077</v>
      </c>
      <c r="V193" s="5" t="s">
        <v>78</v>
      </c>
      <c r="W193" s="6">
        <v>270</v>
      </c>
      <c r="X193" s="5" t="s">
        <v>79</v>
      </c>
      <c r="Y193" s="9">
        <v>3</v>
      </c>
      <c r="Z193" s="5" t="s">
        <v>80</v>
      </c>
      <c r="AA193" s="5" t="s">
        <v>185</v>
      </c>
      <c r="AB193" s="9">
        <v>1</v>
      </c>
      <c r="AC193" s="5" t="s">
        <v>82</v>
      </c>
      <c r="AD193" s="5" t="s">
        <v>79</v>
      </c>
      <c r="AE193" s="5" t="s">
        <v>80</v>
      </c>
      <c r="AF193" s="10">
        <v>24500</v>
      </c>
      <c r="AG193" s="7">
        <v>47391</v>
      </c>
      <c r="AH193" s="10">
        <v>36000</v>
      </c>
      <c r="AI193" s="10">
        <v>15000</v>
      </c>
      <c r="AJ193" s="11">
        <f t="shared" si="2"/>
        <v>28.799999999999997</v>
      </c>
      <c r="AK193" s="12">
        <f>IF(B193="","",OR(K193="Not in use",K193="Low use")+AND(N193&lt;&gt;"",N193&lt;&gt;"TBD")+AND(ISNUMBER(U193),U193&lt;=EDATE('Scoring Settings'!$B$4,'Scoring Settings'!$B$8))+AND(ISNUMBER(L193),L193&lt;='Scoring Settings'!$B$7))</f>
        <v>2</v>
      </c>
      <c r="AL193" s="5" t="s">
        <v>96</v>
      </c>
      <c r="AM193" s="8" t="str">
        <f>IF(B193="","",IF(Z193="N","Easy",IF(OR(AND(ISNUMBER(AB193),AB193&gt;'Scoring Settings'!$B$11),AND(ISNUMBER(W193),W193&gt;'Scoring Settings'!$B$12),AND(ISNUMBER(M193),M193&lt;='Scoring Settings'!$B$13)),"High","Medium")))</f>
        <v>Medium</v>
      </c>
      <c r="AN193" s="5" t="s">
        <v>97</v>
      </c>
      <c r="AO193" s="7">
        <v>44712</v>
      </c>
      <c r="AP193" s="5" t="s">
        <v>197</v>
      </c>
      <c r="AQ193" s="29" t="s">
        <v>486</v>
      </c>
    </row>
    <row r="194" spans="1:43" hidden="1">
      <c r="A194" s="28">
        <v>67068</v>
      </c>
      <c r="B194" s="5" t="s">
        <v>834</v>
      </c>
      <c r="C194" s="5" t="s">
        <v>467</v>
      </c>
      <c r="D194" s="5" t="s">
        <v>297</v>
      </c>
      <c r="E194" s="5" t="s">
        <v>68</v>
      </c>
      <c r="F194" s="5" t="s">
        <v>209</v>
      </c>
      <c r="G194" s="5" t="s">
        <v>153</v>
      </c>
      <c r="H194" s="5" t="s">
        <v>189</v>
      </c>
      <c r="I194" s="6">
        <v>14</v>
      </c>
      <c r="J194" s="7">
        <v>44215</v>
      </c>
      <c r="K194" s="8" t="str">
        <f>IF(B194="","",IF(AND(I194="",J194=""),"Unknown",IF(OR(AND(ISNUMBER(I194),I194=0),AND(ISNUMBER(J194),J194&lt;=EDATE('Scoring Settings'!$B$4,-'Scoring Settings'!$B$5))),"Not in use",IF(AND(ISNUMBER(I194),I194&lt;'Scoring Settings'!$B$6),"Low use","Active"))))</f>
        <v>Low use</v>
      </c>
      <c r="L194" s="5">
        <v>1</v>
      </c>
      <c r="M194" s="5">
        <v>4</v>
      </c>
      <c r="N194" s="5"/>
      <c r="O194" s="5" t="s">
        <v>73</v>
      </c>
      <c r="P194" s="5" t="s">
        <v>835</v>
      </c>
      <c r="Q194" s="9">
        <v>2</v>
      </c>
      <c r="R194" s="5" t="s">
        <v>478</v>
      </c>
      <c r="S194" s="5" t="s">
        <v>479</v>
      </c>
      <c r="T194" s="5" t="s">
        <v>122</v>
      </c>
      <c r="U194" s="7">
        <v>43844</v>
      </c>
      <c r="V194" s="5" t="s">
        <v>78</v>
      </c>
      <c r="W194" s="6">
        <v>110</v>
      </c>
      <c r="X194" s="5" t="s">
        <v>80</v>
      </c>
      <c r="Y194" s="9">
        <v>5</v>
      </c>
      <c r="Z194" s="5" t="s">
        <v>79</v>
      </c>
      <c r="AA194" s="5" t="s">
        <v>110</v>
      </c>
      <c r="AB194" s="9">
        <v>0</v>
      </c>
      <c r="AC194" s="5" t="s">
        <v>80</v>
      </c>
      <c r="AD194" s="5" t="s">
        <v>79</v>
      </c>
      <c r="AE194" s="5" t="s">
        <v>80</v>
      </c>
      <c r="AF194" s="10">
        <v>45500</v>
      </c>
      <c r="AG194" s="7">
        <v>46691</v>
      </c>
      <c r="AH194" s="10">
        <v>40500</v>
      </c>
      <c r="AI194" s="10">
        <v>40000</v>
      </c>
      <c r="AJ194" s="11">
        <f t="shared" si="2"/>
        <v>12.149999999999999</v>
      </c>
      <c r="AK194" s="12">
        <f>IF(B194="","",OR(K194="Not in use",K194="Low use")+AND(N194&lt;&gt;"",N194&lt;&gt;"TBD")+AND(ISNUMBER(U194),U194&lt;=EDATE('Scoring Settings'!$B$4,'Scoring Settings'!$B$8))+AND(ISNUMBER(L194),L194&lt;='Scoring Settings'!$B$7))</f>
        <v>3</v>
      </c>
      <c r="AL194" s="5" t="s">
        <v>223</v>
      </c>
      <c r="AM194" s="8" t="str">
        <f>IF(B194="","",IF(Z194="N","Easy",IF(OR(AND(ISNUMBER(AB194),AB194&gt;'Scoring Settings'!$B$11),AND(ISNUMBER(W194),W194&gt;'Scoring Settings'!$B$12),AND(ISNUMBER(M194),M194&lt;='Scoring Settings'!$B$13)),"High","Medium")))</f>
        <v>Easy</v>
      </c>
      <c r="AN194" s="5" t="s">
        <v>97</v>
      </c>
      <c r="AO194" s="7">
        <v>44804</v>
      </c>
      <c r="AP194" s="5" t="s">
        <v>98</v>
      </c>
      <c r="AQ194" s="29" t="s">
        <v>149</v>
      </c>
    </row>
    <row r="195" spans="1:43" hidden="1">
      <c r="A195" s="28">
        <v>165519</v>
      </c>
      <c r="B195" s="5" t="s">
        <v>847</v>
      </c>
      <c r="C195" s="5" t="s">
        <v>187</v>
      </c>
      <c r="D195" s="5" t="s">
        <v>67</v>
      </c>
      <c r="E195" s="5" t="s">
        <v>68</v>
      </c>
      <c r="F195" s="5" t="s">
        <v>263</v>
      </c>
      <c r="G195" s="5" t="s">
        <v>267</v>
      </c>
      <c r="H195" s="5" t="s">
        <v>91</v>
      </c>
      <c r="I195" s="6">
        <v>3</v>
      </c>
      <c r="J195" s="7">
        <v>44307</v>
      </c>
      <c r="K195" s="8" t="str">
        <f>IF(B195="","",IF(AND(I195="",J195=""),"Unknown",IF(OR(AND(ISNUMBER(I195),I195=0),AND(ISNUMBER(J195),J195&lt;=EDATE('Scoring Settings'!$B$4,-'Scoring Settings'!$B$5))),"Not in use",IF(AND(ISNUMBER(I195),I195&lt;'Scoring Settings'!$B$6),"Low use","Active"))))</f>
        <v>Low use</v>
      </c>
      <c r="L195" s="5">
        <v>1</v>
      </c>
      <c r="M195" s="5">
        <v>3</v>
      </c>
      <c r="N195" s="5"/>
      <c r="O195" s="5" t="s">
        <v>73</v>
      </c>
      <c r="P195" s="5" t="s">
        <v>749</v>
      </c>
      <c r="Q195" s="9">
        <v>4</v>
      </c>
      <c r="R195" s="5" t="s">
        <v>245</v>
      </c>
      <c r="S195" s="5" t="s">
        <v>246</v>
      </c>
      <c r="T195" s="5" t="s">
        <v>184</v>
      </c>
      <c r="U195" s="7">
        <v>45777</v>
      </c>
      <c r="V195" s="5" t="s">
        <v>95</v>
      </c>
      <c r="W195" s="6">
        <v>20</v>
      </c>
      <c r="X195" s="5" t="s">
        <v>80</v>
      </c>
      <c r="Y195" s="9">
        <v>7</v>
      </c>
      <c r="Z195" s="5" t="s">
        <v>80</v>
      </c>
      <c r="AA195" s="5" t="s">
        <v>205</v>
      </c>
      <c r="AB195" s="9">
        <v>5</v>
      </c>
      <c r="AC195" s="5" t="s">
        <v>80</v>
      </c>
      <c r="AD195" s="5" t="s">
        <v>79</v>
      </c>
      <c r="AE195" s="5" t="s">
        <v>79</v>
      </c>
      <c r="AF195" s="10">
        <v>39000</v>
      </c>
      <c r="AG195" s="7">
        <v>48638</v>
      </c>
      <c r="AH195" s="10">
        <v>20500</v>
      </c>
      <c r="AI195" s="10">
        <v>26000</v>
      </c>
      <c r="AJ195" s="11">
        <f t="shared" si="2"/>
        <v>9.4615384615384617</v>
      </c>
      <c r="AK195" s="12">
        <f>IF(B195="","",OR(K195="Not in use",K195="Low use")+AND(N195&lt;&gt;"",N195&lt;&gt;"TBD")+AND(ISNUMBER(U195),U195&lt;=EDATE('Scoring Settings'!$B$4,'Scoring Settings'!$B$8))+AND(ISNUMBER(L195),L195&lt;='Scoring Settings'!$B$7))</f>
        <v>2</v>
      </c>
      <c r="AL195" s="5" t="s">
        <v>96</v>
      </c>
      <c r="AM195" s="8" t="str">
        <f>IF(B195="","",IF(Z195="N","Easy",IF(OR(AND(ISNUMBER(AB195),AB195&gt;'Scoring Settings'!$B$11),AND(ISNUMBER(W195),W195&gt;'Scoring Settings'!$B$12),AND(ISNUMBER(M195),M195&lt;='Scoring Settings'!$B$13)),"High","Medium")))</f>
        <v>Medium</v>
      </c>
      <c r="AN195" s="5" t="s">
        <v>97</v>
      </c>
      <c r="AO195" s="7">
        <v>44651</v>
      </c>
      <c r="AP195" s="5" t="s">
        <v>197</v>
      </c>
      <c r="AQ195" s="29" t="s">
        <v>276</v>
      </c>
    </row>
    <row r="196" spans="1:43" ht="42.75" hidden="1">
      <c r="A196" s="28">
        <v>178024</v>
      </c>
      <c r="B196" s="5" t="s">
        <v>859</v>
      </c>
      <c r="C196" s="5" t="s">
        <v>156</v>
      </c>
      <c r="D196" s="5" t="s">
        <v>139</v>
      </c>
      <c r="E196" s="5" t="s">
        <v>68</v>
      </c>
      <c r="F196" s="5" t="s">
        <v>140</v>
      </c>
      <c r="G196" s="5" t="s">
        <v>70</v>
      </c>
      <c r="H196" s="5" t="s">
        <v>71</v>
      </c>
      <c r="I196" s="6">
        <v>0</v>
      </c>
      <c r="J196" s="7">
        <v>44306</v>
      </c>
      <c r="K196" s="8" t="str">
        <f>IF(B196="","",IF(AND(I196="",J196=""),"Unknown",IF(OR(AND(ISNUMBER(I196),I196=0),AND(ISNUMBER(J196),J196&lt;=EDATE('Scoring Settings'!$B$4,-'Scoring Settings'!$B$5))),"Not in use",IF(AND(ISNUMBER(I196),I196&lt;'Scoring Settings'!$B$6),"Low use","Active"))))</f>
        <v>Not in use</v>
      </c>
      <c r="L196" s="5">
        <v>1</v>
      </c>
      <c r="M196" s="5">
        <v>3</v>
      </c>
      <c r="N196" s="5" t="s">
        <v>401</v>
      </c>
      <c r="O196" s="5" t="s">
        <v>130</v>
      </c>
      <c r="P196" s="5" t="s">
        <v>643</v>
      </c>
      <c r="Q196" s="9">
        <v>2</v>
      </c>
      <c r="R196" s="5" t="s">
        <v>182</v>
      </c>
      <c r="S196" s="5" t="s">
        <v>183</v>
      </c>
      <c r="T196" s="5" t="s">
        <v>168</v>
      </c>
      <c r="U196" s="7">
        <v>42855</v>
      </c>
      <c r="V196" s="5" t="s">
        <v>95</v>
      </c>
      <c r="W196" s="6">
        <v>18</v>
      </c>
      <c r="X196" s="5" t="s">
        <v>79</v>
      </c>
      <c r="Y196" s="9">
        <v>5</v>
      </c>
      <c r="Z196" s="5" t="s">
        <v>79</v>
      </c>
      <c r="AA196" s="5" t="s">
        <v>110</v>
      </c>
      <c r="AB196" s="9">
        <v>2</v>
      </c>
      <c r="AC196" s="5" t="s">
        <v>79</v>
      </c>
      <c r="AD196" s="5" t="s">
        <v>82</v>
      </c>
      <c r="AE196" s="5" t="s">
        <v>80</v>
      </c>
      <c r="AF196" s="10">
        <v>28000</v>
      </c>
      <c r="AG196" s="7">
        <v>48457</v>
      </c>
      <c r="AH196" s="10">
        <v>19500</v>
      </c>
      <c r="AI196" s="10">
        <v>23500</v>
      </c>
      <c r="AJ196" s="11">
        <f t="shared" si="2"/>
        <v>9.9574468085106389</v>
      </c>
      <c r="AK196" s="12">
        <f>IF(B196="","",OR(K196="Not in use",K196="Low use")+AND(N196&lt;&gt;"",N196&lt;&gt;"TBD")+AND(ISNUMBER(U196),U196&lt;=EDATE('Scoring Settings'!$B$4,'Scoring Settings'!$B$8))+AND(ISNUMBER(L196),L196&lt;='Scoring Settings'!$B$7))</f>
        <v>4</v>
      </c>
      <c r="AL196" s="5" t="s">
        <v>223</v>
      </c>
      <c r="AM196" s="8" t="str">
        <f>IF(B196="","",IF(Z196="N","Easy",IF(OR(AND(ISNUMBER(AB196),AB196&gt;'Scoring Settings'!$B$11),AND(ISNUMBER(W196),W196&gt;'Scoring Settings'!$B$12),AND(ISNUMBER(M196),M196&lt;='Scoring Settings'!$B$13)),"High","Medium")))</f>
        <v>Easy</v>
      </c>
      <c r="AN196" s="5" t="s">
        <v>97</v>
      </c>
      <c r="AO196" s="7">
        <v>44712</v>
      </c>
      <c r="AP196" s="5" t="s">
        <v>98</v>
      </c>
      <c r="AQ196" s="29" t="s">
        <v>860</v>
      </c>
    </row>
    <row r="197" spans="1:43" hidden="1">
      <c r="A197" s="28">
        <v>166202</v>
      </c>
      <c r="B197" s="5" t="s">
        <v>861</v>
      </c>
      <c r="C197" s="5" t="s">
        <v>265</v>
      </c>
      <c r="D197" s="5" t="s">
        <v>102</v>
      </c>
      <c r="E197" s="5" t="s">
        <v>298</v>
      </c>
      <c r="F197" s="5" t="s">
        <v>249</v>
      </c>
      <c r="G197" s="5" t="s">
        <v>237</v>
      </c>
      <c r="H197" s="5" t="s">
        <v>105</v>
      </c>
      <c r="I197" s="6">
        <v>164</v>
      </c>
      <c r="J197" s="7">
        <v>44289</v>
      </c>
      <c r="K197" s="8" t="str">
        <f>IF(B197="","",IF(AND(I197="",J197=""),"Unknown",IF(OR(AND(ISNUMBER(I197),I197=0),AND(ISNUMBER(J197),J197&lt;=EDATE('Scoring Settings'!$B$4,-'Scoring Settings'!$B$5))),"Not in use",IF(AND(ISNUMBER(I197),I197&lt;'Scoring Settings'!$B$6),"Low use","Active"))))</f>
        <v>Active</v>
      </c>
      <c r="L197" s="5">
        <v>1</v>
      </c>
      <c r="M197" s="5">
        <v>4</v>
      </c>
      <c r="N197" s="5" t="s">
        <v>862</v>
      </c>
      <c r="O197" s="5" t="s">
        <v>191</v>
      </c>
      <c r="P197" s="5" t="s">
        <v>192</v>
      </c>
      <c r="Q197" s="9">
        <v>0</v>
      </c>
      <c r="R197" s="5" t="s">
        <v>193</v>
      </c>
      <c r="S197" s="5" t="s">
        <v>318</v>
      </c>
      <c r="T197" s="5" t="s">
        <v>195</v>
      </c>
      <c r="U197" s="7"/>
      <c r="V197" s="5" t="s">
        <v>95</v>
      </c>
      <c r="W197" s="6">
        <v>31</v>
      </c>
      <c r="X197" s="5" t="s">
        <v>80</v>
      </c>
      <c r="Y197" s="9">
        <v>10</v>
      </c>
      <c r="Z197" s="5" t="s">
        <v>80</v>
      </c>
      <c r="AA197" s="5" t="s">
        <v>185</v>
      </c>
      <c r="AB197" s="9">
        <v>2</v>
      </c>
      <c r="AC197" s="5" t="s">
        <v>79</v>
      </c>
      <c r="AD197" s="5" t="s">
        <v>80</v>
      </c>
      <c r="AE197" s="5" t="s">
        <v>80</v>
      </c>
      <c r="AF197" s="10">
        <v>21500</v>
      </c>
      <c r="AG197" s="7">
        <v>48975</v>
      </c>
      <c r="AH197" s="10">
        <v>12500</v>
      </c>
      <c r="AI197" s="10">
        <v>13500</v>
      </c>
      <c r="AJ197" s="11">
        <f t="shared" ref="AJ197:AJ260" si="3">IF(AND(ISNUMBER(AH197),ISNUMBER(AI197),N(AI197)&gt;0),AH197/AI197*12,"")</f>
        <v>11.111111111111111</v>
      </c>
      <c r="AK197" s="12">
        <f>IF(B197="","",OR(K197="Not in use",K197="Low use")+AND(N197&lt;&gt;"",N197&lt;&gt;"TBD")+AND(ISNUMBER(U197),U197&lt;=EDATE('Scoring Settings'!$B$4,'Scoring Settings'!$B$8))+AND(ISNUMBER(L197),L197&lt;='Scoring Settings'!$B$7))</f>
        <v>2</v>
      </c>
      <c r="AL197" s="5" t="s">
        <v>2217</v>
      </c>
      <c r="AM197" s="8" t="str">
        <f>IF(B197="","",IF(Z197="N","Easy",IF(OR(AND(ISNUMBER(AB197),AB197&gt;'Scoring Settings'!$B$11),AND(ISNUMBER(W197),W197&gt;'Scoring Settings'!$B$12),AND(ISNUMBER(M197),M197&lt;='Scoring Settings'!$B$13)),"High","Medium")))</f>
        <v>Medium</v>
      </c>
      <c r="AN197" s="5" t="s">
        <v>97</v>
      </c>
      <c r="AO197" s="7">
        <v>44651</v>
      </c>
      <c r="AP197" s="5" t="s">
        <v>197</v>
      </c>
      <c r="AQ197" s="29" t="s">
        <v>863</v>
      </c>
    </row>
    <row r="198" spans="1:43" hidden="1">
      <c r="A198" s="28">
        <v>68581</v>
      </c>
      <c r="B198" s="5" t="s">
        <v>879</v>
      </c>
      <c r="C198" s="5" t="s">
        <v>333</v>
      </c>
      <c r="D198" s="5" t="s">
        <v>115</v>
      </c>
      <c r="E198" s="5" t="s">
        <v>68</v>
      </c>
      <c r="F198" s="5" t="s">
        <v>560</v>
      </c>
      <c r="G198" s="5" t="s">
        <v>267</v>
      </c>
      <c r="H198" s="5" t="s">
        <v>118</v>
      </c>
      <c r="I198" s="6">
        <v>1169</v>
      </c>
      <c r="J198" s="7">
        <v>44309</v>
      </c>
      <c r="K198" s="8" t="str">
        <f>IF(B198="","",IF(AND(I198="",J198=""),"Unknown",IF(OR(AND(ISNUMBER(I198),I198=0),AND(ISNUMBER(J198),J198&lt;=EDATE('Scoring Settings'!$B$4,-'Scoring Settings'!$B$5))),"Not in use",IF(AND(ISNUMBER(I198),I198&lt;'Scoring Settings'!$B$6),"Low use","Active"))))</f>
        <v>Active</v>
      </c>
      <c r="L198" s="5">
        <v>4</v>
      </c>
      <c r="M198" s="5">
        <v>2</v>
      </c>
      <c r="N198" s="5" t="s">
        <v>810</v>
      </c>
      <c r="O198" s="5" t="s">
        <v>73</v>
      </c>
      <c r="P198" s="5" t="s">
        <v>880</v>
      </c>
      <c r="Q198" s="9">
        <v>3</v>
      </c>
      <c r="R198" s="5" t="s">
        <v>239</v>
      </c>
      <c r="S198" s="5" t="s">
        <v>240</v>
      </c>
      <c r="T198" s="5" t="s">
        <v>77</v>
      </c>
      <c r="U198" s="7">
        <v>44316</v>
      </c>
      <c r="V198" s="5" t="s">
        <v>95</v>
      </c>
      <c r="W198" s="6">
        <v>28</v>
      </c>
      <c r="X198" s="5" t="s">
        <v>80</v>
      </c>
      <c r="Y198" s="9">
        <v>10</v>
      </c>
      <c r="Z198" s="5" t="s">
        <v>79</v>
      </c>
      <c r="AA198" s="5" t="s">
        <v>110</v>
      </c>
      <c r="AB198" s="9">
        <v>6</v>
      </c>
      <c r="AC198" s="5" t="s">
        <v>80</v>
      </c>
      <c r="AD198" s="5" t="s">
        <v>80</v>
      </c>
      <c r="AE198" s="5" t="s">
        <v>82</v>
      </c>
      <c r="AF198" s="10">
        <v>46000</v>
      </c>
      <c r="AG198" s="7">
        <v>45838</v>
      </c>
      <c r="AH198" s="10">
        <v>61000</v>
      </c>
      <c r="AI198" s="10">
        <v>36000</v>
      </c>
      <c r="AJ198" s="11">
        <f t="shared" si="3"/>
        <v>20.333333333333332</v>
      </c>
      <c r="AK198" s="12">
        <f>IF(B198="","",OR(K198="Not in use",K198="Low use")+AND(N198&lt;&gt;"",N198&lt;&gt;"TBD")+AND(ISNUMBER(U198),U198&lt;=EDATE('Scoring Settings'!$B$4,'Scoring Settings'!$B$8))+AND(ISNUMBER(L198),L198&lt;='Scoring Settings'!$B$7))</f>
        <v>2</v>
      </c>
      <c r="AL198" s="5" t="s">
        <v>2217</v>
      </c>
      <c r="AM198" s="8" t="str">
        <f>IF(B198="","",IF(Z198="N","Easy",IF(OR(AND(ISNUMBER(AB198),AB198&gt;'Scoring Settings'!$B$11),AND(ISNUMBER(W198),W198&gt;'Scoring Settings'!$B$12),AND(ISNUMBER(M198),M198&lt;='Scoring Settings'!$B$13)),"High","Medium")))</f>
        <v>Easy</v>
      </c>
      <c r="AN198" s="5" t="s">
        <v>97</v>
      </c>
      <c r="AO198" s="7">
        <v>44773</v>
      </c>
      <c r="AP198" s="5" t="s">
        <v>197</v>
      </c>
      <c r="AQ198" s="29" t="s">
        <v>881</v>
      </c>
    </row>
    <row r="199" spans="1:43" hidden="1">
      <c r="A199" s="28">
        <v>127529</v>
      </c>
      <c r="B199" s="5" t="s">
        <v>886</v>
      </c>
      <c r="C199" s="5" t="s">
        <v>287</v>
      </c>
      <c r="D199" s="5" t="s">
        <v>162</v>
      </c>
      <c r="E199" s="5" t="s">
        <v>68</v>
      </c>
      <c r="F199" s="5" t="s">
        <v>249</v>
      </c>
      <c r="G199" s="5" t="s">
        <v>210</v>
      </c>
      <c r="H199" s="5" t="s">
        <v>129</v>
      </c>
      <c r="I199" s="6">
        <v>5</v>
      </c>
      <c r="J199" s="7">
        <v>44235</v>
      </c>
      <c r="K199" s="8" t="str">
        <f>IF(B199="","",IF(AND(I199="",J199=""),"Unknown",IF(OR(AND(ISNUMBER(I199),I199=0),AND(ISNUMBER(J199),J199&lt;=EDATE('Scoring Settings'!$B$4,-'Scoring Settings'!$B$5))),"Not in use",IF(AND(ISNUMBER(I199),I199&lt;'Scoring Settings'!$B$6),"Low use","Active"))))</f>
        <v>Low use</v>
      </c>
      <c r="L199" s="5">
        <v>2</v>
      </c>
      <c r="M199" s="5">
        <v>3</v>
      </c>
      <c r="N199" s="5" t="s">
        <v>164</v>
      </c>
      <c r="O199" s="5" t="s">
        <v>73</v>
      </c>
      <c r="P199" s="5" t="s">
        <v>887</v>
      </c>
      <c r="Q199" s="9">
        <v>3</v>
      </c>
      <c r="R199" s="5" t="s">
        <v>72</v>
      </c>
      <c r="S199" s="5" t="s">
        <v>133</v>
      </c>
      <c r="T199" s="5" t="s">
        <v>122</v>
      </c>
      <c r="U199" s="7">
        <v>44165</v>
      </c>
      <c r="V199" s="5" t="s">
        <v>135</v>
      </c>
      <c r="W199" s="6">
        <v>6</v>
      </c>
      <c r="X199" s="5" t="s">
        <v>80</v>
      </c>
      <c r="Y199" s="9">
        <v>5</v>
      </c>
      <c r="Z199" s="5" t="s">
        <v>79</v>
      </c>
      <c r="AA199" s="5" t="s">
        <v>110</v>
      </c>
      <c r="AB199" s="9">
        <v>7</v>
      </c>
      <c r="AC199" s="5" t="s">
        <v>82</v>
      </c>
      <c r="AD199" s="5" t="s">
        <v>79</v>
      </c>
      <c r="AE199" s="5" t="s">
        <v>82</v>
      </c>
      <c r="AF199" s="10">
        <v>19500</v>
      </c>
      <c r="AG199" s="7">
        <v>46843</v>
      </c>
      <c r="AH199" s="10">
        <v>13000</v>
      </c>
      <c r="AI199" s="10">
        <v>19500</v>
      </c>
      <c r="AJ199" s="11">
        <f t="shared" si="3"/>
        <v>8</v>
      </c>
      <c r="AK199" s="12">
        <f>IF(B199="","",OR(K199="Not in use",K199="Low use")+AND(N199&lt;&gt;"",N199&lt;&gt;"TBD")+AND(ISNUMBER(U199),U199&lt;=EDATE('Scoring Settings'!$B$4,'Scoring Settings'!$B$8))+AND(ISNUMBER(L199),L199&lt;='Scoring Settings'!$B$7))</f>
        <v>4</v>
      </c>
      <c r="AL199" s="5" t="s">
        <v>223</v>
      </c>
      <c r="AM199" s="8" t="str">
        <f>IF(B199="","",IF(Z199="N","Easy",IF(OR(AND(ISNUMBER(AB199),AB199&gt;'Scoring Settings'!$B$11),AND(ISNUMBER(W199),W199&gt;'Scoring Settings'!$B$12),AND(ISNUMBER(M199),M199&lt;='Scoring Settings'!$B$13)),"High","Medium")))</f>
        <v>Easy</v>
      </c>
      <c r="AN199" s="5" t="s">
        <v>97</v>
      </c>
      <c r="AO199" s="7">
        <v>44865</v>
      </c>
      <c r="AP199" s="5" t="s">
        <v>197</v>
      </c>
      <c r="AQ199" s="29" t="s">
        <v>499</v>
      </c>
    </row>
    <row r="200" spans="1:43" ht="42.75" hidden="1">
      <c r="A200" s="28">
        <v>53607</v>
      </c>
      <c r="B200" s="5" t="s">
        <v>888</v>
      </c>
      <c r="C200" s="5" t="s">
        <v>151</v>
      </c>
      <c r="D200" s="5" t="s">
        <v>102</v>
      </c>
      <c r="E200" s="5" t="s">
        <v>68</v>
      </c>
      <c r="F200" s="5" t="s">
        <v>201</v>
      </c>
      <c r="G200" s="5" t="s">
        <v>104</v>
      </c>
      <c r="H200" s="5" t="s">
        <v>174</v>
      </c>
      <c r="I200" s="6">
        <v>5</v>
      </c>
      <c r="J200" s="7">
        <v>44254</v>
      </c>
      <c r="K200" s="8" t="str">
        <f>IF(B200="","",IF(AND(I200="",J200=""),"Unknown",IF(OR(AND(ISNUMBER(I200),I200=0),AND(ISNUMBER(J200),J200&lt;=EDATE('Scoring Settings'!$B$4,-'Scoring Settings'!$B$5))),"Not in use",IF(AND(ISNUMBER(I200),I200&lt;'Scoring Settings'!$B$6),"Low use","Active"))))</f>
        <v>Low use</v>
      </c>
      <c r="L200" s="5">
        <v>3</v>
      </c>
      <c r="M200" s="5">
        <v>3</v>
      </c>
      <c r="N200" s="5"/>
      <c r="O200" s="5" t="s">
        <v>73</v>
      </c>
      <c r="P200" s="5" t="s">
        <v>889</v>
      </c>
      <c r="Q200" s="9">
        <v>2</v>
      </c>
      <c r="R200" s="5" t="s">
        <v>239</v>
      </c>
      <c r="S200" s="5" t="s">
        <v>240</v>
      </c>
      <c r="T200" s="5" t="s">
        <v>77</v>
      </c>
      <c r="U200" s="7">
        <v>44316</v>
      </c>
      <c r="V200" s="5" t="s">
        <v>135</v>
      </c>
      <c r="W200" s="6">
        <v>200</v>
      </c>
      <c r="X200" s="5" t="s">
        <v>80</v>
      </c>
      <c r="Y200" s="9">
        <v>5</v>
      </c>
      <c r="Z200" s="5" t="s">
        <v>79</v>
      </c>
      <c r="AA200" s="5" t="s">
        <v>110</v>
      </c>
      <c r="AB200" s="9">
        <v>8</v>
      </c>
      <c r="AC200" s="5" t="s">
        <v>79</v>
      </c>
      <c r="AD200" s="5" t="s">
        <v>79</v>
      </c>
      <c r="AE200" s="5" t="s">
        <v>80</v>
      </c>
      <c r="AF200" s="10">
        <v>33000</v>
      </c>
      <c r="AG200" s="7">
        <v>47542</v>
      </c>
      <c r="AH200" s="10">
        <v>21000</v>
      </c>
      <c r="AI200" s="10">
        <v>29500</v>
      </c>
      <c r="AJ200" s="11">
        <f t="shared" si="3"/>
        <v>8.5423728813559325</v>
      </c>
      <c r="AK200" s="12">
        <f>IF(B200="","",OR(K200="Not in use",K200="Low use")+AND(N200&lt;&gt;"",N200&lt;&gt;"TBD")+AND(ISNUMBER(U200),U200&lt;=EDATE('Scoring Settings'!$B$4,'Scoring Settings'!$B$8))+AND(ISNUMBER(L200),L200&lt;='Scoring Settings'!$B$7))</f>
        <v>2</v>
      </c>
      <c r="AL200" s="5" t="s">
        <v>223</v>
      </c>
      <c r="AM200" s="8" t="str">
        <f>IF(B200="","",IF(Z200="N","Easy",IF(OR(AND(ISNUMBER(AB200),AB200&gt;'Scoring Settings'!$B$11),AND(ISNUMBER(W200),W200&gt;'Scoring Settings'!$B$12),AND(ISNUMBER(M200),M200&lt;='Scoring Settings'!$B$13)),"High","Medium")))</f>
        <v>Easy</v>
      </c>
      <c r="AN200" s="5" t="s">
        <v>97</v>
      </c>
      <c r="AO200" s="7">
        <v>44865</v>
      </c>
      <c r="AP200" s="5" t="s">
        <v>98</v>
      </c>
      <c r="AQ200" s="29" t="s">
        <v>860</v>
      </c>
    </row>
    <row r="201" spans="1:43" hidden="1">
      <c r="A201" s="28">
        <v>45016</v>
      </c>
      <c r="B201" s="5" t="s">
        <v>907</v>
      </c>
      <c r="C201" s="5" t="s">
        <v>138</v>
      </c>
      <c r="D201" s="5" t="s">
        <v>139</v>
      </c>
      <c r="E201" s="5" t="s">
        <v>298</v>
      </c>
      <c r="F201" s="5" t="s">
        <v>89</v>
      </c>
      <c r="G201" s="5" t="s">
        <v>284</v>
      </c>
      <c r="H201" s="5" t="s">
        <v>142</v>
      </c>
      <c r="I201" s="6">
        <v>0</v>
      </c>
      <c r="J201" s="7">
        <v>43713</v>
      </c>
      <c r="K201" s="8" t="str">
        <f>IF(B201="","",IF(AND(I201="",J201=""),"Unknown",IF(OR(AND(ISNUMBER(I201),I201=0),AND(ISNUMBER(J201),J201&lt;=EDATE('Scoring Settings'!$B$4,-'Scoring Settings'!$B$5))),"Not in use",IF(AND(ISNUMBER(I201),I201&lt;'Scoring Settings'!$B$6),"Low use","Active"))))</f>
        <v>Not in use</v>
      </c>
      <c r="L201" s="5">
        <v>1</v>
      </c>
      <c r="M201" s="5">
        <v>4</v>
      </c>
      <c r="N201" s="5"/>
      <c r="O201" s="5" t="s">
        <v>143</v>
      </c>
      <c r="P201" s="5" t="s">
        <v>144</v>
      </c>
      <c r="Q201" s="9">
        <v>0</v>
      </c>
      <c r="R201" s="5" t="s">
        <v>145</v>
      </c>
      <c r="S201" s="5" t="s">
        <v>145</v>
      </c>
      <c r="T201" s="5" t="s">
        <v>146</v>
      </c>
      <c r="U201" s="7">
        <v>45961</v>
      </c>
      <c r="V201" s="5" t="s">
        <v>135</v>
      </c>
      <c r="W201" s="6">
        <v>18</v>
      </c>
      <c r="X201" s="5" t="s">
        <v>79</v>
      </c>
      <c r="Y201" s="9">
        <v>2</v>
      </c>
      <c r="Z201" s="5" t="s">
        <v>79</v>
      </c>
      <c r="AA201" s="5" t="s">
        <v>110</v>
      </c>
      <c r="AB201" s="9">
        <v>1</v>
      </c>
      <c r="AC201" s="5" t="s">
        <v>80</v>
      </c>
      <c r="AD201" s="5" t="s">
        <v>82</v>
      </c>
      <c r="AE201" s="5" t="s">
        <v>82</v>
      </c>
      <c r="AF201" s="10">
        <v>5500</v>
      </c>
      <c r="AG201" s="7">
        <v>48060</v>
      </c>
      <c r="AH201" s="10">
        <v>3500</v>
      </c>
      <c r="AI201" s="10">
        <v>3500</v>
      </c>
      <c r="AJ201" s="11">
        <f t="shared" si="3"/>
        <v>12</v>
      </c>
      <c r="AK201" s="12">
        <f>IF(B201="","",OR(K201="Not in use",K201="Low use")+AND(N201&lt;&gt;"",N201&lt;&gt;"TBD")+AND(ISNUMBER(U201),U201&lt;=EDATE('Scoring Settings'!$B$4,'Scoring Settings'!$B$8))+AND(ISNUMBER(L201),L201&lt;='Scoring Settings'!$B$7))</f>
        <v>2</v>
      </c>
      <c r="AL201" s="5" t="s">
        <v>223</v>
      </c>
      <c r="AM201" s="8" t="str">
        <f>IF(B201="","",IF(Z201="N","Easy",IF(OR(AND(ISNUMBER(AB201),AB201&gt;'Scoring Settings'!$B$11),AND(ISNUMBER(W201),W201&gt;'Scoring Settings'!$B$12),AND(ISNUMBER(M201),M201&lt;='Scoring Settings'!$B$13)),"High","Medium")))</f>
        <v>Easy</v>
      </c>
      <c r="AN201" s="5" t="s">
        <v>97</v>
      </c>
      <c r="AO201" s="7">
        <v>44895</v>
      </c>
      <c r="AP201" s="5" t="s">
        <v>98</v>
      </c>
      <c r="AQ201" s="29" t="s">
        <v>149</v>
      </c>
    </row>
    <row r="202" spans="1:43" ht="42.75" hidden="1">
      <c r="A202" s="28">
        <v>21544</v>
      </c>
      <c r="B202" s="5" t="s">
        <v>908</v>
      </c>
      <c r="C202" s="5" t="s">
        <v>187</v>
      </c>
      <c r="D202" s="5" t="s">
        <v>67</v>
      </c>
      <c r="E202" s="5" t="s">
        <v>68</v>
      </c>
      <c r="F202" s="5" t="s">
        <v>243</v>
      </c>
      <c r="G202" s="5" t="s">
        <v>179</v>
      </c>
      <c r="H202" s="5" t="s">
        <v>91</v>
      </c>
      <c r="I202" s="6">
        <v>649</v>
      </c>
      <c r="J202" s="7">
        <v>44300</v>
      </c>
      <c r="K202" s="8" t="str">
        <f>IF(B202="","",IF(AND(I202="",J202=""),"Unknown",IF(OR(AND(ISNUMBER(I202),I202=0),AND(ISNUMBER(J202),J202&lt;=EDATE('Scoring Settings'!$B$4,-'Scoring Settings'!$B$5))),"Not in use",IF(AND(ISNUMBER(I202),I202&lt;'Scoring Settings'!$B$6),"Low use","Active"))))</f>
        <v>Active</v>
      </c>
      <c r="L202" s="5">
        <v>2</v>
      </c>
      <c r="M202" s="5">
        <v>3</v>
      </c>
      <c r="N202" s="5"/>
      <c r="O202" s="5" t="s">
        <v>73</v>
      </c>
      <c r="P202" s="5" t="s">
        <v>909</v>
      </c>
      <c r="Q202" s="9">
        <v>1</v>
      </c>
      <c r="R202" s="5" t="s">
        <v>358</v>
      </c>
      <c r="S202" s="5" t="s">
        <v>133</v>
      </c>
      <c r="T202" s="5" t="s">
        <v>72</v>
      </c>
      <c r="U202" s="7">
        <v>43555</v>
      </c>
      <c r="V202" s="5" t="s">
        <v>78</v>
      </c>
      <c r="W202" s="6">
        <v>20</v>
      </c>
      <c r="X202" s="5" t="s">
        <v>80</v>
      </c>
      <c r="Y202" s="9">
        <v>10</v>
      </c>
      <c r="Z202" s="5" t="s">
        <v>80</v>
      </c>
      <c r="AA202" s="5" t="s">
        <v>205</v>
      </c>
      <c r="AB202" s="9">
        <v>5</v>
      </c>
      <c r="AC202" s="5" t="s">
        <v>79</v>
      </c>
      <c r="AD202" s="5" t="s">
        <v>82</v>
      </c>
      <c r="AE202" s="5" t="s">
        <v>79</v>
      </c>
      <c r="AF202" s="10">
        <v>25000</v>
      </c>
      <c r="AG202" s="7">
        <v>49429</v>
      </c>
      <c r="AH202" s="10">
        <v>17000</v>
      </c>
      <c r="AI202" s="10">
        <v>18000</v>
      </c>
      <c r="AJ202" s="11">
        <f t="shared" si="3"/>
        <v>11.333333333333332</v>
      </c>
      <c r="AK202" s="12">
        <f>IF(B202="","",OR(K202="Not in use",K202="Low use")+AND(N202&lt;&gt;"",N202&lt;&gt;"TBD")+AND(ISNUMBER(U202),U202&lt;=EDATE('Scoring Settings'!$B$4,'Scoring Settings'!$B$8))+AND(ISNUMBER(L202),L202&lt;='Scoring Settings'!$B$7))</f>
        <v>2</v>
      </c>
      <c r="AL202" s="5" t="s">
        <v>96</v>
      </c>
      <c r="AM202" s="8" t="str">
        <f>IF(B202="","",IF(Z202="N","Easy",IF(OR(AND(ISNUMBER(AB202),AB202&gt;'Scoring Settings'!$B$11),AND(ISNUMBER(W202),W202&gt;'Scoring Settings'!$B$12),AND(ISNUMBER(M202),M202&lt;='Scoring Settings'!$B$13)),"High","Medium")))</f>
        <v>Medium</v>
      </c>
      <c r="AN202" s="5" t="s">
        <v>97</v>
      </c>
      <c r="AO202" s="7">
        <v>44377</v>
      </c>
      <c r="AP202" s="5" t="s">
        <v>197</v>
      </c>
      <c r="AQ202" s="29" t="s">
        <v>910</v>
      </c>
    </row>
    <row r="203" spans="1:43" hidden="1">
      <c r="A203" s="28">
        <v>51992</v>
      </c>
      <c r="B203" s="5" t="s">
        <v>918</v>
      </c>
      <c r="C203" s="5" t="s">
        <v>467</v>
      </c>
      <c r="D203" s="5" t="s">
        <v>297</v>
      </c>
      <c r="E203" s="5" t="s">
        <v>68</v>
      </c>
      <c r="F203" s="5" t="s">
        <v>127</v>
      </c>
      <c r="G203" s="5" t="s">
        <v>278</v>
      </c>
      <c r="H203" s="5" t="s">
        <v>142</v>
      </c>
      <c r="I203" s="6">
        <v>13</v>
      </c>
      <c r="J203" s="7">
        <v>44307</v>
      </c>
      <c r="K203" s="8" t="str">
        <f>IF(B203="","",IF(AND(I203="",J203=""),"Unknown",IF(OR(AND(ISNUMBER(I203),I203=0),AND(ISNUMBER(J203),J203&lt;=EDATE('Scoring Settings'!$B$4,-'Scoring Settings'!$B$5))),"Not in use",IF(AND(ISNUMBER(I203),I203&lt;'Scoring Settings'!$B$6),"Low use","Active"))))</f>
        <v>Low use</v>
      </c>
      <c r="L203" s="5">
        <v>3</v>
      </c>
      <c r="M203" s="5">
        <v>3</v>
      </c>
      <c r="N203" s="5"/>
      <c r="O203" s="5" t="s">
        <v>143</v>
      </c>
      <c r="P203" s="5" t="s">
        <v>144</v>
      </c>
      <c r="Q203" s="9">
        <v>0</v>
      </c>
      <c r="R203" s="5" t="s">
        <v>145</v>
      </c>
      <c r="S203" s="5" t="s">
        <v>145</v>
      </c>
      <c r="T203" s="5" t="s">
        <v>146</v>
      </c>
      <c r="U203" s="7"/>
      <c r="V203" s="5" t="s">
        <v>135</v>
      </c>
      <c r="W203" s="6">
        <v>270</v>
      </c>
      <c r="X203" s="5" t="s">
        <v>80</v>
      </c>
      <c r="Y203" s="9">
        <v>10</v>
      </c>
      <c r="Z203" s="5" t="s">
        <v>80</v>
      </c>
      <c r="AA203" s="5" t="s">
        <v>205</v>
      </c>
      <c r="AB203" s="9">
        <v>6</v>
      </c>
      <c r="AC203" s="5" t="s">
        <v>80</v>
      </c>
      <c r="AD203" s="5" t="s">
        <v>79</v>
      </c>
      <c r="AE203" s="5" t="s">
        <v>82</v>
      </c>
      <c r="AF203" s="10">
        <v>65000</v>
      </c>
      <c r="AG203" s="7">
        <v>47817</v>
      </c>
      <c r="AH203" s="10">
        <v>69000</v>
      </c>
      <c r="AI203" s="10">
        <v>26000</v>
      </c>
      <c r="AJ203" s="11">
        <f t="shared" si="3"/>
        <v>31.846153846153847</v>
      </c>
      <c r="AK203" s="12">
        <f>IF(B203="","",OR(K203="Not in use",K203="Low use")+AND(N203&lt;&gt;"",N203&lt;&gt;"TBD")+AND(ISNUMBER(U203),U203&lt;=EDATE('Scoring Settings'!$B$4,'Scoring Settings'!$B$8))+AND(ISNUMBER(L203),L203&lt;='Scoring Settings'!$B$7))</f>
        <v>1</v>
      </c>
      <c r="AL203" s="5" t="s">
        <v>96</v>
      </c>
      <c r="AM203" s="8" t="str">
        <f>IF(B203="","",IF(Z203="N","Easy",IF(OR(AND(ISNUMBER(AB203),AB203&gt;'Scoring Settings'!$B$11),AND(ISNUMBER(W203),W203&gt;'Scoring Settings'!$B$12),AND(ISNUMBER(M203),M203&lt;='Scoring Settings'!$B$13)),"High","Medium")))</f>
        <v>High</v>
      </c>
      <c r="AN203" s="5" t="s">
        <v>97</v>
      </c>
      <c r="AO203" s="7">
        <v>44834</v>
      </c>
      <c r="AP203" s="5" t="s">
        <v>98</v>
      </c>
      <c r="AQ203" s="29" t="s">
        <v>170</v>
      </c>
    </row>
    <row r="204" spans="1:43" hidden="1">
      <c r="A204" s="28">
        <v>175565</v>
      </c>
      <c r="B204" s="5" t="s">
        <v>924</v>
      </c>
      <c r="C204" s="5" t="s">
        <v>101</v>
      </c>
      <c r="D204" s="5" t="s">
        <v>102</v>
      </c>
      <c r="E204" s="5" t="s">
        <v>68</v>
      </c>
      <c r="F204" s="5" t="s">
        <v>299</v>
      </c>
      <c r="G204" s="5" t="s">
        <v>271</v>
      </c>
      <c r="H204" s="5" t="s">
        <v>91</v>
      </c>
      <c r="I204" s="6">
        <v>14</v>
      </c>
      <c r="J204" s="7">
        <v>44251</v>
      </c>
      <c r="K204" s="8" t="str">
        <f>IF(B204="","",IF(AND(I204="",J204=""),"Unknown",IF(OR(AND(ISNUMBER(I204),I204=0),AND(ISNUMBER(J204),J204&lt;=EDATE('Scoring Settings'!$B$4,-'Scoring Settings'!$B$5))),"Not in use",IF(AND(ISNUMBER(I204),I204&lt;'Scoring Settings'!$B$6),"Low use","Active"))))</f>
        <v>Low use</v>
      </c>
      <c r="L204" s="5">
        <v>3</v>
      </c>
      <c r="M204" s="5">
        <v>2</v>
      </c>
      <c r="N204" s="5"/>
      <c r="O204" s="5" t="s">
        <v>73</v>
      </c>
      <c r="P204" s="5" t="s">
        <v>255</v>
      </c>
      <c r="Q204" s="9">
        <v>4</v>
      </c>
      <c r="R204" s="5" t="s">
        <v>251</v>
      </c>
      <c r="S204" s="5" t="s">
        <v>133</v>
      </c>
      <c r="T204" s="5" t="s">
        <v>122</v>
      </c>
      <c r="U204" s="7">
        <v>44165</v>
      </c>
      <c r="V204" s="5" t="s">
        <v>78</v>
      </c>
      <c r="W204" s="6">
        <v>330</v>
      </c>
      <c r="X204" s="5" t="s">
        <v>80</v>
      </c>
      <c r="Y204" s="9">
        <v>7</v>
      </c>
      <c r="Z204" s="5" t="s">
        <v>80</v>
      </c>
      <c r="AA204" s="5" t="s">
        <v>205</v>
      </c>
      <c r="AB204" s="9">
        <v>6</v>
      </c>
      <c r="AC204" s="5" t="s">
        <v>80</v>
      </c>
      <c r="AD204" s="5" t="s">
        <v>79</v>
      </c>
      <c r="AE204" s="5" t="s">
        <v>82</v>
      </c>
      <c r="AF204" s="10">
        <v>85000</v>
      </c>
      <c r="AG204" s="7">
        <v>47726</v>
      </c>
      <c r="AH204" s="10">
        <v>100500</v>
      </c>
      <c r="AI204" s="10">
        <v>67500</v>
      </c>
      <c r="AJ204" s="11">
        <f t="shared" si="3"/>
        <v>17.866666666666667</v>
      </c>
      <c r="AK204" s="12">
        <f>IF(B204="","",OR(K204="Not in use",K204="Low use")+AND(N204&lt;&gt;"",N204&lt;&gt;"TBD")+AND(ISNUMBER(U204),U204&lt;=EDATE('Scoring Settings'!$B$4,'Scoring Settings'!$B$8))+AND(ISNUMBER(L204),L204&lt;='Scoring Settings'!$B$7))</f>
        <v>2</v>
      </c>
      <c r="AL204" s="5" t="s">
        <v>96</v>
      </c>
      <c r="AM204" s="8" t="str">
        <f>IF(B204="","",IF(Z204="N","Easy",IF(OR(AND(ISNUMBER(AB204),AB204&gt;'Scoring Settings'!$B$11),AND(ISNUMBER(W204),W204&gt;'Scoring Settings'!$B$12),AND(ISNUMBER(M204),M204&lt;='Scoring Settings'!$B$13)),"High","Medium")))</f>
        <v>High</v>
      </c>
      <c r="AN204" s="5" t="s">
        <v>97</v>
      </c>
      <c r="AO204" s="7">
        <v>44895</v>
      </c>
      <c r="AP204" s="5" t="s">
        <v>98</v>
      </c>
      <c r="AQ204" s="29" t="s">
        <v>136</v>
      </c>
    </row>
    <row r="205" spans="1:43" hidden="1">
      <c r="A205" s="28">
        <v>86776</v>
      </c>
      <c r="B205" s="5" t="s">
        <v>932</v>
      </c>
      <c r="C205" s="5" t="s">
        <v>423</v>
      </c>
      <c r="D205" s="5" t="s">
        <v>67</v>
      </c>
      <c r="E205" s="5" t="s">
        <v>68</v>
      </c>
      <c r="F205" s="5" t="s">
        <v>69</v>
      </c>
      <c r="G205" s="5" t="s">
        <v>128</v>
      </c>
      <c r="H205" s="5" t="s">
        <v>129</v>
      </c>
      <c r="I205" s="6">
        <v>22</v>
      </c>
      <c r="J205" s="7">
        <v>44179</v>
      </c>
      <c r="K205" s="8" t="str">
        <f>IF(B205="","",IF(AND(I205="",J205=""),"Unknown",IF(OR(AND(ISNUMBER(I205),I205=0),AND(ISNUMBER(J205),J205&lt;=EDATE('Scoring Settings'!$B$4,-'Scoring Settings'!$B$5))),"Not in use",IF(AND(ISNUMBER(I205),I205&lt;'Scoring Settings'!$B$6),"Low use","Active"))))</f>
        <v>Low use</v>
      </c>
      <c r="L205" s="5">
        <v>3</v>
      </c>
      <c r="M205" s="5">
        <v>3</v>
      </c>
      <c r="N205" s="5" t="s">
        <v>72</v>
      </c>
      <c r="O205" s="5" t="s">
        <v>130</v>
      </c>
      <c r="P205" s="5" t="s">
        <v>737</v>
      </c>
      <c r="Q205" s="9">
        <v>3</v>
      </c>
      <c r="R205" s="5" t="s">
        <v>93</v>
      </c>
      <c r="S205" s="5" t="s">
        <v>94</v>
      </c>
      <c r="T205" s="5" t="s">
        <v>134</v>
      </c>
      <c r="U205" s="7">
        <v>44561</v>
      </c>
      <c r="V205" s="5" t="s">
        <v>135</v>
      </c>
      <c r="W205" s="6">
        <v>140</v>
      </c>
      <c r="X205" s="5" t="s">
        <v>79</v>
      </c>
      <c r="Y205" s="9">
        <v>3</v>
      </c>
      <c r="Z205" s="5" t="s">
        <v>80</v>
      </c>
      <c r="AA205" s="5" t="s">
        <v>185</v>
      </c>
      <c r="AB205" s="9">
        <v>7</v>
      </c>
      <c r="AC205" s="5" t="s">
        <v>79</v>
      </c>
      <c r="AD205" s="5" t="s">
        <v>79</v>
      </c>
      <c r="AE205" s="5" t="s">
        <v>82</v>
      </c>
      <c r="AF205" s="10">
        <v>29000</v>
      </c>
      <c r="AG205" s="7">
        <v>46630</v>
      </c>
      <c r="AH205" s="10">
        <v>18500</v>
      </c>
      <c r="AI205" s="10">
        <v>17500</v>
      </c>
      <c r="AJ205" s="11">
        <f t="shared" si="3"/>
        <v>12.685714285714287</v>
      </c>
      <c r="AK205" s="12">
        <f>IF(B205="","",OR(K205="Not in use",K205="Low use")+AND(N205&lt;&gt;"",N205&lt;&gt;"TBD")+AND(ISNUMBER(U205),U205&lt;=EDATE('Scoring Settings'!$B$4,'Scoring Settings'!$B$8))+AND(ISNUMBER(L205),L205&lt;='Scoring Settings'!$B$7))</f>
        <v>2</v>
      </c>
      <c r="AL205" s="5" t="s">
        <v>96</v>
      </c>
      <c r="AM205" s="8" t="str">
        <f>IF(B205="","",IF(Z205="N","Easy",IF(OR(AND(ISNUMBER(AB205),AB205&gt;'Scoring Settings'!$B$11),AND(ISNUMBER(W205),W205&gt;'Scoring Settings'!$B$12),AND(ISNUMBER(M205),M205&lt;='Scoring Settings'!$B$13)),"High","Medium")))</f>
        <v>High</v>
      </c>
      <c r="AN205" s="5" t="s">
        <v>97</v>
      </c>
      <c r="AO205" s="7">
        <v>44620</v>
      </c>
      <c r="AP205" s="5" t="s">
        <v>98</v>
      </c>
      <c r="AQ205" s="29" t="s">
        <v>213</v>
      </c>
    </row>
    <row r="206" spans="1:43" hidden="1">
      <c r="A206" s="28">
        <v>88879</v>
      </c>
      <c r="B206" s="5" t="s">
        <v>933</v>
      </c>
      <c r="C206" s="5" t="s">
        <v>557</v>
      </c>
      <c r="D206" s="5" t="s">
        <v>297</v>
      </c>
      <c r="E206" s="5" t="s">
        <v>298</v>
      </c>
      <c r="F206" s="5" t="s">
        <v>201</v>
      </c>
      <c r="G206" s="5" t="s">
        <v>179</v>
      </c>
      <c r="H206" s="5" t="s">
        <v>142</v>
      </c>
      <c r="I206" s="6">
        <v>117</v>
      </c>
      <c r="J206" s="7">
        <v>44302</v>
      </c>
      <c r="K206" s="8" t="str">
        <f>IF(B206="","",IF(AND(I206="",J206=""),"Unknown",IF(OR(AND(ISNUMBER(I206),I206=0),AND(ISNUMBER(J206),J206&lt;=EDATE('Scoring Settings'!$B$4,-'Scoring Settings'!$B$5))),"Not in use",IF(AND(ISNUMBER(I206),I206&lt;'Scoring Settings'!$B$6),"Low use","Active"))))</f>
        <v>Active</v>
      </c>
      <c r="L206" s="5">
        <v>3</v>
      </c>
      <c r="M206" s="5">
        <v>4</v>
      </c>
      <c r="N206" s="5" t="s">
        <v>72</v>
      </c>
      <c r="O206" s="5" t="s">
        <v>143</v>
      </c>
      <c r="P206" s="5" t="s">
        <v>144</v>
      </c>
      <c r="Q206" s="9">
        <v>0</v>
      </c>
      <c r="R206" s="5" t="s">
        <v>145</v>
      </c>
      <c r="S206" s="5" t="s">
        <v>145</v>
      </c>
      <c r="T206" s="5" t="s">
        <v>146</v>
      </c>
      <c r="U206" s="7"/>
      <c r="V206" s="5" t="s">
        <v>135</v>
      </c>
      <c r="W206" s="6">
        <v>100</v>
      </c>
      <c r="X206" s="5" t="s">
        <v>80</v>
      </c>
      <c r="Y206" s="9">
        <v>10</v>
      </c>
      <c r="Z206" s="5" t="s">
        <v>80</v>
      </c>
      <c r="AA206" s="5" t="s">
        <v>185</v>
      </c>
      <c r="AB206" s="9">
        <v>2</v>
      </c>
      <c r="AC206" s="5" t="s">
        <v>80</v>
      </c>
      <c r="AD206" s="5" t="s">
        <v>82</v>
      </c>
      <c r="AE206" s="5" t="s">
        <v>79</v>
      </c>
      <c r="AF206" s="10">
        <v>80000</v>
      </c>
      <c r="AG206" s="7">
        <v>47968</v>
      </c>
      <c r="AH206" s="10">
        <v>48500</v>
      </c>
      <c r="AI206" s="10">
        <v>36500</v>
      </c>
      <c r="AJ206" s="11">
        <f t="shared" si="3"/>
        <v>15.945205479452055</v>
      </c>
      <c r="AK206" s="12">
        <f>IF(B206="","",OR(K206="Not in use",K206="Low use")+AND(N206&lt;&gt;"",N206&lt;&gt;"TBD")+AND(ISNUMBER(U206),U206&lt;=EDATE('Scoring Settings'!$B$4,'Scoring Settings'!$B$8))+AND(ISNUMBER(L206),L206&lt;='Scoring Settings'!$B$7))</f>
        <v>0</v>
      </c>
      <c r="AL206" s="5" t="s">
        <v>96</v>
      </c>
      <c r="AM206" s="8" t="str">
        <f>IF(B206="","",IF(Z206="N","Easy",IF(OR(AND(ISNUMBER(AB206),AB206&gt;'Scoring Settings'!$B$11),AND(ISNUMBER(W206),W206&gt;'Scoring Settings'!$B$12),AND(ISNUMBER(M206),M206&lt;='Scoring Settings'!$B$13)),"High","Medium")))</f>
        <v>Medium</v>
      </c>
      <c r="AN206" s="5" t="s">
        <v>97</v>
      </c>
      <c r="AO206" s="7">
        <v>44620</v>
      </c>
      <c r="AP206" s="5" t="s">
        <v>98</v>
      </c>
      <c r="AQ206" s="29" t="s">
        <v>170</v>
      </c>
    </row>
    <row r="207" spans="1:43" hidden="1">
      <c r="A207" s="28">
        <v>119350</v>
      </c>
      <c r="B207" s="5" t="s">
        <v>955</v>
      </c>
      <c r="C207" s="5" t="s">
        <v>599</v>
      </c>
      <c r="D207" s="5" t="s">
        <v>67</v>
      </c>
      <c r="E207" s="5" t="s">
        <v>68</v>
      </c>
      <c r="F207" s="5" t="s">
        <v>69</v>
      </c>
      <c r="G207" s="5" t="s">
        <v>141</v>
      </c>
      <c r="H207" s="5" t="s">
        <v>129</v>
      </c>
      <c r="I207" s="6">
        <v>14</v>
      </c>
      <c r="J207" s="7">
        <v>44243</v>
      </c>
      <c r="K207" s="8" t="str">
        <f>IF(B207="","",IF(AND(I207="",J207=""),"Unknown",IF(OR(AND(ISNUMBER(I207),I207=0),AND(ISNUMBER(J207),J207&lt;=EDATE('Scoring Settings'!$B$4,-'Scoring Settings'!$B$5))),"Not in use",IF(AND(ISNUMBER(I207),I207&lt;'Scoring Settings'!$B$6),"Low use","Active"))))</f>
        <v>Low use</v>
      </c>
      <c r="L207" s="5">
        <v>3</v>
      </c>
      <c r="M207" s="5">
        <v>3</v>
      </c>
      <c r="N207" s="5"/>
      <c r="O207" s="5" t="s">
        <v>73</v>
      </c>
      <c r="P207" s="5" t="s">
        <v>956</v>
      </c>
      <c r="Q207" s="9">
        <v>4</v>
      </c>
      <c r="R207" s="5" t="s">
        <v>107</v>
      </c>
      <c r="S207" s="5" t="s">
        <v>108</v>
      </c>
      <c r="T207" s="5" t="s">
        <v>122</v>
      </c>
      <c r="U207" s="7">
        <v>43655</v>
      </c>
      <c r="V207" s="5" t="s">
        <v>135</v>
      </c>
      <c r="W207" s="6">
        <v>20</v>
      </c>
      <c r="X207" s="5" t="s">
        <v>80</v>
      </c>
      <c r="Y207" s="9">
        <v>10</v>
      </c>
      <c r="Z207" s="5" t="s">
        <v>80</v>
      </c>
      <c r="AA207" s="5" t="s">
        <v>147</v>
      </c>
      <c r="AB207" s="9">
        <v>2</v>
      </c>
      <c r="AC207" s="5" t="s">
        <v>80</v>
      </c>
      <c r="AD207" s="5" t="s">
        <v>80</v>
      </c>
      <c r="AE207" s="5" t="s">
        <v>79</v>
      </c>
      <c r="AF207" s="10">
        <v>65000</v>
      </c>
      <c r="AG207" s="7">
        <v>47208</v>
      </c>
      <c r="AH207" s="10">
        <v>89000</v>
      </c>
      <c r="AI207" s="10">
        <v>54000</v>
      </c>
      <c r="AJ207" s="11">
        <f t="shared" si="3"/>
        <v>19.777777777777779</v>
      </c>
      <c r="AK207" s="12">
        <f>IF(B207="","",OR(K207="Not in use",K207="Low use")+AND(N207&lt;&gt;"",N207&lt;&gt;"TBD")+AND(ISNUMBER(U207),U207&lt;=EDATE('Scoring Settings'!$B$4,'Scoring Settings'!$B$8))+AND(ISNUMBER(L207),L207&lt;='Scoring Settings'!$B$7))</f>
        <v>2</v>
      </c>
      <c r="AL207" s="5" t="s">
        <v>96</v>
      </c>
      <c r="AM207" s="8" t="str">
        <f>IF(B207="","",IF(Z207="N","Easy",IF(OR(AND(ISNUMBER(AB207),AB207&gt;'Scoring Settings'!$B$11),AND(ISNUMBER(W207),W207&gt;'Scoring Settings'!$B$12),AND(ISNUMBER(M207),M207&lt;='Scoring Settings'!$B$13)),"High","Medium")))</f>
        <v>Medium</v>
      </c>
      <c r="AN207" s="5" t="s">
        <v>97</v>
      </c>
      <c r="AO207" s="7">
        <v>44834</v>
      </c>
      <c r="AP207" s="5" t="s">
        <v>98</v>
      </c>
      <c r="AQ207" s="29" t="s">
        <v>213</v>
      </c>
    </row>
    <row r="208" spans="1:43" hidden="1">
      <c r="A208" s="28">
        <v>116507</v>
      </c>
      <c r="B208" s="5" t="s">
        <v>985</v>
      </c>
      <c r="C208" s="5" t="s">
        <v>151</v>
      </c>
      <c r="D208" s="5" t="s">
        <v>102</v>
      </c>
      <c r="E208" s="5" t="s">
        <v>298</v>
      </c>
      <c r="F208" s="5" t="s">
        <v>173</v>
      </c>
      <c r="G208" s="5" t="s">
        <v>104</v>
      </c>
      <c r="H208" s="5" t="s">
        <v>105</v>
      </c>
      <c r="I208" s="6">
        <v>2371</v>
      </c>
      <c r="J208" s="7">
        <v>44281</v>
      </c>
      <c r="K208" s="8" t="str">
        <f>IF(B208="","",IF(AND(I208="",J208=""),"Unknown",IF(OR(AND(ISNUMBER(I208),I208=0),AND(ISNUMBER(J208),J208&lt;=EDATE('Scoring Settings'!$B$4,-'Scoring Settings'!$B$5))),"Not in use",IF(AND(ISNUMBER(I208),I208&lt;'Scoring Settings'!$B$6),"Low use","Active"))))</f>
        <v>Active</v>
      </c>
      <c r="L208" s="5">
        <v>1</v>
      </c>
      <c r="M208" s="5">
        <v>4</v>
      </c>
      <c r="N208" s="5"/>
      <c r="O208" s="5" t="s">
        <v>73</v>
      </c>
      <c r="P208" s="5" t="s">
        <v>986</v>
      </c>
      <c r="Q208" s="9">
        <v>2</v>
      </c>
      <c r="R208" s="5" t="s">
        <v>203</v>
      </c>
      <c r="S208" s="5" t="s">
        <v>508</v>
      </c>
      <c r="T208" s="5" t="s">
        <v>109</v>
      </c>
      <c r="U208" s="7">
        <v>47269</v>
      </c>
      <c r="V208" s="5" t="s">
        <v>135</v>
      </c>
      <c r="W208" s="6">
        <v>690</v>
      </c>
      <c r="X208" s="5" t="s">
        <v>80</v>
      </c>
      <c r="Y208" s="9">
        <v>10</v>
      </c>
      <c r="Z208" s="5" t="s">
        <v>80</v>
      </c>
      <c r="AA208" s="5" t="s">
        <v>185</v>
      </c>
      <c r="AB208" s="9">
        <v>1</v>
      </c>
      <c r="AC208" s="5" t="s">
        <v>82</v>
      </c>
      <c r="AD208" s="5" t="s">
        <v>82</v>
      </c>
      <c r="AE208" s="5" t="s">
        <v>79</v>
      </c>
      <c r="AF208" s="10">
        <v>36000</v>
      </c>
      <c r="AG208" s="7">
        <v>46721</v>
      </c>
      <c r="AH208" s="10">
        <v>60000</v>
      </c>
      <c r="AI208" s="10">
        <v>27000</v>
      </c>
      <c r="AJ208" s="11">
        <f t="shared" si="3"/>
        <v>26.666666666666668</v>
      </c>
      <c r="AK208" s="12">
        <f>IF(B208="","",OR(K208="Not in use",K208="Low use")+AND(N208&lt;&gt;"",N208&lt;&gt;"TBD")+AND(ISNUMBER(U208),U208&lt;=EDATE('Scoring Settings'!$B$4,'Scoring Settings'!$B$8))+AND(ISNUMBER(L208),L208&lt;='Scoring Settings'!$B$7))</f>
        <v>1</v>
      </c>
      <c r="AL208" s="5" t="s">
        <v>96</v>
      </c>
      <c r="AM208" s="8" t="str">
        <f>IF(B208="","",IF(Z208="N","Easy",IF(OR(AND(ISNUMBER(AB208),AB208&gt;'Scoring Settings'!$B$11),AND(ISNUMBER(W208),W208&gt;'Scoring Settings'!$B$12),AND(ISNUMBER(M208),M208&lt;='Scoring Settings'!$B$13)),"High","Medium")))</f>
        <v>Medium</v>
      </c>
      <c r="AN208" s="5" t="s">
        <v>97</v>
      </c>
      <c r="AO208" s="7">
        <v>44712</v>
      </c>
      <c r="AP208" s="5" t="s">
        <v>197</v>
      </c>
      <c r="AQ208" s="29" t="s">
        <v>399</v>
      </c>
    </row>
    <row r="209" spans="1:43" ht="42.75" hidden="1">
      <c r="A209" s="28">
        <v>139643</v>
      </c>
      <c r="B209" s="5" t="s">
        <v>987</v>
      </c>
      <c r="C209" s="5" t="s">
        <v>200</v>
      </c>
      <c r="D209" s="5" t="s">
        <v>115</v>
      </c>
      <c r="E209" s="5" t="s">
        <v>311</v>
      </c>
      <c r="F209" s="5" t="s">
        <v>201</v>
      </c>
      <c r="G209" s="5" t="s">
        <v>221</v>
      </c>
      <c r="H209" s="5" t="s">
        <v>118</v>
      </c>
      <c r="I209" s="6">
        <v>4</v>
      </c>
      <c r="J209" s="7">
        <v>44014</v>
      </c>
      <c r="K209" s="8" t="str">
        <f>IF(B209="","",IF(AND(I209="",J209=""),"Unknown",IF(OR(AND(ISNUMBER(I209),I209=0),AND(ISNUMBER(J209),J209&lt;=EDATE('Scoring Settings'!$B$4,-'Scoring Settings'!$B$5))),"Not in use",IF(AND(ISNUMBER(I209),I209&lt;'Scoring Settings'!$B$6),"Low use","Active"))))</f>
        <v>Not in use</v>
      </c>
      <c r="L209" s="5">
        <v>1</v>
      </c>
      <c r="M209" s="5">
        <v>3</v>
      </c>
      <c r="N209" s="5"/>
      <c r="O209" s="5" t="s">
        <v>73</v>
      </c>
      <c r="P209" s="5" t="s">
        <v>931</v>
      </c>
      <c r="Q209" s="9">
        <v>1</v>
      </c>
      <c r="R209" s="5" t="s">
        <v>251</v>
      </c>
      <c r="S209" s="5" t="s">
        <v>133</v>
      </c>
      <c r="T209" s="5" t="s">
        <v>184</v>
      </c>
      <c r="U209" s="7">
        <v>44165</v>
      </c>
      <c r="V209" s="5" t="s">
        <v>135</v>
      </c>
      <c r="W209" s="6">
        <v>720</v>
      </c>
      <c r="X209" s="5" t="s">
        <v>80</v>
      </c>
      <c r="Y209" s="9">
        <v>10</v>
      </c>
      <c r="Z209" s="5" t="s">
        <v>80</v>
      </c>
      <c r="AA209" s="5" t="s">
        <v>185</v>
      </c>
      <c r="AB209" s="9">
        <v>2</v>
      </c>
      <c r="AC209" s="5" t="s">
        <v>82</v>
      </c>
      <c r="AD209" s="5" t="s">
        <v>79</v>
      </c>
      <c r="AE209" s="5" t="s">
        <v>79</v>
      </c>
      <c r="AF209" s="10">
        <v>28000</v>
      </c>
      <c r="AG209" s="7">
        <v>49490</v>
      </c>
      <c r="AH209" s="10">
        <v>50000</v>
      </c>
      <c r="AI209" s="10">
        <v>20500</v>
      </c>
      <c r="AJ209" s="11">
        <f t="shared" si="3"/>
        <v>29.268292682926827</v>
      </c>
      <c r="AK209" s="12">
        <f>IF(B209="","",OR(K209="Not in use",K209="Low use")+AND(N209&lt;&gt;"",N209&lt;&gt;"TBD")+AND(ISNUMBER(U209),U209&lt;=EDATE('Scoring Settings'!$B$4,'Scoring Settings'!$B$8))+AND(ISNUMBER(L209),L209&lt;='Scoring Settings'!$B$7))</f>
        <v>3</v>
      </c>
      <c r="AL209" s="5" t="s">
        <v>96</v>
      </c>
      <c r="AM209" s="8" t="str">
        <f>IF(B209="","",IF(Z209="N","Easy",IF(OR(AND(ISNUMBER(AB209),AB209&gt;'Scoring Settings'!$B$11),AND(ISNUMBER(W209),W209&gt;'Scoring Settings'!$B$12),AND(ISNUMBER(M209),M209&lt;='Scoring Settings'!$B$13)),"High","Medium")))</f>
        <v>Medium</v>
      </c>
      <c r="AN209" s="5" t="s">
        <v>97</v>
      </c>
      <c r="AO209" s="7">
        <v>44865</v>
      </c>
      <c r="AP209" s="5" t="s">
        <v>98</v>
      </c>
      <c r="AQ209" s="29" t="s">
        <v>988</v>
      </c>
    </row>
    <row r="210" spans="1:43" hidden="1">
      <c r="A210" s="28">
        <v>65896</v>
      </c>
      <c r="B210" s="5" t="s">
        <v>995</v>
      </c>
      <c r="C210" s="5" t="s">
        <v>265</v>
      </c>
      <c r="D210" s="5" t="s">
        <v>102</v>
      </c>
      <c r="E210" s="5" t="s">
        <v>68</v>
      </c>
      <c r="F210" s="5" t="s">
        <v>201</v>
      </c>
      <c r="G210" s="5" t="s">
        <v>141</v>
      </c>
      <c r="H210" s="5" t="s">
        <v>71</v>
      </c>
      <c r="I210" s="6">
        <v>7</v>
      </c>
      <c r="J210" s="7">
        <v>44200</v>
      </c>
      <c r="K210" s="8" t="str">
        <f>IF(B210="","",IF(AND(I210="",J210=""),"Unknown",IF(OR(AND(ISNUMBER(I210),I210=0),AND(ISNUMBER(J210),J210&lt;=EDATE('Scoring Settings'!$B$4,-'Scoring Settings'!$B$5))),"Not in use",IF(AND(ISNUMBER(I210),I210&lt;'Scoring Settings'!$B$6),"Low use","Active"))))</f>
        <v>Low use</v>
      </c>
      <c r="L210" s="5">
        <v>1</v>
      </c>
      <c r="M210" s="5">
        <v>4</v>
      </c>
      <c r="N210" s="5"/>
      <c r="O210" s="5" t="s">
        <v>130</v>
      </c>
      <c r="P210" s="5" t="s">
        <v>996</v>
      </c>
      <c r="Q210" s="9">
        <v>2</v>
      </c>
      <c r="R210" s="5" t="s">
        <v>358</v>
      </c>
      <c r="S210" s="5" t="s">
        <v>133</v>
      </c>
      <c r="T210" s="5" t="s">
        <v>195</v>
      </c>
      <c r="U210" s="7">
        <v>43555</v>
      </c>
      <c r="V210" s="5" t="s">
        <v>135</v>
      </c>
      <c r="W210" s="6">
        <v>660</v>
      </c>
      <c r="X210" s="5" t="s">
        <v>80</v>
      </c>
      <c r="Y210" s="9">
        <v>10</v>
      </c>
      <c r="Z210" s="5" t="s">
        <v>80</v>
      </c>
      <c r="AA210" s="5" t="s">
        <v>81</v>
      </c>
      <c r="AB210" s="9">
        <v>0</v>
      </c>
      <c r="AC210" s="5" t="s">
        <v>79</v>
      </c>
      <c r="AD210" s="5" t="s">
        <v>79</v>
      </c>
      <c r="AE210" s="5" t="s">
        <v>80</v>
      </c>
      <c r="AF210" s="10">
        <v>22000</v>
      </c>
      <c r="AG210" s="7">
        <v>46173</v>
      </c>
      <c r="AH210" s="10">
        <v>35500</v>
      </c>
      <c r="AI210" s="10">
        <v>11500</v>
      </c>
      <c r="AJ210" s="11">
        <f t="shared" si="3"/>
        <v>37.043478260869563</v>
      </c>
      <c r="AK210" s="12">
        <f>IF(B210="","",OR(K210="Not in use",K210="Low use")+AND(N210&lt;&gt;"",N210&lt;&gt;"TBD")+AND(ISNUMBER(U210),U210&lt;=EDATE('Scoring Settings'!$B$4,'Scoring Settings'!$B$8))+AND(ISNUMBER(L210),L210&lt;='Scoring Settings'!$B$7))</f>
        <v>3</v>
      </c>
      <c r="AL210" s="5" t="s">
        <v>96</v>
      </c>
      <c r="AM210" s="8" t="str">
        <f>IF(B210="","",IF(Z210="N","Easy",IF(OR(AND(ISNUMBER(AB210),AB210&gt;'Scoring Settings'!$B$11),AND(ISNUMBER(W210),W210&gt;'Scoring Settings'!$B$12),AND(ISNUMBER(M210),M210&lt;='Scoring Settings'!$B$13)),"High","Medium")))</f>
        <v>Medium</v>
      </c>
      <c r="AN210" s="5" t="s">
        <v>97</v>
      </c>
      <c r="AO210" s="7">
        <v>44804</v>
      </c>
      <c r="AP210" s="5" t="s">
        <v>98</v>
      </c>
      <c r="AQ210" s="29" t="s">
        <v>149</v>
      </c>
    </row>
    <row r="211" spans="1:43" hidden="1">
      <c r="A211" s="28">
        <v>117013</v>
      </c>
      <c r="B211" s="5" t="s">
        <v>1007</v>
      </c>
      <c r="C211" s="5" t="s">
        <v>242</v>
      </c>
      <c r="D211" s="5" t="s">
        <v>115</v>
      </c>
      <c r="E211" s="5" t="s">
        <v>68</v>
      </c>
      <c r="F211" s="5" t="s">
        <v>476</v>
      </c>
      <c r="G211" s="5" t="s">
        <v>278</v>
      </c>
      <c r="H211" s="5" t="s">
        <v>189</v>
      </c>
      <c r="I211" s="6">
        <v>20</v>
      </c>
      <c r="J211" s="7">
        <v>44185</v>
      </c>
      <c r="K211" s="8" t="str">
        <f>IF(B211="","",IF(AND(I211="",J211=""),"Unknown",IF(OR(AND(ISNUMBER(I211),I211=0),AND(ISNUMBER(J211),J211&lt;=EDATE('Scoring Settings'!$B$4,-'Scoring Settings'!$B$5))),"Not in use",IF(AND(ISNUMBER(I211),I211&lt;'Scoring Settings'!$B$6),"Low use","Active"))))</f>
        <v>Low use</v>
      </c>
      <c r="L211" s="5">
        <v>3</v>
      </c>
      <c r="M211" s="5">
        <v>2</v>
      </c>
      <c r="N211" s="5" t="s">
        <v>1008</v>
      </c>
      <c r="O211" s="5" t="s">
        <v>73</v>
      </c>
      <c r="P211" s="5" t="s">
        <v>1009</v>
      </c>
      <c r="Q211" s="9">
        <v>2</v>
      </c>
      <c r="R211" s="5" t="s">
        <v>352</v>
      </c>
      <c r="S211" s="5" t="s">
        <v>353</v>
      </c>
      <c r="T211" s="5" t="s">
        <v>77</v>
      </c>
      <c r="U211" s="7">
        <v>47127</v>
      </c>
      <c r="V211" s="5" t="s">
        <v>95</v>
      </c>
      <c r="W211" s="6">
        <v>52</v>
      </c>
      <c r="X211" s="5" t="s">
        <v>80</v>
      </c>
      <c r="Y211" s="9">
        <v>10</v>
      </c>
      <c r="Z211" s="5" t="s">
        <v>80</v>
      </c>
      <c r="AA211" s="5" t="s">
        <v>205</v>
      </c>
      <c r="AB211" s="9">
        <v>5</v>
      </c>
      <c r="AC211" s="5" t="s">
        <v>82</v>
      </c>
      <c r="AD211" s="5" t="s">
        <v>79</v>
      </c>
      <c r="AE211" s="5" t="s">
        <v>82</v>
      </c>
      <c r="AF211" s="10">
        <v>60000</v>
      </c>
      <c r="AG211" s="7">
        <v>46053</v>
      </c>
      <c r="AH211" s="10">
        <v>110000</v>
      </c>
      <c r="AI211" s="10">
        <v>52500</v>
      </c>
      <c r="AJ211" s="11">
        <f t="shared" si="3"/>
        <v>25.142857142857146</v>
      </c>
      <c r="AK211" s="12">
        <f>IF(B211="","",OR(K211="Not in use",K211="Low use")+AND(N211&lt;&gt;"",N211&lt;&gt;"TBD")+AND(ISNUMBER(U211),U211&lt;=EDATE('Scoring Settings'!$B$4,'Scoring Settings'!$B$8))+AND(ISNUMBER(L211),L211&lt;='Scoring Settings'!$B$7))</f>
        <v>2</v>
      </c>
      <c r="AL211" s="5" t="s">
        <v>2217</v>
      </c>
      <c r="AM211" s="8" t="str">
        <f>IF(B211="","",IF(Z211="N","Easy",IF(OR(AND(ISNUMBER(AB211),AB211&gt;'Scoring Settings'!$B$11),AND(ISNUMBER(W211),W211&gt;'Scoring Settings'!$B$12),AND(ISNUMBER(M211),M211&lt;='Scoring Settings'!$B$13)),"High","Medium")))</f>
        <v>High</v>
      </c>
      <c r="AN211" s="5" t="s">
        <v>97</v>
      </c>
      <c r="AO211" s="7">
        <v>44834</v>
      </c>
      <c r="AP211" s="5" t="s">
        <v>98</v>
      </c>
      <c r="AQ211" s="29" t="s">
        <v>149</v>
      </c>
    </row>
    <row r="212" spans="1:43" ht="57" hidden="1">
      <c r="A212" s="28">
        <v>143398</v>
      </c>
      <c r="B212" s="5" t="s">
        <v>1022</v>
      </c>
      <c r="C212" s="5" t="s">
        <v>101</v>
      </c>
      <c r="D212" s="5" t="s">
        <v>102</v>
      </c>
      <c r="E212" s="5" t="s">
        <v>298</v>
      </c>
      <c r="F212" s="5" t="s">
        <v>312</v>
      </c>
      <c r="G212" s="5" t="s">
        <v>284</v>
      </c>
      <c r="H212" s="5" t="s">
        <v>91</v>
      </c>
      <c r="I212" s="6">
        <v>16</v>
      </c>
      <c r="J212" s="7">
        <v>44218</v>
      </c>
      <c r="K212" s="8" t="str">
        <f>IF(B212="","",IF(AND(I212="",J212=""),"Unknown",IF(OR(AND(ISNUMBER(I212),I212=0),AND(ISNUMBER(J212),J212&lt;=EDATE('Scoring Settings'!$B$4,-'Scoring Settings'!$B$5))),"Not in use",IF(AND(ISNUMBER(I212),I212&lt;'Scoring Settings'!$B$6),"Low use","Active"))))</f>
        <v>Low use</v>
      </c>
      <c r="L212" s="5">
        <v>3</v>
      </c>
      <c r="M212" s="5">
        <v>2</v>
      </c>
      <c r="N212" s="5"/>
      <c r="O212" s="5" t="s">
        <v>73</v>
      </c>
      <c r="P212" s="5" t="s">
        <v>1023</v>
      </c>
      <c r="Q212" s="9">
        <v>8</v>
      </c>
      <c r="R212" s="5" t="s">
        <v>107</v>
      </c>
      <c r="S212" s="5" t="s">
        <v>108</v>
      </c>
      <c r="T212" s="5" t="s">
        <v>122</v>
      </c>
      <c r="U212" s="7">
        <v>43655</v>
      </c>
      <c r="V212" s="5" t="s">
        <v>135</v>
      </c>
      <c r="W212" s="6">
        <v>69</v>
      </c>
      <c r="X212" s="5" t="s">
        <v>80</v>
      </c>
      <c r="Y212" s="9">
        <v>7</v>
      </c>
      <c r="Z212" s="5" t="s">
        <v>80</v>
      </c>
      <c r="AA212" s="5" t="s">
        <v>81</v>
      </c>
      <c r="AB212" s="9">
        <v>25</v>
      </c>
      <c r="AC212" s="5" t="s">
        <v>79</v>
      </c>
      <c r="AD212" s="5" t="s">
        <v>82</v>
      </c>
      <c r="AE212" s="5" t="s">
        <v>82</v>
      </c>
      <c r="AF212" s="10">
        <v>95000</v>
      </c>
      <c r="AG212" s="7">
        <v>45838</v>
      </c>
      <c r="AH212" s="10">
        <v>154000</v>
      </c>
      <c r="AI212" s="10">
        <v>66000</v>
      </c>
      <c r="AJ212" s="11">
        <f t="shared" si="3"/>
        <v>28</v>
      </c>
      <c r="AK212" s="12">
        <f>IF(B212="","",OR(K212="Not in use",K212="Low use")+AND(N212&lt;&gt;"",N212&lt;&gt;"TBD")+AND(ISNUMBER(U212),U212&lt;=EDATE('Scoring Settings'!$B$4,'Scoring Settings'!$B$8))+AND(ISNUMBER(L212),L212&lt;='Scoring Settings'!$B$7))</f>
        <v>2</v>
      </c>
      <c r="AL212" s="5" t="s">
        <v>96</v>
      </c>
      <c r="AM212" s="8" t="str">
        <f>IF(B212="","",IF(Z212="N","Easy",IF(OR(AND(ISNUMBER(AB212),AB212&gt;'Scoring Settings'!$B$11),AND(ISNUMBER(W212),W212&gt;'Scoring Settings'!$B$12),AND(ISNUMBER(M212),M212&lt;='Scoring Settings'!$B$13)),"High","Medium")))</f>
        <v>High</v>
      </c>
      <c r="AN212" s="5" t="s">
        <v>97</v>
      </c>
      <c r="AO212" s="7">
        <v>44834</v>
      </c>
      <c r="AP212" s="5" t="s">
        <v>98</v>
      </c>
      <c r="AQ212" s="29" t="s">
        <v>1024</v>
      </c>
    </row>
    <row r="213" spans="1:43" hidden="1">
      <c r="A213" s="28">
        <v>188333</v>
      </c>
      <c r="B213" s="5" t="s">
        <v>1026</v>
      </c>
      <c r="C213" s="5" t="s">
        <v>114</v>
      </c>
      <c r="D213" s="5" t="s">
        <v>115</v>
      </c>
      <c r="E213" s="5" t="s">
        <v>68</v>
      </c>
      <c r="F213" s="5" t="s">
        <v>266</v>
      </c>
      <c r="G213" s="5" t="s">
        <v>104</v>
      </c>
      <c r="H213" s="5" t="s">
        <v>91</v>
      </c>
      <c r="I213" s="6">
        <v>88</v>
      </c>
      <c r="J213" s="7">
        <v>44288</v>
      </c>
      <c r="K213" s="8" t="str">
        <f>IF(B213="","",IF(AND(I213="",J213=""),"Unknown",IF(OR(AND(ISNUMBER(I213),I213=0),AND(ISNUMBER(J213),J213&lt;=EDATE('Scoring Settings'!$B$4,-'Scoring Settings'!$B$5))),"Not in use",IF(AND(ISNUMBER(I213),I213&lt;'Scoring Settings'!$B$6),"Low use","Active"))))</f>
        <v>Active</v>
      </c>
      <c r="L213" s="5">
        <v>2</v>
      </c>
      <c r="M213" s="5">
        <v>3</v>
      </c>
      <c r="N213" s="5" t="s">
        <v>930</v>
      </c>
      <c r="O213" s="5" t="s">
        <v>73</v>
      </c>
      <c r="P213" s="5" t="s">
        <v>1027</v>
      </c>
      <c r="Q213" s="9">
        <v>4</v>
      </c>
      <c r="R213" s="5" t="s">
        <v>132</v>
      </c>
      <c r="S213" s="5" t="s">
        <v>133</v>
      </c>
      <c r="T213" s="5" t="s">
        <v>77</v>
      </c>
      <c r="U213" s="7">
        <v>44227</v>
      </c>
      <c r="V213" s="5" t="s">
        <v>135</v>
      </c>
      <c r="W213" s="6">
        <v>28</v>
      </c>
      <c r="X213" s="5" t="s">
        <v>79</v>
      </c>
      <c r="Y213" s="9">
        <v>5</v>
      </c>
      <c r="Z213" s="5" t="s">
        <v>79</v>
      </c>
      <c r="AA213" s="5" t="s">
        <v>110</v>
      </c>
      <c r="AB213" s="9">
        <v>8</v>
      </c>
      <c r="AC213" s="5" t="s">
        <v>79</v>
      </c>
      <c r="AD213" s="5" t="s">
        <v>79</v>
      </c>
      <c r="AE213" s="5" t="s">
        <v>80</v>
      </c>
      <c r="AF213" s="10">
        <v>41000</v>
      </c>
      <c r="AG213" s="7">
        <v>47177</v>
      </c>
      <c r="AH213" s="10">
        <v>53000</v>
      </c>
      <c r="AI213" s="10">
        <v>36000</v>
      </c>
      <c r="AJ213" s="11">
        <f t="shared" si="3"/>
        <v>17.666666666666668</v>
      </c>
      <c r="AK213" s="12">
        <f>IF(B213="","",OR(K213="Not in use",K213="Low use")+AND(N213&lt;&gt;"",N213&lt;&gt;"TBD")+AND(ISNUMBER(U213),U213&lt;=EDATE('Scoring Settings'!$B$4,'Scoring Settings'!$B$8))+AND(ISNUMBER(L213),L213&lt;='Scoring Settings'!$B$7))</f>
        <v>3</v>
      </c>
      <c r="AL213" s="5" t="s">
        <v>2217</v>
      </c>
      <c r="AM213" s="8" t="str">
        <f>IF(B213="","",IF(Z213="N","Easy",IF(OR(AND(ISNUMBER(AB213),AB213&gt;'Scoring Settings'!$B$11),AND(ISNUMBER(W213),W213&gt;'Scoring Settings'!$B$12),AND(ISNUMBER(M213),M213&lt;='Scoring Settings'!$B$13)),"High","Medium")))</f>
        <v>Easy</v>
      </c>
      <c r="AN213" s="5" t="s">
        <v>97</v>
      </c>
      <c r="AO213" s="7">
        <v>44895</v>
      </c>
      <c r="AP213" s="5" t="s">
        <v>197</v>
      </c>
      <c r="AQ213" s="29" t="s">
        <v>1028</v>
      </c>
    </row>
    <row r="214" spans="1:43" hidden="1">
      <c r="A214" s="28">
        <v>160741</v>
      </c>
      <c r="B214" s="5" t="s">
        <v>1040</v>
      </c>
      <c r="C214" s="5" t="s">
        <v>464</v>
      </c>
      <c r="D214" s="5" t="s">
        <v>88</v>
      </c>
      <c r="E214" s="5" t="s">
        <v>311</v>
      </c>
      <c r="F214" s="5" t="s">
        <v>152</v>
      </c>
      <c r="G214" s="5" t="s">
        <v>210</v>
      </c>
      <c r="H214" s="5" t="s">
        <v>189</v>
      </c>
      <c r="I214" s="6">
        <v>15</v>
      </c>
      <c r="J214" s="7">
        <v>44196</v>
      </c>
      <c r="K214" s="8" t="str">
        <f>IF(B214="","",IF(AND(I214="",J214=""),"Unknown",IF(OR(AND(ISNUMBER(I214),I214=0),AND(ISNUMBER(J214),J214&lt;=EDATE('Scoring Settings'!$B$4,-'Scoring Settings'!$B$5))),"Not in use",IF(AND(ISNUMBER(I214),I214&lt;'Scoring Settings'!$B$6),"Low use","Active"))))</f>
        <v>Low use</v>
      </c>
      <c r="L214" s="5">
        <v>1</v>
      </c>
      <c r="M214" s="5">
        <v>4</v>
      </c>
      <c r="N214" s="5"/>
      <c r="O214" s="5" t="s">
        <v>73</v>
      </c>
      <c r="P214" s="5" t="s">
        <v>1041</v>
      </c>
      <c r="Q214" s="9">
        <v>1</v>
      </c>
      <c r="R214" s="5" t="s">
        <v>75</v>
      </c>
      <c r="S214" s="5" t="s">
        <v>76</v>
      </c>
      <c r="T214" s="5" t="s">
        <v>109</v>
      </c>
      <c r="U214" s="7">
        <v>46399</v>
      </c>
      <c r="V214" s="5" t="s">
        <v>135</v>
      </c>
      <c r="W214" s="6">
        <v>16</v>
      </c>
      <c r="X214" s="5" t="s">
        <v>79</v>
      </c>
      <c r="Y214" s="9">
        <v>3</v>
      </c>
      <c r="Z214" s="5" t="s">
        <v>79</v>
      </c>
      <c r="AA214" s="5" t="s">
        <v>110</v>
      </c>
      <c r="AB214" s="9">
        <v>0</v>
      </c>
      <c r="AC214" s="5" t="s">
        <v>82</v>
      </c>
      <c r="AD214" s="5" t="s">
        <v>80</v>
      </c>
      <c r="AE214" s="5" t="s">
        <v>79</v>
      </c>
      <c r="AF214" s="10">
        <v>18500</v>
      </c>
      <c r="AG214" s="7">
        <v>46904</v>
      </c>
      <c r="AH214" s="10">
        <v>13000</v>
      </c>
      <c r="AI214" s="10">
        <v>17000</v>
      </c>
      <c r="AJ214" s="11">
        <f t="shared" si="3"/>
        <v>9.1764705882352935</v>
      </c>
      <c r="AK214" s="12">
        <f>IF(B214="","",OR(K214="Not in use",K214="Low use")+AND(N214&lt;&gt;"",N214&lt;&gt;"TBD")+AND(ISNUMBER(U214),U214&lt;=EDATE('Scoring Settings'!$B$4,'Scoring Settings'!$B$8))+AND(ISNUMBER(L214),L214&lt;='Scoring Settings'!$B$7))</f>
        <v>2</v>
      </c>
      <c r="AL214" s="5" t="s">
        <v>223</v>
      </c>
      <c r="AM214" s="8" t="str">
        <f>IF(B214="","",IF(Z214="N","Easy",IF(OR(AND(ISNUMBER(AB214),AB214&gt;'Scoring Settings'!$B$11),AND(ISNUMBER(W214),W214&gt;'Scoring Settings'!$B$12),AND(ISNUMBER(M214),M214&lt;='Scoring Settings'!$B$13)),"High","Medium")))</f>
        <v>Easy</v>
      </c>
      <c r="AN214" s="5" t="s">
        <v>97</v>
      </c>
      <c r="AO214" s="7">
        <v>44592</v>
      </c>
      <c r="AP214" s="5" t="s">
        <v>98</v>
      </c>
      <c r="AQ214" s="29" t="s">
        <v>136</v>
      </c>
    </row>
    <row r="215" spans="1:43" hidden="1">
      <c r="A215" s="28">
        <v>15617</v>
      </c>
      <c r="B215" s="5" t="s">
        <v>1042</v>
      </c>
      <c r="C215" s="5" t="s">
        <v>265</v>
      </c>
      <c r="D215" s="5" t="s">
        <v>102</v>
      </c>
      <c r="E215" s="5" t="s">
        <v>311</v>
      </c>
      <c r="F215" s="5" t="s">
        <v>299</v>
      </c>
      <c r="G215" s="5" t="s">
        <v>117</v>
      </c>
      <c r="H215" s="5" t="s">
        <v>105</v>
      </c>
      <c r="I215" s="6">
        <v>14</v>
      </c>
      <c r="J215" s="7">
        <v>44208</v>
      </c>
      <c r="K215" s="8" t="str">
        <f>IF(B215="","",IF(AND(I215="",J215=""),"Unknown",IF(OR(AND(ISNUMBER(I215),I215=0),AND(ISNUMBER(J215),J215&lt;=EDATE('Scoring Settings'!$B$4,-'Scoring Settings'!$B$5))),"Not in use",IF(AND(ISNUMBER(I215),I215&lt;'Scoring Settings'!$B$6),"Low use","Active"))))</f>
        <v>Low use</v>
      </c>
      <c r="L215" s="5">
        <v>4</v>
      </c>
      <c r="M215" s="5">
        <v>3</v>
      </c>
      <c r="N215" s="5" t="s">
        <v>784</v>
      </c>
      <c r="O215" s="5" t="s">
        <v>73</v>
      </c>
      <c r="P215" s="5" t="s">
        <v>1043</v>
      </c>
      <c r="Q215" s="9">
        <v>2</v>
      </c>
      <c r="R215" s="5" t="s">
        <v>132</v>
      </c>
      <c r="S215" s="5" t="s">
        <v>133</v>
      </c>
      <c r="T215" s="5" t="s">
        <v>77</v>
      </c>
      <c r="U215" s="7">
        <v>44227</v>
      </c>
      <c r="V215" s="5" t="s">
        <v>135</v>
      </c>
      <c r="W215" s="6">
        <v>390</v>
      </c>
      <c r="X215" s="5" t="s">
        <v>80</v>
      </c>
      <c r="Y215" s="9">
        <v>10</v>
      </c>
      <c r="Z215" s="5" t="s">
        <v>79</v>
      </c>
      <c r="AA215" s="5" t="s">
        <v>110</v>
      </c>
      <c r="AB215" s="9">
        <v>3</v>
      </c>
      <c r="AC215" s="5" t="s">
        <v>82</v>
      </c>
      <c r="AD215" s="5" t="s">
        <v>82</v>
      </c>
      <c r="AE215" s="5" t="s">
        <v>79</v>
      </c>
      <c r="AF215" s="10">
        <v>12500</v>
      </c>
      <c r="AG215" s="7">
        <v>46843</v>
      </c>
      <c r="AH215" s="10">
        <v>9000</v>
      </c>
      <c r="AI215" s="10">
        <v>10500</v>
      </c>
      <c r="AJ215" s="11">
        <f t="shared" si="3"/>
        <v>10.285714285714285</v>
      </c>
      <c r="AK215" s="12">
        <f>IF(B215="","",OR(K215="Not in use",K215="Low use")+AND(N215&lt;&gt;"",N215&lt;&gt;"TBD")+AND(ISNUMBER(U215),U215&lt;=EDATE('Scoring Settings'!$B$4,'Scoring Settings'!$B$8))+AND(ISNUMBER(L215),L215&lt;='Scoring Settings'!$B$7))</f>
        <v>3</v>
      </c>
      <c r="AL215" s="5" t="s">
        <v>2217</v>
      </c>
      <c r="AM215" s="8" t="str">
        <f>IF(B215="","",IF(Z215="N","Easy",IF(OR(AND(ISNUMBER(AB215),AB215&gt;'Scoring Settings'!$B$11),AND(ISNUMBER(W215),W215&gt;'Scoring Settings'!$B$12),AND(ISNUMBER(M215),M215&lt;='Scoring Settings'!$B$13)),"High","Medium")))</f>
        <v>Easy</v>
      </c>
      <c r="AN215" s="5" t="s">
        <v>97</v>
      </c>
      <c r="AO215" s="7">
        <v>44895</v>
      </c>
      <c r="AP215" s="5" t="s">
        <v>98</v>
      </c>
      <c r="AQ215" s="29" t="s">
        <v>213</v>
      </c>
    </row>
    <row r="216" spans="1:43" ht="42.75" hidden="1">
      <c r="A216" s="28">
        <v>21404</v>
      </c>
      <c r="B216" s="5" t="s">
        <v>1055</v>
      </c>
      <c r="C216" s="5" t="s">
        <v>423</v>
      </c>
      <c r="D216" s="5" t="s">
        <v>67</v>
      </c>
      <c r="E216" s="5" t="s">
        <v>311</v>
      </c>
      <c r="F216" s="5" t="s">
        <v>326</v>
      </c>
      <c r="G216" s="5" t="s">
        <v>226</v>
      </c>
      <c r="H216" s="5" t="s">
        <v>142</v>
      </c>
      <c r="I216" s="6">
        <v>0</v>
      </c>
      <c r="J216" s="7">
        <v>43688</v>
      </c>
      <c r="K216" s="8" t="str">
        <f>IF(B216="","",IF(AND(I216="",J216=""),"Unknown",IF(OR(AND(ISNUMBER(I216),I216=0),AND(ISNUMBER(J216),J216&lt;=EDATE('Scoring Settings'!$B$4,-'Scoring Settings'!$B$5))),"Not in use",IF(AND(ISNUMBER(I216),I216&lt;'Scoring Settings'!$B$6),"Low use","Active"))))</f>
        <v>Not in use</v>
      </c>
      <c r="L216" s="5">
        <v>3</v>
      </c>
      <c r="M216" s="5">
        <v>2</v>
      </c>
      <c r="N216" s="5" t="s">
        <v>227</v>
      </c>
      <c r="O216" s="5" t="s">
        <v>143</v>
      </c>
      <c r="P216" s="5" t="s">
        <v>144</v>
      </c>
      <c r="Q216" s="9">
        <v>0</v>
      </c>
      <c r="R216" s="5" t="s">
        <v>145</v>
      </c>
      <c r="S216" s="5" t="s">
        <v>145</v>
      </c>
      <c r="T216" s="5" t="s">
        <v>146</v>
      </c>
      <c r="U216" s="7">
        <v>44834</v>
      </c>
      <c r="V216" s="5" t="s">
        <v>78</v>
      </c>
      <c r="W216" s="6">
        <v>920</v>
      </c>
      <c r="X216" s="5" t="s">
        <v>80</v>
      </c>
      <c r="Y216" s="9">
        <v>7</v>
      </c>
      <c r="Z216" s="5" t="s">
        <v>80</v>
      </c>
      <c r="AA216" s="5" t="s">
        <v>205</v>
      </c>
      <c r="AB216" s="9">
        <v>14</v>
      </c>
      <c r="AC216" s="5" t="s">
        <v>82</v>
      </c>
      <c r="AD216" s="5" t="s">
        <v>82</v>
      </c>
      <c r="AE216" s="5" t="s">
        <v>79</v>
      </c>
      <c r="AF216" s="10">
        <v>80000</v>
      </c>
      <c r="AG216" s="7">
        <v>48213</v>
      </c>
      <c r="AH216" s="10">
        <v>171000</v>
      </c>
      <c r="AI216" s="10">
        <v>50500</v>
      </c>
      <c r="AJ216" s="11">
        <f t="shared" si="3"/>
        <v>40.633663366336634</v>
      </c>
      <c r="AK216" s="12">
        <f>IF(B216="","",OR(K216="Not in use",K216="Low use")+AND(N216&lt;&gt;"",N216&lt;&gt;"TBD")+AND(ISNUMBER(U216),U216&lt;=EDATE('Scoring Settings'!$B$4,'Scoring Settings'!$B$8))+AND(ISNUMBER(L216),L216&lt;='Scoring Settings'!$B$7))</f>
        <v>2</v>
      </c>
      <c r="AL216" s="5" t="s">
        <v>2217</v>
      </c>
      <c r="AM216" s="8" t="str">
        <f>IF(B216="","",IF(Z216="N","Easy",IF(OR(AND(ISNUMBER(AB216),AB216&gt;'Scoring Settings'!$B$11),AND(ISNUMBER(W216),W216&gt;'Scoring Settings'!$B$12),AND(ISNUMBER(M216),M216&lt;='Scoring Settings'!$B$13)),"High","Medium")))</f>
        <v>High</v>
      </c>
      <c r="AN216" s="5" t="s">
        <v>97</v>
      </c>
      <c r="AO216" s="7">
        <v>44804</v>
      </c>
      <c r="AP216" s="5" t="s">
        <v>197</v>
      </c>
      <c r="AQ216" s="29" t="s">
        <v>1056</v>
      </c>
    </row>
    <row r="217" spans="1:43" hidden="1">
      <c r="A217" s="28">
        <v>151294</v>
      </c>
      <c r="B217" s="5" t="s">
        <v>1058</v>
      </c>
      <c r="C217" s="5" t="s">
        <v>265</v>
      </c>
      <c r="D217" s="5" t="s">
        <v>102</v>
      </c>
      <c r="E217" s="5" t="s">
        <v>68</v>
      </c>
      <c r="F217" s="5" t="s">
        <v>188</v>
      </c>
      <c r="G217" s="5" t="s">
        <v>284</v>
      </c>
      <c r="H217" s="5" t="s">
        <v>142</v>
      </c>
      <c r="I217" s="6">
        <v>0</v>
      </c>
      <c r="J217" s="7">
        <v>43803</v>
      </c>
      <c r="K217" s="8" t="str">
        <f>IF(B217="","",IF(AND(I217="",J217=""),"Unknown",IF(OR(AND(ISNUMBER(I217),I217=0),AND(ISNUMBER(J217),J217&lt;=EDATE('Scoring Settings'!$B$4,-'Scoring Settings'!$B$5))),"Not in use",IF(AND(ISNUMBER(I217),I217&lt;'Scoring Settings'!$B$6),"Low use","Active"))))</f>
        <v>Not in use</v>
      </c>
      <c r="L217" s="5">
        <v>2</v>
      </c>
      <c r="M217" s="5">
        <v>4</v>
      </c>
      <c r="N217" s="5"/>
      <c r="O217" s="5" t="s">
        <v>143</v>
      </c>
      <c r="P217" s="5" t="s">
        <v>144</v>
      </c>
      <c r="Q217" s="9">
        <v>0</v>
      </c>
      <c r="R217" s="5" t="s">
        <v>145</v>
      </c>
      <c r="S217" s="5" t="s">
        <v>145</v>
      </c>
      <c r="T217" s="5" t="s">
        <v>146</v>
      </c>
      <c r="U217" s="7"/>
      <c r="V217" s="5" t="s">
        <v>95</v>
      </c>
      <c r="W217" s="6">
        <v>2280</v>
      </c>
      <c r="X217" s="5" t="s">
        <v>80</v>
      </c>
      <c r="Y217" s="9">
        <v>5</v>
      </c>
      <c r="Z217" s="5" t="s">
        <v>80</v>
      </c>
      <c r="AA217" s="5" t="s">
        <v>185</v>
      </c>
      <c r="AB217" s="9">
        <v>3</v>
      </c>
      <c r="AC217" s="5" t="s">
        <v>82</v>
      </c>
      <c r="AD217" s="5" t="s">
        <v>82</v>
      </c>
      <c r="AE217" s="5" t="s">
        <v>82</v>
      </c>
      <c r="AF217" s="10">
        <v>110000</v>
      </c>
      <c r="AG217" s="7">
        <v>45961</v>
      </c>
      <c r="AH217" s="10">
        <v>178000</v>
      </c>
      <c r="AI217" s="10">
        <v>52000</v>
      </c>
      <c r="AJ217" s="11">
        <f t="shared" si="3"/>
        <v>41.076923076923073</v>
      </c>
      <c r="AK217" s="12">
        <f>IF(B217="","",OR(K217="Not in use",K217="Low use")+AND(N217&lt;&gt;"",N217&lt;&gt;"TBD")+AND(ISNUMBER(U217),U217&lt;=EDATE('Scoring Settings'!$B$4,'Scoring Settings'!$B$8))+AND(ISNUMBER(L217),L217&lt;='Scoring Settings'!$B$7))</f>
        <v>2</v>
      </c>
      <c r="AL217" s="5" t="s">
        <v>96</v>
      </c>
      <c r="AM217" s="8" t="str">
        <f>IF(B217="","",IF(Z217="N","Easy",IF(OR(AND(ISNUMBER(AB217),AB217&gt;'Scoring Settings'!$B$11),AND(ISNUMBER(W217),W217&gt;'Scoring Settings'!$B$12),AND(ISNUMBER(M217),M217&lt;='Scoring Settings'!$B$13)),"High","Medium")))</f>
        <v>High</v>
      </c>
      <c r="AN217" s="5" t="s">
        <v>97</v>
      </c>
      <c r="AO217" s="7">
        <v>44895</v>
      </c>
      <c r="AP217" s="5" t="s">
        <v>197</v>
      </c>
      <c r="AQ217" s="29" t="s">
        <v>276</v>
      </c>
    </row>
    <row r="218" spans="1:43" ht="42.75" hidden="1">
      <c r="A218" s="28">
        <v>117844</v>
      </c>
      <c r="B218" s="5" t="s">
        <v>1059</v>
      </c>
      <c r="C218" s="5" t="s">
        <v>301</v>
      </c>
      <c r="D218" s="5" t="s">
        <v>162</v>
      </c>
      <c r="E218" s="5" t="s">
        <v>68</v>
      </c>
      <c r="F218" s="5" t="s">
        <v>312</v>
      </c>
      <c r="G218" s="5" t="s">
        <v>179</v>
      </c>
      <c r="H218" s="5" t="s">
        <v>91</v>
      </c>
      <c r="I218" s="6">
        <v>5</v>
      </c>
      <c r="J218" s="7">
        <v>44094</v>
      </c>
      <c r="K218" s="8" t="str">
        <f>IF(B218="","",IF(AND(I218="",J218=""),"Unknown",IF(OR(AND(ISNUMBER(I218),I218=0),AND(ISNUMBER(J218),J218&lt;=EDATE('Scoring Settings'!$B$4,-'Scoring Settings'!$B$5))),"Not in use",IF(AND(ISNUMBER(I218),I218&lt;'Scoring Settings'!$B$6),"Low use","Active"))))</f>
        <v>Not in use</v>
      </c>
      <c r="L218" s="5">
        <v>2</v>
      </c>
      <c r="M218" s="5">
        <v>4</v>
      </c>
      <c r="N218" s="5"/>
      <c r="O218" s="5" t="s">
        <v>130</v>
      </c>
      <c r="P218" s="5" t="s">
        <v>1060</v>
      </c>
      <c r="Q218" s="9">
        <v>1</v>
      </c>
      <c r="R218" s="5" t="s">
        <v>166</v>
      </c>
      <c r="S218" s="5" t="s">
        <v>308</v>
      </c>
      <c r="T218" s="5" t="s">
        <v>195</v>
      </c>
      <c r="U218" s="7">
        <v>45209</v>
      </c>
      <c r="V218" s="5" t="s">
        <v>135</v>
      </c>
      <c r="W218" s="6">
        <v>54</v>
      </c>
      <c r="X218" s="5" t="s">
        <v>79</v>
      </c>
      <c r="Y218" s="9">
        <v>7</v>
      </c>
      <c r="Z218" s="5" t="s">
        <v>80</v>
      </c>
      <c r="AA218" s="5" t="s">
        <v>205</v>
      </c>
      <c r="AB218" s="9">
        <v>1</v>
      </c>
      <c r="AC218" s="5" t="s">
        <v>79</v>
      </c>
      <c r="AD218" s="5" t="s">
        <v>82</v>
      </c>
      <c r="AE218" s="5" t="s">
        <v>82</v>
      </c>
      <c r="AF218" s="10">
        <v>26000</v>
      </c>
      <c r="AG218" s="7">
        <v>48852</v>
      </c>
      <c r="AH218" s="10">
        <v>29500</v>
      </c>
      <c r="AI218" s="10">
        <v>14500</v>
      </c>
      <c r="AJ218" s="11">
        <f t="shared" si="3"/>
        <v>24.413793103448274</v>
      </c>
      <c r="AK218" s="12">
        <f>IF(B218="","",OR(K218="Not in use",K218="Low use")+AND(N218&lt;&gt;"",N218&lt;&gt;"TBD")+AND(ISNUMBER(U218),U218&lt;=EDATE('Scoring Settings'!$B$4,'Scoring Settings'!$B$8))+AND(ISNUMBER(L218),L218&lt;='Scoring Settings'!$B$7))</f>
        <v>2</v>
      </c>
      <c r="AL218" s="5" t="s">
        <v>96</v>
      </c>
      <c r="AM218" s="8" t="str">
        <f>IF(B218="","",IF(Z218="N","Easy",IF(OR(AND(ISNUMBER(AB218),AB218&gt;'Scoring Settings'!$B$11),AND(ISNUMBER(W218),W218&gt;'Scoring Settings'!$B$12),AND(ISNUMBER(M218),M218&lt;='Scoring Settings'!$B$13)),"High","Medium")))</f>
        <v>Medium</v>
      </c>
      <c r="AN218" s="5" t="s">
        <v>97</v>
      </c>
      <c r="AO218" s="7">
        <v>44773</v>
      </c>
      <c r="AP218" s="5" t="s">
        <v>197</v>
      </c>
      <c r="AQ218" s="29" t="s">
        <v>1061</v>
      </c>
    </row>
    <row r="219" spans="1:43" hidden="1">
      <c r="A219" s="28">
        <v>69275</v>
      </c>
      <c r="B219" s="5" t="s">
        <v>1066</v>
      </c>
      <c r="C219" s="5" t="s">
        <v>151</v>
      </c>
      <c r="D219" s="5" t="s">
        <v>102</v>
      </c>
      <c r="E219" s="5" t="s">
        <v>68</v>
      </c>
      <c r="F219" s="5" t="s">
        <v>249</v>
      </c>
      <c r="G219" s="5" t="s">
        <v>104</v>
      </c>
      <c r="H219" s="5" t="s">
        <v>129</v>
      </c>
      <c r="I219" s="6">
        <v>7</v>
      </c>
      <c r="J219" s="7">
        <v>44233</v>
      </c>
      <c r="K219" s="8" t="str">
        <f>IF(B219="","",IF(AND(I219="",J219=""),"Unknown",IF(OR(AND(ISNUMBER(I219),I219=0),AND(ISNUMBER(J219),J219&lt;=EDATE('Scoring Settings'!$B$4,-'Scoring Settings'!$B$5))),"Not in use",IF(AND(ISNUMBER(I219),I219&lt;'Scoring Settings'!$B$6),"Low use","Active"))))</f>
        <v>Low use</v>
      </c>
      <c r="L219" s="5">
        <v>4</v>
      </c>
      <c r="M219" s="5">
        <v>2</v>
      </c>
      <c r="N219" s="5"/>
      <c r="O219" s="5" t="s">
        <v>130</v>
      </c>
      <c r="P219" s="5" t="s">
        <v>1067</v>
      </c>
      <c r="Q219" s="9">
        <v>4</v>
      </c>
      <c r="R219" s="5" t="s">
        <v>352</v>
      </c>
      <c r="S219" s="5" t="s">
        <v>353</v>
      </c>
      <c r="T219" s="5" t="s">
        <v>134</v>
      </c>
      <c r="U219" s="7">
        <v>47127</v>
      </c>
      <c r="V219" s="5" t="s">
        <v>135</v>
      </c>
      <c r="W219" s="6">
        <v>59</v>
      </c>
      <c r="X219" s="5" t="s">
        <v>80</v>
      </c>
      <c r="Y219" s="9">
        <v>5</v>
      </c>
      <c r="Z219" s="5" t="s">
        <v>79</v>
      </c>
      <c r="AA219" s="5" t="s">
        <v>110</v>
      </c>
      <c r="AB219" s="9">
        <v>11</v>
      </c>
      <c r="AC219" s="5" t="s">
        <v>82</v>
      </c>
      <c r="AD219" s="5" t="s">
        <v>80</v>
      </c>
      <c r="AE219" s="5" t="s">
        <v>80</v>
      </c>
      <c r="AF219" s="10">
        <v>75000</v>
      </c>
      <c r="AG219" s="7">
        <v>45777</v>
      </c>
      <c r="AH219" s="10">
        <v>92500</v>
      </c>
      <c r="AI219" s="10">
        <v>68000</v>
      </c>
      <c r="AJ219" s="11">
        <f t="shared" si="3"/>
        <v>16.323529411764707</v>
      </c>
      <c r="AK219" s="12">
        <f>IF(B219="","",OR(K219="Not in use",K219="Low use")+AND(N219&lt;&gt;"",N219&lt;&gt;"TBD")+AND(ISNUMBER(U219),U219&lt;=EDATE('Scoring Settings'!$B$4,'Scoring Settings'!$B$8))+AND(ISNUMBER(L219),L219&lt;='Scoring Settings'!$B$7))</f>
        <v>1</v>
      </c>
      <c r="AL219" s="5" t="s">
        <v>223</v>
      </c>
      <c r="AM219" s="8" t="str">
        <f>IF(B219="","",IF(Z219="N","Easy",IF(OR(AND(ISNUMBER(AB219),AB219&gt;'Scoring Settings'!$B$11),AND(ISNUMBER(W219),W219&gt;'Scoring Settings'!$B$12),AND(ISNUMBER(M219),M219&lt;='Scoring Settings'!$B$13)),"High","Medium")))</f>
        <v>Easy</v>
      </c>
      <c r="AN219" s="5" t="s">
        <v>97</v>
      </c>
      <c r="AO219" s="7">
        <v>44895</v>
      </c>
      <c r="AP219" s="5" t="s">
        <v>197</v>
      </c>
      <c r="AQ219" s="29" t="s">
        <v>688</v>
      </c>
    </row>
    <row r="220" spans="1:43" hidden="1">
      <c r="A220" s="28">
        <v>159532</v>
      </c>
      <c r="B220" s="5" t="s">
        <v>1070</v>
      </c>
      <c r="C220" s="5" t="s">
        <v>234</v>
      </c>
      <c r="D220" s="5" t="s">
        <v>102</v>
      </c>
      <c r="E220" s="5" t="s">
        <v>68</v>
      </c>
      <c r="F220" s="5" t="s">
        <v>89</v>
      </c>
      <c r="G220" s="5" t="s">
        <v>237</v>
      </c>
      <c r="H220" s="5" t="s">
        <v>174</v>
      </c>
      <c r="I220" s="6">
        <v>4</v>
      </c>
      <c r="J220" s="7">
        <v>44276</v>
      </c>
      <c r="K220" s="8" t="str">
        <f>IF(B220="","",IF(AND(I220="",J220=""),"Unknown",IF(OR(AND(ISNUMBER(I220),I220=0),AND(ISNUMBER(J220),J220&lt;=EDATE('Scoring Settings'!$B$4,-'Scoring Settings'!$B$5))),"Not in use",IF(AND(ISNUMBER(I220),I220&lt;'Scoring Settings'!$B$6),"Low use","Active"))))</f>
        <v>Low use</v>
      </c>
      <c r="L220" s="5">
        <v>3</v>
      </c>
      <c r="M220" s="5">
        <v>2</v>
      </c>
      <c r="N220" s="5"/>
      <c r="O220" s="5" t="s">
        <v>73</v>
      </c>
      <c r="P220" s="5" t="s">
        <v>1071</v>
      </c>
      <c r="Q220" s="9">
        <v>4</v>
      </c>
      <c r="R220" s="5" t="s">
        <v>132</v>
      </c>
      <c r="S220" s="5" t="s">
        <v>133</v>
      </c>
      <c r="T220" s="5" t="s">
        <v>109</v>
      </c>
      <c r="U220" s="7">
        <v>44227</v>
      </c>
      <c r="V220" s="5" t="s">
        <v>135</v>
      </c>
      <c r="W220" s="6">
        <v>41</v>
      </c>
      <c r="X220" s="5" t="s">
        <v>80</v>
      </c>
      <c r="Y220" s="9">
        <v>7</v>
      </c>
      <c r="Z220" s="5" t="s">
        <v>79</v>
      </c>
      <c r="AA220" s="5" t="s">
        <v>110</v>
      </c>
      <c r="AB220" s="9">
        <v>6</v>
      </c>
      <c r="AC220" s="5" t="s">
        <v>79</v>
      </c>
      <c r="AD220" s="5" t="s">
        <v>80</v>
      </c>
      <c r="AE220" s="5" t="s">
        <v>80</v>
      </c>
      <c r="AF220" s="10">
        <v>105000</v>
      </c>
      <c r="AG220" s="7">
        <v>48121</v>
      </c>
      <c r="AH220" s="10">
        <v>66000</v>
      </c>
      <c r="AI220" s="10">
        <v>86000</v>
      </c>
      <c r="AJ220" s="11">
        <f t="shared" si="3"/>
        <v>9.2093023255813957</v>
      </c>
      <c r="AK220" s="12">
        <f>IF(B220="","",OR(K220="Not in use",K220="Low use")+AND(N220&lt;&gt;"",N220&lt;&gt;"TBD")+AND(ISNUMBER(U220),U220&lt;=EDATE('Scoring Settings'!$B$4,'Scoring Settings'!$B$8))+AND(ISNUMBER(L220),L220&lt;='Scoring Settings'!$B$7))</f>
        <v>2</v>
      </c>
      <c r="AL220" s="5" t="s">
        <v>223</v>
      </c>
      <c r="AM220" s="8" t="str">
        <f>IF(B220="","",IF(Z220="N","Easy",IF(OR(AND(ISNUMBER(AB220),AB220&gt;'Scoring Settings'!$B$11),AND(ISNUMBER(W220),W220&gt;'Scoring Settings'!$B$12),AND(ISNUMBER(M220),M220&lt;='Scoring Settings'!$B$13)),"High","Medium")))</f>
        <v>Easy</v>
      </c>
      <c r="AN220" s="5" t="s">
        <v>97</v>
      </c>
      <c r="AO220" s="7">
        <v>44681</v>
      </c>
      <c r="AP220" s="5" t="s">
        <v>197</v>
      </c>
      <c r="AQ220" s="29" t="s">
        <v>252</v>
      </c>
    </row>
    <row r="221" spans="1:43" ht="42.75" hidden="1">
      <c r="A221" s="28">
        <v>120090</v>
      </c>
      <c r="B221" s="5" t="s">
        <v>1072</v>
      </c>
      <c r="C221" s="5" t="s">
        <v>371</v>
      </c>
      <c r="D221" s="5" t="s">
        <v>162</v>
      </c>
      <c r="E221" s="5" t="s">
        <v>68</v>
      </c>
      <c r="F221" s="5" t="s">
        <v>419</v>
      </c>
      <c r="G221" s="5" t="s">
        <v>226</v>
      </c>
      <c r="H221" s="5" t="s">
        <v>174</v>
      </c>
      <c r="I221" s="6">
        <v>3</v>
      </c>
      <c r="J221" s="7">
        <v>44292</v>
      </c>
      <c r="K221" s="8" t="str">
        <f>IF(B221="","",IF(AND(I221="",J221=""),"Unknown",IF(OR(AND(ISNUMBER(I221),I221=0),AND(ISNUMBER(J221),J221&lt;=EDATE('Scoring Settings'!$B$4,-'Scoring Settings'!$B$5))),"Not in use",IF(AND(ISNUMBER(I221),I221&lt;'Scoring Settings'!$B$6),"Low use","Active"))))</f>
        <v>Low use</v>
      </c>
      <c r="L221" s="5">
        <v>4</v>
      </c>
      <c r="M221" s="5">
        <v>3</v>
      </c>
      <c r="N221" s="5" t="s">
        <v>289</v>
      </c>
      <c r="O221" s="5" t="s">
        <v>73</v>
      </c>
      <c r="P221" s="5" t="s">
        <v>1073</v>
      </c>
      <c r="Q221" s="9">
        <v>1</v>
      </c>
      <c r="R221" s="5" t="s">
        <v>478</v>
      </c>
      <c r="S221" s="5" t="s">
        <v>479</v>
      </c>
      <c r="T221" s="5" t="s">
        <v>122</v>
      </c>
      <c r="U221" s="7">
        <v>43844</v>
      </c>
      <c r="V221" s="5" t="s">
        <v>78</v>
      </c>
      <c r="W221" s="6">
        <v>130</v>
      </c>
      <c r="X221" s="5" t="s">
        <v>79</v>
      </c>
      <c r="Y221" s="9">
        <v>3</v>
      </c>
      <c r="Z221" s="5" t="s">
        <v>79</v>
      </c>
      <c r="AA221" s="5" t="s">
        <v>110</v>
      </c>
      <c r="AB221" s="9">
        <v>1</v>
      </c>
      <c r="AC221" s="5" t="s">
        <v>79</v>
      </c>
      <c r="AD221" s="5" t="s">
        <v>80</v>
      </c>
      <c r="AE221" s="5" t="s">
        <v>79</v>
      </c>
      <c r="AF221" s="10">
        <v>20000</v>
      </c>
      <c r="AG221" s="7">
        <v>49125</v>
      </c>
      <c r="AH221" s="10">
        <v>8500</v>
      </c>
      <c r="AI221" s="10">
        <v>15000</v>
      </c>
      <c r="AJ221" s="11">
        <f t="shared" si="3"/>
        <v>6.8</v>
      </c>
      <c r="AK221" s="12">
        <f>IF(B221="","",OR(K221="Not in use",K221="Low use")+AND(N221&lt;&gt;"",N221&lt;&gt;"TBD")+AND(ISNUMBER(U221),U221&lt;=EDATE('Scoring Settings'!$B$4,'Scoring Settings'!$B$8))+AND(ISNUMBER(L221),L221&lt;='Scoring Settings'!$B$7))</f>
        <v>3</v>
      </c>
      <c r="AL221" s="5" t="s">
        <v>2217</v>
      </c>
      <c r="AM221" s="8" t="str">
        <f>IF(B221="","",IF(Z221="N","Easy",IF(OR(AND(ISNUMBER(AB221),AB221&gt;'Scoring Settings'!$B$11),AND(ISNUMBER(W221),W221&gt;'Scoring Settings'!$B$12),AND(ISNUMBER(M221),M221&lt;='Scoring Settings'!$B$13)),"High","Medium")))</f>
        <v>Easy</v>
      </c>
      <c r="AN221" s="5" t="s">
        <v>97</v>
      </c>
      <c r="AO221" s="7">
        <v>44926</v>
      </c>
      <c r="AP221" s="5" t="s">
        <v>98</v>
      </c>
      <c r="AQ221" s="29" t="s">
        <v>802</v>
      </c>
    </row>
    <row r="222" spans="1:43" ht="57" hidden="1">
      <c r="A222" s="28">
        <v>164592</v>
      </c>
      <c r="B222" s="5" t="s">
        <v>1079</v>
      </c>
      <c r="C222" s="5" t="s">
        <v>343</v>
      </c>
      <c r="D222" s="5" t="s">
        <v>102</v>
      </c>
      <c r="E222" s="5" t="s">
        <v>68</v>
      </c>
      <c r="F222" s="5" t="s">
        <v>288</v>
      </c>
      <c r="G222" s="5" t="s">
        <v>267</v>
      </c>
      <c r="H222" s="5" t="s">
        <v>118</v>
      </c>
      <c r="I222" s="6">
        <v>0</v>
      </c>
      <c r="J222" s="7">
        <v>43730</v>
      </c>
      <c r="K222" s="8" t="str">
        <f>IF(B222="","",IF(AND(I222="",J222=""),"Unknown",IF(OR(AND(ISNUMBER(I222),I222=0),AND(ISNUMBER(J222),J222&lt;=EDATE('Scoring Settings'!$B$4,-'Scoring Settings'!$B$5))),"Not in use",IF(AND(ISNUMBER(I222),I222&lt;'Scoring Settings'!$B$6),"Low use","Active"))))</f>
        <v>Not in use</v>
      </c>
      <c r="L222" s="5">
        <v>1</v>
      </c>
      <c r="M222" s="5">
        <v>4</v>
      </c>
      <c r="N222" s="5" t="s">
        <v>862</v>
      </c>
      <c r="O222" s="5" t="s">
        <v>191</v>
      </c>
      <c r="P222" s="5" t="s">
        <v>192</v>
      </c>
      <c r="Q222" s="9">
        <v>0</v>
      </c>
      <c r="R222" s="5" t="s">
        <v>193</v>
      </c>
      <c r="S222" s="5" t="s">
        <v>318</v>
      </c>
      <c r="T222" s="5" t="s">
        <v>195</v>
      </c>
      <c r="U222" s="7"/>
      <c r="V222" s="5" t="s">
        <v>135</v>
      </c>
      <c r="W222" s="6">
        <v>230</v>
      </c>
      <c r="X222" s="5" t="s">
        <v>80</v>
      </c>
      <c r="Y222" s="9">
        <v>7</v>
      </c>
      <c r="Z222" s="5" t="s">
        <v>79</v>
      </c>
      <c r="AA222" s="5" t="s">
        <v>110</v>
      </c>
      <c r="AB222" s="9">
        <v>3</v>
      </c>
      <c r="AC222" s="5" t="s">
        <v>79</v>
      </c>
      <c r="AD222" s="5" t="s">
        <v>79</v>
      </c>
      <c r="AE222" s="5" t="s">
        <v>80</v>
      </c>
      <c r="AF222" s="10">
        <v>20000</v>
      </c>
      <c r="AG222" s="7">
        <v>46203</v>
      </c>
      <c r="AH222" s="10">
        <v>25000</v>
      </c>
      <c r="AI222" s="10">
        <v>18000</v>
      </c>
      <c r="AJ222" s="11">
        <f t="shared" si="3"/>
        <v>16.666666666666664</v>
      </c>
      <c r="AK222" s="12">
        <f>IF(B222="","",OR(K222="Not in use",K222="Low use")+AND(N222&lt;&gt;"",N222&lt;&gt;"TBD")+AND(ISNUMBER(U222),U222&lt;=EDATE('Scoring Settings'!$B$4,'Scoring Settings'!$B$8))+AND(ISNUMBER(L222),L222&lt;='Scoring Settings'!$B$7))</f>
        <v>3</v>
      </c>
      <c r="AL222" s="5" t="s">
        <v>223</v>
      </c>
      <c r="AM222" s="8" t="str">
        <f>IF(B222="","",IF(Z222="N","Easy",IF(OR(AND(ISNUMBER(AB222),AB222&gt;'Scoring Settings'!$B$11),AND(ISNUMBER(W222),W222&gt;'Scoring Settings'!$B$12),AND(ISNUMBER(M222),M222&lt;='Scoring Settings'!$B$13)),"High","Medium")))</f>
        <v>Easy</v>
      </c>
      <c r="AN222" s="5" t="s">
        <v>97</v>
      </c>
      <c r="AO222" s="7">
        <v>44804</v>
      </c>
      <c r="AP222" s="5" t="s">
        <v>197</v>
      </c>
      <c r="AQ222" s="29" t="s">
        <v>1080</v>
      </c>
    </row>
    <row r="223" spans="1:43" hidden="1">
      <c r="A223" s="28">
        <v>145730</v>
      </c>
      <c r="B223" s="5" t="s">
        <v>1093</v>
      </c>
      <c r="C223" s="5" t="s">
        <v>305</v>
      </c>
      <c r="D223" s="5" t="s">
        <v>297</v>
      </c>
      <c r="E223" s="5" t="s">
        <v>68</v>
      </c>
      <c r="F223" s="5" t="s">
        <v>312</v>
      </c>
      <c r="G223" s="5" t="s">
        <v>284</v>
      </c>
      <c r="H223" s="5" t="s">
        <v>105</v>
      </c>
      <c r="I223" s="6">
        <v>182</v>
      </c>
      <c r="J223" s="7">
        <v>44305</v>
      </c>
      <c r="K223" s="8" t="str">
        <f>IF(B223="","",IF(AND(I223="",J223=""),"Unknown",IF(OR(AND(ISNUMBER(I223),I223=0),AND(ISNUMBER(J223),J223&lt;=EDATE('Scoring Settings'!$B$4,-'Scoring Settings'!$B$5))),"Not in use",IF(AND(ISNUMBER(I223),I223&lt;'Scoring Settings'!$B$6),"Low use","Active"))))</f>
        <v>Active</v>
      </c>
      <c r="L223" s="5">
        <v>1</v>
      </c>
      <c r="M223" s="5">
        <v>4</v>
      </c>
      <c r="N223" s="5" t="s">
        <v>617</v>
      </c>
      <c r="O223" s="5" t="s">
        <v>73</v>
      </c>
      <c r="P223" s="5" t="s">
        <v>1094</v>
      </c>
      <c r="Q223" s="9">
        <v>2</v>
      </c>
      <c r="R223" s="5" t="s">
        <v>251</v>
      </c>
      <c r="S223" s="5" t="s">
        <v>133</v>
      </c>
      <c r="T223" s="5" t="s">
        <v>122</v>
      </c>
      <c r="U223" s="7">
        <v>44165</v>
      </c>
      <c r="V223" s="5" t="s">
        <v>135</v>
      </c>
      <c r="W223" s="6">
        <v>1030</v>
      </c>
      <c r="X223" s="5" t="s">
        <v>80</v>
      </c>
      <c r="Y223" s="9">
        <v>7</v>
      </c>
      <c r="Z223" s="5" t="s">
        <v>80</v>
      </c>
      <c r="AA223" s="5" t="s">
        <v>205</v>
      </c>
      <c r="AB223" s="9">
        <v>3</v>
      </c>
      <c r="AC223" s="5" t="s">
        <v>82</v>
      </c>
      <c r="AD223" s="5" t="s">
        <v>82</v>
      </c>
      <c r="AE223" s="5" t="s">
        <v>79</v>
      </c>
      <c r="AF223" s="10">
        <v>24000</v>
      </c>
      <c r="AG223" s="7">
        <v>47634</v>
      </c>
      <c r="AH223" s="10">
        <v>19500</v>
      </c>
      <c r="AI223" s="10">
        <v>12500</v>
      </c>
      <c r="AJ223" s="11">
        <f t="shared" si="3"/>
        <v>18.72</v>
      </c>
      <c r="AK223" s="12">
        <f>IF(B223="","",OR(K223="Not in use",K223="Low use")+AND(N223&lt;&gt;"",N223&lt;&gt;"TBD")+AND(ISNUMBER(U223),U223&lt;=EDATE('Scoring Settings'!$B$4,'Scoring Settings'!$B$8))+AND(ISNUMBER(L223),L223&lt;='Scoring Settings'!$B$7))</f>
        <v>3</v>
      </c>
      <c r="AL223" s="5" t="s">
        <v>96</v>
      </c>
      <c r="AM223" s="8" t="str">
        <f>IF(B223="","",IF(Z223="N","Easy",IF(OR(AND(ISNUMBER(AB223),AB223&gt;'Scoring Settings'!$B$11),AND(ISNUMBER(W223),W223&gt;'Scoring Settings'!$B$12),AND(ISNUMBER(M223),M223&lt;='Scoring Settings'!$B$13)),"High","Medium")))</f>
        <v>High</v>
      </c>
      <c r="AN223" s="5" t="s">
        <v>97</v>
      </c>
      <c r="AO223" s="7">
        <v>44651</v>
      </c>
      <c r="AP223" s="5" t="s">
        <v>197</v>
      </c>
      <c r="AQ223" s="29" t="s">
        <v>399</v>
      </c>
    </row>
    <row r="224" spans="1:43" hidden="1">
      <c r="A224" s="28">
        <v>92698</v>
      </c>
      <c r="B224" s="5" t="s">
        <v>1106</v>
      </c>
      <c r="C224" s="5" t="s">
        <v>234</v>
      </c>
      <c r="D224" s="5" t="s">
        <v>102</v>
      </c>
      <c r="E224" s="5" t="s">
        <v>68</v>
      </c>
      <c r="F224" s="5" t="s">
        <v>69</v>
      </c>
      <c r="G224" s="5" t="s">
        <v>141</v>
      </c>
      <c r="H224" s="5" t="s">
        <v>174</v>
      </c>
      <c r="I224" s="6">
        <v>110</v>
      </c>
      <c r="J224" s="7">
        <v>44299</v>
      </c>
      <c r="K224" s="8" t="str">
        <f>IF(B224="","",IF(AND(I224="",J224=""),"Unknown",IF(OR(AND(ISNUMBER(I224),I224=0),AND(ISNUMBER(J224),J224&lt;=EDATE('Scoring Settings'!$B$4,-'Scoring Settings'!$B$5))),"Not in use",IF(AND(ISNUMBER(I224),I224&lt;'Scoring Settings'!$B$6),"Low use","Active"))))</f>
        <v>Active</v>
      </c>
      <c r="L224" s="5">
        <v>1</v>
      </c>
      <c r="M224" s="5">
        <v>4</v>
      </c>
      <c r="N224" s="5"/>
      <c r="O224" s="5" t="s">
        <v>130</v>
      </c>
      <c r="P224" s="5" t="s">
        <v>1107</v>
      </c>
      <c r="Q224" s="9">
        <v>1</v>
      </c>
      <c r="R224" s="5" t="s">
        <v>93</v>
      </c>
      <c r="S224" s="5" t="s">
        <v>94</v>
      </c>
      <c r="T224" s="5" t="s">
        <v>168</v>
      </c>
      <c r="U224" s="7">
        <v>44561</v>
      </c>
      <c r="V224" s="5" t="s">
        <v>135</v>
      </c>
      <c r="W224" s="6">
        <v>52</v>
      </c>
      <c r="X224" s="5" t="s">
        <v>80</v>
      </c>
      <c r="Y224" s="9">
        <v>10</v>
      </c>
      <c r="Z224" s="5" t="s">
        <v>80</v>
      </c>
      <c r="AA224" s="5" t="s">
        <v>81</v>
      </c>
      <c r="AB224" s="9">
        <v>1</v>
      </c>
      <c r="AC224" s="5" t="s">
        <v>82</v>
      </c>
      <c r="AD224" s="5" t="s">
        <v>82</v>
      </c>
      <c r="AE224" s="5" t="s">
        <v>79</v>
      </c>
      <c r="AF224" s="10">
        <v>22500</v>
      </c>
      <c r="AG224" s="7">
        <v>48273</v>
      </c>
      <c r="AH224" s="10">
        <v>28000</v>
      </c>
      <c r="AI224" s="10">
        <v>13500</v>
      </c>
      <c r="AJ224" s="11">
        <f t="shared" si="3"/>
        <v>24.888888888888886</v>
      </c>
      <c r="AK224" s="12">
        <f>IF(B224="","",OR(K224="Not in use",K224="Low use")+AND(N224&lt;&gt;"",N224&lt;&gt;"TBD")+AND(ISNUMBER(U224),U224&lt;=EDATE('Scoring Settings'!$B$4,'Scoring Settings'!$B$8))+AND(ISNUMBER(L224),L224&lt;='Scoring Settings'!$B$7))</f>
        <v>2</v>
      </c>
      <c r="AL224" s="5" t="s">
        <v>96</v>
      </c>
      <c r="AM224" s="8" t="str">
        <f>IF(B224="","",IF(Z224="N","Easy",IF(OR(AND(ISNUMBER(AB224),AB224&gt;'Scoring Settings'!$B$11),AND(ISNUMBER(W224),W224&gt;'Scoring Settings'!$B$12),AND(ISNUMBER(M224),M224&lt;='Scoring Settings'!$B$13)),"High","Medium")))</f>
        <v>Medium</v>
      </c>
      <c r="AN224" s="5" t="s">
        <v>97</v>
      </c>
      <c r="AO224" s="7">
        <v>44834</v>
      </c>
      <c r="AP224" s="5" t="s">
        <v>98</v>
      </c>
      <c r="AQ224" s="29" t="s">
        <v>136</v>
      </c>
    </row>
    <row r="225" spans="1:43" hidden="1">
      <c r="A225" s="28">
        <v>26245</v>
      </c>
      <c r="B225" s="5" t="s">
        <v>1109</v>
      </c>
      <c r="C225" s="5" t="s">
        <v>343</v>
      </c>
      <c r="D225" s="5" t="s">
        <v>102</v>
      </c>
      <c r="E225" s="5" t="s">
        <v>298</v>
      </c>
      <c r="F225" s="5" t="s">
        <v>116</v>
      </c>
      <c r="G225" s="5" t="s">
        <v>226</v>
      </c>
      <c r="H225" s="5" t="s">
        <v>118</v>
      </c>
      <c r="I225" s="6">
        <v>17</v>
      </c>
      <c r="J225" s="7">
        <v>44217</v>
      </c>
      <c r="K225" s="8" t="str">
        <f>IF(B225="","",IF(AND(I225="",J225=""),"Unknown",IF(OR(AND(ISNUMBER(I225),I225=0),AND(ISNUMBER(J225),J225&lt;=EDATE('Scoring Settings'!$B$4,-'Scoring Settings'!$B$5))),"Not in use",IF(AND(ISNUMBER(I225),I225&lt;'Scoring Settings'!$B$6),"Low use","Active"))))</f>
        <v>Low use</v>
      </c>
      <c r="L225" s="5">
        <v>2</v>
      </c>
      <c r="M225" s="5">
        <v>3</v>
      </c>
      <c r="N225" s="5" t="s">
        <v>72</v>
      </c>
      <c r="O225" s="5" t="s">
        <v>73</v>
      </c>
      <c r="P225" s="5" t="s">
        <v>1110</v>
      </c>
      <c r="Q225" s="9">
        <v>1</v>
      </c>
      <c r="R225" s="5" t="s">
        <v>358</v>
      </c>
      <c r="S225" s="5" t="s">
        <v>133</v>
      </c>
      <c r="T225" s="5" t="s">
        <v>72</v>
      </c>
      <c r="U225" s="7">
        <v>43555</v>
      </c>
      <c r="V225" s="5" t="s">
        <v>95</v>
      </c>
      <c r="W225" s="6">
        <v>42</v>
      </c>
      <c r="X225" s="5" t="s">
        <v>80</v>
      </c>
      <c r="Y225" s="9">
        <v>5</v>
      </c>
      <c r="Z225" s="5" t="s">
        <v>79</v>
      </c>
      <c r="AA225" s="5" t="s">
        <v>110</v>
      </c>
      <c r="AB225" s="9">
        <v>5</v>
      </c>
      <c r="AC225" s="5" t="s">
        <v>79</v>
      </c>
      <c r="AD225" s="5" t="s">
        <v>82</v>
      </c>
      <c r="AE225" s="5" t="s">
        <v>82</v>
      </c>
      <c r="AF225" s="10">
        <v>30500</v>
      </c>
      <c r="AG225" s="7">
        <v>48760</v>
      </c>
      <c r="AH225" s="10">
        <v>39000</v>
      </c>
      <c r="AI225" s="10">
        <v>26000</v>
      </c>
      <c r="AJ225" s="11">
        <f t="shared" si="3"/>
        <v>18</v>
      </c>
      <c r="AK225" s="12">
        <f>IF(B225="","",OR(K225="Not in use",K225="Low use")+AND(N225&lt;&gt;"",N225&lt;&gt;"TBD")+AND(ISNUMBER(U225),U225&lt;=EDATE('Scoring Settings'!$B$4,'Scoring Settings'!$B$8))+AND(ISNUMBER(L225),L225&lt;='Scoring Settings'!$B$7))</f>
        <v>3</v>
      </c>
      <c r="AL225" s="5" t="s">
        <v>223</v>
      </c>
      <c r="AM225" s="8" t="str">
        <f>IF(B225="","",IF(Z225="N","Easy",IF(OR(AND(ISNUMBER(AB225),AB225&gt;'Scoring Settings'!$B$11),AND(ISNUMBER(W225),W225&gt;'Scoring Settings'!$B$12),AND(ISNUMBER(M225),M225&lt;='Scoring Settings'!$B$13)),"High","Medium")))</f>
        <v>Easy</v>
      </c>
      <c r="AN225" s="5" t="s">
        <v>97</v>
      </c>
      <c r="AO225" s="7">
        <v>44865</v>
      </c>
      <c r="AP225" s="5" t="s">
        <v>197</v>
      </c>
      <c r="AQ225" s="29" t="s">
        <v>688</v>
      </c>
    </row>
    <row r="226" spans="1:43" hidden="1">
      <c r="A226" s="28">
        <v>40939</v>
      </c>
      <c r="B226" s="5" t="s">
        <v>1111</v>
      </c>
      <c r="C226" s="5" t="s">
        <v>161</v>
      </c>
      <c r="D226" s="5" t="s">
        <v>162</v>
      </c>
      <c r="E226" s="5" t="s">
        <v>68</v>
      </c>
      <c r="F226" s="5" t="s">
        <v>288</v>
      </c>
      <c r="G226" s="5" t="s">
        <v>141</v>
      </c>
      <c r="H226" s="5" t="s">
        <v>105</v>
      </c>
      <c r="I226" s="6">
        <v>217</v>
      </c>
      <c r="J226" s="7">
        <v>44313</v>
      </c>
      <c r="K226" s="8" t="str">
        <f>IF(B226="","",IF(AND(I226="",J226=""),"Unknown",IF(OR(AND(ISNUMBER(I226),I226=0),AND(ISNUMBER(J226),J226&lt;=EDATE('Scoring Settings'!$B$4,-'Scoring Settings'!$B$5))),"Not in use",IF(AND(ISNUMBER(I226),I226&lt;'Scoring Settings'!$B$6),"Low use","Active"))))</f>
        <v>Active</v>
      </c>
      <c r="L226" s="5">
        <v>2</v>
      </c>
      <c r="M226" s="5">
        <v>3</v>
      </c>
      <c r="N226" s="5" t="s">
        <v>458</v>
      </c>
      <c r="O226" s="5" t="s">
        <v>73</v>
      </c>
      <c r="P226" s="5" t="s">
        <v>1112</v>
      </c>
      <c r="Q226" s="9">
        <v>4</v>
      </c>
      <c r="R226" s="5" t="s">
        <v>107</v>
      </c>
      <c r="S226" s="5" t="s">
        <v>108</v>
      </c>
      <c r="T226" s="5" t="s">
        <v>109</v>
      </c>
      <c r="U226" s="7">
        <v>43655</v>
      </c>
      <c r="V226" s="5" t="s">
        <v>135</v>
      </c>
      <c r="W226" s="6">
        <v>41</v>
      </c>
      <c r="X226" s="5" t="s">
        <v>79</v>
      </c>
      <c r="Y226" s="9">
        <v>3</v>
      </c>
      <c r="Z226" s="5" t="s">
        <v>79</v>
      </c>
      <c r="AA226" s="5" t="s">
        <v>110</v>
      </c>
      <c r="AB226" s="9">
        <v>8</v>
      </c>
      <c r="AC226" s="5" t="s">
        <v>82</v>
      </c>
      <c r="AD226" s="5" t="s">
        <v>79</v>
      </c>
      <c r="AE226" s="5" t="s">
        <v>82</v>
      </c>
      <c r="AF226" s="10">
        <v>30000</v>
      </c>
      <c r="AG226" s="7">
        <v>48091</v>
      </c>
      <c r="AH226" s="10">
        <v>13500</v>
      </c>
      <c r="AI226" s="10">
        <v>27000</v>
      </c>
      <c r="AJ226" s="11">
        <f t="shared" si="3"/>
        <v>6</v>
      </c>
      <c r="AK226" s="12">
        <f>IF(B226="","",OR(K226="Not in use",K226="Low use")+AND(N226&lt;&gt;"",N226&lt;&gt;"TBD")+AND(ISNUMBER(U226),U226&lt;=EDATE('Scoring Settings'!$B$4,'Scoring Settings'!$B$8))+AND(ISNUMBER(L226),L226&lt;='Scoring Settings'!$B$7))</f>
        <v>3</v>
      </c>
      <c r="AL226" s="5" t="s">
        <v>223</v>
      </c>
      <c r="AM226" s="8" t="str">
        <f>IF(B226="","",IF(Z226="N","Easy",IF(OR(AND(ISNUMBER(AB226),AB226&gt;'Scoring Settings'!$B$11),AND(ISNUMBER(W226),W226&gt;'Scoring Settings'!$B$12),AND(ISNUMBER(M226),M226&lt;='Scoring Settings'!$B$13)),"High","Medium")))</f>
        <v>Easy</v>
      </c>
      <c r="AN226" s="5" t="s">
        <v>97</v>
      </c>
      <c r="AO226" s="7">
        <v>44895</v>
      </c>
      <c r="AP226" s="5" t="s">
        <v>197</v>
      </c>
      <c r="AQ226" s="29" t="s">
        <v>688</v>
      </c>
    </row>
    <row r="227" spans="1:43" hidden="1">
      <c r="A227" s="28">
        <v>119840</v>
      </c>
      <c r="B227" s="5" t="s">
        <v>1113</v>
      </c>
      <c r="C227" s="5" t="s">
        <v>215</v>
      </c>
      <c r="D227" s="5" t="s">
        <v>139</v>
      </c>
      <c r="E227" s="5" t="s">
        <v>68</v>
      </c>
      <c r="F227" s="5" t="s">
        <v>178</v>
      </c>
      <c r="G227" s="5" t="s">
        <v>284</v>
      </c>
      <c r="H227" s="5" t="s">
        <v>118</v>
      </c>
      <c r="I227" s="6">
        <v>20</v>
      </c>
      <c r="J227" s="7">
        <v>44285</v>
      </c>
      <c r="K227" s="8" t="str">
        <f>IF(B227="","",IF(AND(I227="",J227=""),"Unknown",IF(OR(AND(ISNUMBER(I227),I227=0),AND(ISNUMBER(J227),J227&lt;=EDATE('Scoring Settings'!$B$4,-'Scoring Settings'!$B$5))),"Not in use",IF(AND(ISNUMBER(I227),I227&lt;'Scoring Settings'!$B$6),"Low use","Active"))))</f>
        <v>Low use</v>
      </c>
      <c r="L227" s="5">
        <v>3</v>
      </c>
      <c r="M227" s="5">
        <v>3</v>
      </c>
      <c r="N227" s="5"/>
      <c r="O227" s="5" t="s">
        <v>191</v>
      </c>
      <c r="P227" s="5" t="s">
        <v>192</v>
      </c>
      <c r="Q227" s="9">
        <v>0</v>
      </c>
      <c r="R227" s="5" t="s">
        <v>193</v>
      </c>
      <c r="S227" s="5" t="s">
        <v>194</v>
      </c>
      <c r="T227" s="5" t="s">
        <v>195</v>
      </c>
      <c r="U227" s="7">
        <v>44742</v>
      </c>
      <c r="V227" s="5" t="s">
        <v>135</v>
      </c>
      <c r="W227" s="6">
        <v>150</v>
      </c>
      <c r="X227" s="5" t="s">
        <v>80</v>
      </c>
      <c r="Y227" s="9">
        <v>7</v>
      </c>
      <c r="Z227" s="5" t="s">
        <v>80</v>
      </c>
      <c r="AA227" s="5" t="s">
        <v>205</v>
      </c>
      <c r="AB227" s="9">
        <v>1</v>
      </c>
      <c r="AC227" s="5" t="s">
        <v>79</v>
      </c>
      <c r="AD227" s="5" t="s">
        <v>79</v>
      </c>
      <c r="AE227" s="5" t="s">
        <v>82</v>
      </c>
      <c r="AF227" s="10">
        <v>8000</v>
      </c>
      <c r="AG227" s="7">
        <v>47848</v>
      </c>
      <c r="AH227" s="10">
        <v>5000</v>
      </c>
      <c r="AI227" s="10">
        <v>4000</v>
      </c>
      <c r="AJ227" s="11">
        <f t="shared" si="3"/>
        <v>15</v>
      </c>
      <c r="AK227" s="12">
        <f>IF(B227="","",OR(K227="Not in use",K227="Low use")+AND(N227&lt;&gt;"",N227&lt;&gt;"TBD")+AND(ISNUMBER(U227),U227&lt;=EDATE('Scoring Settings'!$B$4,'Scoring Settings'!$B$8))+AND(ISNUMBER(L227),L227&lt;='Scoring Settings'!$B$7))</f>
        <v>1</v>
      </c>
      <c r="AL227" s="5" t="s">
        <v>96</v>
      </c>
      <c r="AM227" s="8" t="str">
        <f>IF(B227="","",IF(Z227="N","Easy",IF(OR(AND(ISNUMBER(AB227),AB227&gt;'Scoring Settings'!$B$11),AND(ISNUMBER(W227),W227&gt;'Scoring Settings'!$B$12),AND(ISNUMBER(M227),M227&lt;='Scoring Settings'!$B$13)),"High","Medium")))</f>
        <v>Medium</v>
      </c>
      <c r="AN227" s="5" t="s">
        <v>97</v>
      </c>
      <c r="AO227" s="7">
        <v>44834</v>
      </c>
      <c r="AP227" s="5" t="s">
        <v>98</v>
      </c>
      <c r="AQ227" s="29" t="s">
        <v>213</v>
      </c>
    </row>
    <row r="228" spans="1:43" hidden="1">
      <c r="A228" s="28">
        <v>194460</v>
      </c>
      <c r="B228" s="5" t="s">
        <v>1132</v>
      </c>
      <c r="C228" s="5" t="s">
        <v>126</v>
      </c>
      <c r="D228" s="5" t="s">
        <v>88</v>
      </c>
      <c r="E228" s="5" t="s">
        <v>311</v>
      </c>
      <c r="F228" s="5" t="s">
        <v>299</v>
      </c>
      <c r="G228" s="5" t="s">
        <v>210</v>
      </c>
      <c r="H228" s="5" t="s">
        <v>105</v>
      </c>
      <c r="I228" s="6">
        <v>323</v>
      </c>
      <c r="J228" s="7">
        <v>44280</v>
      </c>
      <c r="K228" s="8" t="str">
        <f>IF(B228="","",IF(AND(I228="",J228=""),"Unknown",IF(OR(AND(ISNUMBER(I228),I228=0),AND(ISNUMBER(J228),J228&lt;=EDATE('Scoring Settings'!$B$4,-'Scoring Settings'!$B$5))),"Not in use",IF(AND(ISNUMBER(I228),I228&lt;'Scoring Settings'!$B$6),"Low use","Active"))))</f>
        <v>Active</v>
      </c>
      <c r="L228" s="5">
        <v>1</v>
      </c>
      <c r="M228" s="5">
        <v>3</v>
      </c>
      <c r="N228" s="5" t="s">
        <v>72</v>
      </c>
      <c r="O228" s="5" t="s">
        <v>73</v>
      </c>
      <c r="P228" s="5" t="s">
        <v>1133</v>
      </c>
      <c r="Q228" s="9">
        <v>3</v>
      </c>
      <c r="R228" s="5" t="s">
        <v>335</v>
      </c>
      <c r="S228" s="5" t="s">
        <v>336</v>
      </c>
      <c r="T228" s="5" t="s">
        <v>184</v>
      </c>
      <c r="U228" s="7">
        <v>45473</v>
      </c>
      <c r="V228" s="5" t="s">
        <v>95</v>
      </c>
      <c r="W228" s="6">
        <v>1150</v>
      </c>
      <c r="X228" s="5" t="s">
        <v>79</v>
      </c>
      <c r="Y228" s="9">
        <v>5</v>
      </c>
      <c r="Z228" s="5" t="s">
        <v>80</v>
      </c>
      <c r="AA228" s="5" t="s">
        <v>205</v>
      </c>
      <c r="AB228" s="9">
        <v>8</v>
      </c>
      <c r="AC228" s="5" t="s">
        <v>80</v>
      </c>
      <c r="AD228" s="5" t="s">
        <v>79</v>
      </c>
      <c r="AE228" s="5" t="s">
        <v>79</v>
      </c>
      <c r="AF228" s="10">
        <v>50000</v>
      </c>
      <c r="AG228" s="7">
        <v>48518</v>
      </c>
      <c r="AH228" s="10">
        <v>48500</v>
      </c>
      <c r="AI228" s="10">
        <v>32500</v>
      </c>
      <c r="AJ228" s="11">
        <f t="shared" si="3"/>
        <v>17.907692307692308</v>
      </c>
      <c r="AK228" s="12">
        <f>IF(B228="","",OR(K228="Not in use",K228="Low use")+AND(N228&lt;&gt;"",N228&lt;&gt;"TBD")+AND(ISNUMBER(U228),U228&lt;=EDATE('Scoring Settings'!$B$4,'Scoring Settings'!$B$8))+AND(ISNUMBER(L228),L228&lt;='Scoring Settings'!$B$7))</f>
        <v>1</v>
      </c>
      <c r="AL228" s="5" t="s">
        <v>96</v>
      </c>
      <c r="AM228" s="8" t="str">
        <f>IF(B228="","",IF(Z228="N","Easy",IF(OR(AND(ISNUMBER(AB228),AB228&gt;'Scoring Settings'!$B$11),AND(ISNUMBER(W228),W228&gt;'Scoring Settings'!$B$12),AND(ISNUMBER(M228),M228&lt;='Scoring Settings'!$B$13)),"High","Medium")))</f>
        <v>High</v>
      </c>
      <c r="AN228" s="5" t="s">
        <v>97</v>
      </c>
      <c r="AO228" s="7">
        <v>44592</v>
      </c>
      <c r="AP228" s="5" t="s">
        <v>197</v>
      </c>
      <c r="AQ228" s="29" t="s">
        <v>844</v>
      </c>
    </row>
    <row r="229" spans="1:43" hidden="1">
      <c r="A229" s="28">
        <v>144717</v>
      </c>
      <c r="B229" s="5" t="s">
        <v>1135</v>
      </c>
      <c r="C229" s="5" t="s">
        <v>464</v>
      </c>
      <c r="D229" s="5" t="s">
        <v>88</v>
      </c>
      <c r="E229" s="5" t="s">
        <v>68</v>
      </c>
      <c r="F229" s="5" t="s">
        <v>201</v>
      </c>
      <c r="G229" s="5" t="s">
        <v>226</v>
      </c>
      <c r="H229" s="5" t="s">
        <v>118</v>
      </c>
      <c r="I229" s="6">
        <v>199</v>
      </c>
      <c r="J229" s="7">
        <v>44311</v>
      </c>
      <c r="K229" s="8" t="str">
        <f>IF(B229="","",IF(AND(I229="",J229=""),"Unknown",IF(OR(AND(ISNUMBER(I229),I229=0),AND(ISNUMBER(J229),J229&lt;=EDATE('Scoring Settings'!$B$4,-'Scoring Settings'!$B$5))),"Not in use",IF(AND(ISNUMBER(I229),I229&lt;'Scoring Settings'!$B$6),"Low use","Active"))))</f>
        <v>Active</v>
      </c>
      <c r="L229" s="5">
        <v>3</v>
      </c>
      <c r="M229" s="5">
        <v>4</v>
      </c>
      <c r="N229" s="5" t="s">
        <v>180</v>
      </c>
      <c r="O229" s="5" t="s">
        <v>130</v>
      </c>
      <c r="P229" s="5" t="s">
        <v>1136</v>
      </c>
      <c r="Q229" s="9">
        <v>2</v>
      </c>
      <c r="R229" s="5" t="s">
        <v>251</v>
      </c>
      <c r="S229" s="5" t="s">
        <v>133</v>
      </c>
      <c r="T229" s="5" t="s">
        <v>168</v>
      </c>
      <c r="U229" s="7">
        <v>44165</v>
      </c>
      <c r="V229" s="5" t="s">
        <v>135</v>
      </c>
      <c r="W229" s="6">
        <v>28</v>
      </c>
      <c r="X229" s="5" t="s">
        <v>79</v>
      </c>
      <c r="Y229" s="9">
        <v>7</v>
      </c>
      <c r="Z229" s="5" t="s">
        <v>80</v>
      </c>
      <c r="AA229" s="5" t="s">
        <v>81</v>
      </c>
      <c r="AB229" s="9">
        <v>3</v>
      </c>
      <c r="AC229" s="5" t="s">
        <v>79</v>
      </c>
      <c r="AD229" s="5" t="s">
        <v>80</v>
      </c>
      <c r="AE229" s="5" t="s">
        <v>80</v>
      </c>
      <c r="AF229" s="10">
        <v>21500</v>
      </c>
      <c r="AG229" s="7">
        <v>47177</v>
      </c>
      <c r="AH229" s="10">
        <v>32500</v>
      </c>
      <c r="AI229" s="10">
        <v>19500</v>
      </c>
      <c r="AJ229" s="11">
        <f t="shared" si="3"/>
        <v>20</v>
      </c>
      <c r="AK229" s="12">
        <f>IF(B229="","",OR(K229="Not in use",K229="Low use")+AND(N229&lt;&gt;"",N229&lt;&gt;"TBD")+AND(ISNUMBER(U229),U229&lt;=EDATE('Scoring Settings'!$B$4,'Scoring Settings'!$B$8))+AND(ISNUMBER(L229),L229&lt;='Scoring Settings'!$B$7))</f>
        <v>2</v>
      </c>
      <c r="AL229" s="5" t="s">
        <v>2217</v>
      </c>
      <c r="AM229" s="8" t="str">
        <f>IF(B229="","",IF(Z229="N","Easy",IF(OR(AND(ISNUMBER(AB229),AB229&gt;'Scoring Settings'!$B$11),AND(ISNUMBER(W229),W229&gt;'Scoring Settings'!$B$12),AND(ISNUMBER(M229),M229&lt;='Scoring Settings'!$B$13)),"High","Medium")))</f>
        <v>Medium</v>
      </c>
      <c r="AN229" s="5" t="s">
        <v>97</v>
      </c>
      <c r="AO229" s="7">
        <v>44620</v>
      </c>
      <c r="AP229" s="5" t="s">
        <v>197</v>
      </c>
      <c r="AQ229" s="29" t="s">
        <v>1137</v>
      </c>
    </row>
    <row r="230" spans="1:43" ht="42.75" hidden="1">
      <c r="A230" s="28">
        <v>149836</v>
      </c>
      <c r="B230" s="5" t="s">
        <v>1146</v>
      </c>
      <c r="C230" s="5" t="s">
        <v>467</v>
      </c>
      <c r="D230" s="5" t="s">
        <v>297</v>
      </c>
      <c r="E230" s="5" t="s">
        <v>68</v>
      </c>
      <c r="F230" s="5" t="s">
        <v>299</v>
      </c>
      <c r="G230" s="5" t="s">
        <v>104</v>
      </c>
      <c r="H230" s="5" t="s">
        <v>91</v>
      </c>
      <c r="I230" s="6">
        <v>1178</v>
      </c>
      <c r="J230" s="7">
        <v>44278</v>
      </c>
      <c r="K230" s="8" t="str">
        <f>IF(B230="","",IF(AND(I230="",J230=""),"Unknown",IF(OR(AND(ISNUMBER(I230),I230=0),AND(ISNUMBER(J230),J230&lt;=EDATE('Scoring Settings'!$B$4,-'Scoring Settings'!$B$5))),"Not in use",IF(AND(ISNUMBER(I230),I230&lt;'Scoring Settings'!$B$6),"Low use","Active"))))</f>
        <v>Active</v>
      </c>
      <c r="L230" s="5">
        <v>4</v>
      </c>
      <c r="M230" s="5">
        <v>1</v>
      </c>
      <c r="N230" s="5" t="s">
        <v>306</v>
      </c>
      <c r="O230" s="5" t="s">
        <v>130</v>
      </c>
      <c r="P230" s="5" t="s">
        <v>1147</v>
      </c>
      <c r="Q230" s="9">
        <v>3</v>
      </c>
      <c r="R230" s="5" t="s">
        <v>182</v>
      </c>
      <c r="S230" s="5" t="s">
        <v>183</v>
      </c>
      <c r="T230" s="5" t="s">
        <v>168</v>
      </c>
      <c r="U230" s="7">
        <v>42855</v>
      </c>
      <c r="V230" s="5" t="s">
        <v>135</v>
      </c>
      <c r="W230" s="6">
        <v>430</v>
      </c>
      <c r="X230" s="5" t="s">
        <v>80</v>
      </c>
      <c r="Y230" s="9">
        <v>7</v>
      </c>
      <c r="Z230" s="5" t="s">
        <v>79</v>
      </c>
      <c r="AA230" s="5" t="s">
        <v>110</v>
      </c>
      <c r="AB230" s="9">
        <v>82</v>
      </c>
      <c r="AC230" s="5" t="s">
        <v>82</v>
      </c>
      <c r="AD230" s="5" t="s">
        <v>79</v>
      </c>
      <c r="AE230" s="5" t="s">
        <v>79</v>
      </c>
      <c r="AF230" s="10">
        <v>135000</v>
      </c>
      <c r="AG230" s="7">
        <v>46112</v>
      </c>
      <c r="AH230" s="10">
        <v>524500</v>
      </c>
      <c r="AI230" s="10">
        <v>114000</v>
      </c>
      <c r="AJ230" s="11">
        <f t="shared" si="3"/>
        <v>55.21052631578948</v>
      </c>
      <c r="AK230" s="12">
        <f>IF(B230="","",OR(K230="Not in use",K230="Low use")+AND(N230&lt;&gt;"",N230&lt;&gt;"TBD")+AND(ISNUMBER(U230),U230&lt;=EDATE('Scoring Settings'!$B$4,'Scoring Settings'!$B$8))+AND(ISNUMBER(L230),L230&lt;='Scoring Settings'!$B$7))</f>
        <v>2</v>
      </c>
      <c r="AL230" s="5" t="s">
        <v>2217</v>
      </c>
      <c r="AM230" s="8" t="str">
        <f>IF(B230="","",IF(Z230="N","Easy",IF(OR(AND(ISNUMBER(AB230),AB230&gt;'Scoring Settings'!$B$11),AND(ISNUMBER(W230),W230&gt;'Scoring Settings'!$B$12),AND(ISNUMBER(M230),M230&lt;='Scoring Settings'!$B$13)),"High","Medium")))</f>
        <v>Easy</v>
      </c>
      <c r="AN230" s="5" t="s">
        <v>97</v>
      </c>
      <c r="AO230" s="7">
        <v>44742</v>
      </c>
      <c r="AP230" s="5" t="s">
        <v>197</v>
      </c>
      <c r="AQ230" s="29" t="s">
        <v>1148</v>
      </c>
    </row>
    <row r="231" spans="1:43" hidden="1">
      <c r="A231" s="28">
        <v>32382</v>
      </c>
      <c r="B231" s="5" t="s">
        <v>1151</v>
      </c>
      <c r="C231" s="5" t="s">
        <v>667</v>
      </c>
      <c r="D231" s="5" t="s">
        <v>115</v>
      </c>
      <c r="E231" s="5" t="s">
        <v>298</v>
      </c>
      <c r="F231" s="5" t="s">
        <v>188</v>
      </c>
      <c r="G231" s="5" t="s">
        <v>141</v>
      </c>
      <c r="H231" s="5" t="s">
        <v>174</v>
      </c>
      <c r="I231" s="6">
        <v>1</v>
      </c>
      <c r="J231" s="7">
        <v>44135</v>
      </c>
      <c r="K231" s="8" t="str">
        <f>IF(B231="","",IF(AND(I231="",J231=""),"Unknown",IF(OR(AND(ISNUMBER(I231),I231=0),AND(ISNUMBER(J231),J231&lt;=EDATE('Scoring Settings'!$B$4,-'Scoring Settings'!$B$5))),"Not in use",IF(AND(ISNUMBER(I231),I231&lt;'Scoring Settings'!$B$6),"Low use","Active"))))</f>
        <v>Not in use</v>
      </c>
      <c r="L231" s="5">
        <v>3</v>
      </c>
      <c r="M231" s="5">
        <v>2</v>
      </c>
      <c r="N231" s="5"/>
      <c r="O231" s="5" t="s">
        <v>191</v>
      </c>
      <c r="P231" s="5" t="s">
        <v>192</v>
      </c>
      <c r="Q231" s="9">
        <v>0</v>
      </c>
      <c r="R231" s="5" t="s">
        <v>193</v>
      </c>
      <c r="S231" s="5" t="s">
        <v>194</v>
      </c>
      <c r="T231" s="5" t="s">
        <v>195</v>
      </c>
      <c r="U231" s="7">
        <v>44742</v>
      </c>
      <c r="V231" s="5" t="s">
        <v>135</v>
      </c>
      <c r="W231" s="6">
        <v>5</v>
      </c>
      <c r="X231" s="5" t="s">
        <v>79</v>
      </c>
      <c r="Y231" s="9">
        <v>2</v>
      </c>
      <c r="Z231" s="5" t="s">
        <v>79</v>
      </c>
      <c r="AA231" s="5" t="s">
        <v>110</v>
      </c>
      <c r="AB231" s="9">
        <v>30</v>
      </c>
      <c r="AC231" s="5" t="s">
        <v>82</v>
      </c>
      <c r="AD231" s="5" t="s">
        <v>80</v>
      </c>
      <c r="AE231" s="5" t="s">
        <v>82</v>
      </c>
      <c r="AF231" s="10">
        <v>43000</v>
      </c>
      <c r="AG231" s="7">
        <v>46599</v>
      </c>
      <c r="AH231" s="10">
        <v>30500</v>
      </c>
      <c r="AI231" s="10">
        <v>36000</v>
      </c>
      <c r="AJ231" s="11">
        <f t="shared" si="3"/>
        <v>10.166666666666666</v>
      </c>
      <c r="AK231" s="12">
        <f>IF(B231="","",OR(K231="Not in use",K231="Low use")+AND(N231&lt;&gt;"",N231&lt;&gt;"TBD")+AND(ISNUMBER(U231),U231&lt;=EDATE('Scoring Settings'!$B$4,'Scoring Settings'!$B$8))+AND(ISNUMBER(L231),L231&lt;='Scoring Settings'!$B$7))</f>
        <v>1</v>
      </c>
      <c r="AL231" s="5" t="s">
        <v>223</v>
      </c>
      <c r="AM231" s="8" t="str">
        <f>IF(B231="","",IF(Z231="N","Easy",IF(OR(AND(ISNUMBER(AB231),AB231&gt;'Scoring Settings'!$B$11),AND(ISNUMBER(W231),W231&gt;'Scoring Settings'!$B$12),AND(ISNUMBER(M231),M231&lt;='Scoring Settings'!$B$13)),"High","Medium")))</f>
        <v>Easy</v>
      </c>
      <c r="AN231" s="5" t="s">
        <v>97</v>
      </c>
      <c r="AO231" s="7">
        <v>44865</v>
      </c>
      <c r="AP231" s="5" t="s">
        <v>197</v>
      </c>
      <c r="AQ231" s="29" t="s">
        <v>499</v>
      </c>
    </row>
    <row r="232" spans="1:43" ht="42.75" hidden="1">
      <c r="A232" s="28">
        <v>70488</v>
      </c>
      <c r="B232" s="5" t="s">
        <v>1170</v>
      </c>
      <c r="C232" s="5" t="s">
        <v>301</v>
      </c>
      <c r="D232" s="5" t="s">
        <v>162</v>
      </c>
      <c r="E232" s="5" t="s">
        <v>68</v>
      </c>
      <c r="F232" s="5" t="s">
        <v>312</v>
      </c>
      <c r="G232" s="5" t="s">
        <v>356</v>
      </c>
      <c r="H232" s="5" t="s">
        <v>189</v>
      </c>
      <c r="I232" s="6">
        <v>7</v>
      </c>
      <c r="J232" s="7">
        <v>44195</v>
      </c>
      <c r="K232" s="8" t="str">
        <f>IF(B232="","",IF(AND(I232="",J232=""),"Unknown",IF(OR(AND(ISNUMBER(I232),I232=0),AND(ISNUMBER(J232),J232&lt;=EDATE('Scoring Settings'!$B$4,-'Scoring Settings'!$B$5))),"Not in use",IF(AND(ISNUMBER(I232),I232&lt;'Scoring Settings'!$B$6),"Low use","Active"))))</f>
        <v>Low use</v>
      </c>
      <c r="L232" s="5">
        <v>2</v>
      </c>
      <c r="M232" s="5">
        <v>3</v>
      </c>
      <c r="N232" s="5" t="s">
        <v>1171</v>
      </c>
      <c r="O232" s="5" t="s">
        <v>73</v>
      </c>
      <c r="P232" s="5" t="s">
        <v>1172</v>
      </c>
      <c r="Q232" s="9">
        <v>4</v>
      </c>
      <c r="R232" s="5" t="s">
        <v>132</v>
      </c>
      <c r="S232" s="5" t="s">
        <v>133</v>
      </c>
      <c r="T232" s="5" t="s">
        <v>122</v>
      </c>
      <c r="U232" s="7">
        <v>44227</v>
      </c>
      <c r="V232" s="5" t="s">
        <v>135</v>
      </c>
      <c r="W232" s="6">
        <v>640</v>
      </c>
      <c r="X232" s="5" t="s">
        <v>79</v>
      </c>
      <c r="Y232" s="9">
        <v>3</v>
      </c>
      <c r="Z232" s="5" t="s">
        <v>80</v>
      </c>
      <c r="AA232" s="5" t="s">
        <v>81</v>
      </c>
      <c r="AB232" s="9">
        <v>6</v>
      </c>
      <c r="AC232" s="5" t="s">
        <v>79</v>
      </c>
      <c r="AD232" s="5" t="s">
        <v>82</v>
      </c>
      <c r="AE232" s="5" t="s">
        <v>80</v>
      </c>
      <c r="AF232" s="10">
        <v>60000</v>
      </c>
      <c r="AG232" s="7">
        <v>47452</v>
      </c>
      <c r="AH232" s="10">
        <v>51500</v>
      </c>
      <c r="AI232" s="10">
        <v>42500</v>
      </c>
      <c r="AJ232" s="11">
        <f t="shared" si="3"/>
        <v>14.541176470588233</v>
      </c>
      <c r="AK232" s="12">
        <f>IF(B232="","",OR(K232="Not in use",K232="Low use")+AND(N232&lt;&gt;"",N232&lt;&gt;"TBD")+AND(ISNUMBER(U232),U232&lt;=EDATE('Scoring Settings'!$B$4,'Scoring Settings'!$B$8))+AND(ISNUMBER(L232),L232&lt;='Scoring Settings'!$B$7))</f>
        <v>4</v>
      </c>
      <c r="AL232" s="5" t="s">
        <v>96</v>
      </c>
      <c r="AM232" s="8" t="str">
        <f>IF(B232="","",IF(Z232="N","Easy",IF(OR(AND(ISNUMBER(AB232),AB232&gt;'Scoring Settings'!$B$11),AND(ISNUMBER(W232),W232&gt;'Scoring Settings'!$B$12),AND(ISNUMBER(M232),M232&lt;='Scoring Settings'!$B$13)),"High","Medium")))</f>
        <v>High</v>
      </c>
      <c r="AN232" s="5" t="s">
        <v>97</v>
      </c>
      <c r="AO232" s="7">
        <v>44681</v>
      </c>
      <c r="AP232" s="5" t="s">
        <v>98</v>
      </c>
      <c r="AQ232" s="29" t="s">
        <v>1173</v>
      </c>
    </row>
    <row r="233" spans="1:43" hidden="1">
      <c r="A233" s="28">
        <v>23254</v>
      </c>
      <c r="B233" s="5" t="s">
        <v>1175</v>
      </c>
      <c r="C233" s="5" t="s">
        <v>200</v>
      </c>
      <c r="D233" s="5" t="s">
        <v>115</v>
      </c>
      <c r="E233" s="5" t="s">
        <v>68</v>
      </c>
      <c r="F233" s="5" t="s">
        <v>152</v>
      </c>
      <c r="G233" s="5" t="s">
        <v>141</v>
      </c>
      <c r="H233" s="5" t="s">
        <v>129</v>
      </c>
      <c r="I233" s="6">
        <v>135</v>
      </c>
      <c r="J233" s="7">
        <v>44279</v>
      </c>
      <c r="K233" s="8" t="str">
        <f>IF(B233="","",IF(AND(I233="",J233=""),"Unknown",IF(OR(AND(ISNUMBER(I233),I233=0),AND(ISNUMBER(J233),J233&lt;=EDATE('Scoring Settings'!$B$4,-'Scoring Settings'!$B$5))),"Not in use",IF(AND(ISNUMBER(I233),I233&lt;'Scoring Settings'!$B$6),"Low use","Active"))))</f>
        <v>Active</v>
      </c>
      <c r="L233" s="5">
        <v>4</v>
      </c>
      <c r="M233" s="5">
        <v>2</v>
      </c>
      <c r="N233" s="5" t="s">
        <v>1176</v>
      </c>
      <c r="O233" s="5" t="s">
        <v>73</v>
      </c>
      <c r="P233" s="5" t="s">
        <v>931</v>
      </c>
      <c r="Q233" s="9">
        <v>1</v>
      </c>
      <c r="R233" s="5" t="s">
        <v>107</v>
      </c>
      <c r="S233" s="5" t="s">
        <v>108</v>
      </c>
      <c r="T233" s="5" t="s">
        <v>77</v>
      </c>
      <c r="U233" s="7">
        <v>43655</v>
      </c>
      <c r="V233" s="5" t="s">
        <v>135</v>
      </c>
      <c r="W233" s="6">
        <v>890</v>
      </c>
      <c r="X233" s="5" t="s">
        <v>80</v>
      </c>
      <c r="Y233" s="9">
        <v>7</v>
      </c>
      <c r="Z233" s="5" t="s">
        <v>79</v>
      </c>
      <c r="AA233" s="5" t="s">
        <v>110</v>
      </c>
      <c r="AB233" s="9">
        <v>18</v>
      </c>
      <c r="AC233" s="5" t="s">
        <v>82</v>
      </c>
      <c r="AD233" s="5" t="s">
        <v>82</v>
      </c>
      <c r="AE233" s="5" t="s">
        <v>82</v>
      </c>
      <c r="AF233" s="10">
        <v>44000</v>
      </c>
      <c r="AG233" s="7">
        <v>46965</v>
      </c>
      <c r="AH233" s="10">
        <v>73000</v>
      </c>
      <c r="AI233" s="10">
        <v>25500</v>
      </c>
      <c r="AJ233" s="11">
        <f t="shared" si="3"/>
        <v>34.352941176470587</v>
      </c>
      <c r="AK233" s="12">
        <f>IF(B233="","",OR(K233="Not in use",K233="Low use")+AND(N233&lt;&gt;"",N233&lt;&gt;"TBD")+AND(ISNUMBER(U233),U233&lt;=EDATE('Scoring Settings'!$B$4,'Scoring Settings'!$B$8))+AND(ISNUMBER(L233),L233&lt;='Scoring Settings'!$B$7))</f>
        <v>2</v>
      </c>
      <c r="AL233" s="5" t="s">
        <v>2217</v>
      </c>
      <c r="AM233" s="8" t="str">
        <f>IF(B233="","",IF(Z233="N","Easy",IF(OR(AND(ISNUMBER(AB233),AB233&gt;'Scoring Settings'!$B$11),AND(ISNUMBER(W233),W233&gt;'Scoring Settings'!$B$12),AND(ISNUMBER(M233),M233&lt;='Scoring Settings'!$B$13)),"High","Medium")))</f>
        <v>Easy</v>
      </c>
      <c r="AN233" s="5" t="s">
        <v>97</v>
      </c>
      <c r="AO233" s="7">
        <v>44804</v>
      </c>
      <c r="AP233" s="5" t="s">
        <v>98</v>
      </c>
      <c r="AQ233" s="29" t="s">
        <v>136</v>
      </c>
    </row>
    <row r="234" spans="1:43" hidden="1">
      <c r="A234" s="28">
        <v>193440</v>
      </c>
      <c r="B234" s="5" t="s">
        <v>1181</v>
      </c>
      <c r="C234" s="5" t="s">
        <v>13</v>
      </c>
      <c r="D234" s="5" t="s">
        <v>162</v>
      </c>
      <c r="E234" s="5" t="s">
        <v>298</v>
      </c>
      <c r="F234" s="5" t="s">
        <v>140</v>
      </c>
      <c r="G234" s="5" t="s">
        <v>284</v>
      </c>
      <c r="H234" s="5" t="s">
        <v>142</v>
      </c>
      <c r="I234" s="6">
        <v>15</v>
      </c>
      <c r="J234" s="7">
        <v>44252</v>
      </c>
      <c r="K234" s="8" t="str">
        <f>IF(B234="","",IF(AND(I234="",J234=""),"Unknown",IF(OR(AND(ISNUMBER(I234),I234=0),AND(ISNUMBER(J234),J234&lt;=EDATE('Scoring Settings'!$B$4,-'Scoring Settings'!$B$5))),"Not in use",IF(AND(ISNUMBER(I234),I234&lt;'Scoring Settings'!$B$6),"Low use","Active"))))</f>
        <v>Low use</v>
      </c>
      <c r="L234" s="5">
        <v>1</v>
      </c>
      <c r="M234" s="5">
        <v>4</v>
      </c>
      <c r="N234" s="5"/>
      <c r="O234" s="5" t="s">
        <v>143</v>
      </c>
      <c r="P234" s="5" t="s">
        <v>144</v>
      </c>
      <c r="Q234" s="9">
        <v>0</v>
      </c>
      <c r="R234" s="5" t="s">
        <v>145</v>
      </c>
      <c r="S234" s="5" t="s">
        <v>145</v>
      </c>
      <c r="T234" s="5" t="s">
        <v>146</v>
      </c>
      <c r="U234" s="7"/>
      <c r="V234" s="5" t="s">
        <v>95</v>
      </c>
      <c r="W234" s="6">
        <v>87</v>
      </c>
      <c r="X234" s="5" t="s">
        <v>80</v>
      </c>
      <c r="Y234" s="9">
        <v>5</v>
      </c>
      <c r="Z234" s="5" t="s">
        <v>80</v>
      </c>
      <c r="AA234" s="5" t="s">
        <v>185</v>
      </c>
      <c r="AB234" s="9">
        <v>1</v>
      </c>
      <c r="AC234" s="5" t="s">
        <v>82</v>
      </c>
      <c r="AD234" s="5" t="s">
        <v>79</v>
      </c>
      <c r="AE234" s="5" t="s">
        <v>79</v>
      </c>
      <c r="AF234" s="10">
        <v>60000</v>
      </c>
      <c r="AG234" s="7">
        <v>48152</v>
      </c>
      <c r="AH234" s="10">
        <v>79500</v>
      </c>
      <c r="AI234" s="10">
        <v>32500</v>
      </c>
      <c r="AJ234" s="11">
        <f t="shared" si="3"/>
        <v>29.353846153846156</v>
      </c>
      <c r="AK234" s="12">
        <f>IF(B234="","",OR(K234="Not in use",K234="Low use")+AND(N234&lt;&gt;"",N234&lt;&gt;"TBD")+AND(ISNUMBER(U234),U234&lt;=EDATE('Scoring Settings'!$B$4,'Scoring Settings'!$B$8))+AND(ISNUMBER(L234),L234&lt;='Scoring Settings'!$B$7))</f>
        <v>2</v>
      </c>
      <c r="AL234" s="5" t="s">
        <v>96</v>
      </c>
      <c r="AM234" s="8" t="str">
        <f>IF(B234="","",IF(Z234="N","Easy",IF(OR(AND(ISNUMBER(AB234),AB234&gt;'Scoring Settings'!$B$11),AND(ISNUMBER(W234),W234&gt;'Scoring Settings'!$B$12),AND(ISNUMBER(M234),M234&lt;='Scoring Settings'!$B$13)),"High","Medium")))</f>
        <v>Medium</v>
      </c>
      <c r="AN234" s="5" t="s">
        <v>97</v>
      </c>
      <c r="AO234" s="7">
        <v>44620</v>
      </c>
      <c r="AP234" s="5" t="s">
        <v>98</v>
      </c>
      <c r="AQ234" s="29" t="s">
        <v>136</v>
      </c>
    </row>
    <row r="235" spans="1:43" hidden="1">
      <c r="A235" s="28">
        <v>54602</v>
      </c>
      <c r="B235" s="5" t="s">
        <v>1208</v>
      </c>
      <c r="C235" s="5" t="s">
        <v>639</v>
      </c>
      <c r="D235" s="5" t="s">
        <v>88</v>
      </c>
      <c r="E235" s="5" t="s">
        <v>68</v>
      </c>
      <c r="F235" s="5" t="s">
        <v>326</v>
      </c>
      <c r="G235" s="5" t="s">
        <v>117</v>
      </c>
      <c r="H235" s="5" t="s">
        <v>91</v>
      </c>
      <c r="I235" s="6">
        <v>0</v>
      </c>
      <c r="J235" s="7">
        <v>43642</v>
      </c>
      <c r="K235" s="8" t="str">
        <f>IF(B235="","",IF(AND(I235="",J235=""),"Unknown",IF(OR(AND(ISNUMBER(I235),I235=0),AND(ISNUMBER(J235),J235&lt;=EDATE('Scoring Settings'!$B$4,-'Scoring Settings'!$B$5))),"Not in use",IF(AND(ISNUMBER(I235),I235&lt;'Scoring Settings'!$B$6),"Low use","Active"))))</f>
        <v>Not in use</v>
      </c>
      <c r="L235" s="5">
        <v>1</v>
      </c>
      <c r="M235" s="5">
        <v>4</v>
      </c>
      <c r="N235" s="5"/>
      <c r="O235" s="5" t="s">
        <v>73</v>
      </c>
      <c r="P235" s="5" t="s">
        <v>1209</v>
      </c>
      <c r="Q235" s="9">
        <v>3</v>
      </c>
      <c r="R235" s="5" t="s">
        <v>335</v>
      </c>
      <c r="S235" s="5" t="s">
        <v>336</v>
      </c>
      <c r="T235" s="5" t="s">
        <v>72</v>
      </c>
      <c r="U235" s="7">
        <v>45473</v>
      </c>
      <c r="V235" s="5" t="s">
        <v>135</v>
      </c>
      <c r="W235" s="6">
        <v>780</v>
      </c>
      <c r="X235" s="5" t="s">
        <v>79</v>
      </c>
      <c r="Y235" s="9">
        <v>3</v>
      </c>
      <c r="Z235" s="5" t="s">
        <v>79</v>
      </c>
      <c r="AA235" s="5" t="s">
        <v>110</v>
      </c>
      <c r="AB235" s="9">
        <v>0</v>
      </c>
      <c r="AC235" s="5" t="s">
        <v>79</v>
      </c>
      <c r="AD235" s="5" t="s">
        <v>82</v>
      </c>
      <c r="AE235" s="5" t="s">
        <v>80</v>
      </c>
      <c r="AF235" s="10">
        <v>46500</v>
      </c>
      <c r="AG235" s="7">
        <v>48791</v>
      </c>
      <c r="AH235" s="10">
        <v>51500</v>
      </c>
      <c r="AI235" s="10">
        <v>43500</v>
      </c>
      <c r="AJ235" s="11">
        <f t="shared" si="3"/>
        <v>14.206896551724139</v>
      </c>
      <c r="AK235" s="12">
        <f>IF(B235="","",OR(K235="Not in use",K235="Low use")+AND(N235&lt;&gt;"",N235&lt;&gt;"TBD")+AND(ISNUMBER(U235),U235&lt;=EDATE('Scoring Settings'!$B$4,'Scoring Settings'!$B$8))+AND(ISNUMBER(L235),L235&lt;='Scoring Settings'!$B$7))</f>
        <v>2</v>
      </c>
      <c r="AL235" s="5" t="s">
        <v>223</v>
      </c>
      <c r="AM235" s="8" t="str">
        <f>IF(B235="","",IF(Z235="N","Easy",IF(OR(AND(ISNUMBER(AB235),AB235&gt;'Scoring Settings'!$B$11),AND(ISNUMBER(W235),W235&gt;'Scoring Settings'!$B$12),AND(ISNUMBER(M235),M235&lt;='Scoring Settings'!$B$13)),"High","Medium")))</f>
        <v>Easy</v>
      </c>
      <c r="AN235" s="5" t="s">
        <v>97</v>
      </c>
      <c r="AO235" s="7">
        <v>44651</v>
      </c>
      <c r="AP235" s="5" t="s">
        <v>197</v>
      </c>
      <c r="AQ235" s="29" t="s">
        <v>688</v>
      </c>
    </row>
    <row r="236" spans="1:43" hidden="1">
      <c r="A236" s="28">
        <v>37206</v>
      </c>
      <c r="B236" s="5" t="s">
        <v>1217</v>
      </c>
      <c r="C236" s="5" t="s">
        <v>230</v>
      </c>
      <c r="D236" s="5" t="s">
        <v>115</v>
      </c>
      <c r="E236" s="5" t="s">
        <v>311</v>
      </c>
      <c r="F236" s="5" t="s">
        <v>346</v>
      </c>
      <c r="G236" s="5" t="s">
        <v>179</v>
      </c>
      <c r="H236" s="5" t="s">
        <v>71</v>
      </c>
      <c r="I236" s="6">
        <v>8</v>
      </c>
      <c r="J236" s="7">
        <v>44226</v>
      </c>
      <c r="K236" s="8" t="str">
        <f>IF(B236="","",IF(AND(I236="",J236=""),"Unknown",IF(OR(AND(ISNUMBER(I236),I236=0),AND(ISNUMBER(J236),J236&lt;=EDATE('Scoring Settings'!$B$4,-'Scoring Settings'!$B$5))),"Not in use",IF(AND(ISNUMBER(I236),I236&lt;'Scoring Settings'!$B$6),"Low use","Active"))))</f>
        <v>Low use</v>
      </c>
      <c r="L236" s="5">
        <v>3</v>
      </c>
      <c r="M236" s="5">
        <v>3</v>
      </c>
      <c r="N236" s="5" t="s">
        <v>856</v>
      </c>
      <c r="O236" s="5" t="s">
        <v>73</v>
      </c>
      <c r="P236" s="5" t="s">
        <v>1218</v>
      </c>
      <c r="Q236" s="9">
        <v>3</v>
      </c>
      <c r="R236" s="5" t="s">
        <v>132</v>
      </c>
      <c r="S236" s="5" t="s">
        <v>72</v>
      </c>
      <c r="T236" s="5" t="s">
        <v>77</v>
      </c>
      <c r="U236" s="7">
        <v>44227</v>
      </c>
      <c r="V236" s="5" t="s">
        <v>135</v>
      </c>
      <c r="W236" s="6">
        <v>7</v>
      </c>
      <c r="X236" s="5" t="s">
        <v>80</v>
      </c>
      <c r="Y236" s="9">
        <v>10</v>
      </c>
      <c r="Z236" s="5" t="s">
        <v>79</v>
      </c>
      <c r="AA236" s="5" t="s">
        <v>110</v>
      </c>
      <c r="AB236" s="9">
        <v>1</v>
      </c>
      <c r="AC236" s="5" t="s">
        <v>79</v>
      </c>
      <c r="AD236" s="5" t="s">
        <v>82</v>
      </c>
      <c r="AE236" s="5" t="s">
        <v>82</v>
      </c>
      <c r="AF236" s="10">
        <v>55000</v>
      </c>
      <c r="AG236" s="7">
        <v>47695</v>
      </c>
      <c r="AH236" s="10">
        <v>26000</v>
      </c>
      <c r="AI236" s="10">
        <v>44500</v>
      </c>
      <c r="AJ236" s="11">
        <f t="shared" si="3"/>
        <v>7.0112359550561791</v>
      </c>
      <c r="AK236" s="12">
        <f>IF(B236="","",OR(K236="Not in use",K236="Low use")+AND(N236&lt;&gt;"",N236&lt;&gt;"TBD")+AND(ISNUMBER(U236),U236&lt;=EDATE('Scoring Settings'!$B$4,'Scoring Settings'!$B$8))+AND(ISNUMBER(L236),L236&lt;='Scoring Settings'!$B$7))</f>
        <v>3</v>
      </c>
      <c r="AL236" s="5" t="s">
        <v>223</v>
      </c>
      <c r="AM236" s="8" t="str">
        <f>IF(B236="","",IF(Z236="N","Easy",IF(OR(AND(ISNUMBER(AB236),AB236&gt;'Scoring Settings'!$B$11),AND(ISNUMBER(W236),W236&gt;'Scoring Settings'!$B$12),AND(ISNUMBER(M236),M236&lt;='Scoring Settings'!$B$13)),"High","Medium")))</f>
        <v>Easy</v>
      </c>
      <c r="AN236" s="5" t="s">
        <v>97</v>
      </c>
      <c r="AO236" s="7">
        <v>44681</v>
      </c>
      <c r="AP236" s="5" t="s">
        <v>98</v>
      </c>
      <c r="AQ236" s="29" t="s">
        <v>170</v>
      </c>
    </row>
    <row r="237" spans="1:43" hidden="1">
      <c r="A237" s="28">
        <v>84464</v>
      </c>
      <c r="B237" s="5" t="s">
        <v>1221</v>
      </c>
      <c r="C237" s="5" t="s">
        <v>495</v>
      </c>
      <c r="D237" s="5" t="s">
        <v>162</v>
      </c>
      <c r="E237" s="5" t="s">
        <v>68</v>
      </c>
      <c r="F237" s="5" t="s">
        <v>387</v>
      </c>
      <c r="G237" s="5" t="s">
        <v>356</v>
      </c>
      <c r="H237" s="5" t="s">
        <v>118</v>
      </c>
      <c r="I237" s="6">
        <v>246</v>
      </c>
      <c r="J237" s="7">
        <v>44300</v>
      </c>
      <c r="K237" s="8" t="str">
        <f>IF(B237="","",IF(AND(I237="",J237=""),"Unknown",IF(OR(AND(ISNUMBER(I237),I237=0),AND(ISNUMBER(J237),J237&lt;=EDATE('Scoring Settings'!$B$4,-'Scoring Settings'!$B$5))),"Not in use",IF(AND(ISNUMBER(I237),I237&lt;'Scoring Settings'!$B$6),"Low use","Active"))))</f>
        <v>Active</v>
      </c>
      <c r="L237" s="5">
        <v>4</v>
      </c>
      <c r="M237" s="5">
        <v>3</v>
      </c>
      <c r="N237" s="5" t="s">
        <v>164</v>
      </c>
      <c r="O237" s="5" t="s">
        <v>73</v>
      </c>
      <c r="P237" s="5" t="s">
        <v>1222</v>
      </c>
      <c r="Q237" s="9">
        <v>2</v>
      </c>
      <c r="R237" s="5" t="s">
        <v>93</v>
      </c>
      <c r="S237" s="5" t="s">
        <v>94</v>
      </c>
      <c r="T237" s="5" t="s">
        <v>77</v>
      </c>
      <c r="U237" s="7">
        <v>44561</v>
      </c>
      <c r="V237" s="5" t="s">
        <v>135</v>
      </c>
      <c r="W237" s="6">
        <v>1</v>
      </c>
      <c r="X237" s="5" t="s">
        <v>79</v>
      </c>
      <c r="Y237" s="9">
        <v>2</v>
      </c>
      <c r="Z237" s="5" t="s">
        <v>79</v>
      </c>
      <c r="AA237" s="5" t="s">
        <v>110</v>
      </c>
      <c r="AB237" s="9">
        <v>6</v>
      </c>
      <c r="AC237" s="5" t="s">
        <v>82</v>
      </c>
      <c r="AD237" s="5" t="s">
        <v>80</v>
      </c>
      <c r="AE237" s="5" t="s">
        <v>82</v>
      </c>
      <c r="AF237" s="10">
        <v>36000</v>
      </c>
      <c r="AG237" s="7">
        <v>47299</v>
      </c>
      <c r="AH237" s="10">
        <v>51000</v>
      </c>
      <c r="AI237" s="10">
        <v>29000</v>
      </c>
      <c r="AJ237" s="11">
        <f t="shared" si="3"/>
        <v>21.103448275862068</v>
      </c>
      <c r="AK237" s="12">
        <f>IF(B237="","",OR(K237="Not in use",K237="Low use")+AND(N237&lt;&gt;"",N237&lt;&gt;"TBD")+AND(ISNUMBER(U237),U237&lt;=EDATE('Scoring Settings'!$B$4,'Scoring Settings'!$B$8))+AND(ISNUMBER(L237),L237&lt;='Scoring Settings'!$B$7))</f>
        <v>2</v>
      </c>
      <c r="AL237" s="5" t="s">
        <v>2217</v>
      </c>
      <c r="AM237" s="8" t="str">
        <f>IF(B237="","",IF(Z237="N","Easy",IF(OR(AND(ISNUMBER(AB237),AB237&gt;'Scoring Settings'!$B$11),AND(ISNUMBER(W237),W237&gt;'Scoring Settings'!$B$12),AND(ISNUMBER(M237),M237&lt;='Scoring Settings'!$B$13)),"High","Medium")))</f>
        <v>Easy</v>
      </c>
      <c r="AN237" s="5" t="s">
        <v>97</v>
      </c>
      <c r="AO237" s="7">
        <v>44895</v>
      </c>
      <c r="AP237" s="5" t="s">
        <v>98</v>
      </c>
      <c r="AQ237" s="29" t="s">
        <v>136</v>
      </c>
    </row>
    <row r="238" spans="1:43" hidden="1">
      <c r="A238" s="28">
        <v>70485</v>
      </c>
      <c r="B238" s="5" t="s">
        <v>1223</v>
      </c>
      <c r="C238" s="5" t="s">
        <v>262</v>
      </c>
      <c r="D238" s="5" t="s">
        <v>67</v>
      </c>
      <c r="E238" s="5" t="s">
        <v>68</v>
      </c>
      <c r="F238" s="5" t="s">
        <v>157</v>
      </c>
      <c r="G238" s="5" t="s">
        <v>356</v>
      </c>
      <c r="H238" s="5" t="s">
        <v>118</v>
      </c>
      <c r="I238" s="6">
        <v>192</v>
      </c>
      <c r="J238" s="7">
        <v>44286</v>
      </c>
      <c r="K238" s="8" t="str">
        <f>IF(B238="","",IF(AND(I238="",J238=""),"Unknown",IF(OR(AND(ISNUMBER(I238),I238=0),AND(ISNUMBER(J238),J238&lt;=EDATE('Scoring Settings'!$B$4,-'Scoring Settings'!$B$5))),"Not in use",IF(AND(ISNUMBER(I238),I238&lt;'Scoring Settings'!$B$6),"Low use","Active"))))</f>
        <v>Active</v>
      </c>
      <c r="L238" s="5">
        <v>1</v>
      </c>
      <c r="M238" s="5">
        <v>4</v>
      </c>
      <c r="N238" s="5"/>
      <c r="O238" s="5" t="s">
        <v>130</v>
      </c>
      <c r="P238" s="5" t="s">
        <v>787</v>
      </c>
      <c r="Q238" s="9">
        <v>2</v>
      </c>
      <c r="R238" s="5" t="s">
        <v>358</v>
      </c>
      <c r="S238" s="5" t="s">
        <v>133</v>
      </c>
      <c r="T238" s="5" t="s">
        <v>168</v>
      </c>
      <c r="U238" s="7">
        <v>43555</v>
      </c>
      <c r="V238" s="5" t="s">
        <v>78</v>
      </c>
      <c r="W238" s="6">
        <v>2010</v>
      </c>
      <c r="X238" s="5" t="s">
        <v>79</v>
      </c>
      <c r="Y238" s="9">
        <v>3</v>
      </c>
      <c r="Z238" s="5" t="s">
        <v>80</v>
      </c>
      <c r="AA238" s="5" t="s">
        <v>205</v>
      </c>
      <c r="AB238" s="9">
        <v>0</v>
      </c>
      <c r="AC238" s="5" t="s">
        <v>80</v>
      </c>
      <c r="AD238" s="5" t="s">
        <v>82</v>
      </c>
      <c r="AE238" s="5" t="s">
        <v>82</v>
      </c>
      <c r="AF238" s="10">
        <v>34000</v>
      </c>
      <c r="AG238" s="7">
        <v>48944</v>
      </c>
      <c r="AH238" s="10">
        <v>74000</v>
      </c>
      <c r="AI238" s="10">
        <v>19000</v>
      </c>
      <c r="AJ238" s="11">
        <f t="shared" si="3"/>
        <v>46.736842105263158</v>
      </c>
      <c r="AK238" s="12">
        <f>IF(B238="","",OR(K238="Not in use",K238="Low use")+AND(N238&lt;&gt;"",N238&lt;&gt;"TBD")+AND(ISNUMBER(U238),U238&lt;=EDATE('Scoring Settings'!$B$4,'Scoring Settings'!$B$8))+AND(ISNUMBER(L238),L238&lt;='Scoring Settings'!$B$7))</f>
        <v>2</v>
      </c>
      <c r="AL238" s="5" t="s">
        <v>96</v>
      </c>
      <c r="AM238" s="8" t="str">
        <f>IF(B238="","",IF(Z238="N","Easy",IF(OR(AND(ISNUMBER(AB238),AB238&gt;'Scoring Settings'!$B$11),AND(ISNUMBER(W238),W238&gt;'Scoring Settings'!$B$12),AND(ISNUMBER(M238),M238&lt;='Scoring Settings'!$B$13)),"High","Medium")))</f>
        <v>High</v>
      </c>
      <c r="AN238" s="5" t="s">
        <v>97</v>
      </c>
      <c r="AO238" s="7">
        <v>44592</v>
      </c>
      <c r="AP238" s="5" t="s">
        <v>197</v>
      </c>
      <c r="AQ238" s="29" t="s">
        <v>399</v>
      </c>
    </row>
    <row r="239" spans="1:43" hidden="1">
      <c r="A239" s="28">
        <v>37005</v>
      </c>
      <c r="B239" s="5" t="s">
        <v>1231</v>
      </c>
      <c r="C239" s="5" t="s">
        <v>495</v>
      </c>
      <c r="D239" s="5" t="s">
        <v>162</v>
      </c>
      <c r="E239" s="5" t="s">
        <v>311</v>
      </c>
      <c r="F239" s="5" t="s">
        <v>89</v>
      </c>
      <c r="G239" s="5" t="s">
        <v>179</v>
      </c>
      <c r="H239" s="5" t="s">
        <v>105</v>
      </c>
      <c r="I239" s="6">
        <v>16</v>
      </c>
      <c r="J239" s="7">
        <v>44180</v>
      </c>
      <c r="K239" s="8" t="str">
        <f>IF(B239="","",IF(AND(I239="",J239=""),"Unknown",IF(OR(AND(ISNUMBER(I239),I239=0),AND(ISNUMBER(J239),J239&lt;=EDATE('Scoring Settings'!$B$4,-'Scoring Settings'!$B$5))),"Not in use",IF(AND(ISNUMBER(I239),I239&lt;'Scoring Settings'!$B$6),"Low use","Active"))))</f>
        <v>Low use</v>
      </c>
      <c r="L239" s="5">
        <v>3</v>
      </c>
      <c r="M239" s="5">
        <v>4</v>
      </c>
      <c r="N239" s="5" t="s">
        <v>289</v>
      </c>
      <c r="O239" s="5" t="s">
        <v>73</v>
      </c>
      <c r="P239" s="5" t="s">
        <v>1232</v>
      </c>
      <c r="Q239" s="9">
        <v>3</v>
      </c>
      <c r="R239" s="5" t="s">
        <v>335</v>
      </c>
      <c r="S239" s="5" t="s">
        <v>336</v>
      </c>
      <c r="T239" s="5" t="s">
        <v>184</v>
      </c>
      <c r="U239" s="7">
        <v>45473</v>
      </c>
      <c r="V239" s="5" t="s">
        <v>135</v>
      </c>
      <c r="W239" s="6">
        <v>59</v>
      </c>
      <c r="X239" s="5" t="s">
        <v>79</v>
      </c>
      <c r="Y239" s="9">
        <v>3</v>
      </c>
      <c r="Z239" s="5" t="s">
        <v>79</v>
      </c>
      <c r="AA239" s="5" t="s">
        <v>110</v>
      </c>
      <c r="AB239" s="9">
        <v>2</v>
      </c>
      <c r="AC239" s="5" t="s">
        <v>79</v>
      </c>
      <c r="AD239" s="5" t="s">
        <v>82</v>
      </c>
      <c r="AE239" s="5" t="s">
        <v>79</v>
      </c>
      <c r="AF239" s="10">
        <v>39500</v>
      </c>
      <c r="AG239" s="7">
        <v>45777</v>
      </c>
      <c r="AH239" s="10">
        <v>28000</v>
      </c>
      <c r="AI239" s="10">
        <v>38000</v>
      </c>
      <c r="AJ239" s="11">
        <f t="shared" si="3"/>
        <v>8.8421052631578938</v>
      </c>
      <c r="AK239" s="12">
        <f>IF(B239="","",OR(K239="Not in use",K239="Low use")+AND(N239&lt;&gt;"",N239&lt;&gt;"TBD")+AND(ISNUMBER(U239),U239&lt;=EDATE('Scoring Settings'!$B$4,'Scoring Settings'!$B$8))+AND(ISNUMBER(L239),L239&lt;='Scoring Settings'!$B$7))</f>
        <v>2</v>
      </c>
      <c r="AL239" s="5" t="s">
        <v>223</v>
      </c>
      <c r="AM239" s="8" t="str">
        <f>IF(B239="","",IF(Z239="N","Easy",IF(OR(AND(ISNUMBER(AB239),AB239&gt;'Scoring Settings'!$B$11),AND(ISNUMBER(W239),W239&gt;'Scoring Settings'!$B$12),AND(ISNUMBER(M239),M239&lt;='Scoring Settings'!$B$13)),"High","Medium")))</f>
        <v>Easy</v>
      </c>
      <c r="AN239" s="5" t="s">
        <v>97</v>
      </c>
      <c r="AO239" s="7">
        <v>44773</v>
      </c>
      <c r="AP239" s="5" t="s">
        <v>98</v>
      </c>
      <c r="AQ239" s="29" t="s">
        <v>136</v>
      </c>
    </row>
    <row r="240" spans="1:43" hidden="1">
      <c r="A240" s="28">
        <v>18642</v>
      </c>
      <c r="B240" s="5" t="s">
        <v>1237</v>
      </c>
      <c r="C240" s="5" t="s">
        <v>172</v>
      </c>
      <c r="D240" s="5" t="s">
        <v>162</v>
      </c>
      <c r="E240" s="5" t="s">
        <v>68</v>
      </c>
      <c r="F240" s="5" t="s">
        <v>209</v>
      </c>
      <c r="G240" s="5" t="s">
        <v>104</v>
      </c>
      <c r="H240" s="5" t="s">
        <v>71</v>
      </c>
      <c r="I240" s="6">
        <v>74</v>
      </c>
      <c r="J240" s="7">
        <v>44280</v>
      </c>
      <c r="K240" s="8" t="str">
        <f>IF(B240="","",IF(AND(I240="",J240=""),"Unknown",IF(OR(AND(ISNUMBER(I240),I240=0),AND(ISNUMBER(J240),J240&lt;=EDATE('Scoring Settings'!$B$4,-'Scoring Settings'!$B$5))),"Not in use",IF(AND(ISNUMBER(I240),I240&lt;'Scoring Settings'!$B$6),"Low use","Active"))))</f>
        <v>Active</v>
      </c>
      <c r="L240" s="5">
        <v>4</v>
      </c>
      <c r="M240" s="5">
        <v>3</v>
      </c>
      <c r="N240" s="5" t="s">
        <v>711</v>
      </c>
      <c r="O240" s="5" t="s">
        <v>73</v>
      </c>
      <c r="P240" s="5" t="s">
        <v>1238</v>
      </c>
      <c r="Q240" s="9">
        <v>4</v>
      </c>
      <c r="R240" s="5" t="s">
        <v>239</v>
      </c>
      <c r="S240" s="5" t="s">
        <v>240</v>
      </c>
      <c r="T240" s="5" t="s">
        <v>109</v>
      </c>
      <c r="U240" s="7">
        <v>44316</v>
      </c>
      <c r="V240" s="5" t="s">
        <v>135</v>
      </c>
      <c r="W240" s="6">
        <v>49</v>
      </c>
      <c r="X240" s="5" t="s">
        <v>79</v>
      </c>
      <c r="Y240" s="9">
        <v>7</v>
      </c>
      <c r="Z240" s="5" t="s">
        <v>79</v>
      </c>
      <c r="AA240" s="5" t="s">
        <v>110</v>
      </c>
      <c r="AB240" s="9">
        <v>4</v>
      </c>
      <c r="AC240" s="5" t="s">
        <v>80</v>
      </c>
      <c r="AD240" s="5" t="s">
        <v>79</v>
      </c>
      <c r="AE240" s="5" t="s">
        <v>82</v>
      </c>
      <c r="AF240" s="10">
        <v>80000</v>
      </c>
      <c r="AG240" s="7">
        <v>46203</v>
      </c>
      <c r="AH240" s="10">
        <v>49000</v>
      </c>
      <c r="AI240" s="10">
        <v>62000</v>
      </c>
      <c r="AJ240" s="11">
        <f t="shared" si="3"/>
        <v>9.4838709677419359</v>
      </c>
      <c r="AK240" s="12">
        <f>IF(B240="","",OR(K240="Not in use",K240="Low use")+AND(N240&lt;&gt;"",N240&lt;&gt;"TBD")+AND(ISNUMBER(U240),U240&lt;=EDATE('Scoring Settings'!$B$4,'Scoring Settings'!$B$8))+AND(ISNUMBER(L240),L240&lt;='Scoring Settings'!$B$7))</f>
        <v>2</v>
      </c>
      <c r="AL240" s="5" t="s">
        <v>2217</v>
      </c>
      <c r="AM240" s="8" t="str">
        <f>IF(B240="","",IF(Z240="N","Easy",IF(OR(AND(ISNUMBER(AB240),AB240&gt;'Scoring Settings'!$B$11),AND(ISNUMBER(W240),W240&gt;'Scoring Settings'!$B$12),AND(ISNUMBER(M240),M240&lt;='Scoring Settings'!$B$13)),"High","Medium")))</f>
        <v>Easy</v>
      </c>
      <c r="AN240" s="5" t="s">
        <v>97</v>
      </c>
      <c r="AO240" s="7">
        <v>44926</v>
      </c>
      <c r="AP240" s="5" t="s">
        <v>197</v>
      </c>
      <c r="AQ240" s="29" t="s">
        <v>1239</v>
      </c>
    </row>
    <row r="241" spans="1:43" hidden="1">
      <c r="A241" s="28">
        <v>154923</v>
      </c>
      <c r="B241" s="5" t="s">
        <v>1240</v>
      </c>
      <c r="C241" s="5" t="s">
        <v>772</v>
      </c>
      <c r="D241" s="5" t="s">
        <v>297</v>
      </c>
      <c r="E241" s="5" t="s">
        <v>68</v>
      </c>
      <c r="F241" s="5" t="s">
        <v>103</v>
      </c>
      <c r="G241" s="5" t="s">
        <v>237</v>
      </c>
      <c r="H241" s="5" t="s">
        <v>105</v>
      </c>
      <c r="I241" s="6">
        <v>266</v>
      </c>
      <c r="J241" s="7">
        <v>44307</v>
      </c>
      <c r="K241" s="8" t="str">
        <f>IF(B241="","",IF(AND(I241="",J241=""),"Unknown",IF(OR(AND(ISNUMBER(I241),I241=0),AND(ISNUMBER(J241),J241&lt;=EDATE('Scoring Settings'!$B$4,-'Scoring Settings'!$B$5))),"Not in use",IF(AND(ISNUMBER(I241),I241&lt;'Scoring Settings'!$B$6),"Low use","Active"))))</f>
        <v>Active</v>
      </c>
      <c r="L241" s="5">
        <v>3</v>
      </c>
      <c r="M241" s="5">
        <v>2</v>
      </c>
      <c r="N241" s="5" t="s">
        <v>617</v>
      </c>
      <c r="O241" s="5" t="s">
        <v>73</v>
      </c>
      <c r="P241" s="5" t="s">
        <v>1241</v>
      </c>
      <c r="Q241" s="9">
        <v>8</v>
      </c>
      <c r="R241" s="5" t="s">
        <v>358</v>
      </c>
      <c r="S241" s="5" t="s">
        <v>133</v>
      </c>
      <c r="T241" s="5" t="s">
        <v>72</v>
      </c>
      <c r="U241" s="7">
        <v>43555</v>
      </c>
      <c r="V241" s="5" t="s">
        <v>135</v>
      </c>
      <c r="W241" s="6">
        <v>130</v>
      </c>
      <c r="X241" s="5" t="s">
        <v>79</v>
      </c>
      <c r="Y241" s="9">
        <v>3</v>
      </c>
      <c r="Z241" s="5" t="s">
        <v>80</v>
      </c>
      <c r="AA241" s="5" t="s">
        <v>185</v>
      </c>
      <c r="AB241" s="9">
        <v>30</v>
      </c>
      <c r="AC241" s="5" t="s">
        <v>82</v>
      </c>
      <c r="AD241" s="5" t="s">
        <v>80</v>
      </c>
      <c r="AE241" s="5" t="s">
        <v>82</v>
      </c>
      <c r="AF241" s="10">
        <v>90000</v>
      </c>
      <c r="AG241" s="7">
        <v>47573</v>
      </c>
      <c r="AH241" s="10">
        <v>148500</v>
      </c>
      <c r="AI241" s="10">
        <v>70000</v>
      </c>
      <c r="AJ241" s="11">
        <f t="shared" si="3"/>
        <v>25.457142857142856</v>
      </c>
      <c r="AK241" s="12">
        <f>IF(B241="","",OR(K241="Not in use",K241="Low use")+AND(N241&lt;&gt;"",N241&lt;&gt;"TBD")+AND(ISNUMBER(U241),U241&lt;=EDATE('Scoring Settings'!$B$4,'Scoring Settings'!$B$8))+AND(ISNUMBER(L241),L241&lt;='Scoring Settings'!$B$7))</f>
        <v>2</v>
      </c>
      <c r="AL241" s="5" t="s">
        <v>96</v>
      </c>
      <c r="AM241" s="8" t="str">
        <f>IF(B241="","",IF(Z241="N","Easy",IF(OR(AND(ISNUMBER(AB241),AB241&gt;'Scoring Settings'!$B$11),AND(ISNUMBER(W241),W241&gt;'Scoring Settings'!$B$12),AND(ISNUMBER(M241),M241&lt;='Scoring Settings'!$B$13)),"High","Medium")))</f>
        <v>High</v>
      </c>
      <c r="AN241" s="5" t="s">
        <v>97</v>
      </c>
      <c r="AO241" s="7">
        <v>44895</v>
      </c>
      <c r="AP241" s="5" t="s">
        <v>197</v>
      </c>
      <c r="AQ241" s="29" t="s">
        <v>486</v>
      </c>
    </row>
    <row r="242" spans="1:43" ht="57" hidden="1">
      <c r="A242" s="28">
        <v>66056</v>
      </c>
      <c r="B242" s="5" t="s">
        <v>1242</v>
      </c>
      <c r="C242" s="5" t="s">
        <v>172</v>
      </c>
      <c r="D242" s="5" t="s">
        <v>162</v>
      </c>
      <c r="E242" s="5" t="s">
        <v>68</v>
      </c>
      <c r="F242" s="5" t="s">
        <v>299</v>
      </c>
      <c r="G242" s="5" t="s">
        <v>70</v>
      </c>
      <c r="H242" s="5" t="s">
        <v>118</v>
      </c>
      <c r="I242" s="6">
        <v>16</v>
      </c>
      <c r="J242" s="7">
        <v>44246</v>
      </c>
      <c r="K242" s="8" t="str">
        <f>IF(B242="","",IF(AND(I242="",J242=""),"Unknown",IF(OR(AND(ISNUMBER(I242),I242=0),AND(ISNUMBER(J242),J242&lt;=EDATE('Scoring Settings'!$B$4,-'Scoring Settings'!$B$5))),"Not in use",IF(AND(ISNUMBER(I242),I242&lt;'Scoring Settings'!$B$6),"Low use","Active"))))</f>
        <v>Low use</v>
      </c>
      <c r="L242" s="5">
        <v>1</v>
      </c>
      <c r="M242" s="5">
        <v>4</v>
      </c>
      <c r="N242" s="5" t="s">
        <v>458</v>
      </c>
      <c r="O242" s="5" t="s">
        <v>73</v>
      </c>
      <c r="P242" s="5" t="s">
        <v>1243</v>
      </c>
      <c r="Q242" s="9">
        <v>1</v>
      </c>
      <c r="R242" s="5" t="s">
        <v>107</v>
      </c>
      <c r="S242" s="5" t="s">
        <v>108</v>
      </c>
      <c r="T242" s="5" t="s">
        <v>72</v>
      </c>
      <c r="U242" s="7">
        <v>43655</v>
      </c>
      <c r="V242" s="5" t="s">
        <v>95</v>
      </c>
      <c r="W242" s="6">
        <v>20</v>
      </c>
      <c r="X242" s="5" t="s">
        <v>80</v>
      </c>
      <c r="Y242" s="9">
        <v>7</v>
      </c>
      <c r="Z242" s="5" t="s">
        <v>80</v>
      </c>
      <c r="AA242" s="5" t="s">
        <v>147</v>
      </c>
      <c r="AB242" s="9">
        <v>0</v>
      </c>
      <c r="AC242" s="5" t="s">
        <v>79</v>
      </c>
      <c r="AD242" s="5" t="s">
        <v>82</v>
      </c>
      <c r="AE242" s="5" t="s">
        <v>82</v>
      </c>
      <c r="AF242" s="10">
        <v>11000</v>
      </c>
      <c r="AG242" s="7">
        <v>49003</v>
      </c>
      <c r="AH242" s="10">
        <v>13500</v>
      </c>
      <c r="AI242" s="10">
        <v>8500</v>
      </c>
      <c r="AJ242" s="11">
        <f t="shared" si="3"/>
        <v>19.058823529411764</v>
      </c>
      <c r="AK242" s="12">
        <f>IF(B242="","",OR(K242="Not in use",K242="Low use")+AND(N242&lt;&gt;"",N242&lt;&gt;"TBD")+AND(ISNUMBER(U242),U242&lt;=EDATE('Scoring Settings'!$B$4,'Scoring Settings'!$B$8))+AND(ISNUMBER(L242),L242&lt;='Scoring Settings'!$B$7))</f>
        <v>4</v>
      </c>
      <c r="AL242" s="5" t="s">
        <v>96</v>
      </c>
      <c r="AM242" s="8" t="str">
        <f>IF(B242="","",IF(Z242="N","Easy",IF(OR(AND(ISNUMBER(AB242),AB242&gt;'Scoring Settings'!$B$11),AND(ISNUMBER(W242),W242&gt;'Scoring Settings'!$B$12),AND(ISNUMBER(M242),M242&lt;='Scoring Settings'!$B$13)),"High","Medium")))</f>
        <v>Medium</v>
      </c>
      <c r="AN242" s="5" t="s">
        <v>97</v>
      </c>
      <c r="AO242" s="7">
        <v>44681</v>
      </c>
      <c r="AP242" s="5" t="s">
        <v>197</v>
      </c>
      <c r="AQ242" s="29" t="s">
        <v>1244</v>
      </c>
    </row>
    <row r="243" spans="1:43" hidden="1">
      <c r="A243" s="28">
        <v>29786</v>
      </c>
      <c r="B243" s="5" t="s">
        <v>1245</v>
      </c>
      <c r="C243" s="5" t="s">
        <v>13</v>
      </c>
      <c r="D243" s="5" t="s">
        <v>162</v>
      </c>
      <c r="E243" s="5" t="s">
        <v>68</v>
      </c>
      <c r="F243" s="5" t="s">
        <v>288</v>
      </c>
      <c r="G243" s="5" t="s">
        <v>404</v>
      </c>
      <c r="H243" s="5" t="s">
        <v>105</v>
      </c>
      <c r="I243" s="6">
        <v>1353</v>
      </c>
      <c r="J243" s="7">
        <v>44293</v>
      </c>
      <c r="K243" s="8" t="str">
        <f>IF(B243="","",IF(AND(I243="",J243=""),"Unknown",IF(OR(AND(ISNUMBER(I243),I243=0),AND(ISNUMBER(J243),J243&lt;=EDATE('Scoring Settings'!$B$4,-'Scoring Settings'!$B$5))),"Not in use",IF(AND(ISNUMBER(I243),I243&lt;'Scoring Settings'!$B$6),"Low use","Active"))))</f>
        <v>Active</v>
      </c>
      <c r="L243" s="5">
        <v>3</v>
      </c>
      <c r="M243" s="5">
        <v>2</v>
      </c>
      <c r="N243" s="5" t="s">
        <v>458</v>
      </c>
      <c r="O243" s="5" t="s">
        <v>73</v>
      </c>
      <c r="P243" s="5" t="s">
        <v>1246</v>
      </c>
      <c r="Q243" s="9">
        <v>4</v>
      </c>
      <c r="R243" s="5" t="s">
        <v>239</v>
      </c>
      <c r="S243" s="5" t="s">
        <v>240</v>
      </c>
      <c r="T243" s="5" t="s">
        <v>109</v>
      </c>
      <c r="U243" s="7">
        <v>44316</v>
      </c>
      <c r="V243" s="5" t="s">
        <v>135</v>
      </c>
      <c r="W243" s="6">
        <v>1590</v>
      </c>
      <c r="X243" s="5" t="s">
        <v>79</v>
      </c>
      <c r="Y243" s="9">
        <v>3</v>
      </c>
      <c r="Z243" s="5" t="s">
        <v>80</v>
      </c>
      <c r="AA243" s="5" t="s">
        <v>147</v>
      </c>
      <c r="AB243" s="9">
        <v>15</v>
      </c>
      <c r="AC243" s="5" t="s">
        <v>80</v>
      </c>
      <c r="AD243" s="5" t="s">
        <v>79</v>
      </c>
      <c r="AE243" s="5" t="s">
        <v>82</v>
      </c>
      <c r="AF243" s="10">
        <v>110000</v>
      </c>
      <c r="AG243" s="7">
        <v>47391</v>
      </c>
      <c r="AH243" s="10">
        <v>107500</v>
      </c>
      <c r="AI243" s="10">
        <v>76000</v>
      </c>
      <c r="AJ243" s="11">
        <f t="shared" si="3"/>
        <v>16.973684210526315</v>
      </c>
      <c r="AK243" s="12">
        <f>IF(B243="","",OR(K243="Not in use",K243="Low use")+AND(N243&lt;&gt;"",N243&lt;&gt;"TBD")+AND(ISNUMBER(U243),U243&lt;=EDATE('Scoring Settings'!$B$4,'Scoring Settings'!$B$8))+AND(ISNUMBER(L243),L243&lt;='Scoring Settings'!$B$7))</f>
        <v>2</v>
      </c>
      <c r="AL243" s="5" t="s">
        <v>96</v>
      </c>
      <c r="AM243" s="8" t="str">
        <f>IF(B243="","",IF(Z243="N","Easy",IF(OR(AND(ISNUMBER(AB243),AB243&gt;'Scoring Settings'!$B$11),AND(ISNUMBER(W243),W243&gt;'Scoring Settings'!$B$12),AND(ISNUMBER(M243),M243&lt;='Scoring Settings'!$B$13)),"High","Medium")))</f>
        <v>High</v>
      </c>
      <c r="AN243" s="5" t="s">
        <v>97</v>
      </c>
      <c r="AO243" s="7">
        <v>44592</v>
      </c>
      <c r="AP243" s="5" t="s">
        <v>197</v>
      </c>
      <c r="AQ243" s="29" t="s">
        <v>486</v>
      </c>
    </row>
    <row r="244" spans="1:43" hidden="1">
      <c r="A244" s="28">
        <v>69182</v>
      </c>
      <c r="B244" s="5" t="s">
        <v>1258</v>
      </c>
      <c r="C244" s="5" t="s">
        <v>699</v>
      </c>
      <c r="D244" s="5" t="s">
        <v>297</v>
      </c>
      <c r="E244" s="5" t="s">
        <v>68</v>
      </c>
      <c r="F244" s="5" t="s">
        <v>560</v>
      </c>
      <c r="G244" s="5" t="s">
        <v>271</v>
      </c>
      <c r="H244" s="5" t="s">
        <v>129</v>
      </c>
      <c r="I244" s="6">
        <v>21</v>
      </c>
      <c r="J244" s="7">
        <v>44279</v>
      </c>
      <c r="K244" s="8" t="str">
        <f>IF(B244="","",IF(AND(I244="",J244=""),"Unknown",IF(OR(AND(ISNUMBER(I244),I244=0),AND(ISNUMBER(J244),J244&lt;=EDATE('Scoring Settings'!$B$4,-'Scoring Settings'!$B$5))),"Not in use",IF(AND(ISNUMBER(I244),I244&lt;'Scoring Settings'!$B$6),"Low use","Active"))))</f>
        <v>Low use</v>
      </c>
      <c r="L244" s="5">
        <v>1</v>
      </c>
      <c r="M244" s="5">
        <v>4</v>
      </c>
      <c r="N244" s="5"/>
      <c r="O244" s="5" t="s">
        <v>130</v>
      </c>
      <c r="P244" s="5" t="s">
        <v>1259</v>
      </c>
      <c r="Q244" s="9">
        <v>2</v>
      </c>
      <c r="R244" s="5" t="s">
        <v>166</v>
      </c>
      <c r="S244" s="5" t="s">
        <v>167</v>
      </c>
      <c r="T244" s="5" t="s">
        <v>134</v>
      </c>
      <c r="U244" s="7">
        <v>45482</v>
      </c>
      <c r="V244" s="5" t="s">
        <v>78</v>
      </c>
      <c r="W244" s="6">
        <v>55</v>
      </c>
      <c r="X244" s="5" t="s">
        <v>80</v>
      </c>
      <c r="Y244" s="9">
        <v>5</v>
      </c>
      <c r="Z244" s="5" t="s">
        <v>80</v>
      </c>
      <c r="AA244" s="5" t="s">
        <v>81</v>
      </c>
      <c r="AB244" s="9">
        <v>3</v>
      </c>
      <c r="AC244" s="5" t="s">
        <v>82</v>
      </c>
      <c r="AD244" s="5" t="s">
        <v>82</v>
      </c>
      <c r="AE244" s="5" t="s">
        <v>79</v>
      </c>
      <c r="AF244" s="10">
        <v>32000</v>
      </c>
      <c r="AG244" s="7">
        <v>48457</v>
      </c>
      <c r="AH244" s="10">
        <v>19500</v>
      </c>
      <c r="AI244" s="10">
        <v>24500</v>
      </c>
      <c r="AJ244" s="11">
        <f t="shared" si="3"/>
        <v>9.5510204081632644</v>
      </c>
      <c r="AK244" s="12">
        <f>IF(B244="","",OR(K244="Not in use",K244="Low use")+AND(N244&lt;&gt;"",N244&lt;&gt;"TBD")+AND(ISNUMBER(U244),U244&lt;=EDATE('Scoring Settings'!$B$4,'Scoring Settings'!$B$8))+AND(ISNUMBER(L244),L244&lt;='Scoring Settings'!$B$7))</f>
        <v>2</v>
      </c>
      <c r="AL244" s="5" t="s">
        <v>96</v>
      </c>
      <c r="AM244" s="8" t="str">
        <f>IF(B244="","",IF(Z244="N","Easy",IF(OR(AND(ISNUMBER(AB244),AB244&gt;'Scoring Settings'!$B$11),AND(ISNUMBER(W244),W244&gt;'Scoring Settings'!$B$12),AND(ISNUMBER(M244),M244&lt;='Scoring Settings'!$B$13)),"High","Medium")))</f>
        <v>Medium</v>
      </c>
      <c r="AN244" s="5" t="s">
        <v>97</v>
      </c>
      <c r="AO244" s="7">
        <v>44712</v>
      </c>
      <c r="AP244" s="5" t="s">
        <v>98</v>
      </c>
      <c r="AQ244" s="29" t="s">
        <v>213</v>
      </c>
    </row>
    <row r="245" spans="1:43" hidden="1">
      <c r="A245" s="28">
        <v>47091</v>
      </c>
      <c r="B245" s="5" t="s">
        <v>1262</v>
      </c>
      <c r="C245" s="5" t="s">
        <v>380</v>
      </c>
      <c r="D245" s="5" t="s">
        <v>102</v>
      </c>
      <c r="E245" s="5" t="s">
        <v>68</v>
      </c>
      <c r="F245" s="5" t="s">
        <v>69</v>
      </c>
      <c r="G245" s="5" t="s">
        <v>404</v>
      </c>
      <c r="H245" s="5" t="s">
        <v>142</v>
      </c>
      <c r="I245" s="6">
        <v>0</v>
      </c>
      <c r="J245" s="7">
        <v>44102</v>
      </c>
      <c r="K245" s="8" t="str">
        <f>IF(B245="","",IF(AND(I245="",J245=""),"Unknown",IF(OR(AND(ISNUMBER(I245),I245=0),AND(ISNUMBER(J245),J245&lt;=EDATE('Scoring Settings'!$B$4,-'Scoring Settings'!$B$5))),"Not in use",IF(AND(ISNUMBER(I245),I245&lt;'Scoring Settings'!$B$6),"Low use","Active"))))</f>
        <v>Not in use</v>
      </c>
      <c r="L245" s="5">
        <v>2</v>
      </c>
      <c r="M245" s="5">
        <v>4</v>
      </c>
      <c r="N245" s="5"/>
      <c r="O245" s="5" t="s">
        <v>143</v>
      </c>
      <c r="P245" s="5" t="s">
        <v>144</v>
      </c>
      <c r="Q245" s="9">
        <v>0</v>
      </c>
      <c r="R245" s="5" t="s">
        <v>145</v>
      </c>
      <c r="S245" s="5" t="s">
        <v>145</v>
      </c>
      <c r="T245" s="5" t="s">
        <v>146</v>
      </c>
      <c r="U245" s="7"/>
      <c r="V245" s="5" t="s">
        <v>95</v>
      </c>
      <c r="W245" s="6">
        <v>5</v>
      </c>
      <c r="X245" s="5" t="s">
        <v>80</v>
      </c>
      <c r="Y245" s="9">
        <v>7</v>
      </c>
      <c r="Z245" s="5" t="s">
        <v>79</v>
      </c>
      <c r="AA245" s="5" t="s">
        <v>110</v>
      </c>
      <c r="AB245" s="9">
        <v>1</v>
      </c>
      <c r="AC245" s="5" t="s">
        <v>82</v>
      </c>
      <c r="AD245" s="5" t="s">
        <v>82</v>
      </c>
      <c r="AE245" s="5" t="s">
        <v>79</v>
      </c>
      <c r="AF245" s="10">
        <v>85000</v>
      </c>
      <c r="AG245" s="7">
        <v>49034</v>
      </c>
      <c r="AH245" s="10">
        <v>48500</v>
      </c>
      <c r="AI245" s="10">
        <v>48500</v>
      </c>
      <c r="AJ245" s="11">
        <f t="shared" si="3"/>
        <v>12</v>
      </c>
      <c r="AK245" s="12">
        <f>IF(B245="","",OR(K245="Not in use",K245="Low use")+AND(N245&lt;&gt;"",N245&lt;&gt;"TBD")+AND(ISNUMBER(U245),U245&lt;=EDATE('Scoring Settings'!$B$4,'Scoring Settings'!$B$8))+AND(ISNUMBER(L245),L245&lt;='Scoring Settings'!$B$7))</f>
        <v>2</v>
      </c>
      <c r="AL245" s="5" t="s">
        <v>223</v>
      </c>
      <c r="AM245" s="8" t="str">
        <f>IF(B245="","",IF(Z245="N","Easy",IF(OR(AND(ISNUMBER(AB245),AB245&gt;'Scoring Settings'!$B$11),AND(ISNUMBER(W245),W245&gt;'Scoring Settings'!$B$12),AND(ISNUMBER(M245),M245&lt;='Scoring Settings'!$B$13)),"High","Medium")))</f>
        <v>Easy</v>
      </c>
      <c r="AN245" s="5" t="s">
        <v>97</v>
      </c>
      <c r="AO245" s="7">
        <v>44712</v>
      </c>
      <c r="AP245" s="5" t="s">
        <v>98</v>
      </c>
      <c r="AQ245" s="29" t="s">
        <v>213</v>
      </c>
    </row>
    <row r="246" spans="1:43" hidden="1">
      <c r="A246" s="28">
        <v>196808</v>
      </c>
      <c r="B246" s="5" t="s">
        <v>1266</v>
      </c>
      <c r="C246" s="5" t="s">
        <v>126</v>
      </c>
      <c r="D246" s="5" t="s">
        <v>88</v>
      </c>
      <c r="E246" s="5" t="s">
        <v>298</v>
      </c>
      <c r="F246" s="5" t="s">
        <v>346</v>
      </c>
      <c r="G246" s="5" t="s">
        <v>179</v>
      </c>
      <c r="H246" s="5" t="s">
        <v>142</v>
      </c>
      <c r="I246" s="6">
        <v>0</v>
      </c>
      <c r="J246" s="7">
        <v>44058</v>
      </c>
      <c r="K246" s="8" t="str">
        <f>IF(B246="","",IF(AND(I246="",J246=""),"Unknown",IF(OR(AND(ISNUMBER(I246),I246=0),AND(ISNUMBER(J246),J246&lt;=EDATE('Scoring Settings'!$B$4,-'Scoring Settings'!$B$5))),"Not in use",IF(AND(ISNUMBER(I246),I246&lt;'Scoring Settings'!$B$6),"Low use","Active"))))</f>
        <v>Not in use</v>
      </c>
      <c r="L246" s="5">
        <v>3</v>
      </c>
      <c r="M246" s="5">
        <v>4</v>
      </c>
      <c r="N246" s="5" t="s">
        <v>72</v>
      </c>
      <c r="O246" s="5" t="s">
        <v>143</v>
      </c>
      <c r="P246" s="5" t="s">
        <v>144</v>
      </c>
      <c r="Q246" s="9">
        <v>0</v>
      </c>
      <c r="R246" s="5" t="s">
        <v>145</v>
      </c>
      <c r="S246" s="5" t="s">
        <v>145</v>
      </c>
      <c r="T246" s="5" t="s">
        <v>146</v>
      </c>
      <c r="U246" s="7"/>
      <c r="V246" s="5" t="s">
        <v>135</v>
      </c>
      <c r="W246" s="6">
        <v>110</v>
      </c>
      <c r="X246" s="5" t="s">
        <v>79</v>
      </c>
      <c r="Y246" s="9">
        <v>5</v>
      </c>
      <c r="Z246" s="5" t="s">
        <v>79</v>
      </c>
      <c r="AA246" s="5" t="s">
        <v>110</v>
      </c>
      <c r="AB246" s="9">
        <v>2</v>
      </c>
      <c r="AC246" s="5" t="s">
        <v>79</v>
      </c>
      <c r="AD246" s="5" t="s">
        <v>80</v>
      </c>
      <c r="AE246" s="5" t="s">
        <v>82</v>
      </c>
      <c r="AF246" s="10">
        <v>70000</v>
      </c>
      <c r="AG246" s="7">
        <v>45808</v>
      </c>
      <c r="AH246" s="10">
        <v>53500</v>
      </c>
      <c r="AI246" s="10">
        <v>46000</v>
      </c>
      <c r="AJ246" s="11">
        <f t="shared" si="3"/>
        <v>13.956521739130435</v>
      </c>
      <c r="AK246" s="12">
        <f>IF(B246="","",OR(K246="Not in use",K246="Low use")+AND(N246&lt;&gt;"",N246&lt;&gt;"TBD")+AND(ISNUMBER(U246),U246&lt;=EDATE('Scoring Settings'!$B$4,'Scoring Settings'!$B$8))+AND(ISNUMBER(L246),L246&lt;='Scoring Settings'!$B$7))</f>
        <v>1</v>
      </c>
      <c r="AL246" s="5" t="s">
        <v>223</v>
      </c>
      <c r="AM246" s="8" t="str">
        <f>IF(B246="","",IF(Z246="N","Easy",IF(OR(AND(ISNUMBER(AB246),AB246&gt;'Scoring Settings'!$B$11),AND(ISNUMBER(W246),W246&gt;'Scoring Settings'!$B$12),AND(ISNUMBER(M246),M246&lt;='Scoring Settings'!$B$13)),"High","Medium")))</f>
        <v>Easy</v>
      </c>
      <c r="AN246" s="5" t="s">
        <v>97</v>
      </c>
      <c r="AO246" s="7">
        <v>44620</v>
      </c>
      <c r="AP246" s="5" t="s">
        <v>197</v>
      </c>
      <c r="AQ246" s="29" t="s">
        <v>252</v>
      </c>
    </row>
    <row r="247" spans="1:43" hidden="1">
      <c r="A247" s="28">
        <v>67388</v>
      </c>
      <c r="B247" s="5" t="s">
        <v>1287</v>
      </c>
      <c r="C247" s="5" t="s">
        <v>464</v>
      </c>
      <c r="D247" s="5" t="s">
        <v>88</v>
      </c>
      <c r="E247" s="5" t="s">
        <v>68</v>
      </c>
      <c r="F247" s="5" t="s">
        <v>163</v>
      </c>
      <c r="G247" s="5" t="s">
        <v>356</v>
      </c>
      <c r="H247" s="5" t="s">
        <v>118</v>
      </c>
      <c r="I247" s="6">
        <v>0</v>
      </c>
      <c r="J247" s="7">
        <v>43955</v>
      </c>
      <c r="K247" s="8" t="str">
        <f>IF(B247="","",IF(AND(I247="",J247=""),"Unknown",IF(OR(AND(ISNUMBER(I247),I247=0),AND(ISNUMBER(J247),J247&lt;=EDATE('Scoring Settings'!$B$4,-'Scoring Settings'!$B$5))),"Not in use",IF(AND(ISNUMBER(I247),I247&lt;'Scoring Settings'!$B$6),"Low use","Active"))))</f>
        <v>Not in use</v>
      </c>
      <c r="L247" s="5">
        <v>4</v>
      </c>
      <c r="M247" s="5">
        <v>2</v>
      </c>
      <c r="N247" s="5"/>
      <c r="O247" s="5" t="s">
        <v>73</v>
      </c>
      <c r="P247" s="5" t="s">
        <v>465</v>
      </c>
      <c r="Q247" s="9">
        <v>4</v>
      </c>
      <c r="R247" s="5" t="s">
        <v>203</v>
      </c>
      <c r="S247" s="5" t="s">
        <v>508</v>
      </c>
      <c r="T247" s="5" t="s">
        <v>109</v>
      </c>
      <c r="U247" s="7" t="s">
        <v>72</v>
      </c>
      <c r="V247" s="5" t="s">
        <v>135</v>
      </c>
      <c r="W247" s="6">
        <v>320</v>
      </c>
      <c r="X247" s="5" t="s">
        <v>79</v>
      </c>
      <c r="Y247" s="9">
        <v>5</v>
      </c>
      <c r="Z247" s="5" t="s">
        <v>80</v>
      </c>
      <c r="AA247" s="5" t="s">
        <v>81</v>
      </c>
      <c r="AB247" s="9">
        <v>24</v>
      </c>
      <c r="AC247" s="5" t="s">
        <v>82</v>
      </c>
      <c r="AD247" s="5" t="s">
        <v>82</v>
      </c>
      <c r="AE247" s="5" t="s">
        <v>82</v>
      </c>
      <c r="AF247" s="10">
        <v>100000</v>
      </c>
      <c r="AG247" s="7">
        <v>46507</v>
      </c>
      <c r="AH247" s="10">
        <v>243500</v>
      </c>
      <c r="AI247" s="10">
        <v>50500</v>
      </c>
      <c r="AJ247" s="11">
        <f t="shared" si="3"/>
        <v>57.861386138613859</v>
      </c>
      <c r="AK247" s="12">
        <f>IF(B247="","",OR(K247="Not in use",K247="Low use")+AND(N247&lt;&gt;"",N247&lt;&gt;"TBD")+AND(ISNUMBER(U247),U247&lt;=EDATE('Scoring Settings'!$B$4,'Scoring Settings'!$B$8))+AND(ISNUMBER(L247),L247&lt;='Scoring Settings'!$B$7))</f>
        <v>1</v>
      </c>
      <c r="AL247" s="5" t="s">
        <v>96</v>
      </c>
      <c r="AM247" s="8" t="str">
        <f>IF(B247="","",IF(Z247="N","Easy",IF(OR(AND(ISNUMBER(AB247),AB247&gt;'Scoring Settings'!$B$11),AND(ISNUMBER(W247),W247&gt;'Scoring Settings'!$B$12),AND(ISNUMBER(M247),M247&lt;='Scoring Settings'!$B$13)),"High","Medium")))</f>
        <v>High</v>
      </c>
      <c r="AN247" s="5" t="s">
        <v>97</v>
      </c>
      <c r="AO247" s="7">
        <v>44681</v>
      </c>
      <c r="AP247" s="5" t="s">
        <v>98</v>
      </c>
      <c r="AQ247" s="29" t="s">
        <v>170</v>
      </c>
    </row>
    <row r="248" spans="1:43" hidden="1">
      <c r="A248" s="28">
        <v>52626</v>
      </c>
      <c r="B248" s="5" t="s">
        <v>1292</v>
      </c>
      <c r="C248" s="5" t="s">
        <v>262</v>
      </c>
      <c r="D248" s="5" t="s">
        <v>67</v>
      </c>
      <c r="E248" s="5" t="s">
        <v>298</v>
      </c>
      <c r="F248" s="5" t="s">
        <v>302</v>
      </c>
      <c r="G248" s="5" t="s">
        <v>70</v>
      </c>
      <c r="H248" s="5" t="s">
        <v>118</v>
      </c>
      <c r="I248" s="6">
        <v>331</v>
      </c>
      <c r="J248" s="7">
        <v>44303</v>
      </c>
      <c r="K248" s="8" t="str">
        <f>IF(B248="","",IF(AND(I248="",J248=""),"Unknown",IF(OR(AND(ISNUMBER(I248),I248=0),AND(ISNUMBER(J248),J248&lt;=EDATE('Scoring Settings'!$B$4,-'Scoring Settings'!$B$5))),"Not in use",IF(AND(ISNUMBER(I248),I248&lt;'Scoring Settings'!$B$6),"Low use","Active"))))</f>
        <v>Active</v>
      </c>
      <c r="L248" s="5">
        <v>3</v>
      </c>
      <c r="M248" s="5">
        <v>3</v>
      </c>
      <c r="N248" s="5" t="s">
        <v>227</v>
      </c>
      <c r="O248" s="5" t="s">
        <v>73</v>
      </c>
      <c r="P248" s="5" t="s">
        <v>1293</v>
      </c>
      <c r="Q248" s="9">
        <v>3</v>
      </c>
      <c r="R248" s="5" t="s">
        <v>107</v>
      </c>
      <c r="S248" s="5" t="s">
        <v>108</v>
      </c>
      <c r="T248" s="5" t="s">
        <v>72</v>
      </c>
      <c r="U248" s="7">
        <v>43655</v>
      </c>
      <c r="V248" s="5" t="s">
        <v>95</v>
      </c>
      <c r="W248" s="6">
        <v>390</v>
      </c>
      <c r="X248" s="5" t="s">
        <v>80</v>
      </c>
      <c r="Y248" s="9">
        <v>5</v>
      </c>
      <c r="Z248" s="5" t="s">
        <v>79</v>
      </c>
      <c r="AA248" s="5" t="s">
        <v>110</v>
      </c>
      <c r="AB248" s="9">
        <v>3</v>
      </c>
      <c r="AC248" s="5" t="s">
        <v>82</v>
      </c>
      <c r="AD248" s="5" t="s">
        <v>79</v>
      </c>
      <c r="AE248" s="5" t="s">
        <v>79</v>
      </c>
      <c r="AF248" s="10">
        <v>24500</v>
      </c>
      <c r="AG248" s="7">
        <v>48426</v>
      </c>
      <c r="AH248" s="10">
        <v>29000</v>
      </c>
      <c r="AI248" s="10">
        <v>20500</v>
      </c>
      <c r="AJ248" s="11">
        <f t="shared" si="3"/>
        <v>16.975609756097562</v>
      </c>
      <c r="AK248" s="12">
        <f>IF(B248="","",OR(K248="Not in use",K248="Low use")+AND(N248&lt;&gt;"",N248&lt;&gt;"TBD")+AND(ISNUMBER(U248),U248&lt;=EDATE('Scoring Settings'!$B$4,'Scoring Settings'!$B$8))+AND(ISNUMBER(L248),L248&lt;='Scoring Settings'!$B$7))</f>
        <v>2</v>
      </c>
      <c r="AL248" s="5" t="s">
        <v>223</v>
      </c>
      <c r="AM248" s="8" t="str">
        <f>IF(B248="","",IF(Z248="N","Easy",IF(OR(AND(ISNUMBER(AB248),AB248&gt;'Scoring Settings'!$B$11),AND(ISNUMBER(W248),W248&gt;'Scoring Settings'!$B$12),AND(ISNUMBER(M248),M248&lt;='Scoring Settings'!$B$13)),"High","Medium")))</f>
        <v>Easy</v>
      </c>
      <c r="AN248" s="5" t="s">
        <v>97</v>
      </c>
      <c r="AO248" s="7">
        <v>44592</v>
      </c>
      <c r="AP248" s="5" t="s">
        <v>98</v>
      </c>
      <c r="AQ248" s="29" t="s">
        <v>170</v>
      </c>
    </row>
    <row r="249" spans="1:43" hidden="1">
      <c r="A249" s="28">
        <v>50860</v>
      </c>
      <c r="B249" s="5" t="s">
        <v>1299</v>
      </c>
      <c r="C249" s="5" t="s">
        <v>287</v>
      </c>
      <c r="D249" s="5" t="s">
        <v>162</v>
      </c>
      <c r="E249" s="5" t="s">
        <v>311</v>
      </c>
      <c r="F249" s="5" t="s">
        <v>266</v>
      </c>
      <c r="G249" s="5" t="s">
        <v>237</v>
      </c>
      <c r="H249" s="5" t="s">
        <v>189</v>
      </c>
      <c r="I249" s="6">
        <v>5</v>
      </c>
      <c r="J249" s="7">
        <v>43631</v>
      </c>
      <c r="K249" s="8" t="str">
        <f>IF(B249="","",IF(AND(I249="",J249=""),"Unknown",IF(OR(AND(ISNUMBER(I249),I249=0),AND(ISNUMBER(J249),J249&lt;=EDATE('Scoring Settings'!$B$4,-'Scoring Settings'!$B$5))),"Not in use",IF(AND(ISNUMBER(I249),I249&lt;'Scoring Settings'!$B$6),"Low use","Active"))))</f>
        <v>Not in use</v>
      </c>
      <c r="L249" s="5">
        <v>4</v>
      </c>
      <c r="M249" s="5">
        <v>3</v>
      </c>
      <c r="N249" s="5" t="s">
        <v>678</v>
      </c>
      <c r="O249" s="5" t="s">
        <v>130</v>
      </c>
      <c r="P249" s="5" t="s">
        <v>1300</v>
      </c>
      <c r="Q249" s="9">
        <v>1</v>
      </c>
      <c r="R249" s="5" t="s">
        <v>239</v>
      </c>
      <c r="S249" s="5" t="s">
        <v>240</v>
      </c>
      <c r="T249" s="5" t="s">
        <v>168</v>
      </c>
      <c r="U249" s="7">
        <v>44316</v>
      </c>
      <c r="V249" s="5" t="s">
        <v>95</v>
      </c>
      <c r="W249" s="6">
        <v>490</v>
      </c>
      <c r="X249" s="5" t="s">
        <v>79</v>
      </c>
      <c r="Y249" s="9">
        <v>3</v>
      </c>
      <c r="Z249" s="5" t="s">
        <v>79</v>
      </c>
      <c r="AA249" s="5" t="s">
        <v>110</v>
      </c>
      <c r="AB249" s="9">
        <v>1</v>
      </c>
      <c r="AC249" s="5" t="s">
        <v>79</v>
      </c>
      <c r="AD249" s="5" t="s">
        <v>82</v>
      </c>
      <c r="AE249" s="5" t="s">
        <v>82</v>
      </c>
      <c r="AF249" s="10">
        <v>9500</v>
      </c>
      <c r="AG249" s="7">
        <v>48579</v>
      </c>
      <c r="AH249" s="10">
        <v>10500</v>
      </c>
      <c r="AI249" s="10">
        <v>6000</v>
      </c>
      <c r="AJ249" s="11">
        <f t="shared" si="3"/>
        <v>21</v>
      </c>
      <c r="AK249" s="12">
        <f>IF(B249="","",OR(K249="Not in use",K249="Low use")+AND(N249&lt;&gt;"",N249&lt;&gt;"TBD")+AND(ISNUMBER(U249),U249&lt;=EDATE('Scoring Settings'!$B$4,'Scoring Settings'!$B$8))+AND(ISNUMBER(L249),L249&lt;='Scoring Settings'!$B$7))</f>
        <v>3</v>
      </c>
      <c r="AL249" s="5" t="s">
        <v>2217</v>
      </c>
      <c r="AM249" s="8" t="str">
        <f>IF(B249="","",IF(Z249="N","Easy",IF(OR(AND(ISNUMBER(AB249),AB249&gt;'Scoring Settings'!$B$11),AND(ISNUMBER(W249),W249&gt;'Scoring Settings'!$B$12),AND(ISNUMBER(M249),M249&lt;='Scoring Settings'!$B$13)),"High","Medium")))</f>
        <v>Easy</v>
      </c>
      <c r="AN249" s="5" t="s">
        <v>97</v>
      </c>
      <c r="AO249" s="7">
        <v>44926</v>
      </c>
      <c r="AP249" s="5" t="s">
        <v>98</v>
      </c>
      <c r="AQ249" s="29" t="s">
        <v>170</v>
      </c>
    </row>
    <row r="250" spans="1:43" hidden="1">
      <c r="A250" s="28">
        <v>184400</v>
      </c>
      <c r="B250" s="5" t="s">
        <v>1309</v>
      </c>
      <c r="C250" s="5" t="s">
        <v>495</v>
      </c>
      <c r="D250" s="5" t="s">
        <v>162</v>
      </c>
      <c r="E250" s="5" t="s">
        <v>68</v>
      </c>
      <c r="F250" s="5" t="s">
        <v>396</v>
      </c>
      <c r="G250" s="5" t="s">
        <v>128</v>
      </c>
      <c r="H250" s="5" t="s">
        <v>142</v>
      </c>
      <c r="I250" s="6">
        <v>22</v>
      </c>
      <c r="J250" s="7">
        <v>44296</v>
      </c>
      <c r="K250" s="8" t="str">
        <f>IF(B250="","",IF(AND(I250="",J250=""),"Unknown",IF(OR(AND(ISNUMBER(I250),I250=0),AND(ISNUMBER(J250),J250&lt;=EDATE('Scoring Settings'!$B$4,-'Scoring Settings'!$B$5))),"Not in use",IF(AND(ISNUMBER(I250),I250&lt;'Scoring Settings'!$B$6),"Low use","Active"))))</f>
        <v>Low use</v>
      </c>
      <c r="L250" s="5">
        <v>2</v>
      </c>
      <c r="M250" s="5">
        <v>3</v>
      </c>
      <c r="N250" s="5"/>
      <c r="O250" s="5" t="s">
        <v>143</v>
      </c>
      <c r="P250" s="5" t="s">
        <v>144</v>
      </c>
      <c r="Q250" s="9">
        <v>0</v>
      </c>
      <c r="R250" s="5" t="s">
        <v>145</v>
      </c>
      <c r="S250" s="5" t="s">
        <v>145</v>
      </c>
      <c r="T250" s="5" t="s">
        <v>146</v>
      </c>
      <c r="U250" s="7"/>
      <c r="V250" s="5" t="s">
        <v>135</v>
      </c>
      <c r="W250" s="6">
        <v>370</v>
      </c>
      <c r="X250" s="5" t="s">
        <v>79</v>
      </c>
      <c r="Y250" s="9">
        <v>1</v>
      </c>
      <c r="Z250" s="5" t="s">
        <v>79</v>
      </c>
      <c r="AA250" s="5" t="s">
        <v>110</v>
      </c>
      <c r="AB250" s="9">
        <v>4</v>
      </c>
      <c r="AC250" s="5" t="s">
        <v>79</v>
      </c>
      <c r="AD250" s="5" t="s">
        <v>79</v>
      </c>
      <c r="AE250" s="5" t="s">
        <v>79</v>
      </c>
      <c r="AF250" s="10">
        <v>32000</v>
      </c>
      <c r="AG250" s="7">
        <v>47542</v>
      </c>
      <c r="AH250" s="10">
        <v>40000</v>
      </c>
      <c r="AI250" s="10">
        <v>20000</v>
      </c>
      <c r="AJ250" s="11">
        <f t="shared" si="3"/>
        <v>24</v>
      </c>
      <c r="AK250" s="12">
        <f>IF(B250="","",OR(K250="Not in use",K250="Low use")+AND(N250&lt;&gt;"",N250&lt;&gt;"TBD")+AND(ISNUMBER(U250),U250&lt;=EDATE('Scoring Settings'!$B$4,'Scoring Settings'!$B$8))+AND(ISNUMBER(L250),L250&lt;='Scoring Settings'!$B$7))</f>
        <v>2</v>
      </c>
      <c r="AL250" s="5" t="s">
        <v>223</v>
      </c>
      <c r="AM250" s="8" t="str">
        <f>IF(B250="","",IF(Z250="N","Easy",IF(OR(AND(ISNUMBER(AB250),AB250&gt;'Scoring Settings'!$B$11),AND(ISNUMBER(W250),W250&gt;'Scoring Settings'!$B$12),AND(ISNUMBER(M250),M250&lt;='Scoring Settings'!$B$13)),"High","Medium")))</f>
        <v>Easy</v>
      </c>
      <c r="AN250" s="5" t="s">
        <v>97</v>
      </c>
      <c r="AO250" s="7">
        <v>44865</v>
      </c>
      <c r="AP250" s="5" t="s">
        <v>98</v>
      </c>
      <c r="AQ250" s="29" t="s">
        <v>136</v>
      </c>
    </row>
    <row r="251" spans="1:43" hidden="1">
      <c r="A251" s="28">
        <v>164433</v>
      </c>
      <c r="B251" s="5" t="s">
        <v>1310</v>
      </c>
      <c r="C251" s="5" t="s">
        <v>515</v>
      </c>
      <c r="D251" s="5" t="s">
        <v>102</v>
      </c>
      <c r="E251" s="5" t="s">
        <v>298</v>
      </c>
      <c r="F251" s="5" t="s">
        <v>476</v>
      </c>
      <c r="G251" s="5" t="s">
        <v>404</v>
      </c>
      <c r="H251" s="5" t="s">
        <v>118</v>
      </c>
      <c r="I251" s="6">
        <v>17</v>
      </c>
      <c r="J251" s="7">
        <v>44215</v>
      </c>
      <c r="K251" s="8" t="str">
        <f>IF(B251="","",IF(AND(I251="",J251=""),"Unknown",IF(OR(AND(ISNUMBER(I251),I251=0),AND(ISNUMBER(J251),J251&lt;=EDATE('Scoring Settings'!$B$4,-'Scoring Settings'!$B$5))),"Not in use",IF(AND(ISNUMBER(I251),I251&lt;'Scoring Settings'!$B$6),"Low use","Active"))))</f>
        <v>Low use</v>
      </c>
      <c r="L251" s="5">
        <v>3</v>
      </c>
      <c r="M251" s="5">
        <v>3</v>
      </c>
      <c r="N251" s="5"/>
      <c r="O251" s="5" t="s">
        <v>130</v>
      </c>
      <c r="P251" s="5" t="s">
        <v>1311</v>
      </c>
      <c r="Q251" s="9">
        <v>1</v>
      </c>
      <c r="R251" s="5" t="s">
        <v>182</v>
      </c>
      <c r="S251" s="5" t="s">
        <v>183</v>
      </c>
      <c r="T251" s="5" t="s">
        <v>195</v>
      </c>
      <c r="U251" s="7">
        <v>42855</v>
      </c>
      <c r="V251" s="5" t="s">
        <v>135</v>
      </c>
      <c r="W251" s="6">
        <v>1580</v>
      </c>
      <c r="X251" s="5" t="s">
        <v>79</v>
      </c>
      <c r="Y251" s="9">
        <v>3</v>
      </c>
      <c r="Z251" s="5" t="s">
        <v>80</v>
      </c>
      <c r="AA251" s="5" t="s">
        <v>205</v>
      </c>
      <c r="AB251" s="9">
        <v>5</v>
      </c>
      <c r="AC251" s="5" t="s">
        <v>79</v>
      </c>
      <c r="AD251" s="5" t="s">
        <v>80</v>
      </c>
      <c r="AE251" s="5" t="s">
        <v>79</v>
      </c>
      <c r="AF251" s="10">
        <v>8500</v>
      </c>
      <c r="AG251" s="7">
        <v>49460</v>
      </c>
      <c r="AH251" s="10">
        <v>20000</v>
      </c>
      <c r="AI251" s="10">
        <v>6000</v>
      </c>
      <c r="AJ251" s="11">
        <f t="shared" si="3"/>
        <v>40</v>
      </c>
      <c r="AK251" s="12">
        <f>IF(B251="","",OR(K251="Not in use",K251="Low use")+AND(N251&lt;&gt;"",N251&lt;&gt;"TBD")+AND(ISNUMBER(U251),U251&lt;=EDATE('Scoring Settings'!$B$4,'Scoring Settings'!$B$8))+AND(ISNUMBER(L251),L251&lt;='Scoring Settings'!$B$7))</f>
        <v>2</v>
      </c>
      <c r="AL251" s="5" t="s">
        <v>96</v>
      </c>
      <c r="AM251" s="8" t="str">
        <f>IF(B251="","",IF(Z251="N","Easy",IF(OR(AND(ISNUMBER(AB251),AB251&gt;'Scoring Settings'!$B$11),AND(ISNUMBER(W251),W251&gt;'Scoring Settings'!$B$12),AND(ISNUMBER(M251),M251&lt;='Scoring Settings'!$B$13)),"High","Medium")))</f>
        <v>High</v>
      </c>
      <c r="AN251" s="5" t="s">
        <v>97</v>
      </c>
      <c r="AO251" s="7">
        <v>44681</v>
      </c>
      <c r="AP251" s="5" t="s">
        <v>197</v>
      </c>
      <c r="AQ251" s="29" t="s">
        <v>486</v>
      </c>
    </row>
    <row r="252" spans="1:43" ht="42.75" hidden="1">
      <c r="A252" s="28">
        <v>42068</v>
      </c>
      <c r="B252" s="5" t="s">
        <v>1315</v>
      </c>
      <c r="C252" s="5" t="s">
        <v>343</v>
      </c>
      <c r="D252" s="5" t="s">
        <v>102</v>
      </c>
      <c r="E252" s="5" t="s">
        <v>68</v>
      </c>
      <c r="F252" s="5" t="s">
        <v>140</v>
      </c>
      <c r="G252" s="5" t="s">
        <v>104</v>
      </c>
      <c r="H252" s="5" t="s">
        <v>174</v>
      </c>
      <c r="I252" s="6">
        <v>360</v>
      </c>
      <c r="J252" s="7">
        <v>44290</v>
      </c>
      <c r="K252" s="8" t="str">
        <f>IF(B252="","",IF(AND(I252="",J252=""),"Unknown",IF(OR(AND(ISNUMBER(I252),I252=0),AND(ISNUMBER(J252),J252&lt;=EDATE('Scoring Settings'!$B$4,-'Scoring Settings'!$B$5))),"Not in use",IF(AND(ISNUMBER(I252),I252&lt;'Scoring Settings'!$B$6),"Low use","Active"))))</f>
        <v>Active</v>
      </c>
      <c r="L252" s="5">
        <v>5</v>
      </c>
      <c r="M252" s="5">
        <v>2</v>
      </c>
      <c r="N252" s="5" t="s">
        <v>381</v>
      </c>
      <c r="O252" s="5" t="s">
        <v>73</v>
      </c>
      <c r="P252" s="5" t="s">
        <v>1020</v>
      </c>
      <c r="Q252" s="9">
        <v>1</v>
      </c>
      <c r="R252" s="5" t="s">
        <v>75</v>
      </c>
      <c r="S252" s="5" t="s">
        <v>76</v>
      </c>
      <c r="T252" s="5" t="s">
        <v>184</v>
      </c>
      <c r="U252" s="7">
        <v>46399</v>
      </c>
      <c r="V252" s="5" t="s">
        <v>78</v>
      </c>
      <c r="W252" s="6">
        <v>51</v>
      </c>
      <c r="X252" s="5" t="s">
        <v>79</v>
      </c>
      <c r="Y252" s="9">
        <v>5</v>
      </c>
      <c r="Z252" s="5" t="s">
        <v>79</v>
      </c>
      <c r="AA252" s="5" t="s">
        <v>110</v>
      </c>
      <c r="AB252" s="9">
        <v>15</v>
      </c>
      <c r="AC252" s="5" t="s">
        <v>82</v>
      </c>
      <c r="AD252" s="5" t="s">
        <v>82</v>
      </c>
      <c r="AE252" s="5" t="s">
        <v>80</v>
      </c>
      <c r="AF252" s="10">
        <v>60000</v>
      </c>
      <c r="AG252" s="7">
        <v>47026</v>
      </c>
      <c r="AH252" s="10">
        <v>86500</v>
      </c>
      <c r="AI252" s="10">
        <v>37000</v>
      </c>
      <c r="AJ252" s="11">
        <f t="shared" si="3"/>
        <v>28.054054054054053</v>
      </c>
      <c r="AK252" s="12">
        <f>IF(B252="","",OR(K252="Not in use",K252="Low use")+AND(N252&lt;&gt;"",N252&lt;&gt;"TBD")+AND(ISNUMBER(U252),U252&lt;=EDATE('Scoring Settings'!$B$4,'Scoring Settings'!$B$8))+AND(ISNUMBER(L252),L252&lt;='Scoring Settings'!$B$7))</f>
        <v>1</v>
      </c>
      <c r="AL252" s="5" t="s">
        <v>2217</v>
      </c>
      <c r="AM252" s="8" t="str">
        <f>IF(B252="","",IF(Z252="N","Easy",IF(OR(AND(ISNUMBER(AB252),AB252&gt;'Scoring Settings'!$B$11),AND(ISNUMBER(W252),W252&gt;'Scoring Settings'!$B$12),AND(ISNUMBER(M252),M252&lt;='Scoring Settings'!$B$13)),"High","Medium")))</f>
        <v>Easy</v>
      </c>
      <c r="AN252" s="5" t="s">
        <v>97</v>
      </c>
      <c r="AO252" s="7">
        <v>44712</v>
      </c>
      <c r="AP252" s="5" t="s">
        <v>98</v>
      </c>
      <c r="AQ252" s="29" t="s">
        <v>1316</v>
      </c>
    </row>
    <row r="253" spans="1:43" ht="42.75" hidden="1">
      <c r="A253" s="28">
        <v>102312</v>
      </c>
      <c r="B253" s="5" t="s">
        <v>1324</v>
      </c>
      <c r="C253" s="5" t="s">
        <v>495</v>
      </c>
      <c r="D253" s="5" t="s">
        <v>162</v>
      </c>
      <c r="E253" s="5" t="s">
        <v>68</v>
      </c>
      <c r="F253" s="5" t="s">
        <v>266</v>
      </c>
      <c r="G253" s="5" t="s">
        <v>271</v>
      </c>
      <c r="H253" s="5" t="s">
        <v>189</v>
      </c>
      <c r="I253" s="6">
        <v>13</v>
      </c>
      <c r="J253" s="7">
        <v>44208</v>
      </c>
      <c r="K253" s="8" t="str">
        <f>IF(B253="","",IF(AND(I253="",J253=""),"Unknown",IF(OR(AND(ISNUMBER(I253),I253=0),AND(ISNUMBER(J253),J253&lt;=EDATE('Scoring Settings'!$B$4,-'Scoring Settings'!$B$5))),"Not in use",IF(AND(ISNUMBER(I253),I253&lt;'Scoring Settings'!$B$6),"Low use","Active"))))</f>
        <v>Low use</v>
      </c>
      <c r="L253" s="5">
        <v>1</v>
      </c>
      <c r="M253" s="5">
        <v>4</v>
      </c>
      <c r="N253" s="5"/>
      <c r="O253" s="5" t="s">
        <v>73</v>
      </c>
      <c r="P253" s="5" t="s">
        <v>1222</v>
      </c>
      <c r="Q253" s="9">
        <v>2</v>
      </c>
      <c r="R253" s="5" t="s">
        <v>358</v>
      </c>
      <c r="S253" s="5" t="s">
        <v>133</v>
      </c>
      <c r="T253" s="5" t="s">
        <v>77</v>
      </c>
      <c r="U253" s="7">
        <v>43555</v>
      </c>
      <c r="V253" s="5" t="s">
        <v>95</v>
      </c>
      <c r="W253" s="6">
        <v>4</v>
      </c>
      <c r="X253" s="5" t="s">
        <v>79</v>
      </c>
      <c r="Y253" s="9">
        <v>3</v>
      </c>
      <c r="Z253" s="5" t="s">
        <v>79</v>
      </c>
      <c r="AA253" s="5" t="s">
        <v>110</v>
      </c>
      <c r="AB253" s="9">
        <v>0</v>
      </c>
      <c r="AC253" s="5" t="s">
        <v>79</v>
      </c>
      <c r="AD253" s="5" t="s">
        <v>79</v>
      </c>
      <c r="AE253" s="5" t="s">
        <v>79</v>
      </c>
      <c r="AF253" s="10">
        <v>24500</v>
      </c>
      <c r="AG253" s="7">
        <v>49674</v>
      </c>
      <c r="AH253" s="10">
        <v>14500</v>
      </c>
      <c r="AI253" s="10">
        <v>21500</v>
      </c>
      <c r="AJ253" s="11">
        <f t="shared" si="3"/>
        <v>8.0930232558139537</v>
      </c>
      <c r="AK253" s="12">
        <f>IF(B253="","",OR(K253="Not in use",K253="Low use")+AND(N253&lt;&gt;"",N253&lt;&gt;"TBD")+AND(ISNUMBER(U253),U253&lt;=EDATE('Scoring Settings'!$B$4,'Scoring Settings'!$B$8))+AND(ISNUMBER(L253),L253&lt;='Scoring Settings'!$B$7))</f>
        <v>3</v>
      </c>
      <c r="AL253" s="5" t="s">
        <v>223</v>
      </c>
      <c r="AM253" s="8" t="str">
        <f>IF(B253="","",IF(Z253="N","Easy",IF(OR(AND(ISNUMBER(AB253),AB253&gt;'Scoring Settings'!$B$11),AND(ISNUMBER(W253),W253&gt;'Scoring Settings'!$B$12),AND(ISNUMBER(M253),M253&lt;='Scoring Settings'!$B$13)),"High","Medium")))</f>
        <v>Easy</v>
      </c>
      <c r="AN253" s="5" t="s">
        <v>97</v>
      </c>
      <c r="AO253" s="7">
        <v>44620</v>
      </c>
      <c r="AP253" s="5" t="s">
        <v>197</v>
      </c>
      <c r="AQ253" s="29" t="s">
        <v>1325</v>
      </c>
    </row>
    <row r="254" spans="1:43" hidden="1">
      <c r="A254" s="28">
        <v>66024</v>
      </c>
      <c r="B254" s="5" t="s">
        <v>1344</v>
      </c>
      <c r="C254" s="5" t="s">
        <v>287</v>
      </c>
      <c r="D254" s="5" t="s">
        <v>162</v>
      </c>
      <c r="E254" s="5" t="s">
        <v>68</v>
      </c>
      <c r="F254" s="5" t="s">
        <v>243</v>
      </c>
      <c r="G254" s="5" t="s">
        <v>226</v>
      </c>
      <c r="H254" s="5" t="s">
        <v>129</v>
      </c>
      <c r="I254" s="6">
        <v>28</v>
      </c>
      <c r="J254" s="7">
        <v>44298</v>
      </c>
      <c r="K254" s="8" t="str">
        <f>IF(B254="","",IF(AND(I254="",J254=""),"Unknown",IF(OR(AND(ISNUMBER(I254),I254=0),AND(ISNUMBER(J254),J254&lt;=EDATE('Scoring Settings'!$B$4,-'Scoring Settings'!$B$5))),"Not in use",IF(AND(ISNUMBER(I254),I254&lt;'Scoring Settings'!$B$6),"Low use","Active"))))</f>
        <v>Active</v>
      </c>
      <c r="L254" s="5">
        <v>1</v>
      </c>
      <c r="M254" s="5">
        <v>4</v>
      </c>
      <c r="N254" s="5"/>
      <c r="O254" s="5" t="s">
        <v>73</v>
      </c>
      <c r="P254" s="5" t="s">
        <v>1345</v>
      </c>
      <c r="Q254" s="9">
        <v>3</v>
      </c>
      <c r="R254" s="5" t="s">
        <v>239</v>
      </c>
      <c r="S254" s="5" t="s">
        <v>240</v>
      </c>
      <c r="T254" s="5" t="s">
        <v>77</v>
      </c>
      <c r="U254" s="7">
        <v>44316</v>
      </c>
      <c r="V254" s="5" t="s">
        <v>135</v>
      </c>
      <c r="W254" s="6">
        <v>36</v>
      </c>
      <c r="X254" s="5" t="s">
        <v>79</v>
      </c>
      <c r="Y254" s="9">
        <v>3</v>
      </c>
      <c r="Z254" s="5" t="s">
        <v>80</v>
      </c>
      <c r="AA254" s="5" t="s">
        <v>205</v>
      </c>
      <c r="AB254" s="9">
        <v>3</v>
      </c>
      <c r="AC254" s="5" t="s">
        <v>79</v>
      </c>
      <c r="AD254" s="5" t="s">
        <v>80</v>
      </c>
      <c r="AE254" s="5" t="s">
        <v>79</v>
      </c>
      <c r="AF254" s="10">
        <v>24500</v>
      </c>
      <c r="AG254" s="7">
        <v>46752</v>
      </c>
      <c r="AH254" s="10">
        <v>31500</v>
      </c>
      <c r="AI254" s="10">
        <v>17000</v>
      </c>
      <c r="AJ254" s="11">
        <f t="shared" si="3"/>
        <v>22.235294117647058</v>
      </c>
      <c r="AK254" s="12">
        <f>IF(B254="","",OR(K254="Not in use",K254="Low use")+AND(N254&lt;&gt;"",N254&lt;&gt;"TBD")+AND(ISNUMBER(U254),U254&lt;=EDATE('Scoring Settings'!$B$4,'Scoring Settings'!$B$8))+AND(ISNUMBER(L254),L254&lt;='Scoring Settings'!$B$7))</f>
        <v>2</v>
      </c>
      <c r="AL254" s="5" t="s">
        <v>96</v>
      </c>
      <c r="AM254" s="8" t="str">
        <f>IF(B254="","",IF(Z254="N","Easy",IF(OR(AND(ISNUMBER(AB254),AB254&gt;'Scoring Settings'!$B$11),AND(ISNUMBER(W254),W254&gt;'Scoring Settings'!$B$12),AND(ISNUMBER(M254),M254&lt;='Scoring Settings'!$B$13)),"High","Medium")))</f>
        <v>Medium</v>
      </c>
      <c r="AN254" s="5" t="s">
        <v>97</v>
      </c>
      <c r="AO254" s="7">
        <v>44681</v>
      </c>
      <c r="AP254" s="5" t="s">
        <v>98</v>
      </c>
      <c r="AQ254" s="29" t="s">
        <v>149</v>
      </c>
    </row>
    <row r="255" spans="1:43" ht="42.75" hidden="1">
      <c r="A255" s="28">
        <v>117516</v>
      </c>
      <c r="B255" s="5" t="s">
        <v>1362</v>
      </c>
      <c r="C255" s="5" t="s">
        <v>667</v>
      </c>
      <c r="D255" s="5" t="s">
        <v>115</v>
      </c>
      <c r="E255" s="5" t="s">
        <v>68</v>
      </c>
      <c r="F255" s="5" t="s">
        <v>387</v>
      </c>
      <c r="G255" s="5" t="s">
        <v>104</v>
      </c>
      <c r="H255" s="5" t="s">
        <v>142</v>
      </c>
      <c r="I255" s="6">
        <v>21</v>
      </c>
      <c r="J255" s="7">
        <v>44298</v>
      </c>
      <c r="K255" s="8" t="str">
        <f>IF(B255="","",IF(AND(I255="",J255=""),"Unknown",IF(OR(AND(ISNUMBER(I255),I255=0),AND(ISNUMBER(J255),J255&lt;=EDATE('Scoring Settings'!$B$4,-'Scoring Settings'!$B$5))),"Not in use",IF(AND(ISNUMBER(I255),I255&lt;'Scoring Settings'!$B$6),"Low use","Active"))))</f>
        <v>Low use</v>
      </c>
      <c r="L255" s="5">
        <v>3</v>
      </c>
      <c r="M255" s="5">
        <v>2</v>
      </c>
      <c r="N255" s="5" t="s">
        <v>72</v>
      </c>
      <c r="O255" s="5" t="s">
        <v>143</v>
      </c>
      <c r="P255" s="5" t="s">
        <v>144</v>
      </c>
      <c r="Q255" s="9">
        <v>0</v>
      </c>
      <c r="R255" s="5" t="s">
        <v>145</v>
      </c>
      <c r="S255" s="5" t="s">
        <v>145</v>
      </c>
      <c r="T255" s="5" t="s">
        <v>146</v>
      </c>
      <c r="U255" s="7"/>
      <c r="V255" s="5" t="s">
        <v>78</v>
      </c>
      <c r="W255" s="6">
        <v>52</v>
      </c>
      <c r="X255" s="5" t="s">
        <v>80</v>
      </c>
      <c r="Y255" s="9">
        <v>7</v>
      </c>
      <c r="Z255" s="5" t="s">
        <v>80</v>
      </c>
      <c r="AA255" s="5" t="s">
        <v>147</v>
      </c>
      <c r="AB255" s="9">
        <v>19</v>
      </c>
      <c r="AC255" s="5" t="s">
        <v>80</v>
      </c>
      <c r="AD255" s="5" t="s">
        <v>80</v>
      </c>
      <c r="AE255" s="5" t="s">
        <v>79</v>
      </c>
      <c r="AF255" s="10">
        <v>185000</v>
      </c>
      <c r="AG255" s="7">
        <v>46691</v>
      </c>
      <c r="AH255" s="10">
        <v>347000</v>
      </c>
      <c r="AI255" s="10">
        <v>72500</v>
      </c>
      <c r="AJ255" s="11">
        <f t="shared" si="3"/>
        <v>57.434482758620689</v>
      </c>
      <c r="AK255" s="12">
        <f>IF(B255="","",OR(K255="Not in use",K255="Low use")+AND(N255&lt;&gt;"",N255&lt;&gt;"TBD")+AND(ISNUMBER(U255),U255&lt;=EDATE('Scoring Settings'!$B$4,'Scoring Settings'!$B$8))+AND(ISNUMBER(L255),L255&lt;='Scoring Settings'!$B$7))</f>
        <v>1</v>
      </c>
      <c r="AL255" s="5" t="s">
        <v>96</v>
      </c>
      <c r="AM255" s="8" t="str">
        <f>IF(B255="","",IF(Z255="N","Easy",IF(OR(AND(ISNUMBER(AB255),AB255&gt;'Scoring Settings'!$B$11),AND(ISNUMBER(W255),W255&gt;'Scoring Settings'!$B$12),AND(ISNUMBER(M255),M255&lt;='Scoring Settings'!$B$13)),"High","Medium")))</f>
        <v>High</v>
      </c>
      <c r="AN255" s="5" t="s">
        <v>97</v>
      </c>
      <c r="AO255" s="7">
        <v>44742</v>
      </c>
      <c r="AP255" s="5" t="s">
        <v>197</v>
      </c>
      <c r="AQ255" s="29" t="s">
        <v>402</v>
      </c>
    </row>
    <row r="256" spans="1:43" hidden="1">
      <c r="A256" s="28">
        <v>170025</v>
      </c>
      <c r="B256" s="5" t="s">
        <v>1369</v>
      </c>
      <c r="C256" s="5" t="s">
        <v>138</v>
      </c>
      <c r="D256" s="5" t="s">
        <v>139</v>
      </c>
      <c r="E256" s="5" t="s">
        <v>68</v>
      </c>
      <c r="F256" s="5" t="s">
        <v>89</v>
      </c>
      <c r="G256" s="5" t="s">
        <v>70</v>
      </c>
      <c r="H256" s="5" t="s">
        <v>105</v>
      </c>
      <c r="I256" s="6">
        <v>20</v>
      </c>
      <c r="J256" s="7">
        <v>44205</v>
      </c>
      <c r="K256" s="8" t="str">
        <f>IF(B256="","",IF(AND(I256="",J256=""),"Unknown",IF(OR(AND(ISNUMBER(I256),I256=0),AND(ISNUMBER(J256),J256&lt;=EDATE('Scoring Settings'!$B$4,-'Scoring Settings'!$B$5))),"Not in use",IF(AND(ISNUMBER(I256),I256&lt;'Scoring Settings'!$B$6),"Low use","Active"))))</f>
        <v>Low use</v>
      </c>
      <c r="L256" s="5">
        <v>1</v>
      </c>
      <c r="M256" s="5">
        <v>4</v>
      </c>
      <c r="N256" s="5" t="s">
        <v>401</v>
      </c>
      <c r="O256" s="5" t="s">
        <v>73</v>
      </c>
      <c r="P256" s="5" t="s">
        <v>1370</v>
      </c>
      <c r="Q256" s="9">
        <v>1</v>
      </c>
      <c r="R256" s="5" t="s">
        <v>166</v>
      </c>
      <c r="S256" s="5" t="s">
        <v>308</v>
      </c>
      <c r="T256" s="5" t="s">
        <v>184</v>
      </c>
      <c r="U256" s="7">
        <v>45209</v>
      </c>
      <c r="V256" s="5" t="s">
        <v>95</v>
      </c>
      <c r="W256" s="6">
        <v>1210</v>
      </c>
      <c r="X256" s="5" t="s">
        <v>79</v>
      </c>
      <c r="Y256" s="9">
        <v>7</v>
      </c>
      <c r="Z256" s="5" t="s">
        <v>79</v>
      </c>
      <c r="AA256" s="5" t="s">
        <v>110</v>
      </c>
      <c r="AB256" s="9">
        <v>2</v>
      </c>
      <c r="AC256" s="5" t="s">
        <v>79</v>
      </c>
      <c r="AD256" s="5" t="s">
        <v>82</v>
      </c>
      <c r="AE256" s="5" t="s">
        <v>82</v>
      </c>
      <c r="AF256" s="10">
        <v>16500</v>
      </c>
      <c r="AG256" s="7">
        <v>48913</v>
      </c>
      <c r="AH256" s="10">
        <v>12500</v>
      </c>
      <c r="AI256" s="10">
        <v>11000</v>
      </c>
      <c r="AJ256" s="11">
        <f t="shared" si="3"/>
        <v>13.636363636363637</v>
      </c>
      <c r="AK256" s="12">
        <f>IF(B256="","",OR(K256="Not in use",K256="Low use")+AND(N256&lt;&gt;"",N256&lt;&gt;"TBD")+AND(ISNUMBER(U256),U256&lt;=EDATE('Scoring Settings'!$B$4,'Scoring Settings'!$B$8))+AND(ISNUMBER(L256),L256&lt;='Scoring Settings'!$B$7))</f>
        <v>3</v>
      </c>
      <c r="AL256" s="5" t="s">
        <v>2217</v>
      </c>
      <c r="AM256" s="8" t="str">
        <f>IF(B256="","",IF(Z256="N","Easy",IF(OR(AND(ISNUMBER(AB256),AB256&gt;'Scoring Settings'!$B$11),AND(ISNUMBER(W256),W256&gt;'Scoring Settings'!$B$12),AND(ISNUMBER(M256),M256&lt;='Scoring Settings'!$B$13)),"High","Medium")))</f>
        <v>Easy</v>
      </c>
      <c r="AN256" s="5" t="s">
        <v>97</v>
      </c>
      <c r="AO256" s="7">
        <v>44834</v>
      </c>
      <c r="AP256" s="5" t="s">
        <v>98</v>
      </c>
      <c r="AQ256" s="29" t="s">
        <v>170</v>
      </c>
    </row>
    <row r="257" spans="1:43" hidden="1">
      <c r="A257" s="28">
        <v>147197</v>
      </c>
      <c r="B257" s="5" t="s">
        <v>1371</v>
      </c>
      <c r="C257" s="5" t="s">
        <v>151</v>
      </c>
      <c r="D257" s="5" t="s">
        <v>102</v>
      </c>
      <c r="E257" s="5" t="s">
        <v>68</v>
      </c>
      <c r="F257" s="5" t="s">
        <v>163</v>
      </c>
      <c r="G257" s="5" t="s">
        <v>153</v>
      </c>
      <c r="H257" s="5" t="s">
        <v>189</v>
      </c>
      <c r="I257" s="6">
        <v>237</v>
      </c>
      <c r="J257" s="7">
        <v>44311</v>
      </c>
      <c r="K257" s="8" t="str">
        <f>IF(B257="","",IF(AND(I257="",J257=""),"Unknown",IF(OR(AND(ISNUMBER(I257),I257=0),AND(ISNUMBER(J257),J257&lt;=EDATE('Scoring Settings'!$B$4,-'Scoring Settings'!$B$5))),"Not in use",IF(AND(ISNUMBER(I257),I257&lt;'Scoring Settings'!$B$6),"Low use","Active"))))</f>
        <v>Active</v>
      </c>
      <c r="L257" s="5">
        <v>1</v>
      </c>
      <c r="M257" s="5">
        <v>4</v>
      </c>
      <c r="N257" s="5"/>
      <c r="O257" s="5" t="s">
        <v>73</v>
      </c>
      <c r="P257" s="5" t="s">
        <v>1372</v>
      </c>
      <c r="Q257" s="9">
        <v>4</v>
      </c>
      <c r="R257" s="5" t="s">
        <v>256</v>
      </c>
      <c r="S257" s="5" t="s">
        <v>257</v>
      </c>
      <c r="T257" s="5" t="s">
        <v>184</v>
      </c>
      <c r="U257" s="7">
        <v>45077</v>
      </c>
      <c r="V257" s="5" t="s">
        <v>95</v>
      </c>
      <c r="W257" s="6">
        <v>390</v>
      </c>
      <c r="X257" s="5" t="s">
        <v>80</v>
      </c>
      <c r="Y257" s="9">
        <v>7</v>
      </c>
      <c r="Z257" s="5" t="s">
        <v>80</v>
      </c>
      <c r="AA257" s="5" t="s">
        <v>185</v>
      </c>
      <c r="AB257" s="9">
        <v>1</v>
      </c>
      <c r="AC257" s="5" t="s">
        <v>79</v>
      </c>
      <c r="AD257" s="5" t="s">
        <v>79</v>
      </c>
      <c r="AE257" s="5" t="s">
        <v>79</v>
      </c>
      <c r="AF257" s="10">
        <v>60000</v>
      </c>
      <c r="AG257" s="7">
        <v>48426</v>
      </c>
      <c r="AH257" s="10">
        <v>44500</v>
      </c>
      <c r="AI257" s="10">
        <v>50000</v>
      </c>
      <c r="AJ257" s="11">
        <f t="shared" si="3"/>
        <v>10.68</v>
      </c>
      <c r="AK257" s="12">
        <f>IF(B257="","",OR(K257="Not in use",K257="Low use")+AND(N257&lt;&gt;"",N257&lt;&gt;"TBD")+AND(ISNUMBER(U257),U257&lt;=EDATE('Scoring Settings'!$B$4,'Scoring Settings'!$B$8))+AND(ISNUMBER(L257),L257&lt;='Scoring Settings'!$B$7))</f>
        <v>1</v>
      </c>
      <c r="AL257" s="5" t="s">
        <v>96</v>
      </c>
      <c r="AM257" s="8" t="str">
        <f>IF(B257="","",IF(Z257="N","Easy",IF(OR(AND(ISNUMBER(AB257),AB257&gt;'Scoring Settings'!$B$11),AND(ISNUMBER(W257),W257&gt;'Scoring Settings'!$B$12),AND(ISNUMBER(M257),M257&lt;='Scoring Settings'!$B$13)),"High","Medium")))</f>
        <v>Medium</v>
      </c>
      <c r="AN257" s="5" t="s">
        <v>97</v>
      </c>
      <c r="AO257" s="7">
        <v>44773</v>
      </c>
      <c r="AP257" s="5" t="s">
        <v>197</v>
      </c>
      <c r="AQ257" s="29" t="s">
        <v>276</v>
      </c>
    </row>
    <row r="258" spans="1:43" ht="42.75" hidden="1">
      <c r="A258" s="28">
        <v>21115</v>
      </c>
      <c r="B258" s="5" t="s">
        <v>1387</v>
      </c>
      <c r="C258" s="5" t="s">
        <v>242</v>
      </c>
      <c r="D258" s="5" t="s">
        <v>115</v>
      </c>
      <c r="E258" s="5" t="s">
        <v>68</v>
      </c>
      <c r="F258" s="5" t="s">
        <v>152</v>
      </c>
      <c r="G258" s="5" t="s">
        <v>284</v>
      </c>
      <c r="H258" s="5" t="s">
        <v>71</v>
      </c>
      <c r="I258" s="6">
        <v>25</v>
      </c>
      <c r="J258" s="7">
        <v>44304</v>
      </c>
      <c r="K258" s="8" t="str">
        <f>IF(B258="","",IF(AND(I258="",J258=""),"Unknown",IF(OR(AND(ISNUMBER(I258),I258=0),AND(ISNUMBER(J258),J258&lt;=EDATE('Scoring Settings'!$B$4,-'Scoring Settings'!$B$5))),"Not in use",IF(AND(ISNUMBER(I258),I258&lt;'Scoring Settings'!$B$6),"Low use","Active"))))</f>
        <v>Active</v>
      </c>
      <c r="L258" s="5">
        <v>2</v>
      </c>
      <c r="M258" s="5">
        <v>4</v>
      </c>
      <c r="N258" s="5" t="s">
        <v>549</v>
      </c>
      <c r="O258" s="5" t="s">
        <v>73</v>
      </c>
      <c r="P258" s="5" t="s">
        <v>1388</v>
      </c>
      <c r="Q258" s="9">
        <v>2</v>
      </c>
      <c r="R258" s="5" t="s">
        <v>132</v>
      </c>
      <c r="S258" s="5" t="s">
        <v>133</v>
      </c>
      <c r="T258" s="5" t="s">
        <v>72</v>
      </c>
      <c r="U258" s="7">
        <v>44227</v>
      </c>
      <c r="V258" s="5" t="s">
        <v>95</v>
      </c>
      <c r="W258" s="6">
        <v>2590</v>
      </c>
      <c r="X258" s="5" t="s">
        <v>79</v>
      </c>
      <c r="Y258" s="9">
        <v>1</v>
      </c>
      <c r="Z258" s="5" t="s">
        <v>79</v>
      </c>
      <c r="AA258" s="5" t="s">
        <v>110</v>
      </c>
      <c r="AB258" s="9">
        <v>2</v>
      </c>
      <c r="AC258" s="5" t="s">
        <v>79</v>
      </c>
      <c r="AD258" s="5" t="s">
        <v>79</v>
      </c>
      <c r="AE258" s="5" t="s">
        <v>82</v>
      </c>
      <c r="AF258" s="10">
        <v>32000</v>
      </c>
      <c r="AG258" s="7">
        <v>45930</v>
      </c>
      <c r="AH258" s="10">
        <v>27000</v>
      </c>
      <c r="AI258" s="10">
        <v>26000</v>
      </c>
      <c r="AJ258" s="11">
        <f t="shared" si="3"/>
        <v>12.461538461538463</v>
      </c>
      <c r="AK258" s="12">
        <f>IF(B258="","",OR(K258="Not in use",K258="Low use")+AND(N258&lt;&gt;"",N258&lt;&gt;"TBD")+AND(ISNUMBER(U258),U258&lt;=EDATE('Scoring Settings'!$B$4,'Scoring Settings'!$B$8))+AND(ISNUMBER(L258),L258&lt;='Scoring Settings'!$B$7))</f>
        <v>3</v>
      </c>
      <c r="AL258" s="5" t="s">
        <v>2217</v>
      </c>
      <c r="AM258" s="8" t="str">
        <f>IF(B258="","",IF(Z258="N","Easy",IF(OR(AND(ISNUMBER(AB258),AB258&gt;'Scoring Settings'!$B$11),AND(ISNUMBER(W258),W258&gt;'Scoring Settings'!$B$12),AND(ISNUMBER(M258),M258&lt;='Scoring Settings'!$B$13)),"High","Medium")))</f>
        <v>Easy</v>
      </c>
      <c r="AN258" s="5" t="s">
        <v>97</v>
      </c>
      <c r="AO258" s="7">
        <v>44804</v>
      </c>
      <c r="AP258" s="5" t="s">
        <v>98</v>
      </c>
      <c r="AQ258" s="29" t="s">
        <v>991</v>
      </c>
    </row>
    <row r="259" spans="1:43" hidden="1">
      <c r="A259" s="28">
        <v>130113</v>
      </c>
      <c r="B259" s="5" t="s">
        <v>1404</v>
      </c>
      <c r="C259" s="5" t="s">
        <v>66</v>
      </c>
      <c r="D259" s="5" t="s">
        <v>67</v>
      </c>
      <c r="E259" s="5" t="s">
        <v>68</v>
      </c>
      <c r="F259" s="5" t="s">
        <v>69</v>
      </c>
      <c r="G259" s="5" t="s">
        <v>90</v>
      </c>
      <c r="H259" s="5" t="s">
        <v>91</v>
      </c>
      <c r="I259" s="6">
        <v>3</v>
      </c>
      <c r="J259" s="7">
        <v>44208</v>
      </c>
      <c r="K259" s="8" t="str">
        <f>IF(B259="","",IF(AND(I259="",J259=""),"Unknown",IF(OR(AND(ISNUMBER(I259),I259=0),AND(ISNUMBER(J259),J259&lt;=EDATE('Scoring Settings'!$B$4,-'Scoring Settings'!$B$5))),"Not in use",IF(AND(ISNUMBER(I259),I259&lt;'Scoring Settings'!$B$6),"Low use","Active"))))</f>
        <v>Low use</v>
      </c>
      <c r="L259" s="5">
        <v>1</v>
      </c>
      <c r="M259" s="5">
        <v>4</v>
      </c>
      <c r="N259" s="5"/>
      <c r="O259" s="5" t="s">
        <v>73</v>
      </c>
      <c r="P259" s="5" t="s">
        <v>1405</v>
      </c>
      <c r="Q259" s="9">
        <v>1</v>
      </c>
      <c r="R259" s="5" t="s">
        <v>478</v>
      </c>
      <c r="S259" s="5" t="s">
        <v>479</v>
      </c>
      <c r="T259" s="5" t="s">
        <v>72</v>
      </c>
      <c r="U259" s="7">
        <v>43844</v>
      </c>
      <c r="V259" s="5" t="s">
        <v>135</v>
      </c>
      <c r="W259" s="6">
        <v>590</v>
      </c>
      <c r="X259" s="5" t="s">
        <v>80</v>
      </c>
      <c r="Y259" s="9">
        <v>5</v>
      </c>
      <c r="Z259" s="5" t="s">
        <v>80</v>
      </c>
      <c r="AA259" s="5" t="s">
        <v>185</v>
      </c>
      <c r="AB259" s="9">
        <v>3</v>
      </c>
      <c r="AC259" s="5" t="s">
        <v>79</v>
      </c>
      <c r="AD259" s="5" t="s">
        <v>79</v>
      </c>
      <c r="AE259" s="5" t="s">
        <v>82</v>
      </c>
      <c r="AF259" s="10">
        <v>33000</v>
      </c>
      <c r="AG259" s="7">
        <v>46568</v>
      </c>
      <c r="AH259" s="10">
        <v>45000</v>
      </c>
      <c r="AI259" s="10">
        <v>17000</v>
      </c>
      <c r="AJ259" s="11">
        <f t="shared" si="3"/>
        <v>31.764705882352942</v>
      </c>
      <c r="AK259" s="12">
        <f>IF(B259="","",OR(K259="Not in use",K259="Low use")+AND(N259&lt;&gt;"",N259&lt;&gt;"TBD")+AND(ISNUMBER(U259),U259&lt;=EDATE('Scoring Settings'!$B$4,'Scoring Settings'!$B$8))+AND(ISNUMBER(L259),L259&lt;='Scoring Settings'!$B$7))</f>
        <v>3</v>
      </c>
      <c r="AL259" s="5" t="s">
        <v>96</v>
      </c>
      <c r="AM259" s="8" t="str">
        <f>IF(B259="","",IF(Z259="N","Easy",IF(OR(AND(ISNUMBER(AB259),AB259&gt;'Scoring Settings'!$B$11),AND(ISNUMBER(W259),W259&gt;'Scoring Settings'!$B$12),AND(ISNUMBER(M259),M259&lt;='Scoring Settings'!$B$13)),"High","Medium")))</f>
        <v>Medium</v>
      </c>
      <c r="AN259" s="5" t="s">
        <v>97</v>
      </c>
      <c r="AO259" s="7">
        <v>44592</v>
      </c>
      <c r="AP259" s="5" t="s">
        <v>197</v>
      </c>
      <c r="AQ259" s="29" t="s">
        <v>844</v>
      </c>
    </row>
    <row r="260" spans="1:43" hidden="1">
      <c r="A260" s="28">
        <v>36276</v>
      </c>
      <c r="B260" s="5" t="s">
        <v>1412</v>
      </c>
      <c r="C260" s="5" t="s">
        <v>522</v>
      </c>
      <c r="D260" s="5" t="s">
        <v>297</v>
      </c>
      <c r="E260" s="5" t="s">
        <v>68</v>
      </c>
      <c r="F260" s="5" t="s">
        <v>419</v>
      </c>
      <c r="G260" s="5" t="s">
        <v>70</v>
      </c>
      <c r="H260" s="5" t="s">
        <v>174</v>
      </c>
      <c r="I260" s="6">
        <v>6</v>
      </c>
      <c r="J260" s="7">
        <v>44261</v>
      </c>
      <c r="K260" s="8" t="str">
        <f>IF(B260="","",IF(AND(I260="",J260=""),"Unknown",IF(OR(AND(ISNUMBER(I260),I260=0),AND(ISNUMBER(J260),J260&lt;=EDATE('Scoring Settings'!$B$4,-'Scoring Settings'!$B$5))),"Not in use",IF(AND(ISNUMBER(I260),I260&lt;'Scoring Settings'!$B$6),"Low use","Active"))))</f>
        <v>Low use</v>
      </c>
      <c r="L260" s="5">
        <v>1</v>
      </c>
      <c r="M260" s="5">
        <v>3</v>
      </c>
      <c r="N260" s="5"/>
      <c r="O260" s="5" t="s">
        <v>191</v>
      </c>
      <c r="P260" s="5" t="s">
        <v>192</v>
      </c>
      <c r="Q260" s="9">
        <v>0</v>
      </c>
      <c r="R260" s="5" t="s">
        <v>193</v>
      </c>
      <c r="S260" s="5" t="s">
        <v>318</v>
      </c>
      <c r="T260" s="5" t="s">
        <v>195</v>
      </c>
      <c r="U260" s="7">
        <v>44742</v>
      </c>
      <c r="V260" s="5" t="s">
        <v>78</v>
      </c>
      <c r="W260" s="6">
        <v>1080</v>
      </c>
      <c r="X260" s="5" t="s">
        <v>79</v>
      </c>
      <c r="Y260" s="9">
        <v>7</v>
      </c>
      <c r="Z260" s="5" t="s">
        <v>80</v>
      </c>
      <c r="AA260" s="5" t="s">
        <v>205</v>
      </c>
      <c r="AB260" s="9">
        <v>4</v>
      </c>
      <c r="AC260" s="5" t="s">
        <v>82</v>
      </c>
      <c r="AD260" s="5" t="s">
        <v>80</v>
      </c>
      <c r="AE260" s="5" t="s">
        <v>79</v>
      </c>
      <c r="AF260" s="10">
        <v>4500</v>
      </c>
      <c r="AG260" s="7">
        <v>46568</v>
      </c>
      <c r="AH260" s="10">
        <v>4000</v>
      </c>
      <c r="AI260" s="10">
        <v>2500</v>
      </c>
      <c r="AJ260" s="11">
        <f t="shared" si="3"/>
        <v>19.200000000000003</v>
      </c>
      <c r="AK260" s="12">
        <f>IF(B260="","",OR(K260="Not in use",K260="Low use")+AND(N260&lt;&gt;"",N260&lt;&gt;"TBD")+AND(ISNUMBER(U260),U260&lt;=EDATE('Scoring Settings'!$B$4,'Scoring Settings'!$B$8))+AND(ISNUMBER(L260),L260&lt;='Scoring Settings'!$B$7))</f>
        <v>2</v>
      </c>
      <c r="AL260" s="5" t="s">
        <v>96</v>
      </c>
      <c r="AM260" s="8" t="str">
        <f>IF(B260="","",IF(Z260="N","Easy",IF(OR(AND(ISNUMBER(AB260),AB260&gt;'Scoring Settings'!$B$11),AND(ISNUMBER(W260),W260&gt;'Scoring Settings'!$B$12),AND(ISNUMBER(M260),M260&lt;='Scoring Settings'!$B$13)),"High","Medium")))</f>
        <v>High</v>
      </c>
      <c r="AN260" s="5" t="s">
        <v>97</v>
      </c>
      <c r="AO260" s="7">
        <v>44773</v>
      </c>
      <c r="AP260" s="5" t="s">
        <v>197</v>
      </c>
      <c r="AQ260" s="29" t="s">
        <v>399</v>
      </c>
    </row>
    <row r="261" spans="1:43" hidden="1">
      <c r="A261" s="28">
        <v>126310</v>
      </c>
      <c r="B261" s="5" t="s">
        <v>1426</v>
      </c>
      <c r="C261" s="5" t="s">
        <v>161</v>
      </c>
      <c r="D261" s="5" t="s">
        <v>162</v>
      </c>
      <c r="E261" s="5" t="s">
        <v>68</v>
      </c>
      <c r="F261" s="5" t="s">
        <v>209</v>
      </c>
      <c r="G261" s="5" t="s">
        <v>404</v>
      </c>
      <c r="H261" s="5" t="s">
        <v>174</v>
      </c>
      <c r="I261" s="6">
        <v>64</v>
      </c>
      <c r="J261" s="7">
        <v>44315</v>
      </c>
      <c r="K261" s="8" t="str">
        <f>IF(B261="","",IF(AND(I261="",J261=""),"Unknown",IF(OR(AND(ISNUMBER(I261),I261=0),AND(ISNUMBER(J261),J261&lt;=EDATE('Scoring Settings'!$B$4,-'Scoring Settings'!$B$5))),"Not in use",IF(AND(ISNUMBER(I261),I261&lt;'Scoring Settings'!$B$6),"Low use","Active"))))</f>
        <v>Active</v>
      </c>
      <c r="L261" s="5">
        <v>1</v>
      </c>
      <c r="M261" s="5">
        <v>4</v>
      </c>
      <c r="N261" s="5"/>
      <c r="O261" s="5" t="s">
        <v>73</v>
      </c>
      <c r="P261" s="5" t="s">
        <v>1112</v>
      </c>
      <c r="Q261" s="9">
        <v>4</v>
      </c>
      <c r="R261" s="5" t="s">
        <v>239</v>
      </c>
      <c r="S261" s="5" t="s">
        <v>240</v>
      </c>
      <c r="T261" s="5" t="s">
        <v>122</v>
      </c>
      <c r="U261" s="7">
        <v>44316</v>
      </c>
      <c r="V261" s="5" t="s">
        <v>95</v>
      </c>
      <c r="W261" s="6">
        <v>440</v>
      </c>
      <c r="X261" s="5" t="s">
        <v>79</v>
      </c>
      <c r="Y261" s="9">
        <v>7</v>
      </c>
      <c r="Z261" s="5" t="s">
        <v>79</v>
      </c>
      <c r="AA261" s="5" t="s">
        <v>110</v>
      </c>
      <c r="AB261" s="9">
        <v>2</v>
      </c>
      <c r="AC261" s="5" t="s">
        <v>79</v>
      </c>
      <c r="AD261" s="5" t="s">
        <v>80</v>
      </c>
      <c r="AE261" s="5" t="s">
        <v>80</v>
      </c>
      <c r="AF261" s="10">
        <v>60000</v>
      </c>
      <c r="AG261" s="7">
        <v>48730</v>
      </c>
      <c r="AH261" s="10">
        <v>62000</v>
      </c>
      <c r="AI261" s="10">
        <v>56000</v>
      </c>
      <c r="AJ261" s="11">
        <f t="shared" ref="AJ261:AJ324" si="4">IF(AND(ISNUMBER(AH261),ISNUMBER(AI261),N(AI261)&gt;0),AH261/AI261*12,"")</f>
        <v>13.285714285714286</v>
      </c>
      <c r="AK261" s="12">
        <f>IF(B261="","",OR(K261="Not in use",K261="Low use")+AND(N261&lt;&gt;"",N261&lt;&gt;"TBD")+AND(ISNUMBER(U261),U261&lt;=EDATE('Scoring Settings'!$B$4,'Scoring Settings'!$B$8))+AND(ISNUMBER(L261),L261&lt;='Scoring Settings'!$B$7))</f>
        <v>2</v>
      </c>
      <c r="AL261" s="5" t="s">
        <v>223</v>
      </c>
      <c r="AM261" s="8" t="str">
        <f>IF(B261="","",IF(Z261="N","Easy",IF(OR(AND(ISNUMBER(AB261),AB261&gt;'Scoring Settings'!$B$11),AND(ISNUMBER(W261),W261&gt;'Scoring Settings'!$B$12),AND(ISNUMBER(M261),M261&lt;='Scoring Settings'!$B$13)),"High","Medium")))</f>
        <v>Easy</v>
      </c>
      <c r="AN261" s="5" t="s">
        <v>97</v>
      </c>
      <c r="AO261" s="7">
        <v>44926</v>
      </c>
      <c r="AP261" s="5" t="s">
        <v>98</v>
      </c>
      <c r="AQ261" s="29" t="s">
        <v>136</v>
      </c>
    </row>
    <row r="262" spans="1:43" hidden="1">
      <c r="A262" s="28">
        <v>58292</v>
      </c>
      <c r="B262" s="5" t="s">
        <v>1452</v>
      </c>
      <c r="C262" s="5" t="s">
        <v>66</v>
      </c>
      <c r="D262" s="5" t="s">
        <v>67</v>
      </c>
      <c r="E262" s="5" t="s">
        <v>68</v>
      </c>
      <c r="F262" s="5" t="s">
        <v>396</v>
      </c>
      <c r="G262" s="5" t="s">
        <v>221</v>
      </c>
      <c r="H262" s="5" t="s">
        <v>118</v>
      </c>
      <c r="I262" s="6">
        <v>0</v>
      </c>
      <c r="J262" s="7">
        <v>44178</v>
      </c>
      <c r="K262" s="8" t="str">
        <f>IF(B262="","",IF(AND(I262="",J262=""),"Unknown",IF(OR(AND(ISNUMBER(I262),I262=0),AND(ISNUMBER(J262),J262&lt;=EDATE('Scoring Settings'!$B$4,-'Scoring Settings'!$B$5))),"Not in use",IF(AND(ISNUMBER(I262),I262&lt;'Scoring Settings'!$B$6),"Low use","Active"))))</f>
        <v>Not in use</v>
      </c>
      <c r="L262" s="5">
        <v>1</v>
      </c>
      <c r="M262" s="5">
        <v>3</v>
      </c>
      <c r="N262" s="5" t="s">
        <v>211</v>
      </c>
      <c r="O262" s="5" t="s">
        <v>73</v>
      </c>
      <c r="P262" s="5" t="s">
        <v>721</v>
      </c>
      <c r="Q262" s="9">
        <v>3</v>
      </c>
      <c r="R262" s="5" t="s">
        <v>245</v>
      </c>
      <c r="S262" s="5" t="s">
        <v>246</v>
      </c>
      <c r="T262" s="5" t="s">
        <v>109</v>
      </c>
      <c r="U262" s="7">
        <v>45777</v>
      </c>
      <c r="V262" s="5" t="s">
        <v>95</v>
      </c>
      <c r="W262" s="6">
        <v>9</v>
      </c>
      <c r="X262" s="5" t="s">
        <v>79</v>
      </c>
      <c r="Y262" s="9">
        <v>7</v>
      </c>
      <c r="Z262" s="5" t="s">
        <v>79</v>
      </c>
      <c r="AA262" s="5" t="s">
        <v>110</v>
      </c>
      <c r="AB262" s="9">
        <v>3</v>
      </c>
      <c r="AC262" s="5" t="s">
        <v>82</v>
      </c>
      <c r="AD262" s="5" t="s">
        <v>82</v>
      </c>
      <c r="AE262" s="5" t="s">
        <v>82</v>
      </c>
      <c r="AF262" s="10">
        <v>37000</v>
      </c>
      <c r="AG262" s="7">
        <v>48060</v>
      </c>
      <c r="AH262" s="10">
        <v>48000</v>
      </c>
      <c r="AI262" s="10">
        <v>31000</v>
      </c>
      <c r="AJ262" s="11">
        <f t="shared" si="4"/>
        <v>18.58064516129032</v>
      </c>
      <c r="AK262" s="12">
        <f>IF(B262="","",OR(K262="Not in use",K262="Low use")+AND(N262&lt;&gt;"",N262&lt;&gt;"TBD")+AND(ISNUMBER(U262),U262&lt;=EDATE('Scoring Settings'!$B$4,'Scoring Settings'!$B$8))+AND(ISNUMBER(L262),L262&lt;='Scoring Settings'!$B$7))</f>
        <v>3</v>
      </c>
      <c r="AL262" s="5" t="s">
        <v>223</v>
      </c>
      <c r="AM262" s="8" t="str">
        <f>IF(B262="","",IF(Z262="N","Easy",IF(OR(AND(ISNUMBER(AB262),AB262&gt;'Scoring Settings'!$B$11),AND(ISNUMBER(W262),W262&gt;'Scoring Settings'!$B$12),AND(ISNUMBER(M262),M262&lt;='Scoring Settings'!$B$13)),"High","Medium")))</f>
        <v>Easy</v>
      </c>
      <c r="AN262" s="5" t="s">
        <v>97</v>
      </c>
      <c r="AO262" s="7">
        <v>44926</v>
      </c>
      <c r="AP262" s="5" t="s">
        <v>197</v>
      </c>
      <c r="AQ262" s="29" t="s">
        <v>252</v>
      </c>
    </row>
    <row r="263" spans="1:43" hidden="1">
      <c r="A263" s="28">
        <v>159043</v>
      </c>
      <c r="B263" s="5" t="s">
        <v>1493</v>
      </c>
      <c r="C263" s="5" t="s">
        <v>151</v>
      </c>
      <c r="D263" s="5" t="s">
        <v>102</v>
      </c>
      <c r="E263" s="5" t="s">
        <v>311</v>
      </c>
      <c r="F263" s="5" t="s">
        <v>387</v>
      </c>
      <c r="G263" s="5" t="s">
        <v>267</v>
      </c>
      <c r="H263" s="5" t="s">
        <v>71</v>
      </c>
      <c r="I263" s="6">
        <v>19</v>
      </c>
      <c r="J263" s="7">
        <v>44179</v>
      </c>
      <c r="K263" s="8" t="str">
        <f>IF(B263="","",IF(AND(I263="",J263=""),"Unknown",IF(OR(AND(ISNUMBER(I263),I263=0),AND(ISNUMBER(J263),J263&lt;=EDATE('Scoring Settings'!$B$4,-'Scoring Settings'!$B$5))),"Not in use",IF(AND(ISNUMBER(I263),I263&lt;'Scoring Settings'!$B$6),"Low use","Active"))))</f>
        <v>Low use</v>
      </c>
      <c r="L263" s="5">
        <v>3</v>
      </c>
      <c r="M263" s="5">
        <v>3</v>
      </c>
      <c r="N263" s="5" t="s">
        <v>784</v>
      </c>
      <c r="O263" s="5" t="s">
        <v>130</v>
      </c>
      <c r="P263" s="5" t="s">
        <v>1494</v>
      </c>
      <c r="Q263" s="9">
        <v>1</v>
      </c>
      <c r="R263" s="5" t="s">
        <v>166</v>
      </c>
      <c r="S263" s="5" t="s">
        <v>308</v>
      </c>
      <c r="T263" s="5" t="s">
        <v>168</v>
      </c>
      <c r="U263" s="7">
        <v>45209</v>
      </c>
      <c r="V263" s="5" t="s">
        <v>135</v>
      </c>
      <c r="W263" s="6">
        <v>820</v>
      </c>
      <c r="X263" s="5" t="s">
        <v>80</v>
      </c>
      <c r="Y263" s="9">
        <v>10</v>
      </c>
      <c r="Z263" s="5" t="s">
        <v>80</v>
      </c>
      <c r="AA263" s="5" t="s">
        <v>147</v>
      </c>
      <c r="AB263" s="9">
        <v>2</v>
      </c>
      <c r="AC263" s="5" t="s">
        <v>80</v>
      </c>
      <c r="AD263" s="5" t="s">
        <v>79</v>
      </c>
      <c r="AE263" s="5" t="s">
        <v>79</v>
      </c>
      <c r="AF263" s="10">
        <v>13000</v>
      </c>
      <c r="AG263" s="7">
        <v>48730</v>
      </c>
      <c r="AH263" s="10">
        <v>11500</v>
      </c>
      <c r="AI263" s="10">
        <v>7000</v>
      </c>
      <c r="AJ263" s="11">
        <f t="shared" si="4"/>
        <v>19.714285714285715</v>
      </c>
      <c r="AK263" s="12">
        <f>IF(B263="","",OR(K263="Not in use",K263="Low use")+AND(N263&lt;&gt;"",N263&lt;&gt;"TBD")+AND(ISNUMBER(U263),U263&lt;=EDATE('Scoring Settings'!$B$4,'Scoring Settings'!$B$8))+AND(ISNUMBER(L263),L263&lt;='Scoring Settings'!$B$7))</f>
        <v>2</v>
      </c>
      <c r="AL263" s="5" t="s">
        <v>96</v>
      </c>
      <c r="AM263" s="8" t="str">
        <f>IF(B263="","",IF(Z263="N","Easy",IF(OR(AND(ISNUMBER(AB263),AB263&gt;'Scoring Settings'!$B$11),AND(ISNUMBER(W263),W263&gt;'Scoring Settings'!$B$12),AND(ISNUMBER(M263),M263&lt;='Scoring Settings'!$B$13)),"High","Medium")))</f>
        <v>Medium</v>
      </c>
      <c r="AN263" s="5" t="s">
        <v>97</v>
      </c>
      <c r="AO263" s="7">
        <v>44865</v>
      </c>
      <c r="AP263" s="5" t="s">
        <v>98</v>
      </c>
      <c r="AQ263" s="29" t="s">
        <v>213</v>
      </c>
    </row>
    <row r="264" spans="1:43" hidden="1">
      <c r="A264" s="28">
        <v>123776</v>
      </c>
      <c r="B264" s="5" t="s">
        <v>1514</v>
      </c>
      <c r="C264" s="5" t="s">
        <v>242</v>
      </c>
      <c r="D264" s="5" t="s">
        <v>115</v>
      </c>
      <c r="E264" s="5" t="s">
        <v>68</v>
      </c>
      <c r="F264" s="5" t="s">
        <v>236</v>
      </c>
      <c r="G264" s="5" t="s">
        <v>278</v>
      </c>
      <c r="H264" s="5" t="s">
        <v>129</v>
      </c>
      <c r="I264" s="6">
        <v>21</v>
      </c>
      <c r="J264" s="7">
        <v>44296</v>
      </c>
      <c r="K264" s="8" t="str">
        <f>IF(B264="","",IF(AND(I264="",J264=""),"Unknown",IF(OR(AND(ISNUMBER(I264),I264=0),AND(ISNUMBER(J264),J264&lt;=EDATE('Scoring Settings'!$B$4,-'Scoring Settings'!$B$5))),"Not in use",IF(AND(ISNUMBER(I264),I264&lt;'Scoring Settings'!$B$6),"Low use","Active"))))</f>
        <v>Low use</v>
      </c>
      <c r="L264" s="5">
        <v>2</v>
      </c>
      <c r="M264" s="5">
        <v>4</v>
      </c>
      <c r="N264" s="5" t="s">
        <v>72</v>
      </c>
      <c r="O264" s="5" t="s">
        <v>73</v>
      </c>
      <c r="P264" s="5" t="s">
        <v>1515</v>
      </c>
      <c r="Q264" s="9">
        <v>1</v>
      </c>
      <c r="R264" s="5" t="s">
        <v>132</v>
      </c>
      <c r="S264" s="5" t="s">
        <v>133</v>
      </c>
      <c r="T264" s="5" t="s">
        <v>72</v>
      </c>
      <c r="U264" s="7">
        <v>44227</v>
      </c>
      <c r="V264" s="5" t="s">
        <v>135</v>
      </c>
      <c r="W264" s="6">
        <v>5</v>
      </c>
      <c r="X264" s="5" t="s">
        <v>80</v>
      </c>
      <c r="Y264" s="9">
        <v>7</v>
      </c>
      <c r="Z264" s="5" t="s">
        <v>79</v>
      </c>
      <c r="AA264" s="5" t="s">
        <v>110</v>
      </c>
      <c r="AB264" s="9">
        <v>3</v>
      </c>
      <c r="AC264" s="5" t="s">
        <v>82</v>
      </c>
      <c r="AD264" s="5" t="s">
        <v>79</v>
      </c>
      <c r="AE264" s="5" t="s">
        <v>82</v>
      </c>
      <c r="AF264" s="10">
        <v>38000</v>
      </c>
      <c r="AG264" s="7">
        <v>48304</v>
      </c>
      <c r="AH264" s="10">
        <v>16500</v>
      </c>
      <c r="AI264" s="10">
        <v>31500</v>
      </c>
      <c r="AJ264" s="11">
        <f t="shared" si="4"/>
        <v>6.2857142857142865</v>
      </c>
      <c r="AK264" s="12">
        <f>IF(B264="","",OR(K264="Not in use",K264="Low use")+AND(N264&lt;&gt;"",N264&lt;&gt;"TBD")+AND(ISNUMBER(U264),U264&lt;=EDATE('Scoring Settings'!$B$4,'Scoring Settings'!$B$8))+AND(ISNUMBER(L264),L264&lt;='Scoring Settings'!$B$7))</f>
        <v>3</v>
      </c>
      <c r="AL264" s="5" t="s">
        <v>223</v>
      </c>
      <c r="AM264" s="8" t="str">
        <f>IF(B264="","",IF(Z264="N","Easy",IF(OR(AND(ISNUMBER(AB264),AB264&gt;'Scoring Settings'!$B$11),AND(ISNUMBER(W264),W264&gt;'Scoring Settings'!$B$12),AND(ISNUMBER(M264),M264&lt;='Scoring Settings'!$B$13)),"High","Medium")))</f>
        <v>Easy</v>
      </c>
      <c r="AN264" s="5" t="s">
        <v>97</v>
      </c>
      <c r="AO264" s="7">
        <v>44681</v>
      </c>
      <c r="AP264" s="5" t="s">
        <v>98</v>
      </c>
      <c r="AQ264" s="29" t="s">
        <v>149</v>
      </c>
    </row>
    <row r="265" spans="1:43" hidden="1">
      <c r="A265" s="28">
        <v>52131</v>
      </c>
      <c r="B265" s="5" t="s">
        <v>1523</v>
      </c>
      <c r="C265" s="5" t="s">
        <v>343</v>
      </c>
      <c r="D265" s="5" t="s">
        <v>102</v>
      </c>
      <c r="E265" s="5" t="s">
        <v>311</v>
      </c>
      <c r="F265" s="5" t="s">
        <v>116</v>
      </c>
      <c r="G265" s="5" t="s">
        <v>278</v>
      </c>
      <c r="H265" s="5" t="s">
        <v>91</v>
      </c>
      <c r="I265" s="6">
        <v>260</v>
      </c>
      <c r="J265" s="7">
        <v>44273</v>
      </c>
      <c r="K265" s="8" t="str">
        <f>IF(B265="","",IF(AND(I265="",J265=""),"Unknown",IF(OR(AND(ISNUMBER(I265),I265=0),AND(ISNUMBER(J265),J265&lt;=EDATE('Scoring Settings'!$B$4,-'Scoring Settings'!$B$5))),"Not in use",IF(AND(ISNUMBER(I265),I265&lt;'Scoring Settings'!$B$6),"Low use","Active"))))</f>
        <v>Active</v>
      </c>
      <c r="L265" s="5">
        <v>5</v>
      </c>
      <c r="M265" s="5">
        <v>1</v>
      </c>
      <c r="N265" s="5" t="s">
        <v>254</v>
      </c>
      <c r="O265" s="5" t="s">
        <v>73</v>
      </c>
      <c r="P265" s="5" t="s">
        <v>447</v>
      </c>
      <c r="Q265" s="9">
        <v>5</v>
      </c>
      <c r="R265" s="5" t="s">
        <v>132</v>
      </c>
      <c r="S265" s="5" t="s">
        <v>133</v>
      </c>
      <c r="T265" s="5" t="s">
        <v>72</v>
      </c>
      <c r="U265" s="7">
        <v>44227</v>
      </c>
      <c r="V265" s="5" t="s">
        <v>78</v>
      </c>
      <c r="W265" s="6">
        <v>15</v>
      </c>
      <c r="X265" s="5" t="s">
        <v>80</v>
      </c>
      <c r="Y265" s="9">
        <v>7</v>
      </c>
      <c r="Z265" s="5" t="s">
        <v>79</v>
      </c>
      <c r="AA265" s="5" t="s">
        <v>110</v>
      </c>
      <c r="AB265" s="9">
        <v>20</v>
      </c>
      <c r="AC265" s="5" t="s">
        <v>79</v>
      </c>
      <c r="AD265" s="5" t="s">
        <v>82</v>
      </c>
      <c r="AE265" s="5" t="s">
        <v>80</v>
      </c>
      <c r="AF265" s="10">
        <v>150000</v>
      </c>
      <c r="AG265" s="7">
        <v>48091</v>
      </c>
      <c r="AH265" s="10">
        <v>152000</v>
      </c>
      <c r="AI265" s="10">
        <v>89500</v>
      </c>
      <c r="AJ265" s="11">
        <f t="shared" si="4"/>
        <v>20.379888268156424</v>
      </c>
      <c r="AK265" s="12">
        <f>IF(B265="","",OR(K265="Not in use",K265="Low use")+AND(N265&lt;&gt;"",N265&lt;&gt;"TBD")+AND(ISNUMBER(U265),U265&lt;=EDATE('Scoring Settings'!$B$4,'Scoring Settings'!$B$8))+AND(ISNUMBER(L265),L265&lt;='Scoring Settings'!$B$7))</f>
        <v>2</v>
      </c>
      <c r="AL265" s="5" t="s">
        <v>2217</v>
      </c>
      <c r="AM265" s="8" t="str">
        <f>IF(B265="","",IF(Z265="N","Easy",IF(OR(AND(ISNUMBER(AB265),AB265&gt;'Scoring Settings'!$B$11),AND(ISNUMBER(W265),W265&gt;'Scoring Settings'!$B$12),AND(ISNUMBER(M265),M265&lt;='Scoring Settings'!$B$13)),"High","Medium")))</f>
        <v>Easy</v>
      </c>
      <c r="AN265" s="5" t="s">
        <v>97</v>
      </c>
      <c r="AO265" s="7">
        <v>44620</v>
      </c>
      <c r="AP265" s="5" t="s">
        <v>197</v>
      </c>
      <c r="AQ265" s="29" t="s">
        <v>1524</v>
      </c>
    </row>
    <row r="266" spans="1:43" hidden="1">
      <c r="A266" s="28">
        <v>183151</v>
      </c>
      <c r="B266" s="5" t="s">
        <v>1530</v>
      </c>
      <c r="C266" s="5" t="s">
        <v>230</v>
      </c>
      <c r="D266" s="5" t="s">
        <v>115</v>
      </c>
      <c r="E266" s="5" t="s">
        <v>68</v>
      </c>
      <c r="F266" s="5" t="s">
        <v>152</v>
      </c>
      <c r="G266" s="5" t="s">
        <v>117</v>
      </c>
      <c r="H266" s="5" t="s">
        <v>129</v>
      </c>
      <c r="I266" s="6">
        <v>6</v>
      </c>
      <c r="J266" s="7">
        <v>44299</v>
      </c>
      <c r="K266" s="8" t="str">
        <f>IF(B266="","",IF(AND(I266="",J266=""),"Unknown",IF(OR(AND(ISNUMBER(I266),I266=0),AND(ISNUMBER(J266),J266&lt;=EDATE('Scoring Settings'!$B$4,-'Scoring Settings'!$B$5))),"Not in use",IF(AND(ISNUMBER(I266),I266&lt;'Scoring Settings'!$B$6),"Low use","Active"))))</f>
        <v>Low use</v>
      </c>
      <c r="L266" s="5">
        <v>1</v>
      </c>
      <c r="M266" s="5">
        <v>4</v>
      </c>
      <c r="N266" s="5"/>
      <c r="O266" s="5" t="s">
        <v>191</v>
      </c>
      <c r="P266" s="5" t="s">
        <v>192</v>
      </c>
      <c r="Q266" s="9">
        <v>0</v>
      </c>
      <c r="R266" s="5" t="s">
        <v>193</v>
      </c>
      <c r="S266" s="5" t="s">
        <v>194</v>
      </c>
      <c r="T266" s="5" t="s">
        <v>195</v>
      </c>
      <c r="U266" s="7"/>
      <c r="V266" s="5" t="s">
        <v>135</v>
      </c>
      <c r="W266" s="6">
        <v>36</v>
      </c>
      <c r="X266" s="5" t="s">
        <v>80</v>
      </c>
      <c r="Y266" s="9">
        <v>10</v>
      </c>
      <c r="Z266" s="5" t="s">
        <v>79</v>
      </c>
      <c r="AA266" s="5" t="s">
        <v>110</v>
      </c>
      <c r="AB266" s="9">
        <v>2</v>
      </c>
      <c r="AC266" s="5" t="s">
        <v>79</v>
      </c>
      <c r="AD266" s="5" t="s">
        <v>82</v>
      </c>
      <c r="AE266" s="5" t="s">
        <v>79</v>
      </c>
      <c r="AF266" s="10">
        <v>6000</v>
      </c>
      <c r="AG266" s="7">
        <v>48121</v>
      </c>
      <c r="AH266" s="10">
        <v>4500</v>
      </c>
      <c r="AI266" s="10">
        <v>5500</v>
      </c>
      <c r="AJ266" s="11">
        <f t="shared" si="4"/>
        <v>9.8181818181818183</v>
      </c>
      <c r="AK266" s="12">
        <f>IF(B266="","",OR(K266="Not in use",K266="Low use")+AND(N266&lt;&gt;"",N266&lt;&gt;"TBD")+AND(ISNUMBER(U266),U266&lt;=EDATE('Scoring Settings'!$B$4,'Scoring Settings'!$B$8))+AND(ISNUMBER(L266),L266&lt;='Scoring Settings'!$B$7))</f>
        <v>2</v>
      </c>
      <c r="AL266" s="5" t="s">
        <v>223</v>
      </c>
      <c r="AM266" s="8" t="str">
        <f>IF(B266="","",IF(Z266="N","Easy",IF(OR(AND(ISNUMBER(AB266),AB266&gt;'Scoring Settings'!$B$11),AND(ISNUMBER(W266),W266&gt;'Scoring Settings'!$B$12),AND(ISNUMBER(M266),M266&lt;='Scoring Settings'!$B$13)),"High","Medium")))</f>
        <v>Easy</v>
      </c>
      <c r="AN266" s="5" t="s">
        <v>97</v>
      </c>
      <c r="AO266" s="7">
        <v>44804</v>
      </c>
      <c r="AP266" s="5" t="s">
        <v>197</v>
      </c>
      <c r="AQ266" s="29" t="s">
        <v>252</v>
      </c>
    </row>
    <row r="267" spans="1:43" hidden="1">
      <c r="A267" s="28">
        <v>83593</v>
      </c>
      <c r="B267" s="5" t="s">
        <v>1545</v>
      </c>
      <c r="C267" s="5" t="s">
        <v>639</v>
      </c>
      <c r="D267" s="5" t="s">
        <v>88</v>
      </c>
      <c r="E267" s="5" t="s">
        <v>68</v>
      </c>
      <c r="F267" s="5" t="s">
        <v>69</v>
      </c>
      <c r="G267" s="5" t="s">
        <v>267</v>
      </c>
      <c r="H267" s="5" t="s">
        <v>91</v>
      </c>
      <c r="I267" s="6">
        <v>597</v>
      </c>
      <c r="J267" s="7">
        <v>44295</v>
      </c>
      <c r="K267" s="8" t="str">
        <f>IF(B267="","",IF(AND(I267="",J267=""),"Unknown",IF(OR(AND(ISNUMBER(I267),I267=0),AND(ISNUMBER(J267),J267&lt;=EDATE('Scoring Settings'!$B$4,-'Scoring Settings'!$B$5))),"Not in use",IF(AND(ISNUMBER(I267),I267&lt;'Scoring Settings'!$B$6),"Low use","Active"))))</f>
        <v>Active</v>
      </c>
      <c r="L267" s="5">
        <v>3</v>
      </c>
      <c r="M267" s="5">
        <v>2</v>
      </c>
      <c r="N267" s="5" t="s">
        <v>433</v>
      </c>
      <c r="O267" s="5" t="s">
        <v>73</v>
      </c>
      <c r="P267" s="5" t="s">
        <v>1546</v>
      </c>
      <c r="Q267" s="9">
        <v>5</v>
      </c>
      <c r="R267" s="5" t="s">
        <v>107</v>
      </c>
      <c r="S267" s="5" t="s">
        <v>108</v>
      </c>
      <c r="T267" s="5" t="s">
        <v>122</v>
      </c>
      <c r="U267" s="7">
        <v>43655</v>
      </c>
      <c r="V267" s="5" t="s">
        <v>135</v>
      </c>
      <c r="W267" s="6">
        <v>180</v>
      </c>
      <c r="X267" s="5" t="s">
        <v>79</v>
      </c>
      <c r="Y267" s="9">
        <v>5</v>
      </c>
      <c r="Z267" s="5" t="s">
        <v>79</v>
      </c>
      <c r="AA267" s="5" t="s">
        <v>110</v>
      </c>
      <c r="AB267" s="9">
        <v>23</v>
      </c>
      <c r="AC267" s="5" t="s">
        <v>79</v>
      </c>
      <c r="AD267" s="5" t="s">
        <v>82</v>
      </c>
      <c r="AE267" s="5" t="s">
        <v>80</v>
      </c>
      <c r="AF267" s="10">
        <v>95000</v>
      </c>
      <c r="AG267" s="7">
        <v>46418</v>
      </c>
      <c r="AH267" s="10">
        <v>121500</v>
      </c>
      <c r="AI267" s="10">
        <v>76500</v>
      </c>
      <c r="AJ267" s="11">
        <f t="shared" si="4"/>
        <v>19.058823529411764</v>
      </c>
      <c r="AK267" s="12">
        <f>IF(B267="","",OR(K267="Not in use",K267="Low use")+AND(N267&lt;&gt;"",N267&lt;&gt;"TBD")+AND(ISNUMBER(U267),U267&lt;=EDATE('Scoring Settings'!$B$4,'Scoring Settings'!$B$8))+AND(ISNUMBER(L267),L267&lt;='Scoring Settings'!$B$7))</f>
        <v>2</v>
      </c>
      <c r="AL267" s="5" t="s">
        <v>2217</v>
      </c>
      <c r="AM267" s="8" t="str">
        <f>IF(B267="","",IF(Z267="N","Easy",IF(OR(AND(ISNUMBER(AB267),AB267&gt;'Scoring Settings'!$B$11),AND(ISNUMBER(W267),W267&gt;'Scoring Settings'!$B$12),AND(ISNUMBER(M267),M267&lt;='Scoring Settings'!$B$13)),"High","Medium")))</f>
        <v>Easy</v>
      </c>
      <c r="AN267" s="5" t="s">
        <v>97</v>
      </c>
      <c r="AO267" s="7">
        <v>44834</v>
      </c>
      <c r="AP267" s="5" t="s">
        <v>98</v>
      </c>
      <c r="AQ267" s="29" t="s">
        <v>136</v>
      </c>
    </row>
    <row r="268" spans="1:43" hidden="1">
      <c r="A268" s="28">
        <v>144556</v>
      </c>
      <c r="B268" s="5" t="s">
        <v>1547</v>
      </c>
      <c r="C268" s="5" t="s">
        <v>522</v>
      </c>
      <c r="D268" s="5" t="s">
        <v>297</v>
      </c>
      <c r="E268" s="5" t="s">
        <v>68</v>
      </c>
      <c r="F268" s="5" t="s">
        <v>152</v>
      </c>
      <c r="G268" s="5" t="s">
        <v>278</v>
      </c>
      <c r="H268" s="5" t="s">
        <v>142</v>
      </c>
      <c r="I268" s="6">
        <v>3</v>
      </c>
      <c r="J268" s="7">
        <v>43818</v>
      </c>
      <c r="K268" s="8" t="str">
        <f>IF(B268="","",IF(AND(I268="",J268=""),"Unknown",IF(OR(AND(ISNUMBER(I268),I268=0),AND(ISNUMBER(J268),J268&lt;=EDATE('Scoring Settings'!$B$4,-'Scoring Settings'!$B$5))),"Not in use",IF(AND(ISNUMBER(I268),I268&lt;'Scoring Settings'!$B$6),"Low use","Active"))))</f>
        <v>Not in use</v>
      </c>
      <c r="L268" s="5">
        <v>3</v>
      </c>
      <c r="M268" s="5">
        <v>4</v>
      </c>
      <c r="N268" s="5" t="s">
        <v>306</v>
      </c>
      <c r="O268" s="5" t="s">
        <v>143</v>
      </c>
      <c r="P268" s="5" t="s">
        <v>144</v>
      </c>
      <c r="Q268" s="9">
        <v>0</v>
      </c>
      <c r="R268" s="5" t="s">
        <v>145</v>
      </c>
      <c r="S268" s="5" t="s">
        <v>145</v>
      </c>
      <c r="T268" s="5" t="s">
        <v>146</v>
      </c>
      <c r="U268" s="7">
        <v>44681</v>
      </c>
      <c r="V268" s="5" t="s">
        <v>135</v>
      </c>
      <c r="W268" s="6">
        <v>170</v>
      </c>
      <c r="X268" s="5" t="s">
        <v>80</v>
      </c>
      <c r="Y268" s="9">
        <v>10</v>
      </c>
      <c r="Z268" s="5" t="s">
        <v>80</v>
      </c>
      <c r="AA268" s="5" t="s">
        <v>81</v>
      </c>
      <c r="AB268" s="9">
        <v>3</v>
      </c>
      <c r="AC268" s="5" t="s">
        <v>79</v>
      </c>
      <c r="AD268" s="5" t="s">
        <v>82</v>
      </c>
      <c r="AE268" s="5" t="s">
        <v>79</v>
      </c>
      <c r="AF268" s="10">
        <v>65000</v>
      </c>
      <c r="AG268" s="7">
        <v>45900</v>
      </c>
      <c r="AH268" s="10">
        <v>116000</v>
      </c>
      <c r="AI268" s="10">
        <v>26000</v>
      </c>
      <c r="AJ268" s="11">
        <f t="shared" si="4"/>
        <v>53.53846153846154</v>
      </c>
      <c r="AK268" s="12">
        <f>IF(B268="","",OR(K268="Not in use",K268="Low use")+AND(N268&lt;&gt;"",N268&lt;&gt;"TBD")+AND(ISNUMBER(U268),U268&lt;=EDATE('Scoring Settings'!$B$4,'Scoring Settings'!$B$8))+AND(ISNUMBER(L268),L268&lt;='Scoring Settings'!$B$7))</f>
        <v>3</v>
      </c>
      <c r="AL268" s="5" t="s">
        <v>2217</v>
      </c>
      <c r="AM268" s="8" t="str">
        <f>IF(B268="","",IF(Z268="N","Easy",IF(OR(AND(ISNUMBER(AB268),AB268&gt;'Scoring Settings'!$B$11),AND(ISNUMBER(W268),W268&gt;'Scoring Settings'!$B$12),AND(ISNUMBER(M268),M268&lt;='Scoring Settings'!$B$13)),"High","Medium")))</f>
        <v>Medium</v>
      </c>
      <c r="AN268" s="5" t="s">
        <v>97</v>
      </c>
      <c r="AO268" s="7">
        <v>44651</v>
      </c>
      <c r="AP268" s="5" t="s">
        <v>197</v>
      </c>
      <c r="AQ268" s="29" t="s">
        <v>1548</v>
      </c>
    </row>
    <row r="269" spans="1:43" hidden="1">
      <c r="A269" s="28">
        <v>46110</v>
      </c>
      <c r="B269" s="5" t="s">
        <v>1558</v>
      </c>
      <c r="C269" s="5" t="s">
        <v>265</v>
      </c>
      <c r="D269" s="5" t="s">
        <v>102</v>
      </c>
      <c r="E269" s="5" t="s">
        <v>68</v>
      </c>
      <c r="F269" s="5" t="s">
        <v>178</v>
      </c>
      <c r="G269" s="5" t="s">
        <v>278</v>
      </c>
      <c r="H269" s="5" t="s">
        <v>105</v>
      </c>
      <c r="I269" s="6">
        <v>0</v>
      </c>
      <c r="J269" s="7">
        <v>43935</v>
      </c>
      <c r="K269" s="8" t="str">
        <f>IF(B269="","",IF(AND(I269="",J269=""),"Unknown",IF(OR(AND(ISNUMBER(I269),I269=0),AND(ISNUMBER(J269),J269&lt;=EDATE('Scoring Settings'!$B$4,-'Scoring Settings'!$B$5))),"Not in use",IF(AND(ISNUMBER(I269),I269&lt;'Scoring Settings'!$B$6),"Low use","Active"))))</f>
        <v>Not in use</v>
      </c>
      <c r="L269" s="5">
        <v>1</v>
      </c>
      <c r="M269" s="5">
        <v>3</v>
      </c>
      <c r="N269" s="5" t="s">
        <v>72</v>
      </c>
      <c r="O269" s="5" t="s">
        <v>73</v>
      </c>
      <c r="P269" s="5" t="s">
        <v>1559</v>
      </c>
      <c r="Q269" s="9">
        <v>1</v>
      </c>
      <c r="R269" s="5" t="s">
        <v>478</v>
      </c>
      <c r="S269" s="5" t="s">
        <v>479</v>
      </c>
      <c r="T269" s="5" t="s">
        <v>184</v>
      </c>
      <c r="U269" s="7">
        <v>43844</v>
      </c>
      <c r="V269" s="5" t="s">
        <v>135</v>
      </c>
      <c r="W269" s="6">
        <v>160</v>
      </c>
      <c r="X269" s="5" t="s">
        <v>80</v>
      </c>
      <c r="Y269" s="9">
        <v>5</v>
      </c>
      <c r="Z269" s="5" t="s">
        <v>79</v>
      </c>
      <c r="AA269" s="5" t="s">
        <v>110</v>
      </c>
      <c r="AB269" s="9">
        <v>8</v>
      </c>
      <c r="AC269" s="5" t="s">
        <v>79</v>
      </c>
      <c r="AD269" s="5" t="s">
        <v>82</v>
      </c>
      <c r="AE269" s="5" t="s">
        <v>80</v>
      </c>
      <c r="AF269" s="10">
        <v>15500</v>
      </c>
      <c r="AG269" s="7">
        <v>49613</v>
      </c>
      <c r="AH269" s="10">
        <v>19500</v>
      </c>
      <c r="AI269" s="10">
        <v>15000</v>
      </c>
      <c r="AJ269" s="11">
        <f t="shared" si="4"/>
        <v>15.600000000000001</v>
      </c>
      <c r="AK269" s="12">
        <f>IF(B269="","",OR(K269="Not in use",K269="Low use")+AND(N269&lt;&gt;"",N269&lt;&gt;"TBD")+AND(ISNUMBER(U269),U269&lt;=EDATE('Scoring Settings'!$B$4,'Scoring Settings'!$B$8))+AND(ISNUMBER(L269),L269&lt;='Scoring Settings'!$B$7))</f>
        <v>3</v>
      </c>
      <c r="AL269" s="5" t="s">
        <v>223</v>
      </c>
      <c r="AM269" s="8" t="str">
        <f>IF(B269="","",IF(Z269="N","Easy",IF(OR(AND(ISNUMBER(AB269),AB269&gt;'Scoring Settings'!$B$11),AND(ISNUMBER(W269),W269&gt;'Scoring Settings'!$B$12),AND(ISNUMBER(M269),M269&lt;='Scoring Settings'!$B$13)),"High","Medium")))</f>
        <v>Easy</v>
      </c>
      <c r="AN269" s="5" t="s">
        <v>97</v>
      </c>
      <c r="AO269" s="7">
        <v>44773</v>
      </c>
      <c r="AP269" s="5" t="s">
        <v>98</v>
      </c>
      <c r="AQ269" s="29" t="s">
        <v>213</v>
      </c>
    </row>
    <row r="270" spans="1:43" hidden="1">
      <c r="A270" s="28">
        <v>14362</v>
      </c>
      <c r="B270" s="5" t="s">
        <v>1564</v>
      </c>
      <c r="C270" s="5" t="s">
        <v>772</v>
      </c>
      <c r="D270" s="5" t="s">
        <v>297</v>
      </c>
      <c r="E270" s="5" t="s">
        <v>68</v>
      </c>
      <c r="F270" s="5" t="s">
        <v>312</v>
      </c>
      <c r="G270" s="5" t="s">
        <v>226</v>
      </c>
      <c r="H270" s="5" t="s">
        <v>105</v>
      </c>
      <c r="I270" s="6">
        <v>4</v>
      </c>
      <c r="J270" s="7">
        <v>44042</v>
      </c>
      <c r="K270" s="8" t="str">
        <f>IF(B270="","",IF(AND(I270="",J270=""),"Unknown",IF(OR(AND(ISNUMBER(I270),I270=0),AND(ISNUMBER(J270),J270&lt;=EDATE('Scoring Settings'!$B$4,-'Scoring Settings'!$B$5))),"Not in use",IF(AND(ISNUMBER(I270),I270&lt;'Scoring Settings'!$B$6),"Low use","Active"))))</f>
        <v>Not in use</v>
      </c>
      <c r="L270" s="5">
        <v>2</v>
      </c>
      <c r="M270" s="5">
        <v>4</v>
      </c>
      <c r="N270" s="5" t="s">
        <v>306</v>
      </c>
      <c r="O270" s="5" t="s">
        <v>73</v>
      </c>
      <c r="P270" s="5" t="s">
        <v>1565</v>
      </c>
      <c r="Q270" s="9">
        <v>4</v>
      </c>
      <c r="R270" s="5" t="s">
        <v>239</v>
      </c>
      <c r="S270" s="5" t="s">
        <v>240</v>
      </c>
      <c r="T270" s="5" t="s">
        <v>77</v>
      </c>
      <c r="U270" s="7">
        <v>44316</v>
      </c>
      <c r="V270" s="5" t="s">
        <v>78</v>
      </c>
      <c r="W270" s="6">
        <v>26</v>
      </c>
      <c r="X270" s="5" t="s">
        <v>80</v>
      </c>
      <c r="Y270" s="9">
        <v>10</v>
      </c>
      <c r="Z270" s="5" t="s">
        <v>79</v>
      </c>
      <c r="AA270" s="5" t="s">
        <v>110</v>
      </c>
      <c r="AB270" s="9">
        <v>3</v>
      </c>
      <c r="AC270" s="5" t="s">
        <v>79</v>
      </c>
      <c r="AD270" s="5" t="s">
        <v>79</v>
      </c>
      <c r="AE270" s="5" t="s">
        <v>79</v>
      </c>
      <c r="AF270" s="10">
        <v>30500</v>
      </c>
      <c r="AG270" s="7">
        <v>49187</v>
      </c>
      <c r="AH270" s="10">
        <v>34500</v>
      </c>
      <c r="AI270" s="10">
        <v>25000</v>
      </c>
      <c r="AJ270" s="11">
        <f t="shared" si="4"/>
        <v>16.559999999999999</v>
      </c>
      <c r="AK270" s="12">
        <f>IF(B270="","",OR(K270="Not in use",K270="Low use")+AND(N270&lt;&gt;"",N270&lt;&gt;"TBD")+AND(ISNUMBER(U270),U270&lt;=EDATE('Scoring Settings'!$B$4,'Scoring Settings'!$B$8))+AND(ISNUMBER(L270),L270&lt;='Scoring Settings'!$B$7))</f>
        <v>4</v>
      </c>
      <c r="AL270" s="5" t="s">
        <v>223</v>
      </c>
      <c r="AM270" s="8" t="str">
        <f>IF(B270="","",IF(Z270="N","Easy",IF(OR(AND(ISNUMBER(AB270),AB270&gt;'Scoring Settings'!$B$11),AND(ISNUMBER(W270),W270&gt;'Scoring Settings'!$B$12),AND(ISNUMBER(M270),M270&lt;='Scoring Settings'!$B$13)),"High","Medium")))</f>
        <v>Easy</v>
      </c>
      <c r="AN270" s="5" t="s">
        <v>97</v>
      </c>
      <c r="AO270" s="7">
        <v>44592</v>
      </c>
      <c r="AP270" s="5" t="s">
        <v>197</v>
      </c>
      <c r="AQ270" s="29" t="s">
        <v>252</v>
      </c>
    </row>
    <row r="271" spans="1:43" hidden="1">
      <c r="A271" s="28">
        <v>147099</v>
      </c>
      <c r="B271" s="5" t="s">
        <v>1585</v>
      </c>
      <c r="C271" s="5" t="s">
        <v>296</v>
      </c>
      <c r="D271" s="5" t="s">
        <v>297</v>
      </c>
      <c r="E271" s="5" t="s">
        <v>68</v>
      </c>
      <c r="F271" s="5" t="s">
        <v>69</v>
      </c>
      <c r="G271" s="5" t="s">
        <v>179</v>
      </c>
      <c r="H271" s="5" t="s">
        <v>71</v>
      </c>
      <c r="I271" s="6">
        <v>513</v>
      </c>
      <c r="J271" s="7">
        <v>44302</v>
      </c>
      <c r="K271" s="8" t="str">
        <f>IF(B271="","",IF(AND(I271="",J271=""),"Unknown",IF(OR(AND(ISNUMBER(I271),I271=0),AND(ISNUMBER(J271),J271&lt;=EDATE('Scoring Settings'!$B$4,-'Scoring Settings'!$B$5))),"Not in use",IF(AND(ISNUMBER(I271),I271&lt;'Scoring Settings'!$B$6),"Low use","Active"))))</f>
        <v>Active</v>
      </c>
      <c r="L271" s="5">
        <v>2</v>
      </c>
      <c r="M271" s="5">
        <v>3</v>
      </c>
      <c r="N271" s="5" t="s">
        <v>723</v>
      </c>
      <c r="O271" s="5" t="s">
        <v>73</v>
      </c>
      <c r="P271" s="5" t="s">
        <v>1586</v>
      </c>
      <c r="Q271" s="9">
        <v>2</v>
      </c>
      <c r="R271" s="5" t="s">
        <v>132</v>
      </c>
      <c r="S271" s="5" t="s">
        <v>133</v>
      </c>
      <c r="T271" s="5" t="s">
        <v>77</v>
      </c>
      <c r="U271" s="7">
        <v>44227</v>
      </c>
      <c r="V271" s="5" t="s">
        <v>95</v>
      </c>
      <c r="W271" s="6">
        <v>610</v>
      </c>
      <c r="X271" s="5" t="s">
        <v>80</v>
      </c>
      <c r="Y271" s="9">
        <v>7</v>
      </c>
      <c r="Z271" s="5" t="s">
        <v>80</v>
      </c>
      <c r="AA271" s="5" t="s">
        <v>123</v>
      </c>
      <c r="AB271" s="9">
        <v>8</v>
      </c>
      <c r="AC271" s="5" t="s">
        <v>82</v>
      </c>
      <c r="AD271" s="5" t="s">
        <v>80</v>
      </c>
      <c r="AE271" s="5" t="s">
        <v>80</v>
      </c>
      <c r="AF271" s="10">
        <v>36000</v>
      </c>
      <c r="AG271" s="7">
        <v>48029</v>
      </c>
      <c r="AH271" s="10">
        <v>76000</v>
      </c>
      <c r="AI271" s="10">
        <v>20000</v>
      </c>
      <c r="AJ271" s="11">
        <f t="shared" si="4"/>
        <v>45.599999999999994</v>
      </c>
      <c r="AK271" s="12">
        <f>IF(B271="","",OR(K271="Not in use",K271="Low use")+AND(N271&lt;&gt;"",N271&lt;&gt;"TBD")+AND(ISNUMBER(U271),U271&lt;=EDATE('Scoring Settings'!$B$4,'Scoring Settings'!$B$8))+AND(ISNUMBER(L271),L271&lt;='Scoring Settings'!$B$7))</f>
        <v>3</v>
      </c>
      <c r="AL271" s="5" t="s">
        <v>2217</v>
      </c>
      <c r="AM271" s="8" t="str">
        <f>IF(B271="","",IF(Z271="N","Easy",IF(OR(AND(ISNUMBER(AB271),AB271&gt;'Scoring Settings'!$B$11),AND(ISNUMBER(W271),W271&gt;'Scoring Settings'!$B$12),AND(ISNUMBER(M271),M271&lt;='Scoring Settings'!$B$13)),"High","Medium")))</f>
        <v>High</v>
      </c>
      <c r="AN271" s="5" t="s">
        <v>97</v>
      </c>
      <c r="AO271" s="7">
        <v>44926</v>
      </c>
      <c r="AP271" s="5" t="s">
        <v>98</v>
      </c>
      <c r="AQ271" s="29" t="s">
        <v>149</v>
      </c>
    </row>
    <row r="272" spans="1:43" hidden="1">
      <c r="A272" s="28">
        <v>178232</v>
      </c>
      <c r="B272" s="5" t="s">
        <v>1594</v>
      </c>
      <c r="C272" s="5" t="s">
        <v>66</v>
      </c>
      <c r="D272" s="5" t="s">
        <v>67</v>
      </c>
      <c r="E272" s="5" t="s">
        <v>298</v>
      </c>
      <c r="F272" s="5" t="s">
        <v>476</v>
      </c>
      <c r="G272" s="5" t="s">
        <v>284</v>
      </c>
      <c r="H272" s="5" t="s">
        <v>129</v>
      </c>
      <c r="I272" s="6">
        <v>536</v>
      </c>
      <c r="J272" s="7">
        <v>44285</v>
      </c>
      <c r="K272" s="8" t="str">
        <f>IF(B272="","",IF(AND(I272="",J272=""),"Unknown",IF(OR(AND(ISNUMBER(I272),I272=0),AND(ISNUMBER(J272),J272&lt;=EDATE('Scoring Settings'!$B$4,-'Scoring Settings'!$B$5))),"Not in use",IF(AND(ISNUMBER(I272),I272&lt;'Scoring Settings'!$B$6),"Low use","Active"))))</f>
        <v>Active</v>
      </c>
      <c r="L272" s="5">
        <v>3</v>
      </c>
      <c r="M272" s="5">
        <v>3</v>
      </c>
      <c r="N272" s="5" t="s">
        <v>912</v>
      </c>
      <c r="O272" s="5" t="s">
        <v>73</v>
      </c>
      <c r="P272" s="5" t="s">
        <v>1405</v>
      </c>
      <c r="Q272" s="9">
        <v>1</v>
      </c>
      <c r="R272" s="5" t="s">
        <v>203</v>
      </c>
      <c r="S272" s="5" t="s">
        <v>204</v>
      </c>
      <c r="T272" s="5" t="s">
        <v>122</v>
      </c>
      <c r="U272" s="7">
        <v>47269</v>
      </c>
      <c r="V272" s="5" t="s">
        <v>95</v>
      </c>
      <c r="W272" s="6">
        <v>330</v>
      </c>
      <c r="X272" s="5" t="s">
        <v>79</v>
      </c>
      <c r="Y272" s="9">
        <v>3</v>
      </c>
      <c r="Z272" s="5" t="s">
        <v>79</v>
      </c>
      <c r="AA272" s="5" t="s">
        <v>110</v>
      </c>
      <c r="AB272" s="9">
        <v>7</v>
      </c>
      <c r="AC272" s="5" t="s">
        <v>82</v>
      </c>
      <c r="AD272" s="5" t="s">
        <v>82</v>
      </c>
      <c r="AE272" s="5" t="s">
        <v>79</v>
      </c>
      <c r="AF272" s="10">
        <v>17500</v>
      </c>
      <c r="AG272" s="7">
        <v>47057</v>
      </c>
      <c r="AH272" s="10">
        <v>25000</v>
      </c>
      <c r="AI272" s="10">
        <v>12000</v>
      </c>
      <c r="AJ272" s="11">
        <f t="shared" si="4"/>
        <v>25</v>
      </c>
      <c r="AK272" s="12">
        <f>IF(B272="","",OR(K272="Not in use",K272="Low use")+AND(N272&lt;&gt;"",N272&lt;&gt;"TBD")+AND(ISNUMBER(U272),U272&lt;=EDATE('Scoring Settings'!$B$4,'Scoring Settings'!$B$8))+AND(ISNUMBER(L272),L272&lt;='Scoring Settings'!$B$7))</f>
        <v>1</v>
      </c>
      <c r="AL272" s="5" t="s">
        <v>2217</v>
      </c>
      <c r="AM272" s="8" t="str">
        <f>IF(B272="","",IF(Z272="N","Easy",IF(OR(AND(ISNUMBER(AB272),AB272&gt;'Scoring Settings'!$B$11),AND(ISNUMBER(W272),W272&gt;'Scoring Settings'!$B$12),AND(ISNUMBER(M272),M272&lt;='Scoring Settings'!$B$13)),"High","Medium")))</f>
        <v>Easy</v>
      </c>
      <c r="AN272" s="5" t="s">
        <v>97</v>
      </c>
      <c r="AO272" s="7">
        <v>44592</v>
      </c>
      <c r="AP272" s="5" t="s">
        <v>197</v>
      </c>
      <c r="AQ272" s="29" t="s">
        <v>1595</v>
      </c>
    </row>
    <row r="273" spans="1:43" hidden="1">
      <c r="A273" s="28">
        <v>148702</v>
      </c>
      <c r="B273" s="5" t="s">
        <v>1598</v>
      </c>
      <c r="C273" s="5" t="s">
        <v>234</v>
      </c>
      <c r="D273" s="5" t="s">
        <v>102</v>
      </c>
      <c r="E273" s="5" t="s">
        <v>68</v>
      </c>
      <c r="F273" s="5" t="s">
        <v>396</v>
      </c>
      <c r="G273" s="5" t="s">
        <v>278</v>
      </c>
      <c r="H273" s="5" t="s">
        <v>105</v>
      </c>
      <c r="I273" s="6">
        <v>226</v>
      </c>
      <c r="J273" s="7">
        <v>44286</v>
      </c>
      <c r="K273" s="8" t="str">
        <f>IF(B273="","",IF(AND(I273="",J273=""),"Unknown",IF(OR(AND(ISNUMBER(I273),I273=0),AND(ISNUMBER(J273),J273&lt;=EDATE('Scoring Settings'!$B$4,-'Scoring Settings'!$B$5))),"Not in use",IF(AND(ISNUMBER(I273),I273&lt;'Scoring Settings'!$B$6),"Low use","Active"))))</f>
        <v>Active</v>
      </c>
      <c r="L273" s="5">
        <v>2</v>
      </c>
      <c r="M273" s="5">
        <v>4</v>
      </c>
      <c r="N273" s="5"/>
      <c r="O273" s="5" t="s">
        <v>73</v>
      </c>
      <c r="P273" s="5" t="s">
        <v>1599</v>
      </c>
      <c r="Q273" s="9">
        <v>4</v>
      </c>
      <c r="R273" s="5" t="s">
        <v>166</v>
      </c>
      <c r="S273" s="5" t="s">
        <v>564</v>
      </c>
      <c r="T273" s="5" t="s">
        <v>77</v>
      </c>
      <c r="U273" s="7">
        <v>44754</v>
      </c>
      <c r="V273" s="5" t="s">
        <v>135</v>
      </c>
      <c r="W273" s="6">
        <v>690</v>
      </c>
      <c r="X273" s="5" t="s">
        <v>79</v>
      </c>
      <c r="Y273" s="9">
        <v>5</v>
      </c>
      <c r="Z273" s="5" t="s">
        <v>80</v>
      </c>
      <c r="AA273" s="5" t="s">
        <v>81</v>
      </c>
      <c r="AB273" s="9">
        <v>2</v>
      </c>
      <c r="AC273" s="5" t="s">
        <v>82</v>
      </c>
      <c r="AD273" s="5" t="s">
        <v>79</v>
      </c>
      <c r="AE273" s="5" t="s">
        <v>82</v>
      </c>
      <c r="AF273" s="10">
        <v>60000</v>
      </c>
      <c r="AG273" s="7">
        <v>48029</v>
      </c>
      <c r="AH273" s="10">
        <v>35000</v>
      </c>
      <c r="AI273" s="10">
        <v>39500</v>
      </c>
      <c r="AJ273" s="11">
        <f t="shared" si="4"/>
        <v>10.632911392405063</v>
      </c>
      <c r="AK273" s="12">
        <f>IF(B273="","",OR(K273="Not in use",K273="Low use")+AND(N273&lt;&gt;"",N273&lt;&gt;"TBD")+AND(ISNUMBER(U273),U273&lt;=EDATE('Scoring Settings'!$B$4,'Scoring Settings'!$B$8))+AND(ISNUMBER(L273),L273&lt;='Scoring Settings'!$B$7))</f>
        <v>1</v>
      </c>
      <c r="AL273" s="5" t="s">
        <v>96</v>
      </c>
      <c r="AM273" s="8" t="str">
        <f>IF(B273="","",IF(Z273="N","Easy",IF(OR(AND(ISNUMBER(AB273),AB273&gt;'Scoring Settings'!$B$11),AND(ISNUMBER(W273),W273&gt;'Scoring Settings'!$B$12),AND(ISNUMBER(M273),M273&lt;='Scoring Settings'!$B$13)),"High","Medium")))</f>
        <v>Medium</v>
      </c>
      <c r="AN273" s="5" t="s">
        <v>97</v>
      </c>
      <c r="AO273" s="7">
        <v>44620</v>
      </c>
      <c r="AP273" s="5" t="s">
        <v>197</v>
      </c>
      <c r="AQ273" s="29" t="s">
        <v>844</v>
      </c>
    </row>
    <row r="274" spans="1:43" hidden="1">
      <c r="A274" s="28">
        <v>173935</v>
      </c>
      <c r="B274" s="5" t="s">
        <v>1602</v>
      </c>
      <c r="C274" s="5" t="s">
        <v>338</v>
      </c>
      <c r="D274" s="5" t="s">
        <v>139</v>
      </c>
      <c r="E274" s="5" t="s">
        <v>298</v>
      </c>
      <c r="F274" s="5" t="s">
        <v>89</v>
      </c>
      <c r="G274" s="5" t="s">
        <v>104</v>
      </c>
      <c r="H274" s="5" t="s">
        <v>118</v>
      </c>
      <c r="I274" s="6">
        <v>420</v>
      </c>
      <c r="J274" s="7">
        <v>44313</v>
      </c>
      <c r="K274" s="8" t="str">
        <f>IF(B274="","",IF(AND(I274="",J274=""),"Unknown",IF(OR(AND(ISNUMBER(I274),I274=0),AND(ISNUMBER(J274),J274&lt;=EDATE('Scoring Settings'!$B$4,-'Scoring Settings'!$B$5))),"Not in use",IF(AND(ISNUMBER(I274),I274&lt;'Scoring Settings'!$B$6),"Low use","Active"))))</f>
        <v>Active</v>
      </c>
      <c r="L274" s="5">
        <v>3</v>
      </c>
      <c r="M274" s="5">
        <v>3</v>
      </c>
      <c r="N274" s="5"/>
      <c r="O274" s="5" t="s">
        <v>73</v>
      </c>
      <c r="P274" s="5" t="s">
        <v>1603</v>
      </c>
      <c r="Q274" s="9">
        <v>4</v>
      </c>
      <c r="R274" s="5" t="s">
        <v>358</v>
      </c>
      <c r="S274" s="5" t="s">
        <v>133</v>
      </c>
      <c r="T274" s="5" t="s">
        <v>72</v>
      </c>
      <c r="U274" s="7">
        <v>43555</v>
      </c>
      <c r="V274" s="5" t="s">
        <v>135</v>
      </c>
      <c r="W274" s="6">
        <v>190</v>
      </c>
      <c r="X274" s="5" t="s">
        <v>79</v>
      </c>
      <c r="Y274" s="9">
        <v>5</v>
      </c>
      <c r="Z274" s="5" t="s">
        <v>79</v>
      </c>
      <c r="AA274" s="5" t="s">
        <v>110</v>
      </c>
      <c r="AB274" s="9">
        <v>7</v>
      </c>
      <c r="AC274" s="5" t="s">
        <v>79</v>
      </c>
      <c r="AD274" s="5" t="s">
        <v>82</v>
      </c>
      <c r="AE274" s="5" t="s">
        <v>80</v>
      </c>
      <c r="AF274" s="10">
        <v>65000</v>
      </c>
      <c r="AG274" s="7">
        <v>46234</v>
      </c>
      <c r="AH274" s="10">
        <v>85000</v>
      </c>
      <c r="AI274" s="10">
        <v>54000</v>
      </c>
      <c r="AJ274" s="11">
        <f t="shared" si="4"/>
        <v>18.888888888888889</v>
      </c>
      <c r="AK274" s="12">
        <f>IF(B274="","",OR(K274="Not in use",K274="Low use")+AND(N274&lt;&gt;"",N274&lt;&gt;"TBD")+AND(ISNUMBER(U274),U274&lt;=EDATE('Scoring Settings'!$B$4,'Scoring Settings'!$B$8))+AND(ISNUMBER(L274),L274&lt;='Scoring Settings'!$B$7))</f>
        <v>1</v>
      </c>
      <c r="AL274" s="5" t="s">
        <v>223</v>
      </c>
      <c r="AM274" s="8" t="str">
        <f>IF(B274="","",IF(Z274="N","Easy",IF(OR(AND(ISNUMBER(AB274),AB274&gt;'Scoring Settings'!$B$11),AND(ISNUMBER(W274),W274&gt;'Scoring Settings'!$B$12),AND(ISNUMBER(M274),M274&lt;='Scoring Settings'!$B$13)),"High","Medium")))</f>
        <v>Easy</v>
      </c>
      <c r="AN274" s="5" t="s">
        <v>97</v>
      </c>
      <c r="AO274" s="7">
        <v>44773</v>
      </c>
      <c r="AP274" s="5" t="s">
        <v>98</v>
      </c>
      <c r="AQ274" s="29" t="s">
        <v>213</v>
      </c>
    </row>
    <row r="275" spans="1:43" hidden="1">
      <c r="A275" s="28">
        <v>95993</v>
      </c>
      <c r="B275" s="5" t="s">
        <v>1618</v>
      </c>
      <c r="C275" s="5" t="s">
        <v>200</v>
      </c>
      <c r="D275" s="5" t="s">
        <v>115</v>
      </c>
      <c r="E275" s="5" t="s">
        <v>298</v>
      </c>
      <c r="F275" s="5" t="s">
        <v>299</v>
      </c>
      <c r="G275" s="5" t="s">
        <v>226</v>
      </c>
      <c r="H275" s="5" t="s">
        <v>118</v>
      </c>
      <c r="I275" s="6">
        <v>1</v>
      </c>
      <c r="J275" s="7">
        <v>43865</v>
      </c>
      <c r="K275" s="8" t="str">
        <f>IF(B275="","",IF(AND(I275="",J275=""),"Unknown",IF(OR(AND(ISNUMBER(I275),I275=0),AND(ISNUMBER(J275),J275&lt;=EDATE('Scoring Settings'!$B$4,-'Scoring Settings'!$B$5))),"Not in use",IF(AND(ISNUMBER(I275),I275&lt;'Scoring Settings'!$B$6),"Low use","Active"))))</f>
        <v>Not in use</v>
      </c>
      <c r="L275" s="5">
        <v>3</v>
      </c>
      <c r="M275" s="5">
        <v>4</v>
      </c>
      <c r="N275" s="5" t="s">
        <v>72</v>
      </c>
      <c r="O275" s="5" t="s">
        <v>73</v>
      </c>
      <c r="P275" s="5" t="s">
        <v>202</v>
      </c>
      <c r="Q275" s="9">
        <v>4</v>
      </c>
      <c r="R275" s="5" t="s">
        <v>330</v>
      </c>
      <c r="S275" s="5" t="s">
        <v>331</v>
      </c>
      <c r="T275" s="5" t="s">
        <v>109</v>
      </c>
      <c r="U275" s="7">
        <v>45046</v>
      </c>
      <c r="V275" s="5" t="s">
        <v>135</v>
      </c>
      <c r="W275" s="6">
        <v>140</v>
      </c>
      <c r="X275" s="5" t="s">
        <v>80</v>
      </c>
      <c r="Y275" s="9">
        <v>7</v>
      </c>
      <c r="Z275" s="5" t="s">
        <v>79</v>
      </c>
      <c r="AA275" s="5" t="s">
        <v>110</v>
      </c>
      <c r="AB275" s="9">
        <v>3</v>
      </c>
      <c r="AC275" s="5" t="s">
        <v>82</v>
      </c>
      <c r="AD275" s="5" t="s">
        <v>82</v>
      </c>
      <c r="AE275" s="5" t="s">
        <v>82</v>
      </c>
      <c r="AF275" s="10">
        <v>65000</v>
      </c>
      <c r="AG275" s="7">
        <v>48365</v>
      </c>
      <c r="AH275" s="10">
        <v>73500</v>
      </c>
      <c r="AI275" s="10">
        <v>55500</v>
      </c>
      <c r="AJ275" s="11">
        <f t="shared" si="4"/>
        <v>15.891891891891891</v>
      </c>
      <c r="AK275" s="12">
        <f>IF(B275="","",OR(K275="Not in use",K275="Low use")+AND(N275&lt;&gt;"",N275&lt;&gt;"TBD")+AND(ISNUMBER(U275),U275&lt;=EDATE('Scoring Settings'!$B$4,'Scoring Settings'!$B$8))+AND(ISNUMBER(L275),L275&lt;='Scoring Settings'!$B$7))</f>
        <v>1</v>
      </c>
      <c r="AL275" s="5" t="s">
        <v>223</v>
      </c>
      <c r="AM275" s="8" t="str">
        <f>IF(B275="","",IF(Z275="N","Easy",IF(OR(AND(ISNUMBER(AB275),AB275&gt;'Scoring Settings'!$B$11),AND(ISNUMBER(W275),W275&gt;'Scoring Settings'!$B$12),AND(ISNUMBER(M275),M275&lt;='Scoring Settings'!$B$13)),"High","Medium")))</f>
        <v>Easy</v>
      </c>
      <c r="AN275" s="5" t="s">
        <v>97</v>
      </c>
      <c r="AO275" s="7">
        <v>44773</v>
      </c>
      <c r="AP275" s="5" t="s">
        <v>98</v>
      </c>
      <c r="AQ275" s="29" t="s">
        <v>170</v>
      </c>
    </row>
    <row r="276" spans="1:43" ht="42.75" hidden="1">
      <c r="A276" s="28">
        <v>111998</v>
      </c>
      <c r="B276" s="5" t="s">
        <v>1627</v>
      </c>
      <c r="C276" s="5" t="s">
        <v>87</v>
      </c>
      <c r="D276" s="5" t="s">
        <v>88</v>
      </c>
      <c r="E276" s="5" t="s">
        <v>68</v>
      </c>
      <c r="F276" s="5" t="s">
        <v>173</v>
      </c>
      <c r="G276" s="5" t="s">
        <v>271</v>
      </c>
      <c r="H276" s="5" t="s">
        <v>189</v>
      </c>
      <c r="I276" s="6">
        <v>15</v>
      </c>
      <c r="J276" s="7">
        <v>44239</v>
      </c>
      <c r="K276" s="8" t="str">
        <f>IF(B276="","",IF(AND(I276="",J276=""),"Unknown",IF(OR(AND(ISNUMBER(I276),I276=0),AND(ISNUMBER(J276),J276&lt;=EDATE('Scoring Settings'!$B$4,-'Scoring Settings'!$B$5))),"Not in use",IF(AND(ISNUMBER(I276),I276&lt;'Scoring Settings'!$B$6),"Low use","Active"))))</f>
        <v>Low use</v>
      </c>
      <c r="L276" s="5">
        <v>2</v>
      </c>
      <c r="M276" s="5">
        <v>3</v>
      </c>
      <c r="N276" s="5" t="s">
        <v>1628</v>
      </c>
      <c r="O276" s="5" t="s">
        <v>130</v>
      </c>
      <c r="P276" s="5" t="s">
        <v>1629</v>
      </c>
      <c r="Q276" s="9">
        <v>3</v>
      </c>
      <c r="R276" s="5" t="s">
        <v>75</v>
      </c>
      <c r="S276" s="5" t="s">
        <v>121</v>
      </c>
      <c r="T276" s="5" t="s">
        <v>195</v>
      </c>
      <c r="U276" s="7">
        <v>46217</v>
      </c>
      <c r="V276" s="5" t="s">
        <v>135</v>
      </c>
      <c r="W276" s="6">
        <v>4</v>
      </c>
      <c r="X276" s="5" t="s">
        <v>79</v>
      </c>
      <c r="Y276" s="9">
        <v>1</v>
      </c>
      <c r="Z276" s="5" t="s">
        <v>79</v>
      </c>
      <c r="AA276" s="5" t="s">
        <v>110</v>
      </c>
      <c r="AB276" s="9">
        <v>8</v>
      </c>
      <c r="AC276" s="5" t="s">
        <v>79</v>
      </c>
      <c r="AD276" s="5" t="s">
        <v>79</v>
      </c>
      <c r="AE276" s="5" t="s">
        <v>79</v>
      </c>
      <c r="AF276" s="10">
        <v>33000</v>
      </c>
      <c r="AG276" s="7">
        <v>49309</v>
      </c>
      <c r="AH276" s="10">
        <v>12500</v>
      </c>
      <c r="AI276" s="10">
        <v>28000</v>
      </c>
      <c r="AJ276" s="11">
        <f t="shared" si="4"/>
        <v>5.3571428571428577</v>
      </c>
      <c r="AK276" s="12">
        <f>IF(B276="","",OR(K276="Not in use",K276="Low use")+AND(N276&lt;&gt;"",N276&lt;&gt;"TBD")+AND(ISNUMBER(U276),U276&lt;=EDATE('Scoring Settings'!$B$4,'Scoring Settings'!$B$8))+AND(ISNUMBER(L276),L276&lt;='Scoring Settings'!$B$7))</f>
        <v>3</v>
      </c>
      <c r="AL276" s="5" t="s">
        <v>223</v>
      </c>
      <c r="AM276" s="8" t="str">
        <f>IF(B276="","",IF(Z276="N","Easy",IF(OR(AND(ISNUMBER(AB276),AB276&gt;'Scoring Settings'!$B$11),AND(ISNUMBER(W276),W276&gt;'Scoring Settings'!$B$12),AND(ISNUMBER(M276),M276&lt;='Scoring Settings'!$B$13)),"High","Medium")))</f>
        <v>Easy</v>
      </c>
      <c r="AN276" s="5" t="s">
        <v>97</v>
      </c>
      <c r="AO276" s="7">
        <v>44865</v>
      </c>
      <c r="AP276" s="5" t="s">
        <v>98</v>
      </c>
      <c r="AQ276" s="29" t="s">
        <v>421</v>
      </c>
    </row>
    <row r="277" spans="1:43" hidden="1">
      <c r="A277" s="28">
        <v>55096</v>
      </c>
      <c r="B277" s="5" t="s">
        <v>1635</v>
      </c>
      <c r="C277" s="5" t="s">
        <v>338</v>
      </c>
      <c r="D277" s="5" t="s">
        <v>139</v>
      </c>
      <c r="E277" s="5" t="s">
        <v>68</v>
      </c>
      <c r="F277" s="5" t="s">
        <v>249</v>
      </c>
      <c r="G277" s="5" t="s">
        <v>117</v>
      </c>
      <c r="H277" s="5" t="s">
        <v>189</v>
      </c>
      <c r="I277" s="6">
        <v>24</v>
      </c>
      <c r="J277" s="7">
        <v>44278</v>
      </c>
      <c r="K277" s="8" t="str">
        <f>IF(B277="","",IF(AND(I277="",J277=""),"Unknown",IF(OR(AND(ISNUMBER(I277),I277=0),AND(ISNUMBER(J277),J277&lt;=EDATE('Scoring Settings'!$B$4,-'Scoring Settings'!$B$5))),"Not in use",IF(AND(ISNUMBER(I277),I277&lt;'Scoring Settings'!$B$6),"Low use","Active"))))</f>
        <v>Low use</v>
      </c>
      <c r="L277" s="5">
        <v>5</v>
      </c>
      <c r="M277" s="5">
        <v>1</v>
      </c>
      <c r="N277" s="5" t="s">
        <v>216</v>
      </c>
      <c r="O277" s="5" t="s">
        <v>73</v>
      </c>
      <c r="P277" s="5" t="s">
        <v>1636</v>
      </c>
      <c r="Q277" s="9">
        <v>4</v>
      </c>
      <c r="R277" s="5" t="s">
        <v>132</v>
      </c>
      <c r="S277" s="5" t="s">
        <v>133</v>
      </c>
      <c r="T277" s="5" t="s">
        <v>109</v>
      </c>
      <c r="U277" s="7">
        <v>44227</v>
      </c>
      <c r="V277" s="5" t="s">
        <v>135</v>
      </c>
      <c r="W277" s="6">
        <v>200</v>
      </c>
      <c r="X277" s="5" t="s">
        <v>79</v>
      </c>
      <c r="Y277" s="9">
        <v>2</v>
      </c>
      <c r="Z277" s="5" t="s">
        <v>80</v>
      </c>
      <c r="AA277" s="5" t="s">
        <v>123</v>
      </c>
      <c r="AB277" s="9">
        <v>18</v>
      </c>
      <c r="AC277" s="5" t="s">
        <v>80</v>
      </c>
      <c r="AD277" s="5" t="s">
        <v>82</v>
      </c>
      <c r="AE277" s="5" t="s">
        <v>82</v>
      </c>
      <c r="AF277" s="10">
        <v>175000</v>
      </c>
      <c r="AG277" s="7">
        <v>49643</v>
      </c>
      <c r="AH277" s="10">
        <v>293000</v>
      </c>
      <c r="AI277" s="10">
        <v>154500</v>
      </c>
      <c r="AJ277" s="11">
        <f t="shared" si="4"/>
        <v>22.757281553398059</v>
      </c>
      <c r="AK277" s="12">
        <f>IF(B277="","",OR(K277="Not in use",K277="Low use")+AND(N277&lt;&gt;"",N277&lt;&gt;"TBD")+AND(ISNUMBER(U277),U277&lt;=EDATE('Scoring Settings'!$B$4,'Scoring Settings'!$B$8))+AND(ISNUMBER(L277),L277&lt;='Scoring Settings'!$B$7))</f>
        <v>3</v>
      </c>
      <c r="AL277" s="5" t="s">
        <v>2217</v>
      </c>
      <c r="AM277" s="8" t="str">
        <f>IF(B277="","",IF(Z277="N","Easy",IF(OR(AND(ISNUMBER(AB277),AB277&gt;'Scoring Settings'!$B$11),AND(ISNUMBER(W277),W277&gt;'Scoring Settings'!$B$12),AND(ISNUMBER(M277),M277&lt;='Scoring Settings'!$B$13)),"High","Medium")))</f>
        <v>High</v>
      </c>
      <c r="AN277" s="5" t="s">
        <v>97</v>
      </c>
      <c r="AO277" s="7">
        <v>44773</v>
      </c>
      <c r="AP277" s="5" t="s">
        <v>197</v>
      </c>
      <c r="AQ277" s="29" t="s">
        <v>1637</v>
      </c>
    </row>
    <row r="278" spans="1:43" ht="71.25" hidden="1">
      <c r="A278" s="28">
        <v>110660</v>
      </c>
      <c r="B278" s="5" t="s">
        <v>1639</v>
      </c>
      <c r="C278" s="5" t="s">
        <v>316</v>
      </c>
      <c r="D278" s="5" t="s">
        <v>67</v>
      </c>
      <c r="E278" s="5" t="s">
        <v>68</v>
      </c>
      <c r="F278" s="5" t="s">
        <v>387</v>
      </c>
      <c r="G278" s="5" t="s">
        <v>210</v>
      </c>
      <c r="H278" s="5" t="s">
        <v>118</v>
      </c>
      <c r="I278" s="6">
        <v>415</v>
      </c>
      <c r="J278" s="7">
        <v>44295</v>
      </c>
      <c r="K278" s="8" t="str">
        <f>IF(B278="","",IF(AND(I278="",J278=""),"Unknown",IF(OR(AND(ISNUMBER(I278),I278=0),AND(ISNUMBER(J278),J278&lt;=EDATE('Scoring Settings'!$B$4,-'Scoring Settings'!$B$5))),"Not in use",IF(AND(ISNUMBER(I278),I278&lt;'Scoring Settings'!$B$6),"Low use","Active"))))</f>
        <v>Active</v>
      </c>
      <c r="L278" s="5">
        <v>4</v>
      </c>
      <c r="M278" s="5">
        <v>2</v>
      </c>
      <c r="N278" s="5" t="s">
        <v>211</v>
      </c>
      <c r="O278" s="5" t="s">
        <v>73</v>
      </c>
      <c r="P278" s="5" t="s">
        <v>1640</v>
      </c>
      <c r="Q278" s="9">
        <v>7</v>
      </c>
      <c r="R278" s="5" t="s">
        <v>478</v>
      </c>
      <c r="S278" s="5" t="s">
        <v>479</v>
      </c>
      <c r="T278" s="5" t="s">
        <v>109</v>
      </c>
      <c r="U278" s="7">
        <v>43844</v>
      </c>
      <c r="V278" s="5" t="s">
        <v>135</v>
      </c>
      <c r="W278" s="6">
        <v>360</v>
      </c>
      <c r="X278" s="5" t="s">
        <v>79</v>
      </c>
      <c r="Y278" s="9">
        <v>5</v>
      </c>
      <c r="Z278" s="5" t="s">
        <v>80</v>
      </c>
      <c r="AA278" s="5" t="s">
        <v>123</v>
      </c>
      <c r="AB278" s="9">
        <v>14</v>
      </c>
      <c r="AC278" s="5" t="s">
        <v>82</v>
      </c>
      <c r="AD278" s="5" t="s">
        <v>80</v>
      </c>
      <c r="AE278" s="5" t="s">
        <v>82</v>
      </c>
      <c r="AF278" s="10">
        <v>80000</v>
      </c>
      <c r="AG278" s="7">
        <v>48304</v>
      </c>
      <c r="AH278" s="10">
        <v>117500</v>
      </c>
      <c r="AI278" s="10">
        <v>61000</v>
      </c>
      <c r="AJ278" s="11">
        <f t="shared" si="4"/>
        <v>23.114754098360656</v>
      </c>
      <c r="AK278" s="12">
        <f>IF(B278="","",OR(K278="Not in use",K278="Low use")+AND(N278&lt;&gt;"",N278&lt;&gt;"TBD")+AND(ISNUMBER(U278),U278&lt;=EDATE('Scoring Settings'!$B$4,'Scoring Settings'!$B$8))+AND(ISNUMBER(L278),L278&lt;='Scoring Settings'!$B$7))</f>
        <v>2</v>
      </c>
      <c r="AL278" s="5" t="s">
        <v>2217</v>
      </c>
      <c r="AM278" s="8" t="str">
        <f>IF(B278="","",IF(Z278="N","Easy",IF(OR(AND(ISNUMBER(AB278),AB278&gt;'Scoring Settings'!$B$11),AND(ISNUMBER(W278),W278&gt;'Scoring Settings'!$B$12),AND(ISNUMBER(M278),M278&lt;='Scoring Settings'!$B$13)),"High","Medium")))</f>
        <v>High</v>
      </c>
      <c r="AN278" s="5" t="s">
        <v>97</v>
      </c>
      <c r="AO278" s="7">
        <v>44865</v>
      </c>
      <c r="AP278" s="5" t="s">
        <v>197</v>
      </c>
      <c r="AQ278" s="29" t="s">
        <v>1641</v>
      </c>
    </row>
    <row r="279" spans="1:43" hidden="1">
      <c r="A279" s="28">
        <v>132095</v>
      </c>
      <c r="B279" s="5" t="s">
        <v>1649</v>
      </c>
      <c r="C279" s="5" t="s">
        <v>225</v>
      </c>
      <c r="D279" s="5" t="s">
        <v>67</v>
      </c>
      <c r="E279" s="5" t="s">
        <v>68</v>
      </c>
      <c r="F279" s="5" t="s">
        <v>476</v>
      </c>
      <c r="G279" s="5" t="s">
        <v>70</v>
      </c>
      <c r="H279" s="5" t="s">
        <v>71</v>
      </c>
      <c r="I279" s="6">
        <v>5</v>
      </c>
      <c r="J279" s="7">
        <v>44210</v>
      </c>
      <c r="K279" s="8" t="str">
        <f>IF(B279="","",IF(AND(I279="",J279=""),"Unknown",IF(OR(AND(ISNUMBER(I279),I279=0),AND(ISNUMBER(J279),J279&lt;=EDATE('Scoring Settings'!$B$4,-'Scoring Settings'!$B$5))),"Not in use",IF(AND(ISNUMBER(I279),I279&lt;'Scoring Settings'!$B$6),"Low use","Active"))))</f>
        <v>Low use</v>
      </c>
      <c r="L279" s="5">
        <v>1</v>
      </c>
      <c r="M279" s="5">
        <v>3</v>
      </c>
      <c r="N279" s="5"/>
      <c r="O279" s="5" t="s">
        <v>73</v>
      </c>
      <c r="P279" s="5" t="s">
        <v>1650</v>
      </c>
      <c r="Q279" s="9">
        <v>1</v>
      </c>
      <c r="R279" s="5" t="s">
        <v>352</v>
      </c>
      <c r="S279" s="5" t="s">
        <v>353</v>
      </c>
      <c r="T279" s="5" t="s">
        <v>72</v>
      </c>
      <c r="U279" s="7">
        <v>47127</v>
      </c>
      <c r="V279" s="5" t="s">
        <v>135</v>
      </c>
      <c r="W279" s="6">
        <v>2910</v>
      </c>
      <c r="X279" s="5" t="s">
        <v>80</v>
      </c>
      <c r="Y279" s="9">
        <v>10</v>
      </c>
      <c r="Z279" s="5" t="s">
        <v>80</v>
      </c>
      <c r="AA279" s="5" t="s">
        <v>147</v>
      </c>
      <c r="AB279" s="9">
        <v>7</v>
      </c>
      <c r="AC279" s="5" t="s">
        <v>79</v>
      </c>
      <c r="AD279" s="5" t="s">
        <v>82</v>
      </c>
      <c r="AE279" s="5" t="s">
        <v>80</v>
      </c>
      <c r="AF279" s="10">
        <v>38000</v>
      </c>
      <c r="AG279" s="7">
        <v>46418</v>
      </c>
      <c r="AH279" s="10">
        <v>98500</v>
      </c>
      <c r="AI279" s="10">
        <v>28500</v>
      </c>
      <c r="AJ279" s="11">
        <f t="shared" si="4"/>
        <v>41.473684210526315</v>
      </c>
      <c r="AK279" s="12">
        <f>IF(B279="","",OR(K279="Not in use",K279="Low use")+AND(N279&lt;&gt;"",N279&lt;&gt;"TBD")+AND(ISNUMBER(U279),U279&lt;=EDATE('Scoring Settings'!$B$4,'Scoring Settings'!$B$8))+AND(ISNUMBER(L279),L279&lt;='Scoring Settings'!$B$7))</f>
        <v>2</v>
      </c>
      <c r="AL279" s="5" t="s">
        <v>96</v>
      </c>
      <c r="AM279" s="8" t="str">
        <f>IF(B279="","",IF(Z279="N","Easy",IF(OR(AND(ISNUMBER(AB279),AB279&gt;'Scoring Settings'!$B$11),AND(ISNUMBER(W279),W279&gt;'Scoring Settings'!$B$12),AND(ISNUMBER(M279),M279&lt;='Scoring Settings'!$B$13)),"High","Medium")))</f>
        <v>High</v>
      </c>
      <c r="AN279" s="5" t="s">
        <v>97</v>
      </c>
      <c r="AO279" s="7">
        <v>44620</v>
      </c>
      <c r="AP279" s="5" t="s">
        <v>197</v>
      </c>
      <c r="AQ279" s="29" t="s">
        <v>669</v>
      </c>
    </row>
    <row r="280" spans="1:43" hidden="1">
      <c r="A280" s="28">
        <v>72981</v>
      </c>
      <c r="B280" s="5" t="s">
        <v>1653</v>
      </c>
      <c r="C280" s="5" t="s">
        <v>395</v>
      </c>
      <c r="D280" s="5" t="s">
        <v>88</v>
      </c>
      <c r="E280" s="5" t="s">
        <v>68</v>
      </c>
      <c r="F280" s="5" t="s">
        <v>116</v>
      </c>
      <c r="G280" s="5" t="s">
        <v>70</v>
      </c>
      <c r="H280" s="5" t="s">
        <v>105</v>
      </c>
      <c r="I280" s="6">
        <v>3</v>
      </c>
      <c r="J280" s="7">
        <v>44025</v>
      </c>
      <c r="K280" s="8" t="str">
        <f>IF(B280="","",IF(AND(I280="",J280=""),"Unknown",IF(OR(AND(ISNUMBER(I280),I280=0),AND(ISNUMBER(J280),J280&lt;=EDATE('Scoring Settings'!$B$4,-'Scoring Settings'!$B$5))),"Not in use",IF(AND(ISNUMBER(I280),I280&lt;'Scoring Settings'!$B$6),"Low use","Active"))))</f>
        <v>Not in use</v>
      </c>
      <c r="L280" s="5">
        <v>4</v>
      </c>
      <c r="M280" s="5">
        <v>1</v>
      </c>
      <c r="N280" s="5"/>
      <c r="O280" s="5" t="s">
        <v>73</v>
      </c>
      <c r="P280" s="5" t="s">
        <v>1654</v>
      </c>
      <c r="Q280" s="9">
        <v>2</v>
      </c>
      <c r="R280" s="5" t="s">
        <v>166</v>
      </c>
      <c r="S280" s="5" t="s">
        <v>72</v>
      </c>
      <c r="T280" s="5" t="s">
        <v>122</v>
      </c>
      <c r="U280" s="7">
        <v>44754</v>
      </c>
      <c r="V280" s="5" t="s">
        <v>135</v>
      </c>
      <c r="W280" s="6">
        <v>54</v>
      </c>
      <c r="X280" s="5" t="s">
        <v>79</v>
      </c>
      <c r="Y280" s="9">
        <v>5</v>
      </c>
      <c r="Z280" s="5" t="s">
        <v>80</v>
      </c>
      <c r="AA280" s="5" t="s">
        <v>205</v>
      </c>
      <c r="AB280" s="9">
        <v>41</v>
      </c>
      <c r="AC280" s="5" t="s">
        <v>82</v>
      </c>
      <c r="AD280" s="5" t="s">
        <v>82</v>
      </c>
      <c r="AE280" s="5" t="s">
        <v>82</v>
      </c>
      <c r="AF280" s="10">
        <v>120000</v>
      </c>
      <c r="AG280" s="7">
        <v>48121</v>
      </c>
      <c r="AH280" s="10">
        <v>319000</v>
      </c>
      <c r="AI280" s="10">
        <v>92500</v>
      </c>
      <c r="AJ280" s="11">
        <f t="shared" si="4"/>
        <v>41.383783783783784</v>
      </c>
      <c r="AK280" s="12">
        <f>IF(B280="","",OR(K280="Not in use",K280="Low use")+AND(N280&lt;&gt;"",N280&lt;&gt;"TBD")+AND(ISNUMBER(U280),U280&lt;=EDATE('Scoring Settings'!$B$4,'Scoring Settings'!$B$8))+AND(ISNUMBER(L280),L280&lt;='Scoring Settings'!$B$7))</f>
        <v>1</v>
      </c>
      <c r="AL280" s="5" t="s">
        <v>96</v>
      </c>
      <c r="AM280" s="8" t="str">
        <f>IF(B280="","",IF(Z280="N","Easy",IF(OR(AND(ISNUMBER(AB280),AB280&gt;'Scoring Settings'!$B$11),AND(ISNUMBER(W280),W280&gt;'Scoring Settings'!$B$12),AND(ISNUMBER(M280),M280&lt;='Scoring Settings'!$B$13)),"High","Medium")))</f>
        <v>High</v>
      </c>
      <c r="AN280" s="5" t="s">
        <v>97</v>
      </c>
      <c r="AO280" s="7">
        <v>44773</v>
      </c>
      <c r="AP280" s="5" t="s">
        <v>197</v>
      </c>
      <c r="AQ280" s="29" t="s">
        <v>399</v>
      </c>
    </row>
    <row r="281" spans="1:43" hidden="1">
      <c r="A281" s="28">
        <v>19324</v>
      </c>
      <c r="B281" s="5" t="s">
        <v>1658</v>
      </c>
      <c r="C281" s="5" t="s">
        <v>639</v>
      </c>
      <c r="D281" s="5" t="s">
        <v>88</v>
      </c>
      <c r="E281" s="5" t="s">
        <v>68</v>
      </c>
      <c r="F281" s="5" t="s">
        <v>157</v>
      </c>
      <c r="G281" s="5" t="s">
        <v>70</v>
      </c>
      <c r="H281" s="5" t="s">
        <v>142</v>
      </c>
      <c r="I281" s="6">
        <v>1</v>
      </c>
      <c r="J281" s="7">
        <v>44065</v>
      </c>
      <c r="K281" s="8" t="str">
        <f>IF(B281="","",IF(AND(I281="",J281=""),"Unknown",IF(OR(AND(ISNUMBER(I281),I281=0),AND(ISNUMBER(J281),J281&lt;=EDATE('Scoring Settings'!$B$4,-'Scoring Settings'!$B$5))),"Not in use",IF(AND(ISNUMBER(I281),I281&lt;'Scoring Settings'!$B$6),"Low use","Active"))))</f>
        <v>Not in use</v>
      </c>
      <c r="L281" s="5">
        <v>2</v>
      </c>
      <c r="M281" s="5">
        <v>4</v>
      </c>
      <c r="N281" s="5"/>
      <c r="O281" s="5" t="s">
        <v>143</v>
      </c>
      <c r="P281" s="5" t="s">
        <v>144</v>
      </c>
      <c r="Q281" s="9">
        <v>0</v>
      </c>
      <c r="R281" s="5" t="s">
        <v>145</v>
      </c>
      <c r="S281" s="5" t="s">
        <v>145</v>
      </c>
      <c r="T281" s="5" t="s">
        <v>146</v>
      </c>
      <c r="U281" s="7">
        <v>45596</v>
      </c>
      <c r="V281" s="5" t="s">
        <v>78</v>
      </c>
      <c r="W281" s="6">
        <v>360</v>
      </c>
      <c r="X281" s="5" t="s">
        <v>80</v>
      </c>
      <c r="Y281" s="9">
        <v>7</v>
      </c>
      <c r="Z281" s="5" t="s">
        <v>80</v>
      </c>
      <c r="AA281" s="5" t="s">
        <v>205</v>
      </c>
      <c r="AB281" s="9">
        <v>3</v>
      </c>
      <c r="AC281" s="5" t="s">
        <v>80</v>
      </c>
      <c r="AD281" s="5" t="s">
        <v>79</v>
      </c>
      <c r="AE281" s="5" t="s">
        <v>79</v>
      </c>
      <c r="AF281" s="10">
        <v>80000</v>
      </c>
      <c r="AG281" s="7">
        <v>46568</v>
      </c>
      <c r="AH281" s="10">
        <v>144500</v>
      </c>
      <c r="AI281" s="10">
        <v>39500</v>
      </c>
      <c r="AJ281" s="11">
        <f t="shared" si="4"/>
        <v>43.898734177215189</v>
      </c>
      <c r="AK281" s="12">
        <f>IF(B281="","",OR(K281="Not in use",K281="Low use")+AND(N281&lt;&gt;"",N281&lt;&gt;"TBD")+AND(ISNUMBER(U281),U281&lt;=EDATE('Scoring Settings'!$B$4,'Scoring Settings'!$B$8))+AND(ISNUMBER(L281),L281&lt;='Scoring Settings'!$B$7))</f>
        <v>2</v>
      </c>
      <c r="AL281" s="5" t="s">
        <v>96</v>
      </c>
      <c r="AM281" s="8" t="str">
        <f>IF(B281="","",IF(Z281="N","Easy",IF(OR(AND(ISNUMBER(AB281),AB281&gt;'Scoring Settings'!$B$11),AND(ISNUMBER(W281),W281&gt;'Scoring Settings'!$B$12),AND(ISNUMBER(M281),M281&lt;='Scoring Settings'!$B$13)),"High","Medium")))</f>
        <v>Medium</v>
      </c>
      <c r="AN281" s="5" t="s">
        <v>97</v>
      </c>
      <c r="AO281" s="7">
        <v>44651</v>
      </c>
      <c r="AP281" s="5" t="s">
        <v>197</v>
      </c>
      <c r="AQ281" s="29" t="s">
        <v>399</v>
      </c>
    </row>
    <row r="282" spans="1:43" ht="42.75" hidden="1">
      <c r="A282" s="28">
        <v>115933</v>
      </c>
      <c r="B282" s="5" t="s">
        <v>1662</v>
      </c>
      <c r="C282" s="5" t="s">
        <v>293</v>
      </c>
      <c r="D282" s="5" t="s">
        <v>162</v>
      </c>
      <c r="E282" s="5" t="s">
        <v>68</v>
      </c>
      <c r="F282" s="5" t="s">
        <v>157</v>
      </c>
      <c r="G282" s="5" t="s">
        <v>153</v>
      </c>
      <c r="H282" s="5" t="s">
        <v>118</v>
      </c>
      <c r="I282" s="6">
        <v>143</v>
      </c>
      <c r="J282" s="7">
        <v>44279</v>
      </c>
      <c r="K282" s="8" t="str">
        <f>IF(B282="","",IF(AND(I282="",J282=""),"Unknown",IF(OR(AND(ISNUMBER(I282),I282=0),AND(ISNUMBER(J282),J282&lt;=EDATE('Scoring Settings'!$B$4,-'Scoring Settings'!$B$5))),"Not in use",IF(AND(ISNUMBER(I282),I282&lt;'Scoring Settings'!$B$6),"Low use","Active"))))</f>
        <v>Active</v>
      </c>
      <c r="L282" s="5">
        <v>1</v>
      </c>
      <c r="M282" s="5">
        <v>4</v>
      </c>
      <c r="N282" s="5"/>
      <c r="O282" s="5" t="s">
        <v>73</v>
      </c>
      <c r="P282" s="5" t="s">
        <v>660</v>
      </c>
      <c r="Q282" s="9">
        <v>1</v>
      </c>
      <c r="R282" s="5" t="s">
        <v>251</v>
      </c>
      <c r="S282" s="5" t="s">
        <v>133</v>
      </c>
      <c r="T282" s="5" t="s">
        <v>109</v>
      </c>
      <c r="U282" s="7">
        <v>44165</v>
      </c>
      <c r="V282" s="5" t="s">
        <v>135</v>
      </c>
      <c r="W282" s="6">
        <v>200</v>
      </c>
      <c r="X282" s="5" t="s">
        <v>79</v>
      </c>
      <c r="Y282" s="9">
        <v>7</v>
      </c>
      <c r="Z282" s="5" t="s">
        <v>80</v>
      </c>
      <c r="AA282" s="5" t="s">
        <v>185</v>
      </c>
      <c r="AB282" s="9">
        <v>0</v>
      </c>
      <c r="AC282" s="5" t="s">
        <v>79</v>
      </c>
      <c r="AD282" s="5" t="s">
        <v>80</v>
      </c>
      <c r="AE282" s="5" t="s">
        <v>82</v>
      </c>
      <c r="AF282" s="10">
        <v>19500</v>
      </c>
      <c r="AG282" s="7">
        <v>47542</v>
      </c>
      <c r="AH282" s="10">
        <v>23000</v>
      </c>
      <c r="AI282" s="10">
        <v>15500</v>
      </c>
      <c r="AJ282" s="11">
        <f t="shared" si="4"/>
        <v>17.806451612903224</v>
      </c>
      <c r="AK282" s="12">
        <f>IF(B282="","",OR(K282="Not in use",K282="Low use")+AND(N282&lt;&gt;"",N282&lt;&gt;"TBD")+AND(ISNUMBER(U282),U282&lt;=EDATE('Scoring Settings'!$B$4,'Scoring Settings'!$B$8))+AND(ISNUMBER(L282),L282&lt;='Scoring Settings'!$B$7))</f>
        <v>2</v>
      </c>
      <c r="AL282" s="5" t="s">
        <v>96</v>
      </c>
      <c r="AM282" s="8" t="str">
        <f>IF(B282="","",IF(Z282="N","Easy",IF(OR(AND(ISNUMBER(AB282),AB282&gt;'Scoring Settings'!$B$11),AND(ISNUMBER(W282),W282&gt;'Scoring Settings'!$B$12),AND(ISNUMBER(M282),M282&lt;='Scoring Settings'!$B$13)),"High","Medium")))</f>
        <v>Medium</v>
      </c>
      <c r="AN282" s="5" t="s">
        <v>97</v>
      </c>
      <c r="AO282" s="7">
        <v>44651</v>
      </c>
      <c r="AP282" s="5" t="s">
        <v>98</v>
      </c>
      <c r="AQ282" s="29" t="s">
        <v>1663</v>
      </c>
    </row>
    <row r="283" spans="1:43" hidden="1">
      <c r="A283" s="28">
        <v>76296</v>
      </c>
      <c r="B283" s="5" t="s">
        <v>1665</v>
      </c>
      <c r="C283" s="5" t="s">
        <v>114</v>
      </c>
      <c r="D283" s="5" t="s">
        <v>115</v>
      </c>
      <c r="E283" s="5" t="s">
        <v>68</v>
      </c>
      <c r="F283" s="5" t="s">
        <v>266</v>
      </c>
      <c r="G283" s="5" t="s">
        <v>153</v>
      </c>
      <c r="H283" s="5" t="s">
        <v>189</v>
      </c>
      <c r="I283" s="6">
        <v>3</v>
      </c>
      <c r="J283" s="7">
        <v>43618</v>
      </c>
      <c r="K283" s="8" t="str">
        <f>IF(B283="","",IF(AND(I283="",J283=""),"Unknown",IF(OR(AND(ISNUMBER(I283),I283=0),AND(ISNUMBER(J283),J283&lt;=EDATE('Scoring Settings'!$B$4,-'Scoring Settings'!$B$5))),"Not in use",IF(AND(ISNUMBER(I283),I283&lt;'Scoring Settings'!$B$6),"Low use","Active"))))</f>
        <v>Not in use</v>
      </c>
      <c r="L283" s="5">
        <v>1</v>
      </c>
      <c r="M283" s="5">
        <v>3</v>
      </c>
      <c r="N283" s="5" t="s">
        <v>549</v>
      </c>
      <c r="O283" s="5" t="s">
        <v>73</v>
      </c>
      <c r="P283" s="5" t="s">
        <v>1666</v>
      </c>
      <c r="Q283" s="9">
        <v>4</v>
      </c>
      <c r="R283" s="5" t="s">
        <v>330</v>
      </c>
      <c r="S283" s="5" t="s">
        <v>331</v>
      </c>
      <c r="T283" s="5" t="s">
        <v>109</v>
      </c>
      <c r="U283" s="7">
        <v>45046</v>
      </c>
      <c r="V283" s="5" t="s">
        <v>135</v>
      </c>
      <c r="W283" s="6">
        <v>1720</v>
      </c>
      <c r="X283" s="5" t="s">
        <v>80</v>
      </c>
      <c r="Y283" s="9">
        <v>5</v>
      </c>
      <c r="Z283" s="5" t="s">
        <v>80</v>
      </c>
      <c r="AA283" s="5" t="s">
        <v>185</v>
      </c>
      <c r="AB283" s="9">
        <v>7</v>
      </c>
      <c r="AC283" s="5" t="s">
        <v>82</v>
      </c>
      <c r="AD283" s="5" t="s">
        <v>82</v>
      </c>
      <c r="AE283" s="5" t="s">
        <v>82</v>
      </c>
      <c r="AF283" s="10">
        <v>55000</v>
      </c>
      <c r="AG283" s="7">
        <v>48730</v>
      </c>
      <c r="AH283" s="10">
        <v>72500</v>
      </c>
      <c r="AI283" s="10">
        <v>42500</v>
      </c>
      <c r="AJ283" s="11">
        <f t="shared" si="4"/>
        <v>20.470588235294116</v>
      </c>
      <c r="AK283" s="12">
        <f>IF(B283="","",OR(K283="Not in use",K283="Low use")+AND(N283&lt;&gt;"",N283&lt;&gt;"TBD")+AND(ISNUMBER(U283),U283&lt;=EDATE('Scoring Settings'!$B$4,'Scoring Settings'!$B$8))+AND(ISNUMBER(L283),L283&lt;='Scoring Settings'!$B$7))</f>
        <v>3</v>
      </c>
      <c r="AL283" s="5" t="s">
        <v>96</v>
      </c>
      <c r="AM283" s="8" t="str">
        <f>IF(B283="","",IF(Z283="N","Easy",IF(OR(AND(ISNUMBER(AB283),AB283&gt;'Scoring Settings'!$B$11),AND(ISNUMBER(W283),W283&gt;'Scoring Settings'!$B$12),AND(ISNUMBER(M283),M283&lt;='Scoring Settings'!$B$13)),"High","Medium")))</f>
        <v>High</v>
      </c>
      <c r="AN283" s="5" t="s">
        <v>97</v>
      </c>
      <c r="AO283" s="7">
        <v>44895</v>
      </c>
      <c r="AP283" s="5" t="s">
        <v>98</v>
      </c>
      <c r="AQ283" s="29" t="s">
        <v>136</v>
      </c>
    </row>
    <row r="284" spans="1:43" hidden="1">
      <c r="A284" s="28">
        <v>131077</v>
      </c>
      <c r="B284" s="5" t="s">
        <v>1668</v>
      </c>
      <c r="C284" s="5" t="s">
        <v>114</v>
      </c>
      <c r="D284" s="5" t="s">
        <v>115</v>
      </c>
      <c r="E284" s="5" t="s">
        <v>68</v>
      </c>
      <c r="F284" s="5" t="s">
        <v>299</v>
      </c>
      <c r="G284" s="5" t="s">
        <v>104</v>
      </c>
      <c r="H284" s="5" t="s">
        <v>129</v>
      </c>
      <c r="I284" s="6">
        <v>7</v>
      </c>
      <c r="J284" s="7">
        <v>44287</v>
      </c>
      <c r="K284" s="8" t="str">
        <f>IF(B284="","",IF(AND(I284="",J284=""),"Unknown",IF(OR(AND(ISNUMBER(I284),I284=0),AND(ISNUMBER(J284),J284&lt;=EDATE('Scoring Settings'!$B$4,-'Scoring Settings'!$B$5))),"Not in use",IF(AND(ISNUMBER(I284),I284&lt;'Scoring Settings'!$B$6),"Low use","Active"))))</f>
        <v>Low use</v>
      </c>
      <c r="L284" s="5">
        <v>1</v>
      </c>
      <c r="M284" s="5">
        <v>4</v>
      </c>
      <c r="N284" s="5" t="s">
        <v>1669</v>
      </c>
      <c r="O284" s="5" t="s">
        <v>73</v>
      </c>
      <c r="P284" s="5" t="s">
        <v>1670</v>
      </c>
      <c r="Q284" s="9">
        <v>2</v>
      </c>
      <c r="R284" s="5" t="s">
        <v>358</v>
      </c>
      <c r="S284" s="5" t="s">
        <v>133</v>
      </c>
      <c r="T284" s="5" t="s">
        <v>184</v>
      </c>
      <c r="U284" s="7">
        <v>43555</v>
      </c>
      <c r="V284" s="5" t="s">
        <v>135</v>
      </c>
      <c r="W284" s="6">
        <v>64</v>
      </c>
      <c r="X284" s="5" t="s">
        <v>79</v>
      </c>
      <c r="Y284" s="9">
        <v>5</v>
      </c>
      <c r="Z284" s="5" t="s">
        <v>79</v>
      </c>
      <c r="AA284" s="5" t="s">
        <v>110</v>
      </c>
      <c r="AB284" s="9">
        <v>0</v>
      </c>
      <c r="AC284" s="5" t="s">
        <v>82</v>
      </c>
      <c r="AD284" s="5" t="s">
        <v>79</v>
      </c>
      <c r="AE284" s="5" t="s">
        <v>82</v>
      </c>
      <c r="AF284" s="10">
        <v>39500</v>
      </c>
      <c r="AG284" s="7">
        <v>46843</v>
      </c>
      <c r="AH284" s="10">
        <v>43500</v>
      </c>
      <c r="AI284" s="10">
        <v>33500</v>
      </c>
      <c r="AJ284" s="11">
        <f t="shared" si="4"/>
        <v>15.582089552238806</v>
      </c>
      <c r="AK284" s="12">
        <f>IF(B284="","",OR(K284="Not in use",K284="Low use")+AND(N284&lt;&gt;"",N284&lt;&gt;"TBD")+AND(ISNUMBER(U284),U284&lt;=EDATE('Scoring Settings'!$B$4,'Scoring Settings'!$B$8))+AND(ISNUMBER(L284),L284&lt;='Scoring Settings'!$B$7))</f>
        <v>4</v>
      </c>
      <c r="AL284" s="5" t="s">
        <v>2217</v>
      </c>
      <c r="AM284" s="8" t="str">
        <f>IF(B284="","",IF(Z284="N","Easy",IF(OR(AND(ISNUMBER(AB284),AB284&gt;'Scoring Settings'!$B$11),AND(ISNUMBER(W284),W284&gt;'Scoring Settings'!$B$12),AND(ISNUMBER(M284),M284&lt;='Scoring Settings'!$B$13)),"High","Medium")))</f>
        <v>Easy</v>
      </c>
      <c r="AN284" s="5" t="s">
        <v>97</v>
      </c>
      <c r="AO284" s="7">
        <v>44865</v>
      </c>
      <c r="AP284" s="5" t="s">
        <v>197</v>
      </c>
      <c r="AQ284" s="29" t="s">
        <v>1671</v>
      </c>
    </row>
    <row r="285" spans="1:43" ht="42.75" hidden="1">
      <c r="A285" s="28">
        <v>164218</v>
      </c>
      <c r="B285" s="5" t="s">
        <v>1683</v>
      </c>
      <c r="C285" s="5" t="s">
        <v>126</v>
      </c>
      <c r="D285" s="5" t="s">
        <v>88</v>
      </c>
      <c r="E285" s="5" t="s">
        <v>68</v>
      </c>
      <c r="F285" s="5" t="s">
        <v>140</v>
      </c>
      <c r="G285" s="5" t="s">
        <v>226</v>
      </c>
      <c r="H285" s="5" t="s">
        <v>174</v>
      </c>
      <c r="I285" s="6">
        <v>25</v>
      </c>
      <c r="J285" s="7">
        <v>44283</v>
      </c>
      <c r="K285" s="8" t="str">
        <f>IF(B285="","",IF(AND(I285="",J285=""),"Unknown",IF(OR(AND(ISNUMBER(I285),I285=0),AND(ISNUMBER(J285),J285&lt;=EDATE('Scoring Settings'!$B$4,-'Scoring Settings'!$B$5))),"Not in use",IF(AND(ISNUMBER(I285),I285&lt;'Scoring Settings'!$B$6),"Low use","Active"))))</f>
        <v>Active</v>
      </c>
      <c r="L285" s="5">
        <v>3</v>
      </c>
      <c r="M285" s="5">
        <v>3</v>
      </c>
      <c r="N285" s="5" t="s">
        <v>543</v>
      </c>
      <c r="O285" s="5" t="s">
        <v>73</v>
      </c>
      <c r="P285" s="5" t="s">
        <v>1684</v>
      </c>
      <c r="Q285" s="9">
        <v>1</v>
      </c>
      <c r="R285" s="5" t="s">
        <v>93</v>
      </c>
      <c r="S285" s="5" t="s">
        <v>94</v>
      </c>
      <c r="T285" s="5" t="s">
        <v>122</v>
      </c>
      <c r="U285" s="7">
        <v>44561</v>
      </c>
      <c r="V285" s="5" t="s">
        <v>135</v>
      </c>
      <c r="W285" s="6">
        <v>31</v>
      </c>
      <c r="X285" s="5" t="s">
        <v>80</v>
      </c>
      <c r="Y285" s="9">
        <v>7</v>
      </c>
      <c r="Z285" s="5" t="s">
        <v>79</v>
      </c>
      <c r="AA285" s="5" t="s">
        <v>110</v>
      </c>
      <c r="AB285" s="9">
        <v>4</v>
      </c>
      <c r="AC285" s="5" t="s">
        <v>82</v>
      </c>
      <c r="AD285" s="5" t="s">
        <v>82</v>
      </c>
      <c r="AE285" s="5" t="s">
        <v>82</v>
      </c>
      <c r="AF285" s="10">
        <v>21000</v>
      </c>
      <c r="AG285" s="7">
        <v>49187</v>
      </c>
      <c r="AH285" s="10">
        <v>18500</v>
      </c>
      <c r="AI285" s="10">
        <v>14500</v>
      </c>
      <c r="AJ285" s="11">
        <f t="shared" si="4"/>
        <v>15.310344827586208</v>
      </c>
      <c r="AK285" s="12">
        <f>IF(B285="","",OR(K285="Not in use",K285="Low use")+AND(N285&lt;&gt;"",N285&lt;&gt;"TBD")+AND(ISNUMBER(U285),U285&lt;=EDATE('Scoring Settings'!$B$4,'Scoring Settings'!$B$8))+AND(ISNUMBER(L285),L285&lt;='Scoring Settings'!$B$7))</f>
        <v>2</v>
      </c>
      <c r="AL285" s="5" t="s">
        <v>2217</v>
      </c>
      <c r="AM285" s="8" t="str">
        <f>IF(B285="","",IF(Z285="N","Easy",IF(OR(AND(ISNUMBER(AB285),AB285&gt;'Scoring Settings'!$B$11),AND(ISNUMBER(W285),W285&gt;'Scoring Settings'!$B$12),AND(ISNUMBER(M285),M285&lt;='Scoring Settings'!$B$13)),"High","Medium")))</f>
        <v>Easy</v>
      </c>
      <c r="AN285" s="5" t="s">
        <v>97</v>
      </c>
      <c r="AO285" s="7">
        <v>44620</v>
      </c>
      <c r="AP285" s="5" t="s">
        <v>98</v>
      </c>
      <c r="AQ285" s="29" t="s">
        <v>991</v>
      </c>
    </row>
    <row r="286" spans="1:43" hidden="1">
      <c r="A286" s="28">
        <v>60397</v>
      </c>
      <c r="B286" s="5" t="s">
        <v>1686</v>
      </c>
      <c r="C286" s="5" t="s">
        <v>470</v>
      </c>
      <c r="D286" s="5" t="s">
        <v>297</v>
      </c>
      <c r="E286" s="5" t="s">
        <v>68</v>
      </c>
      <c r="F286" s="5" t="s">
        <v>346</v>
      </c>
      <c r="G286" s="5" t="s">
        <v>210</v>
      </c>
      <c r="H286" s="5" t="s">
        <v>142</v>
      </c>
      <c r="I286" s="6">
        <v>2128</v>
      </c>
      <c r="J286" s="7">
        <v>44270</v>
      </c>
      <c r="K286" s="8" t="str">
        <f>IF(B286="","",IF(AND(I286="",J286=""),"Unknown",IF(OR(AND(ISNUMBER(I286),I286=0),AND(ISNUMBER(J286),J286&lt;=EDATE('Scoring Settings'!$B$4,-'Scoring Settings'!$B$5))),"Not in use",IF(AND(ISNUMBER(I286),I286&lt;'Scoring Settings'!$B$6),"Low use","Active"))))</f>
        <v>Active</v>
      </c>
      <c r="L286" s="5">
        <v>1</v>
      </c>
      <c r="M286" s="5">
        <v>4</v>
      </c>
      <c r="N286" s="5"/>
      <c r="O286" s="5" t="s">
        <v>143</v>
      </c>
      <c r="P286" s="5" t="s">
        <v>144</v>
      </c>
      <c r="Q286" s="9">
        <v>0</v>
      </c>
      <c r="R286" s="5" t="s">
        <v>145</v>
      </c>
      <c r="S286" s="5" t="s">
        <v>145</v>
      </c>
      <c r="T286" s="5" t="s">
        <v>146</v>
      </c>
      <c r="U286" s="7"/>
      <c r="V286" s="5" t="s">
        <v>135</v>
      </c>
      <c r="W286" s="6">
        <v>140</v>
      </c>
      <c r="X286" s="5" t="s">
        <v>80</v>
      </c>
      <c r="Y286" s="9">
        <v>10</v>
      </c>
      <c r="Z286" s="5" t="s">
        <v>80</v>
      </c>
      <c r="AA286" s="5" t="s">
        <v>185</v>
      </c>
      <c r="AB286" s="9">
        <v>2</v>
      </c>
      <c r="AC286" s="5" t="s">
        <v>82</v>
      </c>
      <c r="AD286" s="5" t="s">
        <v>82</v>
      </c>
      <c r="AE286" s="5" t="s">
        <v>79</v>
      </c>
      <c r="AF286" s="10">
        <v>55000</v>
      </c>
      <c r="AG286" s="7">
        <v>49003</v>
      </c>
      <c r="AH286" s="10">
        <v>64000</v>
      </c>
      <c r="AI286" s="10">
        <v>23000</v>
      </c>
      <c r="AJ286" s="11">
        <f t="shared" si="4"/>
        <v>33.391304347826086</v>
      </c>
      <c r="AK286" s="12">
        <f>IF(B286="","",OR(K286="Not in use",K286="Low use")+AND(N286&lt;&gt;"",N286&lt;&gt;"TBD")+AND(ISNUMBER(U286),U286&lt;=EDATE('Scoring Settings'!$B$4,'Scoring Settings'!$B$8))+AND(ISNUMBER(L286),L286&lt;='Scoring Settings'!$B$7))</f>
        <v>1</v>
      </c>
      <c r="AL286" s="5" t="s">
        <v>96</v>
      </c>
      <c r="AM286" s="8" t="str">
        <f>IF(B286="","",IF(Z286="N","Easy",IF(OR(AND(ISNUMBER(AB286),AB286&gt;'Scoring Settings'!$B$11),AND(ISNUMBER(W286),W286&gt;'Scoring Settings'!$B$12),AND(ISNUMBER(M286),M286&lt;='Scoring Settings'!$B$13)),"High","Medium")))</f>
        <v>Medium</v>
      </c>
      <c r="AN286" s="5" t="s">
        <v>97</v>
      </c>
      <c r="AO286" s="7">
        <v>44773</v>
      </c>
      <c r="AP286" s="5" t="s">
        <v>197</v>
      </c>
      <c r="AQ286" s="29" t="s">
        <v>669</v>
      </c>
    </row>
    <row r="287" spans="1:43" hidden="1">
      <c r="A287" s="28">
        <v>66062</v>
      </c>
      <c r="B287" s="5" t="s">
        <v>1697</v>
      </c>
      <c r="C287" s="5" t="s">
        <v>371</v>
      </c>
      <c r="D287" s="5" t="s">
        <v>162</v>
      </c>
      <c r="E287" s="5" t="s">
        <v>298</v>
      </c>
      <c r="F287" s="5" t="s">
        <v>89</v>
      </c>
      <c r="G287" s="5" t="s">
        <v>210</v>
      </c>
      <c r="H287" s="5" t="s">
        <v>129</v>
      </c>
      <c r="I287" s="6">
        <v>5</v>
      </c>
      <c r="J287" s="7">
        <v>44288</v>
      </c>
      <c r="K287" s="8" t="str">
        <f>IF(B287="","",IF(AND(I287="",J287=""),"Unknown",IF(OR(AND(ISNUMBER(I287),I287=0),AND(ISNUMBER(J287),J287&lt;=EDATE('Scoring Settings'!$B$4,-'Scoring Settings'!$B$5))),"Not in use",IF(AND(ISNUMBER(I287),I287&lt;'Scoring Settings'!$B$6),"Low use","Active"))))</f>
        <v>Low use</v>
      </c>
      <c r="L287" s="5">
        <v>2</v>
      </c>
      <c r="M287" s="5">
        <v>3</v>
      </c>
      <c r="N287" s="5" t="s">
        <v>416</v>
      </c>
      <c r="O287" s="5" t="s">
        <v>73</v>
      </c>
      <c r="P287" s="5" t="s">
        <v>1698</v>
      </c>
      <c r="Q287" s="9">
        <v>2</v>
      </c>
      <c r="R287" s="5" t="s">
        <v>182</v>
      </c>
      <c r="S287" s="5" t="s">
        <v>183</v>
      </c>
      <c r="T287" s="5" t="s">
        <v>72</v>
      </c>
      <c r="U287" s="7">
        <v>42855</v>
      </c>
      <c r="V287" s="5" t="s">
        <v>78</v>
      </c>
      <c r="W287" s="6">
        <v>25</v>
      </c>
      <c r="X287" s="5" t="s">
        <v>79</v>
      </c>
      <c r="Y287" s="9">
        <v>7</v>
      </c>
      <c r="Z287" s="5" t="s">
        <v>79</v>
      </c>
      <c r="AA287" s="5" t="s">
        <v>110</v>
      </c>
      <c r="AB287" s="9">
        <v>6</v>
      </c>
      <c r="AC287" s="5" t="s">
        <v>82</v>
      </c>
      <c r="AD287" s="5" t="s">
        <v>79</v>
      </c>
      <c r="AE287" s="5" t="s">
        <v>80</v>
      </c>
      <c r="AF287" s="10">
        <v>18000</v>
      </c>
      <c r="AG287" s="7">
        <v>45900</v>
      </c>
      <c r="AH287" s="10">
        <v>9000</v>
      </c>
      <c r="AI287" s="10">
        <v>12000</v>
      </c>
      <c r="AJ287" s="11">
        <f t="shared" si="4"/>
        <v>9</v>
      </c>
      <c r="AK287" s="12">
        <f>IF(B287="","",OR(K287="Not in use",K287="Low use")+AND(N287&lt;&gt;"",N287&lt;&gt;"TBD")+AND(ISNUMBER(U287),U287&lt;=EDATE('Scoring Settings'!$B$4,'Scoring Settings'!$B$8))+AND(ISNUMBER(L287),L287&lt;='Scoring Settings'!$B$7))</f>
        <v>4</v>
      </c>
      <c r="AL287" s="5" t="s">
        <v>2217</v>
      </c>
      <c r="AM287" s="8" t="str">
        <f>IF(B287="","",IF(Z287="N","Easy",IF(OR(AND(ISNUMBER(AB287),AB287&gt;'Scoring Settings'!$B$11),AND(ISNUMBER(W287),W287&gt;'Scoring Settings'!$B$12),AND(ISNUMBER(M287),M287&lt;='Scoring Settings'!$B$13)),"High","Medium")))</f>
        <v>Easy</v>
      </c>
      <c r="AN287" s="5" t="s">
        <v>97</v>
      </c>
      <c r="AO287" s="7">
        <v>44834</v>
      </c>
      <c r="AP287" s="5" t="s">
        <v>197</v>
      </c>
      <c r="AQ287" s="29" t="s">
        <v>1699</v>
      </c>
    </row>
    <row r="288" spans="1:43" ht="42.75" hidden="1">
      <c r="A288" s="28">
        <v>89339</v>
      </c>
      <c r="B288" s="5" t="s">
        <v>1708</v>
      </c>
      <c r="C288" s="5" t="s">
        <v>13</v>
      </c>
      <c r="D288" s="5" t="s">
        <v>162</v>
      </c>
      <c r="E288" s="5" t="s">
        <v>68</v>
      </c>
      <c r="F288" s="5" t="s">
        <v>249</v>
      </c>
      <c r="G288" s="5" t="s">
        <v>153</v>
      </c>
      <c r="H288" s="5" t="s">
        <v>129</v>
      </c>
      <c r="I288" s="6">
        <v>2</v>
      </c>
      <c r="J288" s="7">
        <v>43789</v>
      </c>
      <c r="K288" s="8" t="str">
        <f>IF(B288="","",IF(AND(I288="",J288=""),"Unknown",IF(OR(AND(ISNUMBER(I288),I288=0),AND(ISNUMBER(J288),J288&lt;=EDATE('Scoring Settings'!$B$4,-'Scoring Settings'!$B$5))),"Not in use",IF(AND(ISNUMBER(I288),I288&lt;'Scoring Settings'!$B$6),"Low use","Active"))))</f>
        <v>Not in use</v>
      </c>
      <c r="L288" s="5">
        <v>1</v>
      </c>
      <c r="M288" s="5">
        <v>4</v>
      </c>
      <c r="N288" s="5"/>
      <c r="O288" s="5" t="s">
        <v>73</v>
      </c>
      <c r="P288" s="5" t="s">
        <v>1706</v>
      </c>
      <c r="Q288" s="9">
        <v>4</v>
      </c>
      <c r="R288" s="5" t="s">
        <v>203</v>
      </c>
      <c r="S288" s="5" t="s">
        <v>508</v>
      </c>
      <c r="T288" s="5" t="s">
        <v>122</v>
      </c>
      <c r="U288" s="7" t="s">
        <v>72</v>
      </c>
      <c r="V288" s="5" t="s">
        <v>95</v>
      </c>
      <c r="W288" s="6">
        <v>24</v>
      </c>
      <c r="X288" s="5" t="s">
        <v>80</v>
      </c>
      <c r="Y288" s="9">
        <v>10</v>
      </c>
      <c r="Z288" s="5" t="s">
        <v>80</v>
      </c>
      <c r="AA288" s="5" t="s">
        <v>81</v>
      </c>
      <c r="AB288" s="9">
        <v>1</v>
      </c>
      <c r="AC288" s="5" t="s">
        <v>80</v>
      </c>
      <c r="AD288" s="5" t="s">
        <v>82</v>
      </c>
      <c r="AE288" s="5" t="s">
        <v>82</v>
      </c>
      <c r="AF288" s="10">
        <v>70000</v>
      </c>
      <c r="AG288" s="7">
        <v>47026</v>
      </c>
      <c r="AH288" s="10">
        <v>42000</v>
      </c>
      <c r="AI288" s="10">
        <v>40500</v>
      </c>
      <c r="AJ288" s="11">
        <f t="shared" si="4"/>
        <v>12.444444444444443</v>
      </c>
      <c r="AK288" s="12">
        <f>IF(B288="","",OR(K288="Not in use",K288="Low use")+AND(N288&lt;&gt;"",N288&lt;&gt;"TBD")+AND(ISNUMBER(U288),U288&lt;=EDATE('Scoring Settings'!$B$4,'Scoring Settings'!$B$8))+AND(ISNUMBER(L288),L288&lt;='Scoring Settings'!$B$7))</f>
        <v>2</v>
      </c>
      <c r="AL288" s="5" t="s">
        <v>96</v>
      </c>
      <c r="AM288" s="8" t="str">
        <f>IF(B288="","",IF(Z288="N","Easy",IF(OR(AND(ISNUMBER(AB288),AB288&gt;'Scoring Settings'!$B$11),AND(ISNUMBER(W288),W288&gt;'Scoring Settings'!$B$12),AND(ISNUMBER(M288),M288&lt;='Scoring Settings'!$B$13)),"High","Medium")))</f>
        <v>Medium</v>
      </c>
      <c r="AN288" s="5" t="s">
        <v>97</v>
      </c>
      <c r="AO288" s="7">
        <v>44804</v>
      </c>
      <c r="AP288" s="5" t="s">
        <v>197</v>
      </c>
      <c r="AQ288" s="29" t="s">
        <v>1709</v>
      </c>
    </row>
    <row r="289" spans="1:43" hidden="1">
      <c r="A289" s="28">
        <v>82038</v>
      </c>
      <c r="B289" s="5" t="s">
        <v>1716</v>
      </c>
      <c r="C289" s="5" t="s">
        <v>161</v>
      </c>
      <c r="D289" s="5" t="s">
        <v>162</v>
      </c>
      <c r="E289" s="5" t="s">
        <v>68</v>
      </c>
      <c r="F289" s="5" t="s">
        <v>266</v>
      </c>
      <c r="G289" s="5" t="s">
        <v>128</v>
      </c>
      <c r="H289" s="5" t="s">
        <v>174</v>
      </c>
      <c r="I289" s="6">
        <v>0</v>
      </c>
      <c r="J289" s="7">
        <v>44282</v>
      </c>
      <c r="K289" s="8" t="str">
        <f>IF(B289="","",IF(AND(I289="",J289=""),"Unknown",IF(OR(AND(ISNUMBER(I289),I289=0),AND(ISNUMBER(J289),J289&lt;=EDATE('Scoring Settings'!$B$4,-'Scoring Settings'!$B$5))),"Not in use",IF(AND(ISNUMBER(I289),I289&lt;'Scoring Settings'!$B$6),"Low use","Active"))))</f>
        <v>Not in use</v>
      </c>
      <c r="L289" s="5">
        <v>1</v>
      </c>
      <c r="M289" s="5">
        <v>3</v>
      </c>
      <c r="N289" s="5"/>
      <c r="O289" s="5" t="s">
        <v>73</v>
      </c>
      <c r="P289" s="5" t="s">
        <v>1717</v>
      </c>
      <c r="Q289" s="9">
        <v>1</v>
      </c>
      <c r="R289" s="5" t="s">
        <v>132</v>
      </c>
      <c r="S289" s="5" t="s">
        <v>133</v>
      </c>
      <c r="T289" s="5" t="s">
        <v>109</v>
      </c>
      <c r="U289" s="7">
        <v>44227</v>
      </c>
      <c r="V289" s="5" t="s">
        <v>78</v>
      </c>
      <c r="W289" s="6">
        <v>520</v>
      </c>
      <c r="X289" s="5" t="s">
        <v>79</v>
      </c>
      <c r="Y289" s="9">
        <v>3</v>
      </c>
      <c r="Z289" s="5" t="s">
        <v>80</v>
      </c>
      <c r="AA289" s="5" t="s">
        <v>81</v>
      </c>
      <c r="AB289" s="9">
        <v>4</v>
      </c>
      <c r="AC289" s="5" t="s">
        <v>82</v>
      </c>
      <c r="AD289" s="5" t="s">
        <v>79</v>
      </c>
      <c r="AE289" s="5" t="s">
        <v>79</v>
      </c>
      <c r="AF289" s="10">
        <v>21500</v>
      </c>
      <c r="AG289" s="7">
        <v>47695</v>
      </c>
      <c r="AH289" s="10">
        <v>13000</v>
      </c>
      <c r="AI289" s="10">
        <v>16000</v>
      </c>
      <c r="AJ289" s="11">
        <f t="shared" si="4"/>
        <v>9.75</v>
      </c>
      <c r="AK289" s="12">
        <f>IF(B289="","",OR(K289="Not in use",K289="Low use")+AND(N289&lt;&gt;"",N289&lt;&gt;"TBD")+AND(ISNUMBER(U289),U289&lt;=EDATE('Scoring Settings'!$B$4,'Scoring Settings'!$B$8))+AND(ISNUMBER(L289),L289&lt;='Scoring Settings'!$B$7))</f>
        <v>3</v>
      </c>
      <c r="AL289" s="5" t="s">
        <v>96</v>
      </c>
      <c r="AM289" s="8" t="str">
        <f>IF(B289="","",IF(Z289="N","Easy",IF(OR(AND(ISNUMBER(AB289),AB289&gt;'Scoring Settings'!$B$11),AND(ISNUMBER(W289),W289&gt;'Scoring Settings'!$B$12),AND(ISNUMBER(M289),M289&lt;='Scoring Settings'!$B$13)),"High","Medium")))</f>
        <v>Medium</v>
      </c>
      <c r="AN289" s="5" t="s">
        <v>97</v>
      </c>
      <c r="AO289" s="7">
        <v>44742</v>
      </c>
      <c r="AP289" s="5" t="s">
        <v>197</v>
      </c>
      <c r="AQ289" s="29" t="s">
        <v>399</v>
      </c>
    </row>
    <row r="290" spans="1:43" hidden="1">
      <c r="A290" s="28">
        <v>73349</v>
      </c>
      <c r="B290" s="5" t="s">
        <v>1718</v>
      </c>
      <c r="C290" s="5" t="s">
        <v>325</v>
      </c>
      <c r="D290" s="5" t="s">
        <v>139</v>
      </c>
      <c r="E290" s="5" t="s">
        <v>311</v>
      </c>
      <c r="F290" s="5" t="s">
        <v>163</v>
      </c>
      <c r="G290" s="5" t="s">
        <v>104</v>
      </c>
      <c r="H290" s="5" t="s">
        <v>189</v>
      </c>
      <c r="I290" s="6">
        <v>202</v>
      </c>
      <c r="J290" s="7">
        <v>44309</v>
      </c>
      <c r="K290" s="8" t="str">
        <f>IF(B290="","",IF(AND(I290="",J290=""),"Unknown",IF(OR(AND(ISNUMBER(I290),I290=0),AND(ISNUMBER(J290),J290&lt;=EDATE('Scoring Settings'!$B$4,-'Scoring Settings'!$B$5))),"Not in use",IF(AND(ISNUMBER(I290),I290&lt;'Scoring Settings'!$B$6),"Low use","Active"))))</f>
        <v>Active</v>
      </c>
      <c r="L290" s="5">
        <v>2</v>
      </c>
      <c r="M290" s="5">
        <v>3</v>
      </c>
      <c r="N290" s="5"/>
      <c r="O290" s="5" t="s">
        <v>73</v>
      </c>
      <c r="P290" s="5" t="s">
        <v>1719</v>
      </c>
      <c r="Q290" s="9">
        <v>3</v>
      </c>
      <c r="R290" s="5" t="s">
        <v>239</v>
      </c>
      <c r="S290" s="5" t="s">
        <v>240</v>
      </c>
      <c r="T290" s="5" t="s">
        <v>72</v>
      </c>
      <c r="U290" s="7">
        <v>44316</v>
      </c>
      <c r="V290" s="5" t="s">
        <v>135</v>
      </c>
      <c r="W290" s="6">
        <v>1610</v>
      </c>
      <c r="X290" s="5" t="s">
        <v>80</v>
      </c>
      <c r="Y290" s="9">
        <v>10</v>
      </c>
      <c r="Z290" s="5" t="s">
        <v>80</v>
      </c>
      <c r="AA290" s="5" t="s">
        <v>205</v>
      </c>
      <c r="AB290" s="9">
        <v>4</v>
      </c>
      <c r="AC290" s="5" t="s">
        <v>79</v>
      </c>
      <c r="AD290" s="5" t="s">
        <v>80</v>
      </c>
      <c r="AE290" s="5" t="s">
        <v>82</v>
      </c>
      <c r="AF290" s="10">
        <v>26500</v>
      </c>
      <c r="AG290" s="7">
        <v>47087</v>
      </c>
      <c r="AH290" s="10">
        <v>31500</v>
      </c>
      <c r="AI290" s="10">
        <v>13500</v>
      </c>
      <c r="AJ290" s="11">
        <f t="shared" si="4"/>
        <v>28</v>
      </c>
      <c r="AK290" s="12">
        <f>IF(B290="","",OR(K290="Not in use",K290="Low use")+AND(N290&lt;&gt;"",N290&lt;&gt;"TBD")+AND(ISNUMBER(U290),U290&lt;=EDATE('Scoring Settings'!$B$4,'Scoring Settings'!$B$8))+AND(ISNUMBER(L290),L290&lt;='Scoring Settings'!$B$7))</f>
        <v>2</v>
      </c>
      <c r="AL290" s="5" t="s">
        <v>96</v>
      </c>
      <c r="AM290" s="8" t="str">
        <f>IF(B290="","",IF(Z290="N","Easy",IF(OR(AND(ISNUMBER(AB290),AB290&gt;'Scoring Settings'!$B$11),AND(ISNUMBER(W290),W290&gt;'Scoring Settings'!$B$12),AND(ISNUMBER(M290),M290&lt;='Scoring Settings'!$B$13)),"High","Medium")))</f>
        <v>High</v>
      </c>
      <c r="AN290" s="5" t="s">
        <v>97</v>
      </c>
      <c r="AO290" s="7">
        <v>44804</v>
      </c>
      <c r="AP290" s="5" t="s">
        <v>98</v>
      </c>
      <c r="AQ290" s="29" t="s">
        <v>213</v>
      </c>
    </row>
    <row r="291" spans="1:43" ht="57" hidden="1">
      <c r="A291" s="28">
        <v>13236</v>
      </c>
      <c r="B291" s="5" t="s">
        <v>1731</v>
      </c>
      <c r="C291" s="5" t="s">
        <v>101</v>
      </c>
      <c r="D291" s="5" t="s">
        <v>102</v>
      </c>
      <c r="E291" s="5" t="s">
        <v>298</v>
      </c>
      <c r="F291" s="5" t="s">
        <v>263</v>
      </c>
      <c r="G291" s="5" t="s">
        <v>210</v>
      </c>
      <c r="H291" s="5" t="s">
        <v>142</v>
      </c>
      <c r="I291" s="6">
        <v>20</v>
      </c>
      <c r="J291" s="7">
        <v>44259</v>
      </c>
      <c r="K291" s="8" t="str">
        <f>IF(B291="","",IF(AND(I291="",J291=""),"Unknown",IF(OR(AND(ISNUMBER(I291),I291=0),AND(ISNUMBER(J291),J291&lt;=EDATE('Scoring Settings'!$B$4,-'Scoring Settings'!$B$5))),"Not in use",IF(AND(ISNUMBER(I291),I291&lt;'Scoring Settings'!$B$6),"Low use","Active"))))</f>
        <v>Low use</v>
      </c>
      <c r="L291" s="5">
        <v>3</v>
      </c>
      <c r="M291" s="5">
        <v>4</v>
      </c>
      <c r="N291" s="5" t="s">
        <v>953</v>
      </c>
      <c r="O291" s="5" t="s">
        <v>143</v>
      </c>
      <c r="P291" s="5" t="s">
        <v>144</v>
      </c>
      <c r="Q291" s="9">
        <v>0</v>
      </c>
      <c r="R291" s="5" t="s">
        <v>145</v>
      </c>
      <c r="S291" s="5" t="s">
        <v>145</v>
      </c>
      <c r="T291" s="5" t="s">
        <v>146</v>
      </c>
      <c r="U291" s="7">
        <v>44926</v>
      </c>
      <c r="V291" s="5" t="s">
        <v>135</v>
      </c>
      <c r="W291" s="6">
        <v>140</v>
      </c>
      <c r="X291" s="5" t="s">
        <v>80</v>
      </c>
      <c r="Y291" s="9">
        <v>7</v>
      </c>
      <c r="Z291" s="5" t="s">
        <v>80</v>
      </c>
      <c r="AA291" s="5" t="s">
        <v>81</v>
      </c>
      <c r="AB291" s="9">
        <v>1</v>
      </c>
      <c r="AC291" s="5" t="s">
        <v>79</v>
      </c>
      <c r="AD291" s="5" t="s">
        <v>79</v>
      </c>
      <c r="AE291" s="5" t="s">
        <v>82</v>
      </c>
      <c r="AF291" s="10">
        <v>80000</v>
      </c>
      <c r="AG291" s="7">
        <v>46418</v>
      </c>
      <c r="AH291" s="10">
        <v>50000</v>
      </c>
      <c r="AI291" s="10">
        <v>42500</v>
      </c>
      <c r="AJ291" s="11">
        <f t="shared" si="4"/>
        <v>14.117647058823529</v>
      </c>
      <c r="AK291" s="12">
        <f>IF(B291="","",OR(K291="Not in use",K291="Low use")+AND(N291&lt;&gt;"",N291&lt;&gt;"TBD")+AND(ISNUMBER(U291),U291&lt;=EDATE('Scoring Settings'!$B$4,'Scoring Settings'!$B$8))+AND(ISNUMBER(L291),L291&lt;='Scoring Settings'!$B$7))</f>
        <v>2</v>
      </c>
      <c r="AL291" s="5" t="s">
        <v>96</v>
      </c>
      <c r="AM291" s="8" t="str">
        <f>IF(B291="","",IF(Z291="N","Easy",IF(OR(AND(ISNUMBER(AB291),AB291&gt;'Scoring Settings'!$B$11),AND(ISNUMBER(W291),W291&gt;'Scoring Settings'!$B$12),AND(ISNUMBER(M291),M291&lt;='Scoring Settings'!$B$13)),"High","Medium")))</f>
        <v>Medium</v>
      </c>
      <c r="AN291" s="5" t="s">
        <v>97</v>
      </c>
      <c r="AO291" s="7">
        <v>44834</v>
      </c>
      <c r="AP291" s="5" t="s">
        <v>197</v>
      </c>
      <c r="AQ291" s="29" t="s">
        <v>1732</v>
      </c>
    </row>
    <row r="292" spans="1:43" hidden="1">
      <c r="A292" s="28">
        <v>47277</v>
      </c>
      <c r="B292" s="5" t="s">
        <v>1733</v>
      </c>
      <c r="C292" s="5" t="s">
        <v>151</v>
      </c>
      <c r="D292" s="5" t="s">
        <v>102</v>
      </c>
      <c r="E292" s="5" t="s">
        <v>68</v>
      </c>
      <c r="F292" s="5" t="s">
        <v>476</v>
      </c>
      <c r="G292" s="5" t="s">
        <v>267</v>
      </c>
      <c r="H292" s="5" t="s">
        <v>189</v>
      </c>
      <c r="I292" s="6">
        <v>138</v>
      </c>
      <c r="J292" s="7">
        <v>44292</v>
      </c>
      <c r="K292" s="8" t="str">
        <f>IF(B292="","",IF(AND(I292="",J292=""),"Unknown",IF(OR(AND(ISNUMBER(I292),I292=0),AND(ISNUMBER(J292),J292&lt;=EDATE('Scoring Settings'!$B$4,-'Scoring Settings'!$B$5))),"Not in use",IF(AND(ISNUMBER(I292),I292&lt;'Scoring Settings'!$B$6),"Low use","Active"))))</f>
        <v>Active</v>
      </c>
      <c r="L292" s="5">
        <v>2</v>
      </c>
      <c r="M292" s="5">
        <v>3</v>
      </c>
      <c r="N292" s="5" t="s">
        <v>72</v>
      </c>
      <c r="O292" s="5" t="s">
        <v>73</v>
      </c>
      <c r="P292" s="5" t="s">
        <v>1734</v>
      </c>
      <c r="Q292" s="9">
        <v>3</v>
      </c>
      <c r="R292" s="5" t="s">
        <v>330</v>
      </c>
      <c r="S292" s="5" t="s">
        <v>331</v>
      </c>
      <c r="T292" s="5" t="s">
        <v>72</v>
      </c>
      <c r="U292" s="7">
        <v>45046</v>
      </c>
      <c r="V292" s="5" t="s">
        <v>95</v>
      </c>
      <c r="W292" s="6">
        <v>87</v>
      </c>
      <c r="X292" s="5" t="s">
        <v>79</v>
      </c>
      <c r="Y292" s="9">
        <v>5</v>
      </c>
      <c r="Z292" s="5" t="s">
        <v>80</v>
      </c>
      <c r="AA292" s="5" t="s">
        <v>205</v>
      </c>
      <c r="AB292" s="9">
        <v>1</v>
      </c>
      <c r="AC292" s="5" t="s">
        <v>82</v>
      </c>
      <c r="AD292" s="5" t="s">
        <v>79</v>
      </c>
      <c r="AE292" s="5" t="s">
        <v>79</v>
      </c>
      <c r="AF292" s="10">
        <v>55000</v>
      </c>
      <c r="AG292" s="7">
        <v>48760</v>
      </c>
      <c r="AH292" s="10">
        <v>75000</v>
      </c>
      <c r="AI292" s="10">
        <v>44000</v>
      </c>
      <c r="AJ292" s="11">
        <f t="shared" si="4"/>
        <v>20.454545454545453</v>
      </c>
      <c r="AK292" s="12">
        <f>IF(B292="","",OR(K292="Not in use",K292="Low use")+AND(N292&lt;&gt;"",N292&lt;&gt;"TBD")+AND(ISNUMBER(U292),U292&lt;=EDATE('Scoring Settings'!$B$4,'Scoring Settings'!$B$8))+AND(ISNUMBER(L292),L292&lt;='Scoring Settings'!$B$7))</f>
        <v>1</v>
      </c>
      <c r="AL292" s="5" t="s">
        <v>96</v>
      </c>
      <c r="AM292" s="8" t="str">
        <f>IF(B292="","",IF(Z292="N","Easy",IF(OR(AND(ISNUMBER(AB292),AB292&gt;'Scoring Settings'!$B$11),AND(ISNUMBER(W292),W292&gt;'Scoring Settings'!$B$12),AND(ISNUMBER(M292),M292&lt;='Scoring Settings'!$B$13)),"High","Medium")))</f>
        <v>Medium</v>
      </c>
      <c r="AN292" s="5" t="s">
        <v>97</v>
      </c>
      <c r="AO292" s="7">
        <v>44926</v>
      </c>
      <c r="AP292" s="5" t="s">
        <v>197</v>
      </c>
      <c r="AQ292" s="29" t="s">
        <v>844</v>
      </c>
    </row>
    <row r="293" spans="1:43" hidden="1">
      <c r="A293" s="28">
        <v>190369</v>
      </c>
      <c r="B293" s="5" t="s">
        <v>1735</v>
      </c>
      <c r="C293" s="5" t="s">
        <v>325</v>
      </c>
      <c r="D293" s="5" t="s">
        <v>139</v>
      </c>
      <c r="E293" s="5" t="s">
        <v>68</v>
      </c>
      <c r="F293" s="5" t="s">
        <v>152</v>
      </c>
      <c r="G293" s="5" t="s">
        <v>356</v>
      </c>
      <c r="H293" s="5" t="s">
        <v>142</v>
      </c>
      <c r="I293" s="6">
        <v>7</v>
      </c>
      <c r="J293" s="7">
        <v>44253</v>
      </c>
      <c r="K293" s="8" t="str">
        <f>IF(B293="","",IF(AND(I293="",J293=""),"Unknown",IF(OR(AND(ISNUMBER(I293),I293=0),AND(ISNUMBER(J293),J293&lt;=EDATE('Scoring Settings'!$B$4,-'Scoring Settings'!$B$5))),"Not in use",IF(AND(ISNUMBER(I293),I293&lt;'Scoring Settings'!$B$6),"Low use","Active"))))</f>
        <v>Low use</v>
      </c>
      <c r="L293" s="5">
        <v>5</v>
      </c>
      <c r="M293" s="5">
        <v>1</v>
      </c>
      <c r="N293" s="5" t="s">
        <v>1736</v>
      </c>
      <c r="O293" s="5" t="s">
        <v>143</v>
      </c>
      <c r="P293" s="5" t="s">
        <v>144</v>
      </c>
      <c r="Q293" s="9">
        <v>0</v>
      </c>
      <c r="R293" s="5" t="s">
        <v>145</v>
      </c>
      <c r="S293" s="5" t="s">
        <v>145</v>
      </c>
      <c r="T293" s="5" t="s">
        <v>146</v>
      </c>
      <c r="U293" s="7">
        <v>44834</v>
      </c>
      <c r="V293" s="5" t="s">
        <v>78</v>
      </c>
      <c r="W293" s="6">
        <v>2100</v>
      </c>
      <c r="X293" s="5" t="s">
        <v>79</v>
      </c>
      <c r="Y293" s="9">
        <v>1</v>
      </c>
      <c r="Z293" s="5" t="s">
        <v>80</v>
      </c>
      <c r="AA293" s="5" t="s">
        <v>205</v>
      </c>
      <c r="AB293" s="9">
        <v>68</v>
      </c>
      <c r="AC293" s="5" t="s">
        <v>80</v>
      </c>
      <c r="AD293" s="5" t="s">
        <v>80</v>
      </c>
      <c r="AE293" s="5" t="s">
        <v>79</v>
      </c>
      <c r="AF293" s="10">
        <v>55000</v>
      </c>
      <c r="AG293" s="7">
        <v>49552</v>
      </c>
      <c r="AH293" s="10">
        <v>184500</v>
      </c>
      <c r="AI293" s="10">
        <v>31500</v>
      </c>
      <c r="AJ293" s="11">
        <f t="shared" si="4"/>
        <v>70.285714285714278</v>
      </c>
      <c r="AK293" s="12">
        <f>IF(B293="","",OR(K293="Not in use",K293="Low use")+AND(N293&lt;&gt;"",N293&lt;&gt;"TBD")+AND(ISNUMBER(U293),U293&lt;=EDATE('Scoring Settings'!$B$4,'Scoring Settings'!$B$8))+AND(ISNUMBER(L293),L293&lt;='Scoring Settings'!$B$7))</f>
        <v>2</v>
      </c>
      <c r="AL293" s="5" t="s">
        <v>2217</v>
      </c>
      <c r="AM293" s="8" t="str">
        <f>IF(B293="","",IF(Z293="N","Easy",IF(OR(AND(ISNUMBER(AB293),AB293&gt;'Scoring Settings'!$B$11),AND(ISNUMBER(W293),W293&gt;'Scoring Settings'!$B$12),AND(ISNUMBER(M293),M293&lt;='Scoring Settings'!$B$13)),"High","Medium")))</f>
        <v>High</v>
      </c>
      <c r="AN293" s="5" t="s">
        <v>97</v>
      </c>
      <c r="AO293" s="7">
        <v>44681</v>
      </c>
      <c r="AP293" s="5" t="s">
        <v>98</v>
      </c>
      <c r="AQ293" s="29" t="s">
        <v>213</v>
      </c>
    </row>
    <row r="294" spans="1:43" hidden="1">
      <c r="A294" s="28">
        <v>92106</v>
      </c>
      <c r="B294" s="5" t="s">
        <v>1746</v>
      </c>
      <c r="C294" s="5" t="s">
        <v>138</v>
      </c>
      <c r="D294" s="5" t="s">
        <v>139</v>
      </c>
      <c r="E294" s="5" t="s">
        <v>68</v>
      </c>
      <c r="F294" s="5" t="s">
        <v>249</v>
      </c>
      <c r="G294" s="5" t="s">
        <v>221</v>
      </c>
      <c r="H294" s="5" t="s">
        <v>91</v>
      </c>
      <c r="I294" s="6">
        <v>21</v>
      </c>
      <c r="J294" s="7">
        <v>44226</v>
      </c>
      <c r="K294" s="8" t="str">
        <f>IF(B294="","",IF(AND(I294="",J294=""),"Unknown",IF(OR(AND(ISNUMBER(I294),I294=0),AND(ISNUMBER(J294),J294&lt;=EDATE('Scoring Settings'!$B$4,-'Scoring Settings'!$B$5))),"Not in use",IF(AND(ISNUMBER(I294),I294&lt;'Scoring Settings'!$B$6),"Low use","Active"))))</f>
        <v>Low use</v>
      </c>
      <c r="L294" s="5">
        <v>5</v>
      </c>
      <c r="M294" s="5">
        <v>1</v>
      </c>
      <c r="N294" s="5" t="s">
        <v>216</v>
      </c>
      <c r="O294" s="5" t="s">
        <v>73</v>
      </c>
      <c r="P294" s="5" t="s">
        <v>1747</v>
      </c>
      <c r="Q294" s="9">
        <v>7</v>
      </c>
      <c r="R294" s="5" t="s">
        <v>75</v>
      </c>
      <c r="S294" s="5" t="s">
        <v>76</v>
      </c>
      <c r="T294" s="5" t="s">
        <v>122</v>
      </c>
      <c r="U294" s="7">
        <v>46399</v>
      </c>
      <c r="V294" s="5" t="s">
        <v>95</v>
      </c>
      <c r="W294" s="6">
        <v>200</v>
      </c>
      <c r="X294" s="5" t="s">
        <v>79</v>
      </c>
      <c r="Y294" s="9">
        <v>3</v>
      </c>
      <c r="Z294" s="5" t="s">
        <v>79</v>
      </c>
      <c r="AA294" s="5" t="s">
        <v>110</v>
      </c>
      <c r="AB294" s="9">
        <v>40</v>
      </c>
      <c r="AC294" s="5" t="s">
        <v>82</v>
      </c>
      <c r="AD294" s="5" t="s">
        <v>82</v>
      </c>
      <c r="AE294" s="5" t="s">
        <v>79</v>
      </c>
      <c r="AF294" s="10">
        <v>215000</v>
      </c>
      <c r="AG294" s="7">
        <v>46783</v>
      </c>
      <c r="AH294" s="10">
        <v>444500</v>
      </c>
      <c r="AI294" s="10">
        <v>172500</v>
      </c>
      <c r="AJ294" s="11">
        <f t="shared" si="4"/>
        <v>30.921739130434784</v>
      </c>
      <c r="AK294" s="12">
        <f>IF(B294="","",OR(K294="Not in use",K294="Low use")+AND(N294&lt;&gt;"",N294&lt;&gt;"TBD")+AND(ISNUMBER(U294),U294&lt;=EDATE('Scoring Settings'!$B$4,'Scoring Settings'!$B$8))+AND(ISNUMBER(L294),L294&lt;='Scoring Settings'!$B$7))</f>
        <v>2</v>
      </c>
      <c r="AL294" s="5" t="s">
        <v>2217</v>
      </c>
      <c r="AM294" s="8" t="str">
        <f>IF(B294="","",IF(Z294="N","Easy",IF(OR(AND(ISNUMBER(AB294),AB294&gt;'Scoring Settings'!$B$11),AND(ISNUMBER(W294),W294&gt;'Scoring Settings'!$B$12),AND(ISNUMBER(M294),M294&lt;='Scoring Settings'!$B$13)),"High","Medium")))</f>
        <v>Easy</v>
      </c>
      <c r="AN294" s="5" t="s">
        <v>97</v>
      </c>
      <c r="AO294" s="7">
        <v>44804</v>
      </c>
      <c r="AP294" s="5" t="s">
        <v>197</v>
      </c>
      <c r="AQ294" s="29" t="s">
        <v>1748</v>
      </c>
    </row>
    <row r="295" spans="1:43" hidden="1">
      <c r="A295" s="28">
        <v>146127</v>
      </c>
      <c r="B295" s="5" t="s">
        <v>1752</v>
      </c>
      <c r="C295" s="5" t="s">
        <v>453</v>
      </c>
      <c r="D295" s="5" t="s">
        <v>67</v>
      </c>
      <c r="E295" s="5" t="s">
        <v>68</v>
      </c>
      <c r="F295" s="5" t="s">
        <v>312</v>
      </c>
      <c r="G295" s="5" t="s">
        <v>117</v>
      </c>
      <c r="H295" s="5" t="s">
        <v>174</v>
      </c>
      <c r="I295" s="6">
        <v>1</v>
      </c>
      <c r="J295" s="7">
        <v>44113</v>
      </c>
      <c r="K295" s="8" t="str">
        <f>IF(B295="","",IF(AND(I295="",J295=""),"Unknown",IF(OR(AND(ISNUMBER(I295),I295=0),AND(ISNUMBER(J295),J295&lt;=EDATE('Scoring Settings'!$B$4,-'Scoring Settings'!$B$5))),"Not in use",IF(AND(ISNUMBER(I295),I295&lt;'Scoring Settings'!$B$6),"Low use","Active"))))</f>
        <v>Not in use</v>
      </c>
      <c r="L295" s="5">
        <v>2</v>
      </c>
      <c r="M295" s="5">
        <v>4</v>
      </c>
      <c r="N295" s="5"/>
      <c r="O295" s="5" t="s">
        <v>73</v>
      </c>
      <c r="P295" s="5" t="s">
        <v>917</v>
      </c>
      <c r="Q295" s="9">
        <v>2</v>
      </c>
      <c r="R295" s="5" t="s">
        <v>203</v>
      </c>
      <c r="S295" s="5" t="s">
        <v>508</v>
      </c>
      <c r="T295" s="5" t="s">
        <v>72</v>
      </c>
      <c r="U295" s="7">
        <v>47269</v>
      </c>
      <c r="V295" s="5" t="s">
        <v>95</v>
      </c>
      <c r="W295" s="6">
        <v>270</v>
      </c>
      <c r="X295" s="5" t="s">
        <v>79</v>
      </c>
      <c r="Y295" s="9">
        <v>7</v>
      </c>
      <c r="Z295" s="5" t="s">
        <v>80</v>
      </c>
      <c r="AA295" s="5" t="s">
        <v>185</v>
      </c>
      <c r="AB295" s="9">
        <v>3</v>
      </c>
      <c r="AC295" s="5" t="s">
        <v>82</v>
      </c>
      <c r="AD295" s="5" t="s">
        <v>79</v>
      </c>
      <c r="AE295" s="5" t="s">
        <v>79</v>
      </c>
      <c r="AF295" s="10">
        <v>29500</v>
      </c>
      <c r="AG295" s="7">
        <v>48791</v>
      </c>
      <c r="AH295" s="10">
        <v>24500</v>
      </c>
      <c r="AI295" s="10">
        <v>22000</v>
      </c>
      <c r="AJ295" s="11">
        <f t="shared" si="4"/>
        <v>13.363636363636363</v>
      </c>
      <c r="AK295" s="12">
        <f>IF(B295="","",OR(K295="Not in use",K295="Low use")+AND(N295&lt;&gt;"",N295&lt;&gt;"TBD")+AND(ISNUMBER(U295),U295&lt;=EDATE('Scoring Settings'!$B$4,'Scoring Settings'!$B$8))+AND(ISNUMBER(L295),L295&lt;='Scoring Settings'!$B$7))</f>
        <v>2</v>
      </c>
      <c r="AL295" s="5" t="s">
        <v>96</v>
      </c>
      <c r="AM295" s="8" t="str">
        <f>IF(B295="","",IF(Z295="N","Easy",IF(OR(AND(ISNUMBER(AB295),AB295&gt;'Scoring Settings'!$B$11),AND(ISNUMBER(W295),W295&gt;'Scoring Settings'!$B$12),AND(ISNUMBER(M295),M295&lt;='Scoring Settings'!$B$13)),"High","Medium")))</f>
        <v>Medium</v>
      </c>
      <c r="AN295" s="5" t="s">
        <v>97</v>
      </c>
      <c r="AO295" s="7">
        <v>44620</v>
      </c>
      <c r="AP295" s="5" t="s">
        <v>98</v>
      </c>
      <c r="AQ295" s="29" t="s">
        <v>213</v>
      </c>
    </row>
    <row r="296" spans="1:43" hidden="1">
      <c r="A296" s="28">
        <v>184823</v>
      </c>
      <c r="B296" s="5" t="s">
        <v>1757</v>
      </c>
      <c r="C296" s="5" t="s">
        <v>639</v>
      </c>
      <c r="D296" s="5" t="s">
        <v>88</v>
      </c>
      <c r="E296" s="5" t="s">
        <v>68</v>
      </c>
      <c r="F296" s="5" t="s">
        <v>163</v>
      </c>
      <c r="G296" s="5" t="s">
        <v>278</v>
      </c>
      <c r="H296" s="5" t="s">
        <v>189</v>
      </c>
      <c r="I296" s="6">
        <v>4</v>
      </c>
      <c r="J296" s="7">
        <v>44199</v>
      </c>
      <c r="K296" s="8" t="str">
        <f>IF(B296="","",IF(AND(I296="",J296=""),"Unknown",IF(OR(AND(ISNUMBER(I296),I296=0),AND(ISNUMBER(J296),J296&lt;=EDATE('Scoring Settings'!$B$4,-'Scoring Settings'!$B$5))),"Not in use",IF(AND(ISNUMBER(I296),I296&lt;'Scoring Settings'!$B$6),"Low use","Active"))))</f>
        <v>Low use</v>
      </c>
      <c r="L296" s="5">
        <v>2</v>
      </c>
      <c r="M296" s="5">
        <v>4</v>
      </c>
      <c r="N296" s="5"/>
      <c r="O296" s="5" t="s">
        <v>73</v>
      </c>
      <c r="P296" s="5" t="s">
        <v>1758</v>
      </c>
      <c r="Q296" s="9">
        <v>1</v>
      </c>
      <c r="R296" s="5" t="s">
        <v>335</v>
      </c>
      <c r="S296" s="5" t="s">
        <v>72</v>
      </c>
      <c r="T296" s="5" t="s">
        <v>109</v>
      </c>
      <c r="U296" s="7">
        <v>45473</v>
      </c>
      <c r="V296" s="5" t="s">
        <v>135</v>
      </c>
      <c r="W296" s="6">
        <v>3790</v>
      </c>
      <c r="X296" s="5" t="s">
        <v>79</v>
      </c>
      <c r="Y296" s="9">
        <v>5</v>
      </c>
      <c r="Z296" s="5" t="s">
        <v>80</v>
      </c>
      <c r="AA296" s="5" t="s">
        <v>81</v>
      </c>
      <c r="AB296" s="9">
        <v>0</v>
      </c>
      <c r="AC296" s="5" t="s">
        <v>82</v>
      </c>
      <c r="AD296" s="5" t="s">
        <v>79</v>
      </c>
      <c r="AE296" s="5" t="s">
        <v>80</v>
      </c>
      <c r="AF296" s="10">
        <v>33000</v>
      </c>
      <c r="AG296" s="7">
        <v>45961</v>
      </c>
      <c r="AH296" s="10">
        <v>61500</v>
      </c>
      <c r="AI296" s="10">
        <v>24000</v>
      </c>
      <c r="AJ296" s="11">
        <f t="shared" si="4"/>
        <v>30.75</v>
      </c>
      <c r="AK296" s="12">
        <f>IF(B296="","",OR(K296="Not in use",K296="Low use")+AND(N296&lt;&gt;"",N296&lt;&gt;"TBD")+AND(ISNUMBER(U296),U296&lt;=EDATE('Scoring Settings'!$B$4,'Scoring Settings'!$B$8))+AND(ISNUMBER(L296),L296&lt;='Scoring Settings'!$B$7))</f>
        <v>2</v>
      </c>
      <c r="AL296" s="5" t="s">
        <v>96</v>
      </c>
      <c r="AM296" s="8" t="str">
        <f>IF(B296="","",IF(Z296="N","Easy",IF(OR(AND(ISNUMBER(AB296),AB296&gt;'Scoring Settings'!$B$11),AND(ISNUMBER(W296),W296&gt;'Scoring Settings'!$B$12),AND(ISNUMBER(M296),M296&lt;='Scoring Settings'!$B$13)),"High","Medium")))</f>
        <v>High</v>
      </c>
      <c r="AN296" s="5" t="s">
        <v>97</v>
      </c>
      <c r="AO296" s="7">
        <v>44620</v>
      </c>
      <c r="AP296" s="5" t="s">
        <v>98</v>
      </c>
      <c r="AQ296" s="29" t="s">
        <v>136</v>
      </c>
    </row>
    <row r="297" spans="1:43" hidden="1">
      <c r="A297" s="28">
        <v>116196</v>
      </c>
      <c r="B297" s="5" t="s">
        <v>1762</v>
      </c>
      <c r="C297" s="5" t="s">
        <v>338</v>
      </c>
      <c r="D297" s="5" t="s">
        <v>139</v>
      </c>
      <c r="E297" s="5" t="s">
        <v>68</v>
      </c>
      <c r="F297" s="5" t="s">
        <v>152</v>
      </c>
      <c r="G297" s="5" t="s">
        <v>237</v>
      </c>
      <c r="H297" s="5" t="s">
        <v>142</v>
      </c>
      <c r="I297" s="6">
        <v>0</v>
      </c>
      <c r="J297" s="7">
        <v>43877</v>
      </c>
      <c r="K297" s="8" t="str">
        <f>IF(B297="","",IF(AND(I297="",J297=""),"Unknown",IF(OR(AND(ISNUMBER(I297),I297=0),AND(ISNUMBER(J297),J297&lt;=EDATE('Scoring Settings'!$B$4,-'Scoring Settings'!$B$5))),"Not in use",IF(AND(ISNUMBER(I297),I297&lt;'Scoring Settings'!$B$6),"Low use","Active"))))</f>
        <v>Not in use</v>
      </c>
      <c r="L297" s="5">
        <v>3</v>
      </c>
      <c r="M297" s="5">
        <v>3</v>
      </c>
      <c r="N297" s="5"/>
      <c r="O297" s="5" t="s">
        <v>143</v>
      </c>
      <c r="P297" s="5" t="s">
        <v>144</v>
      </c>
      <c r="Q297" s="9">
        <v>0</v>
      </c>
      <c r="R297" s="5" t="s">
        <v>145</v>
      </c>
      <c r="S297" s="5" t="s">
        <v>145</v>
      </c>
      <c r="T297" s="5" t="s">
        <v>146</v>
      </c>
      <c r="U297" s="7"/>
      <c r="V297" s="5" t="s">
        <v>95</v>
      </c>
      <c r="W297" s="6">
        <v>36</v>
      </c>
      <c r="X297" s="5" t="s">
        <v>79</v>
      </c>
      <c r="Y297" s="9">
        <v>5</v>
      </c>
      <c r="Z297" s="5" t="s">
        <v>79</v>
      </c>
      <c r="AA297" s="5" t="s">
        <v>110</v>
      </c>
      <c r="AB297" s="9">
        <v>5</v>
      </c>
      <c r="AC297" s="5" t="s">
        <v>79</v>
      </c>
      <c r="AD297" s="5" t="s">
        <v>79</v>
      </c>
      <c r="AE297" s="5" t="s">
        <v>79</v>
      </c>
      <c r="AF297" s="10">
        <v>65000</v>
      </c>
      <c r="AG297" s="7">
        <v>45838</v>
      </c>
      <c r="AH297" s="10">
        <v>56000</v>
      </c>
      <c r="AI297" s="10">
        <v>38000</v>
      </c>
      <c r="AJ297" s="11">
        <f t="shared" si="4"/>
        <v>17.684210526315788</v>
      </c>
      <c r="AK297" s="12">
        <f>IF(B297="","",OR(K297="Not in use",K297="Low use")+AND(N297&lt;&gt;"",N297&lt;&gt;"TBD")+AND(ISNUMBER(U297),U297&lt;=EDATE('Scoring Settings'!$B$4,'Scoring Settings'!$B$8))+AND(ISNUMBER(L297),L297&lt;='Scoring Settings'!$B$7))</f>
        <v>1</v>
      </c>
      <c r="AL297" s="5" t="s">
        <v>223</v>
      </c>
      <c r="AM297" s="8" t="str">
        <f>IF(B297="","",IF(Z297="N","Easy",IF(OR(AND(ISNUMBER(AB297),AB297&gt;'Scoring Settings'!$B$11),AND(ISNUMBER(W297),W297&gt;'Scoring Settings'!$B$12),AND(ISNUMBER(M297),M297&lt;='Scoring Settings'!$B$13)),"High","Medium")))</f>
        <v>Easy</v>
      </c>
      <c r="AN297" s="5" t="s">
        <v>97</v>
      </c>
      <c r="AO297" s="7">
        <v>44712</v>
      </c>
      <c r="AP297" s="5" t="s">
        <v>197</v>
      </c>
      <c r="AQ297" s="29" t="s">
        <v>499</v>
      </c>
    </row>
    <row r="298" spans="1:43" hidden="1">
      <c r="A298" s="28">
        <v>176671</v>
      </c>
      <c r="B298" s="5" t="s">
        <v>1770</v>
      </c>
      <c r="C298" s="5" t="s">
        <v>325</v>
      </c>
      <c r="D298" s="5" t="s">
        <v>139</v>
      </c>
      <c r="E298" s="5" t="s">
        <v>68</v>
      </c>
      <c r="F298" s="5" t="s">
        <v>140</v>
      </c>
      <c r="G298" s="5" t="s">
        <v>404</v>
      </c>
      <c r="H298" s="5" t="s">
        <v>71</v>
      </c>
      <c r="I298" s="6">
        <v>19</v>
      </c>
      <c r="J298" s="7">
        <v>44311</v>
      </c>
      <c r="K298" s="8" t="str">
        <f>IF(B298="","",IF(AND(I298="",J298=""),"Unknown",IF(OR(AND(ISNUMBER(I298),I298=0),AND(ISNUMBER(J298),J298&lt;=EDATE('Scoring Settings'!$B$4,-'Scoring Settings'!$B$5))),"Not in use",IF(AND(ISNUMBER(I298),I298&lt;'Scoring Settings'!$B$6),"Low use","Active"))))</f>
        <v>Low use</v>
      </c>
      <c r="L298" s="5">
        <v>1</v>
      </c>
      <c r="M298" s="5">
        <v>3</v>
      </c>
      <c r="N298" s="5"/>
      <c r="O298" s="5" t="s">
        <v>73</v>
      </c>
      <c r="P298" s="5" t="s">
        <v>1771</v>
      </c>
      <c r="Q298" s="9">
        <v>3</v>
      </c>
      <c r="R298" s="5" t="s">
        <v>166</v>
      </c>
      <c r="S298" s="5" t="s">
        <v>564</v>
      </c>
      <c r="T298" s="5" t="s">
        <v>77</v>
      </c>
      <c r="U298" s="7">
        <v>44754</v>
      </c>
      <c r="V298" s="5" t="s">
        <v>135</v>
      </c>
      <c r="W298" s="6">
        <v>660</v>
      </c>
      <c r="X298" s="5" t="s">
        <v>79</v>
      </c>
      <c r="Y298" s="9">
        <v>1</v>
      </c>
      <c r="Z298" s="5" t="s">
        <v>79</v>
      </c>
      <c r="AA298" s="5" t="s">
        <v>110</v>
      </c>
      <c r="AB298" s="9">
        <v>4</v>
      </c>
      <c r="AC298" s="5" t="s">
        <v>79</v>
      </c>
      <c r="AD298" s="5" t="s">
        <v>82</v>
      </c>
      <c r="AE298" s="5" t="s">
        <v>82</v>
      </c>
      <c r="AF298" s="10">
        <v>47000</v>
      </c>
      <c r="AG298" s="7">
        <v>46965</v>
      </c>
      <c r="AH298" s="10">
        <v>69000</v>
      </c>
      <c r="AI298" s="10">
        <v>45500</v>
      </c>
      <c r="AJ298" s="11">
        <f t="shared" si="4"/>
        <v>18.197802197802197</v>
      </c>
      <c r="AK298" s="12">
        <f>IF(B298="","",OR(K298="Not in use",K298="Low use")+AND(N298&lt;&gt;"",N298&lt;&gt;"TBD")+AND(ISNUMBER(U298),U298&lt;=EDATE('Scoring Settings'!$B$4,'Scoring Settings'!$B$8))+AND(ISNUMBER(L298),L298&lt;='Scoring Settings'!$B$7))</f>
        <v>2</v>
      </c>
      <c r="AL298" s="5" t="s">
        <v>223</v>
      </c>
      <c r="AM298" s="8" t="str">
        <f>IF(B298="","",IF(Z298="N","Easy",IF(OR(AND(ISNUMBER(AB298),AB298&gt;'Scoring Settings'!$B$11),AND(ISNUMBER(W298),W298&gt;'Scoring Settings'!$B$12),AND(ISNUMBER(M298),M298&lt;='Scoring Settings'!$B$13)),"High","Medium")))</f>
        <v>Easy</v>
      </c>
      <c r="AN298" s="5" t="s">
        <v>97</v>
      </c>
      <c r="AO298" s="7">
        <v>44620</v>
      </c>
      <c r="AP298" s="5" t="s">
        <v>98</v>
      </c>
      <c r="AQ298" s="29" t="s">
        <v>149</v>
      </c>
    </row>
    <row r="299" spans="1:43" hidden="1">
      <c r="A299" s="28">
        <v>85302</v>
      </c>
      <c r="B299" s="5" t="s">
        <v>1787</v>
      </c>
      <c r="C299" s="5" t="s">
        <v>470</v>
      </c>
      <c r="D299" s="5" t="s">
        <v>297</v>
      </c>
      <c r="E299" s="5" t="s">
        <v>298</v>
      </c>
      <c r="F299" s="5" t="s">
        <v>326</v>
      </c>
      <c r="G299" s="5" t="s">
        <v>104</v>
      </c>
      <c r="H299" s="5" t="s">
        <v>174</v>
      </c>
      <c r="I299" s="6">
        <v>71</v>
      </c>
      <c r="J299" s="7">
        <v>44277</v>
      </c>
      <c r="K299" s="8" t="str">
        <f>IF(B299="","",IF(AND(I299="",J299=""),"Unknown",IF(OR(AND(ISNUMBER(I299),I299=0),AND(ISNUMBER(J299),J299&lt;=EDATE('Scoring Settings'!$B$4,-'Scoring Settings'!$B$5))),"Not in use",IF(AND(ISNUMBER(I299),I299&lt;'Scoring Settings'!$B$6),"Low use","Active"))))</f>
        <v>Active</v>
      </c>
      <c r="L299" s="5">
        <v>3</v>
      </c>
      <c r="M299" s="5">
        <v>4</v>
      </c>
      <c r="N299" s="5" t="s">
        <v>575</v>
      </c>
      <c r="O299" s="5" t="s">
        <v>73</v>
      </c>
      <c r="P299" s="5" t="s">
        <v>1788</v>
      </c>
      <c r="Q299" s="9">
        <v>3</v>
      </c>
      <c r="R299" s="5" t="s">
        <v>72</v>
      </c>
      <c r="S299" s="5" t="s">
        <v>133</v>
      </c>
      <c r="T299" s="5" t="s">
        <v>122</v>
      </c>
      <c r="U299" s="7">
        <v>44227</v>
      </c>
      <c r="V299" s="5" t="s">
        <v>135</v>
      </c>
      <c r="W299" s="6">
        <v>250</v>
      </c>
      <c r="X299" s="5" t="s">
        <v>80</v>
      </c>
      <c r="Y299" s="9">
        <v>7</v>
      </c>
      <c r="Z299" s="5" t="s">
        <v>79</v>
      </c>
      <c r="AA299" s="5" t="s">
        <v>110</v>
      </c>
      <c r="AB299" s="9">
        <v>0</v>
      </c>
      <c r="AC299" s="5" t="s">
        <v>79</v>
      </c>
      <c r="AD299" s="5" t="s">
        <v>79</v>
      </c>
      <c r="AE299" s="5" t="s">
        <v>79</v>
      </c>
      <c r="AF299" s="10">
        <v>31000</v>
      </c>
      <c r="AG299" s="7">
        <v>46356</v>
      </c>
      <c r="AH299" s="10">
        <v>27500</v>
      </c>
      <c r="AI299" s="10">
        <v>18500</v>
      </c>
      <c r="AJ299" s="11">
        <f t="shared" si="4"/>
        <v>17.837837837837839</v>
      </c>
      <c r="AK299" s="12">
        <f>IF(B299="","",OR(K299="Not in use",K299="Low use")+AND(N299&lt;&gt;"",N299&lt;&gt;"TBD")+AND(ISNUMBER(U299),U299&lt;=EDATE('Scoring Settings'!$B$4,'Scoring Settings'!$B$8))+AND(ISNUMBER(L299),L299&lt;='Scoring Settings'!$B$7))</f>
        <v>2</v>
      </c>
      <c r="AL299" s="5" t="s">
        <v>2217</v>
      </c>
      <c r="AM299" s="8" t="str">
        <f>IF(B299="","",IF(Z299="N","Easy",IF(OR(AND(ISNUMBER(AB299),AB299&gt;'Scoring Settings'!$B$11),AND(ISNUMBER(W299),W299&gt;'Scoring Settings'!$B$12),AND(ISNUMBER(M299),M299&lt;='Scoring Settings'!$B$13)),"High","Medium")))</f>
        <v>Easy</v>
      </c>
      <c r="AN299" s="5" t="s">
        <v>97</v>
      </c>
      <c r="AO299" s="7">
        <v>44926</v>
      </c>
      <c r="AP299" s="5" t="s">
        <v>98</v>
      </c>
      <c r="AQ299" s="29" t="s">
        <v>136</v>
      </c>
    </row>
    <row r="300" spans="1:43" hidden="1">
      <c r="A300" s="28">
        <v>61315</v>
      </c>
      <c r="B300" s="5" t="s">
        <v>1796</v>
      </c>
      <c r="C300" s="5" t="s">
        <v>126</v>
      </c>
      <c r="D300" s="5" t="s">
        <v>88</v>
      </c>
      <c r="E300" s="5" t="s">
        <v>68</v>
      </c>
      <c r="F300" s="5" t="s">
        <v>302</v>
      </c>
      <c r="G300" s="5" t="s">
        <v>117</v>
      </c>
      <c r="H300" s="5" t="s">
        <v>142</v>
      </c>
      <c r="I300" s="6">
        <v>10</v>
      </c>
      <c r="J300" s="7">
        <v>44176</v>
      </c>
      <c r="K300" s="8" t="str">
        <f>IF(B300="","",IF(AND(I300="",J300=""),"Unknown",IF(OR(AND(ISNUMBER(I300),I300=0),AND(ISNUMBER(J300),J300&lt;=EDATE('Scoring Settings'!$B$4,-'Scoring Settings'!$B$5))),"Not in use",IF(AND(ISNUMBER(I300),I300&lt;'Scoring Settings'!$B$6),"Low use","Active"))))</f>
        <v>Low use</v>
      </c>
      <c r="L300" s="5">
        <v>4</v>
      </c>
      <c r="M300" s="5">
        <v>2</v>
      </c>
      <c r="N300" s="5" t="s">
        <v>474</v>
      </c>
      <c r="O300" s="5" t="s">
        <v>143</v>
      </c>
      <c r="P300" s="5" t="s">
        <v>144</v>
      </c>
      <c r="Q300" s="9">
        <v>0</v>
      </c>
      <c r="R300" s="5" t="s">
        <v>145</v>
      </c>
      <c r="S300" s="5" t="s">
        <v>145</v>
      </c>
      <c r="T300" s="5" t="s">
        <v>146</v>
      </c>
      <c r="U300" s="7">
        <v>44773</v>
      </c>
      <c r="V300" s="5" t="s">
        <v>135</v>
      </c>
      <c r="W300" s="6">
        <v>49</v>
      </c>
      <c r="X300" s="5" t="s">
        <v>79</v>
      </c>
      <c r="Y300" s="9">
        <v>3</v>
      </c>
      <c r="Z300" s="5" t="s">
        <v>80</v>
      </c>
      <c r="AA300" s="5" t="s">
        <v>81</v>
      </c>
      <c r="AB300" s="9">
        <v>10</v>
      </c>
      <c r="AC300" s="5" t="s">
        <v>79</v>
      </c>
      <c r="AD300" s="5" t="s">
        <v>80</v>
      </c>
      <c r="AE300" s="5" t="s">
        <v>80</v>
      </c>
      <c r="AF300" s="10">
        <v>185000</v>
      </c>
      <c r="AG300" s="7">
        <v>48457</v>
      </c>
      <c r="AH300" s="10">
        <v>369000</v>
      </c>
      <c r="AI300" s="10">
        <v>74000</v>
      </c>
      <c r="AJ300" s="11">
        <f t="shared" si="4"/>
        <v>59.837837837837839</v>
      </c>
      <c r="AK300" s="12">
        <f>IF(B300="","",OR(K300="Not in use",K300="Low use")+AND(N300&lt;&gt;"",N300&lt;&gt;"TBD")+AND(ISNUMBER(U300),U300&lt;=EDATE('Scoring Settings'!$B$4,'Scoring Settings'!$B$8))+AND(ISNUMBER(L300),L300&lt;='Scoring Settings'!$B$7))</f>
        <v>2</v>
      </c>
      <c r="AL300" s="5" t="s">
        <v>2217</v>
      </c>
      <c r="AM300" s="8" t="str">
        <f>IF(B300="","",IF(Z300="N","Easy",IF(OR(AND(ISNUMBER(AB300),AB300&gt;'Scoring Settings'!$B$11),AND(ISNUMBER(W300),W300&gt;'Scoring Settings'!$B$12),AND(ISNUMBER(M300),M300&lt;='Scoring Settings'!$B$13)),"High","Medium")))</f>
        <v>High</v>
      </c>
      <c r="AN300" s="5" t="s">
        <v>97</v>
      </c>
      <c r="AO300" s="7">
        <v>44865</v>
      </c>
      <c r="AP300" s="5" t="s">
        <v>197</v>
      </c>
      <c r="AQ300" s="29" t="s">
        <v>1797</v>
      </c>
    </row>
    <row r="301" spans="1:43" hidden="1">
      <c r="A301" s="28">
        <v>182058</v>
      </c>
      <c r="B301" s="5" t="s">
        <v>1798</v>
      </c>
      <c r="C301" s="5" t="s">
        <v>230</v>
      </c>
      <c r="D301" s="5" t="s">
        <v>115</v>
      </c>
      <c r="E301" s="5" t="s">
        <v>298</v>
      </c>
      <c r="F301" s="5" t="s">
        <v>188</v>
      </c>
      <c r="G301" s="5" t="s">
        <v>221</v>
      </c>
      <c r="H301" s="5" t="s">
        <v>174</v>
      </c>
      <c r="I301" s="6">
        <v>25</v>
      </c>
      <c r="J301" s="7">
        <v>44287</v>
      </c>
      <c r="K301" s="8" t="str">
        <f>IF(B301="","",IF(AND(I301="",J301=""),"Unknown",IF(OR(AND(ISNUMBER(I301),I301=0),AND(ISNUMBER(J301),J301&lt;=EDATE('Scoring Settings'!$B$4,-'Scoring Settings'!$B$5))),"Not in use",IF(AND(ISNUMBER(I301),I301&lt;'Scoring Settings'!$B$6),"Low use","Active"))))</f>
        <v>Active</v>
      </c>
      <c r="L301" s="5">
        <v>3</v>
      </c>
      <c r="M301" s="5">
        <v>2</v>
      </c>
      <c r="N301" s="5" t="s">
        <v>930</v>
      </c>
      <c r="O301" s="5" t="s">
        <v>73</v>
      </c>
      <c r="P301" s="5" t="s">
        <v>1620</v>
      </c>
      <c r="Q301" s="9">
        <v>2</v>
      </c>
      <c r="R301" s="5" t="s">
        <v>245</v>
      </c>
      <c r="S301" s="5" t="s">
        <v>246</v>
      </c>
      <c r="T301" s="5" t="s">
        <v>109</v>
      </c>
      <c r="U301" s="7">
        <v>45777</v>
      </c>
      <c r="V301" s="5" t="s">
        <v>135</v>
      </c>
      <c r="W301" s="6">
        <v>310</v>
      </c>
      <c r="X301" s="5" t="s">
        <v>79</v>
      </c>
      <c r="Y301" s="9">
        <v>3</v>
      </c>
      <c r="Z301" s="5" t="s">
        <v>80</v>
      </c>
      <c r="AA301" s="5" t="s">
        <v>205</v>
      </c>
      <c r="AB301" s="9">
        <v>23</v>
      </c>
      <c r="AC301" s="5" t="s">
        <v>80</v>
      </c>
      <c r="AD301" s="5" t="s">
        <v>82</v>
      </c>
      <c r="AE301" s="5" t="s">
        <v>80</v>
      </c>
      <c r="AF301" s="10">
        <v>36500</v>
      </c>
      <c r="AG301" s="7">
        <v>48365</v>
      </c>
      <c r="AH301" s="10">
        <v>51000</v>
      </c>
      <c r="AI301" s="10">
        <v>27000</v>
      </c>
      <c r="AJ301" s="11">
        <f t="shared" si="4"/>
        <v>22.666666666666664</v>
      </c>
      <c r="AK301" s="12">
        <f>IF(B301="","",OR(K301="Not in use",K301="Low use")+AND(N301&lt;&gt;"",N301&lt;&gt;"TBD")+AND(ISNUMBER(U301),U301&lt;=EDATE('Scoring Settings'!$B$4,'Scoring Settings'!$B$8))+AND(ISNUMBER(L301),L301&lt;='Scoring Settings'!$B$7))</f>
        <v>1</v>
      </c>
      <c r="AL301" s="5" t="s">
        <v>2217</v>
      </c>
      <c r="AM301" s="8" t="str">
        <f>IF(B301="","",IF(Z301="N","Easy",IF(OR(AND(ISNUMBER(AB301),AB301&gt;'Scoring Settings'!$B$11),AND(ISNUMBER(W301),W301&gt;'Scoring Settings'!$B$12),AND(ISNUMBER(M301),M301&lt;='Scoring Settings'!$B$13)),"High","Medium")))</f>
        <v>High</v>
      </c>
      <c r="AN301" s="5" t="s">
        <v>97</v>
      </c>
      <c r="AO301" s="7">
        <v>44926</v>
      </c>
      <c r="AP301" s="5" t="s">
        <v>98</v>
      </c>
      <c r="AQ301" s="29" t="s">
        <v>213</v>
      </c>
    </row>
    <row r="302" spans="1:43" hidden="1">
      <c r="A302" s="28">
        <v>155005</v>
      </c>
      <c r="B302" s="5" t="s">
        <v>1803</v>
      </c>
      <c r="C302" s="5" t="s">
        <v>395</v>
      </c>
      <c r="D302" s="5" t="s">
        <v>88</v>
      </c>
      <c r="E302" s="5" t="s">
        <v>68</v>
      </c>
      <c r="F302" s="5" t="s">
        <v>249</v>
      </c>
      <c r="G302" s="5" t="s">
        <v>271</v>
      </c>
      <c r="H302" s="5" t="s">
        <v>189</v>
      </c>
      <c r="I302" s="6">
        <v>0</v>
      </c>
      <c r="J302" s="7">
        <v>43886</v>
      </c>
      <c r="K302" s="8" t="str">
        <f>IF(B302="","",IF(AND(I302="",J302=""),"Unknown",IF(OR(AND(ISNUMBER(I302),I302=0),AND(ISNUMBER(J302),J302&lt;=EDATE('Scoring Settings'!$B$4,-'Scoring Settings'!$B$5))),"Not in use",IF(AND(ISNUMBER(I302),I302&lt;'Scoring Settings'!$B$6),"Low use","Active"))))</f>
        <v>Not in use</v>
      </c>
      <c r="L302" s="5">
        <v>1</v>
      </c>
      <c r="M302" s="5">
        <v>4</v>
      </c>
      <c r="N302" s="5"/>
      <c r="O302" s="5" t="s">
        <v>73</v>
      </c>
      <c r="P302" s="5" t="s">
        <v>1804</v>
      </c>
      <c r="Q302" s="9">
        <v>3</v>
      </c>
      <c r="R302" s="5" t="s">
        <v>256</v>
      </c>
      <c r="S302" s="5" t="s">
        <v>257</v>
      </c>
      <c r="T302" s="5" t="s">
        <v>109</v>
      </c>
      <c r="U302" s="7">
        <v>45077</v>
      </c>
      <c r="V302" s="5" t="s">
        <v>95</v>
      </c>
      <c r="W302" s="6">
        <v>110</v>
      </c>
      <c r="X302" s="5" t="s">
        <v>79</v>
      </c>
      <c r="Y302" s="9">
        <v>3</v>
      </c>
      <c r="Z302" s="5" t="s">
        <v>80</v>
      </c>
      <c r="AA302" s="5" t="s">
        <v>205</v>
      </c>
      <c r="AB302" s="9">
        <v>2</v>
      </c>
      <c r="AC302" s="5" t="s">
        <v>82</v>
      </c>
      <c r="AD302" s="5" t="s">
        <v>80</v>
      </c>
      <c r="AE302" s="5" t="s">
        <v>79</v>
      </c>
      <c r="AF302" s="10">
        <v>29000</v>
      </c>
      <c r="AG302" s="7">
        <v>47938</v>
      </c>
      <c r="AH302" s="10">
        <v>25500</v>
      </c>
      <c r="AI302" s="10">
        <v>18000</v>
      </c>
      <c r="AJ302" s="11">
        <f t="shared" si="4"/>
        <v>17</v>
      </c>
      <c r="AK302" s="12">
        <f>IF(B302="","",OR(K302="Not in use",K302="Low use")+AND(N302&lt;&gt;"",N302&lt;&gt;"TBD")+AND(ISNUMBER(U302),U302&lt;=EDATE('Scoring Settings'!$B$4,'Scoring Settings'!$B$8))+AND(ISNUMBER(L302),L302&lt;='Scoring Settings'!$B$7))</f>
        <v>2</v>
      </c>
      <c r="AL302" s="5" t="s">
        <v>96</v>
      </c>
      <c r="AM302" s="8" t="str">
        <f>IF(B302="","",IF(Z302="N","Easy",IF(OR(AND(ISNUMBER(AB302),AB302&gt;'Scoring Settings'!$B$11),AND(ISNUMBER(W302),W302&gt;'Scoring Settings'!$B$12),AND(ISNUMBER(M302),M302&lt;='Scoring Settings'!$B$13)),"High","Medium")))</f>
        <v>Medium</v>
      </c>
      <c r="AN302" s="5" t="s">
        <v>97</v>
      </c>
      <c r="AO302" s="7">
        <v>44592</v>
      </c>
      <c r="AP302" s="5" t="s">
        <v>98</v>
      </c>
      <c r="AQ302" s="29" t="s">
        <v>136</v>
      </c>
    </row>
    <row r="303" spans="1:43" hidden="1">
      <c r="A303" s="28">
        <v>33368</v>
      </c>
      <c r="B303" s="5" t="s">
        <v>1808</v>
      </c>
      <c r="C303" s="5" t="s">
        <v>639</v>
      </c>
      <c r="D303" s="5" t="s">
        <v>88</v>
      </c>
      <c r="E303" s="5" t="s">
        <v>68</v>
      </c>
      <c r="F303" s="5" t="s">
        <v>116</v>
      </c>
      <c r="G303" s="5" t="s">
        <v>356</v>
      </c>
      <c r="H303" s="5" t="s">
        <v>142</v>
      </c>
      <c r="I303" s="6">
        <v>535</v>
      </c>
      <c r="J303" s="7">
        <v>44274</v>
      </c>
      <c r="K303" s="8" t="str">
        <f>IF(B303="","",IF(AND(I303="",J303=""),"Unknown",IF(OR(AND(ISNUMBER(I303),I303=0),AND(ISNUMBER(J303),J303&lt;=EDATE('Scoring Settings'!$B$4,-'Scoring Settings'!$B$5))),"Not in use",IF(AND(ISNUMBER(I303),I303&lt;'Scoring Settings'!$B$6),"Low use","Active"))))</f>
        <v>Active</v>
      </c>
      <c r="L303" s="5">
        <v>3</v>
      </c>
      <c r="M303" s="5">
        <v>4</v>
      </c>
      <c r="N303" s="5"/>
      <c r="O303" s="5" t="s">
        <v>143</v>
      </c>
      <c r="P303" s="5" t="s">
        <v>144</v>
      </c>
      <c r="Q303" s="9">
        <v>0</v>
      </c>
      <c r="R303" s="5" t="s">
        <v>145</v>
      </c>
      <c r="S303" s="5" t="s">
        <v>145</v>
      </c>
      <c r="T303" s="5" t="s">
        <v>146</v>
      </c>
      <c r="U303" s="7">
        <v>44742</v>
      </c>
      <c r="V303" s="5" t="s">
        <v>95</v>
      </c>
      <c r="W303" s="6">
        <v>230</v>
      </c>
      <c r="X303" s="5" t="s">
        <v>79</v>
      </c>
      <c r="Y303" s="9">
        <v>5</v>
      </c>
      <c r="Z303" s="5" t="s">
        <v>80</v>
      </c>
      <c r="AA303" s="5" t="s">
        <v>205</v>
      </c>
      <c r="AB303" s="9">
        <v>2</v>
      </c>
      <c r="AC303" s="5" t="s">
        <v>79</v>
      </c>
      <c r="AD303" s="5" t="s">
        <v>80</v>
      </c>
      <c r="AE303" s="5" t="s">
        <v>79</v>
      </c>
      <c r="AF303" s="10">
        <v>120000</v>
      </c>
      <c r="AG303" s="7">
        <v>49340</v>
      </c>
      <c r="AH303" s="10">
        <v>93500</v>
      </c>
      <c r="AI303" s="10">
        <v>71000</v>
      </c>
      <c r="AJ303" s="11">
        <f t="shared" si="4"/>
        <v>15.802816901408452</v>
      </c>
      <c r="AK303" s="12">
        <f>IF(B303="","",OR(K303="Not in use",K303="Low use")+AND(N303&lt;&gt;"",N303&lt;&gt;"TBD")+AND(ISNUMBER(U303),U303&lt;=EDATE('Scoring Settings'!$B$4,'Scoring Settings'!$B$8))+AND(ISNUMBER(L303),L303&lt;='Scoring Settings'!$B$7))</f>
        <v>0</v>
      </c>
      <c r="AL303" s="5" t="s">
        <v>96</v>
      </c>
      <c r="AM303" s="8" t="str">
        <f>IF(B303="","",IF(Z303="N","Easy",IF(OR(AND(ISNUMBER(AB303),AB303&gt;'Scoring Settings'!$B$11),AND(ISNUMBER(W303),W303&gt;'Scoring Settings'!$B$12),AND(ISNUMBER(M303),M303&lt;='Scoring Settings'!$B$13)),"High","Medium")))</f>
        <v>Medium</v>
      </c>
      <c r="AN303" s="5" t="s">
        <v>97</v>
      </c>
      <c r="AO303" s="7">
        <v>44681</v>
      </c>
      <c r="AP303" s="5" t="s">
        <v>98</v>
      </c>
      <c r="AQ303" s="29" t="s">
        <v>170</v>
      </c>
    </row>
    <row r="304" spans="1:43" hidden="1">
      <c r="A304" s="28">
        <v>192411</v>
      </c>
      <c r="B304" s="5" t="s">
        <v>1842</v>
      </c>
      <c r="C304" s="5" t="s">
        <v>301</v>
      </c>
      <c r="D304" s="5" t="s">
        <v>162</v>
      </c>
      <c r="E304" s="5" t="s">
        <v>68</v>
      </c>
      <c r="F304" s="5" t="s">
        <v>476</v>
      </c>
      <c r="G304" s="5" t="s">
        <v>141</v>
      </c>
      <c r="H304" s="5" t="s">
        <v>118</v>
      </c>
      <c r="I304" s="6">
        <v>298</v>
      </c>
      <c r="J304" s="7">
        <v>44304</v>
      </c>
      <c r="K304" s="8" t="str">
        <f>IF(B304="","",IF(AND(I304="",J304=""),"Unknown",IF(OR(AND(ISNUMBER(I304),I304=0),AND(ISNUMBER(J304),J304&lt;=EDATE('Scoring Settings'!$B$4,-'Scoring Settings'!$B$5))),"Not in use",IF(AND(ISNUMBER(I304),I304&lt;'Scoring Settings'!$B$6),"Low use","Active"))))</f>
        <v>Active</v>
      </c>
      <c r="L304" s="5">
        <v>3</v>
      </c>
      <c r="M304" s="5">
        <v>3</v>
      </c>
      <c r="N304" s="5" t="s">
        <v>1171</v>
      </c>
      <c r="O304" s="5" t="s">
        <v>130</v>
      </c>
      <c r="P304" s="5" t="s">
        <v>1843</v>
      </c>
      <c r="Q304" s="9">
        <v>2</v>
      </c>
      <c r="R304" s="5" t="s">
        <v>107</v>
      </c>
      <c r="S304" s="5" t="s">
        <v>108</v>
      </c>
      <c r="T304" s="5" t="s">
        <v>134</v>
      </c>
      <c r="U304" s="7">
        <v>43655</v>
      </c>
      <c r="V304" s="5" t="s">
        <v>78</v>
      </c>
      <c r="W304" s="6">
        <v>1280</v>
      </c>
      <c r="X304" s="5" t="s">
        <v>79</v>
      </c>
      <c r="Y304" s="9">
        <v>1</v>
      </c>
      <c r="Z304" s="5" t="s">
        <v>79</v>
      </c>
      <c r="AA304" s="5" t="s">
        <v>110</v>
      </c>
      <c r="AB304" s="9">
        <v>4</v>
      </c>
      <c r="AC304" s="5" t="s">
        <v>79</v>
      </c>
      <c r="AD304" s="5" t="s">
        <v>82</v>
      </c>
      <c r="AE304" s="5" t="s">
        <v>79</v>
      </c>
      <c r="AF304" s="10">
        <v>25000</v>
      </c>
      <c r="AG304" s="7">
        <v>46265</v>
      </c>
      <c r="AH304" s="10">
        <v>43000</v>
      </c>
      <c r="AI304" s="10">
        <v>21500</v>
      </c>
      <c r="AJ304" s="11">
        <f t="shared" si="4"/>
        <v>24</v>
      </c>
      <c r="AK304" s="12">
        <f>IF(B304="","",OR(K304="Not in use",K304="Low use")+AND(N304&lt;&gt;"",N304&lt;&gt;"TBD")+AND(ISNUMBER(U304),U304&lt;=EDATE('Scoring Settings'!$B$4,'Scoring Settings'!$B$8))+AND(ISNUMBER(L304),L304&lt;='Scoring Settings'!$B$7))</f>
        <v>2</v>
      </c>
      <c r="AL304" s="5" t="s">
        <v>223</v>
      </c>
      <c r="AM304" s="8" t="str">
        <f>IF(B304="","",IF(Z304="N","Easy",IF(OR(AND(ISNUMBER(AB304),AB304&gt;'Scoring Settings'!$B$11),AND(ISNUMBER(W304),W304&gt;'Scoring Settings'!$B$12),AND(ISNUMBER(M304),M304&lt;='Scoring Settings'!$B$13)),"High","Medium")))</f>
        <v>Easy</v>
      </c>
      <c r="AN304" s="5" t="s">
        <v>97</v>
      </c>
      <c r="AO304" s="7">
        <v>44773</v>
      </c>
      <c r="AP304" s="5" t="s">
        <v>197</v>
      </c>
      <c r="AQ304" s="29" t="s">
        <v>252</v>
      </c>
    </row>
    <row r="305" spans="1:43" hidden="1">
      <c r="A305" s="28">
        <v>60407</v>
      </c>
      <c r="B305" s="5" t="s">
        <v>1847</v>
      </c>
      <c r="C305" s="5" t="s">
        <v>101</v>
      </c>
      <c r="D305" s="5" t="s">
        <v>102</v>
      </c>
      <c r="E305" s="5" t="s">
        <v>68</v>
      </c>
      <c r="F305" s="5" t="s">
        <v>178</v>
      </c>
      <c r="G305" s="5" t="s">
        <v>90</v>
      </c>
      <c r="H305" s="5" t="s">
        <v>71</v>
      </c>
      <c r="I305" s="6">
        <v>8</v>
      </c>
      <c r="J305" s="7">
        <v>44179</v>
      </c>
      <c r="K305" s="8" t="str">
        <f>IF(B305="","",IF(AND(I305="",J305=""),"Unknown",IF(OR(AND(ISNUMBER(I305),I305=0),AND(ISNUMBER(J305),J305&lt;=EDATE('Scoring Settings'!$B$4,-'Scoring Settings'!$B$5))),"Not in use",IF(AND(ISNUMBER(I305),I305&lt;'Scoring Settings'!$B$6),"Low use","Active"))))</f>
        <v>Low use</v>
      </c>
      <c r="L305" s="5">
        <v>3</v>
      </c>
      <c r="M305" s="5">
        <v>3</v>
      </c>
      <c r="N305" s="5" t="s">
        <v>72</v>
      </c>
      <c r="O305" s="5" t="s">
        <v>73</v>
      </c>
      <c r="P305" s="5" t="s">
        <v>1848</v>
      </c>
      <c r="Q305" s="9">
        <v>4</v>
      </c>
      <c r="R305" s="5" t="s">
        <v>358</v>
      </c>
      <c r="S305" s="5" t="s">
        <v>133</v>
      </c>
      <c r="T305" s="5" t="s">
        <v>77</v>
      </c>
      <c r="U305" s="7">
        <v>43555</v>
      </c>
      <c r="V305" s="5" t="s">
        <v>78</v>
      </c>
      <c r="W305" s="6">
        <v>64</v>
      </c>
      <c r="X305" s="5" t="s">
        <v>80</v>
      </c>
      <c r="Y305" s="9">
        <v>10</v>
      </c>
      <c r="Z305" s="5" t="s">
        <v>80</v>
      </c>
      <c r="AA305" s="5" t="s">
        <v>81</v>
      </c>
      <c r="AB305" s="9">
        <v>3</v>
      </c>
      <c r="AC305" s="5" t="s">
        <v>79</v>
      </c>
      <c r="AD305" s="5" t="s">
        <v>80</v>
      </c>
      <c r="AE305" s="5" t="s">
        <v>79</v>
      </c>
      <c r="AF305" s="10">
        <v>42000</v>
      </c>
      <c r="AG305" s="7">
        <v>49674</v>
      </c>
      <c r="AH305" s="10">
        <v>72500</v>
      </c>
      <c r="AI305" s="10">
        <v>31000</v>
      </c>
      <c r="AJ305" s="11">
        <f t="shared" si="4"/>
        <v>28.06451612903226</v>
      </c>
      <c r="AK305" s="12">
        <f>IF(B305="","",OR(K305="Not in use",K305="Low use")+AND(N305&lt;&gt;"",N305&lt;&gt;"TBD")+AND(ISNUMBER(U305),U305&lt;=EDATE('Scoring Settings'!$B$4,'Scoring Settings'!$B$8))+AND(ISNUMBER(L305),L305&lt;='Scoring Settings'!$B$7))</f>
        <v>2</v>
      </c>
      <c r="AL305" s="5" t="s">
        <v>96</v>
      </c>
      <c r="AM305" s="8" t="str">
        <f>IF(B305="","",IF(Z305="N","Easy",IF(OR(AND(ISNUMBER(AB305),AB305&gt;'Scoring Settings'!$B$11),AND(ISNUMBER(W305),W305&gt;'Scoring Settings'!$B$12),AND(ISNUMBER(M305),M305&lt;='Scoring Settings'!$B$13)),"High","Medium")))</f>
        <v>Medium</v>
      </c>
      <c r="AN305" s="5" t="s">
        <v>97</v>
      </c>
      <c r="AO305" s="7">
        <v>44742</v>
      </c>
      <c r="AP305" s="5" t="s">
        <v>98</v>
      </c>
      <c r="AQ305" s="29" t="s">
        <v>149</v>
      </c>
    </row>
    <row r="306" spans="1:43" hidden="1">
      <c r="A306" s="28">
        <v>130919</v>
      </c>
      <c r="B306" s="5" t="s">
        <v>1874</v>
      </c>
      <c r="C306" s="5" t="s">
        <v>464</v>
      </c>
      <c r="D306" s="5" t="s">
        <v>88</v>
      </c>
      <c r="E306" s="5" t="s">
        <v>68</v>
      </c>
      <c r="F306" s="5" t="s">
        <v>69</v>
      </c>
      <c r="G306" s="5" t="s">
        <v>356</v>
      </c>
      <c r="H306" s="5" t="s">
        <v>129</v>
      </c>
      <c r="I306" s="6">
        <v>9</v>
      </c>
      <c r="J306" s="7">
        <v>44256</v>
      </c>
      <c r="K306" s="8" t="str">
        <f>IF(B306="","",IF(AND(I306="",J306=""),"Unknown",IF(OR(AND(ISNUMBER(I306),I306=0),AND(ISNUMBER(J306),J306&lt;=EDATE('Scoring Settings'!$B$4,-'Scoring Settings'!$B$5))),"Not in use",IF(AND(ISNUMBER(I306),I306&lt;'Scoring Settings'!$B$6),"Low use","Active"))))</f>
        <v>Low use</v>
      </c>
      <c r="L306" s="5">
        <v>3</v>
      </c>
      <c r="M306" s="5">
        <v>4</v>
      </c>
      <c r="N306" s="5" t="s">
        <v>72</v>
      </c>
      <c r="O306" s="5" t="s">
        <v>73</v>
      </c>
      <c r="P306" s="5" t="s">
        <v>1875</v>
      </c>
      <c r="Q306" s="9">
        <v>4</v>
      </c>
      <c r="R306" s="5" t="s">
        <v>335</v>
      </c>
      <c r="S306" s="5" t="s">
        <v>336</v>
      </c>
      <c r="T306" s="5" t="s">
        <v>122</v>
      </c>
      <c r="U306" s="7">
        <v>45473</v>
      </c>
      <c r="V306" s="5" t="s">
        <v>135</v>
      </c>
      <c r="W306" s="6">
        <v>33</v>
      </c>
      <c r="X306" s="5" t="s">
        <v>79</v>
      </c>
      <c r="Y306" s="9">
        <v>1</v>
      </c>
      <c r="Z306" s="5" t="s">
        <v>79</v>
      </c>
      <c r="AA306" s="5" t="s">
        <v>110</v>
      </c>
      <c r="AB306" s="9">
        <v>2</v>
      </c>
      <c r="AC306" s="5" t="s">
        <v>82</v>
      </c>
      <c r="AD306" s="5" t="s">
        <v>79</v>
      </c>
      <c r="AE306" s="5" t="s">
        <v>80</v>
      </c>
      <c r="AF306" s="10">
        <v>28500</v>
      </c>
      <c r="AG306" s="7">
        <v>49490</v>
      </c>
      <c r="AH306" s="10">
        <v>32000</v>
      </c>
      <c r="AI306" s="10">
        <v>25500</v>
      </c>
      <c r="AJ306" s="11">
        <f t="shared" si="4"/>
        <v>15.058823529411764</v>
      </c>
      <c r="AK306" s="12">
        <f>IF(B306="","",OR(K306="Not in use",K306="Low use")+AND(N306&lt;&gt;"",N306&lt;&gt;"TBD")+AND(ISNUMBER(U306),U306&lt;=EDATE('Scoring Settings'!$B$4,'Scoring Settings'!$B$8))+AND(ISNUMBER(L306),L306&lt;='Scoring Settings'!$B$7))</f>
        <v>1</v>
      </c>
      <c r="AL306" s="5" t="s">
        <v>223</v>
      </c>
      <c r="AM306" s="8" t="str">
        <f>IF(B306="","",IF(Z306="N","Easy",IF(OR(AND(ISNUMBER(AB306),AB306&gt;'Scoring Settings'!$B$11),AND(ISNUMBER(W306),W306&gt;'Scoring Settings'!$B$12),AND(ISNUMBER(M306),M306&lt;='Scoring Settings'!$B$13)),"High","Medium")))</f>
        <v>Easy</v>
      </c>
      <c r="AN306" s="5" t="s">
        <v>97</v>
      </c>
      <c r="AO306" s="7">
        <v>44712</v>
      </c>
      <c r="AP306" s="5" t="s">
        <v>197</v>
      </c>
      <c r="AQ306" s="29" t="s">
        <v>688</v>
      </c>
    </row>
    <row r="307" spans="1:43" hidden="1">
      <c r="A307" s="28">
        <v>73015</v>
      </c>
      <c r="B307" s="5" t="s">
        <v>1885</v>
      </c>
      <c r="C307" s="5" t="s">
        <v>138</v>
      </c>
      <c r="D307" s="5" t="s">
        <v>139</v>
      </c>
      <c r="E307" s="5" t="s">
        <v>68</v>
      </c>
      <c r="F307" s="5" t="s">
        <v>236</v>
      </c>
      <c r="G307" s="5" t="s">
        <v>70</v>
      </c>
      <c r="H307" s="5" t="s">
        <v>71</v>
      </c>
      <c r="I307" s="6">
        <v>4</v>
      </c>
      <c r="J307" s="7">
        <v>43934</v>
      </c>
      <c r="K307" s="8" t="str">
        <f>IF(B307="","",IF(AND(I307="",J307=""),"Unknown",IF(OR(AND(ISNUMBER(I307),I307=0),AND(ISNUMBER(J307),J307&lt;=EDATE('Scoring Settings'!$B$4,-'Scoring Settings'!$B$5))),"Not in use",IF(AND(ISNUMBER(I307),I307&lt;'Scoring Settings'!$B$6),"Low use","Active"))))</f>
        <v>Not in use</v>
      </c>
      <c r="L307" s="5">
        <v>4</v>
      </c>
      <c r="M307" s="5">
        <v>2</v>
      </c>
      <c r="N307" s="5"/>
      <c r="O307" s="5" t="s">
        <v>130</v>
      </c>
      <c r="P307" s="5" t="s">
        <v>1886</v>
      </c>
      <c r="Q307" s="9">
        <v>2</v>
      </c>
      <c r="R307" s="5" t="s">
        <v>358</v>
      </c>
      <c r="S307" s="5" t="s">
        <v>133</v>
      </c>
      <c r="T307" s="5" t="s">
        <v>168</v>
      </c>
      <c r="U307" s="7">
        <v>43555</v>
      </c>
      <c r="V307" s="5" t="s">
        <v>135</v>
      </c>
      <c r="W307" s="6">
        <v>400</v>
      </c>
      <c r="X307" s="5" t="s">
        <v>79</v>
      </c>
      <c r="Y307" s="9">
        <v>7</v>
      </c>
      <c r="Z307" s="5" t="s">
        <v>80</v>
      </c>
      <c r="AA307" s="5" t="s">
        <v>81</v>
      </c>
      <c r="AB307" s="9">
        <v>23</v>
      </c>
      <c r="AC307" s="5" t="s">
        <v>79</v>
      </c>
      <c r="AD307" s="5" t="s">
        <v>79</v>
      </c>
      <c r="AE307" s="5" t="s">
        <v>82</v>
      </c>
      <c r="AF307" s="10">
        <v>29000</v>
      </c>
      <c r="AG307" s="7">
        <v>47756</v>
      </c>
      <c r="AH307" s="10">
        <v>52500</v>
      </c>
      <c r="AI307" s="10">
        <v>22000</v>
      </c>
      <c r="AJ307" s="11">
        <f t="shared" si="4"/>
        <v>28.636363636363633</v>
      </c>
      <c r="AK307" s="12">
        <f>IF(B307="","",OR(K307="Not in use",K307="Low use")+AND(N307&lt;&gt;"",N307&lt;&gt;"TBD")+AND(ISNUMBER(U307),U307&lt;=EDATE('Scoring Settings'!$B$4,'Scoring Settings'!$B$8))+AND(ISNUMBER(L307),L307&lt;='Scoring Settings'!$B$7))</f>
        <v>2</v>
      </c>
      <c r="AL307" s="5" t="s">
        <v>96</v>
      </c>
      <c r="AM307" s="8" t="str">
        <f>IF(B307="","",IF(Z307="N","Easy",IF(OR(AND(ISNUMBER(AB307),AB307&gt;'Scoring Settings'!$B$11),AND(ISNUMBER(W307),W307&gt;'Scoring Settings'!$B$12),AND(ISNUMBER(M307),M307&lt;='Scoring Settings'!$B$13)),"High","Medium")))</f>
        <v>High</v>
      </c>
      <c r="AN307" s="5" t="s">
        <v>97</v>
      </c>
      <c r="AO307" s="7">
        <v>44742</v>
      </c>
      <c r="AP307" s="5" t="s">
        <v>98</v>
      </c>
      <c r="AQ307" s="29" t="s">
        <v>213</v>
      </c>
    </row>
    <row r="308" spans="1:43" hidden="1">
      <c r="A308" s="28">
        <v>31317</v>
      </c>
      <c r="B308" s="5" t="s">
        <v>1892</v>
      </c>
      <c r="C308" s="5" t="s">
        <v>316</v>
      </c>
      <c r="D308" s="5" t="s">
        <v>67</v>
      </c>
      <c r="E308" s="5" t="s">
        <v>68</v>
      </c>
      <c r="F308" s="5" t="s">
        <v>312</v>
      </c>
      <c r="G308" s="5" t="s">
        <v>104</v>
      </c>
      <c r="H308" s="5" t="s">
        <v>91</v>
      </c>
      <c r="I308" s="6">
        <v>0</v>
      </c>
      <c r="J308" s="7">
        <v>43709</v>
      </c>
      <c r="K308" s="8" t="str">
        <f>IF(B308="","",IF(AND(I308="",J308=""),"Unknown",IF(OR(AND(ISNUMBER(I308),I308=0),AND(ISNUMBER(J308),J308&lt;=EDATE('Scoring Settings'!$B$4,-'Scoring Settings'!$B$5))),"Not in use",IF(AND(ISNUMBER(I308),I308&lt;'Scoring Settings'!$B$6),"Low use","Active"))))</f>
        <v>Not in use</v>
      </c>
      <c r="L308" s="5">
        <v>1</v>
      </c>
      <c r="M308" s="5">
        <v>3</v>
      </c>
      <c r="N308" s="5" t="s">
        <v>317</v>
      </c>
      <c r="O308" s="5" t="s">
        <v>73</v>
      </c>
      <c r="P308" s="5" t="s">
        <v>1893</v>
      </c>
      <c r="Q308" s="9">
        <v>2</v>
      </c>
      <c r="R308" s="5" t="s">
        <v>72</v>
      </c>
      <c r="S308" s="5" t="s">
        <v>133</v>
      </c>
      <c r="T308" s="5" t="s">
        <v>122</v>
      </c>
      <c r="U308" s="7">
        <v>44165</v>
      </c>
      <c r="V308" s="5" t="s">
        <v>135</v>
      </c>
      <c r="W308" s="6">
        <v>69</v>
      </c>
      <c r="X308" s="5" t="s">
        <v>79</v>
      </c>
      <c r="Y308" s="9">
        <v>5</v>
      </c>
      <c r="Z308" s="5" t="s">
        <v>79</v>
      </c>
      <c r="AA308" s="5" t="s">
        <v>110</v>
      </c>
      <c r="AB308" s="9">
        <v>1</v>
      </c>
      <c r="AC308" s="5" t="s">
        <v>80</v>
      </c>
      <c r="AD308" s="5" t="s">
        <v>79</v>
      </c>
      <c r="AE308" s="5" t="s">
        <v>82</v>
      </c>
      <c r="AF308" s="10">
        <v>48500</v>
      </c>
      <c r="AG308" s="7">
        <v>46538</v>
      </c>
      <c r="AH308" s="10">
        <v>53000</v>
      </c>
      <c r="AI308" s="10">
        <v>42500</v>
      </c>
      <c r="AJ308" s="11">
        <f t="shared" si="4"/>
        <v>14.964705882352941</v>
      </c>
      <c r="AK308" s="12">
        <f>IF(B308="","",OR(K308="Not in use",K308="Low use")+AND(N308&lt;&gt;"",N308&lt;&gt;"TBD")+AND(ISNUMBER(U308),U308&lt;=EDATE('Scoring Settings'!$B$4,'Scoring Settings'!$B$8))+AND(ISNUMBER(L308),L308&lt;='Scoring Settings'!$B$7))</f>
        <v>4</v>
      </c>
      <c r="AL308" s="5" t="s">
        <v>223</v>
      </c>
      <c r="AM308" s="8" t="str">
        <f>IF(B308="","",IF(Z308="N","Easy",IF(OR(AND(ISNUMBER(AB308),AB308&gt;'Scoring Settings'!$B$11),AND(ISNUMBER(W308),W308&gt;'Scoring Settings'!$B$12),AND(ISNUMBER(M308),M308&lt;='Scoring Settings'!$B$13)),"High","Medium")))</f>
        <v>Easy</v>
      </c>
      <c r="AN308" s="5" t="s">
        <v>97</v>
      </c>
      <c r="AO308" s="7">
        <v>44712</v>
      </c>
      <c r="AP308" s="5" t="s">
        <v>197</v>
      </c>
      <c r="AQ308" s="29" t="s">
        <v>688</v>
      </c>
    </row>
    <row r="309" spans="1:43" hidden="1">
      <c r="A309" s="28">
        <v>187618</v>
      </c>
      <c r="B309" s="5" t="s">
        <v>1898</v>
      </c>
      <c r="C309" s="5" t="s">
        <v>338</v>
      </c>
      <c r="D309" s="5" t="s">
        <v>139</v>
      </c>
      <c r="E309" s="5" t="s">
        <v>68</v>
      </c>
      <c r="F309" s="5" t="s">
        <v>236</v>
      </c>
      <c r="G309" s="5" t="s">
        <v>267</v>
      </c>
      <c r="H309" s="5" t="s">
        <v>174</v>
      </c>
      <c r="I309" s="6">
        <v>2</v>
      </c>
      <c r="J309" s="7">
        <v>43693</v>
      </c>
      <c r="K309" s="8" t="str">
        <f>IF(B309="","",IF(AND(I309="",J309=""),"Unknown",IF(OR(AND(ISNUMBER(I309),I309=0),AND(ISNUMBER(J309),J309&lt;=EDATE('Scoring Settings'!$B$4,-'Scoring Settings'!$B$5))),"Not in use",IF(AND(ISNUMBER(I309),I309&lt;'Scoring Settings'!$B$6),"Low use","Active"))))</f>
        <v>Not in use</v>
      </c>
      <c r="L309" s="5">
        <v>2</v>
      </c>
      <c r="M309" s="5">
        <v>3</v>
      </c>
      <c r="N309" s="5"/>
      <c r="O309" s="5" t="s">
        <v>73</v>
      </c>
      <c r="P309" s="5" t="s">
        <v>1899</v>
      </c>
      <c r="Q309" s="9">
        <v>3</v>
      </c>
      <c r="R309" s="5" t="s">
        <v>352</v>
      </c>
      <c r="S309" s="5" t="s">
        <v>353</v>
      </c>
      <c r="T309" s="5" t="s">
        <v>184</v>
      </c>
      <c r="U309" s="7">
        <v>47127</v>
      </c>
      <c r="V309" s="5" t="s">
        <v>135</v>
      </c>
      <c r="W309" s="6">
        <v>1240</v>
      </c>
      <c r="X309" s="5" t="s">
        <v>80</v>
      </c>
      <c r="Y309" s="9">
        <v>10</v>
      </c>
      <c r="Z309" s="5" t="s">
        <v>80</v>
      </c>
      <c r="AA309" s="5" t="s">
        <v>81</v>
      </c>
      <c r="AB309" s="9">
        <v>6</v>
      </c>
      <c r="AC309" s="5" t="s">
        <v>79</v>
      </c>
      <c r="AD309" s="5" t="s">
        <v>79</v>
      </c>
      <c r="AE309" s="5" t="s">
        <v>79</v>
      </c>
      <c r="AF309" s="10">
        <v>33500</v>
      </c>
      <c r="AG309" s="7">
        <v>46843</v>
      </c>
      <c r="AH309" s="10">
        <v>43000</v>
      </c>
      <c r="AI309" s="10">
        <v>21000</v>
      </c>
      <c r="AJ309" s="11">
        <f t="shared" si="4"/>
        <v>24.571428571428569</v>
      </c>
      <c r="AK309" s="12">
        <f>IF(B309="","",OR(K309="Not in use",K309="Low use")+AND(N309&lt;&gt;"",N309&lt;&gt;"TBD")+AND(ISNUMBER(U309),U309&lt;=EDATE('Scoring Settings'!$B$4,'Scoring Settings'!$B$8))+AND(ISNUMBER(L309),L309&lt;='Scoring Settings'!$B$7))</f>
        <v>2</v>
      </c>
      <c r="AL309" s="5" t="s">
        <v>96</v>
      </c>
      <c r="AM309" s="8" t="str">
        <f>IF(B309="","",IF(Z309="N","Easy",IF(OR(AND(ISNUMBER(AB309),AB309&gt;'Scoring Settings'!$B$11),AND(ISNUMBER(W309),W309&gt;'Scoring Settings'!$B$12),AND(ISNUMBER(M309),M309&lt;='Scoring Settings'!$B$13)),"High","Medium")))</f>
        <v>High</v>
      </c>
      <c r="AN309" s="5" t="s">
        <v>97</v>
      </c>
      <c r="AO309" s="7">
        <v>44742</v>
      </c>
      <c r="AP309" s="5" t="s">
        <v>197</v>
      </c>
      <c r="AQ309" s="29" t="s">
        <v>669</v>
      </c>
    </row>
    <row r="310" spans="1:43" hidden="1">
      <c r="A310" s="28">
        <v>34369</v>
      </c>
      <c r="B310" s="5" t="s">
        <v>1900</v>
      </c>
      <c r="C310" s="5" t="s">
        <v>87</v>
      </c>
      <c r="D310" s="5" t="s">
        <v>88</v>
      </c>
      <c r="E310" s="5" t="s">
        <v>68</v>
      </c>
      <c r="F310" s="5" t="s">
        <v>140</v>
      </c>
      <c r="G310" s="5" t="s">
        <v>284</v>
      </c>
      <c r="H310" s="5" t="s">
        <v>118</v>
      </c>
      <c r="I310" s="6">
        <v>163</v>
      </c>
      <c r="J310" s="7">
        <v>44279</v>
      </c>
      <c r="K310" s="8" t="str">
        <f>IF(B310="","",IF(AND(I310="",J310=""),"Unknown",IF(OR(AND(ISNUMBER(I310),I310=0),AND(ISNUMBER(J310),J310&lt;=EDATE('Scoring Settings'!$B$4,-'Scoring Settings'!$B$5))),"Not in use",IF(AND(ISNUMBER(I310),I310&lt;'Scoring Settings'!$B$6),"Low use","Active"))))</f>
        <v>Active</v>
      </c>
      <c r="L310" s="5">
        <v>3</v>
      </c>
      <c r="M310" s="5">
        <v>3</v>
      </c>
      <c r="N310" s="5"/>
      <c r="O310" s="5" t="s">
        <v>130</v>
      </c>
      <c r="P310" s="5" t="s">
        <v>1901</v>
      </c>
      <c r="Q310" s="9">
        <v>3</v>
      </c>
      <c r="R310" s="5" t="s">
        <v>93</v>
      </c>
      <c r="S310" s="5" t="s">
        <v>94</v>
      </c>
      <c r="T310" s="5" t="s">
        <v>134</v>
      </c>
      <c r="U310" s="7">
        <v>44561</v>
      </c>
      <c r="V310" s="5" t="s">
        <v>135</v>
      </c>
      <c r="W310" s="6">
        <v>2320</v>
      </c>
      <c r="X310" s="5" t="s">
        <v>79</v>
      </c>
      <c r="Y310" s="9">
        <v>3</v>
      </c>
      <c r="Z310" s="5" t="s">
        <v>80</v>
      </c>
      <c r="AA310" s="5" t="s">
        <v>81</v>
      </c>
      <c r="AB310" s="9">
        <v>2</v>
      </c>
      <c r="AC310" s="5" t="s">
        <v>82</v>
      </c>
      <c r="AD310" s="5" t="s">
        <v>79</v>
      </c>
      <c r="AE310" s="5" t="s">
        <v>79</v>
      </c>
      <c r="AF310" s="10">
        <v>46000</v>
      </c>
      <c r="AG310" s="7">
        <v>47118</v>
      </c>
      <c r="AH310" s="10">
        <v>120000</v>
      </c>
      <c r="AI310" s="10">
        <v>24000</v>
      </c>
      <c r="AJ310" s="11">
        <f t="shared" si="4"/>
        <v>60</v>
      </c>
      <c r="AK310" s="12">
        <f>IF(B310="","",OR(K310="Not in use",K310="Low use")+AND(N310&lt;&gt;"",N310&lt;&gt;"TBD")+AND(ISNUMBER(U310),U310&lt;=EDATE('Scoring Settings'!$B$4,'Scoring Settings'!$B$8))+AND(ISNUMBER(L310),L310&lt;='Scoring Settings'!$B$7))</f>
        <v>1</v>
      </c>
      <c r="AL310" s="5" t="s">
        <v>96</v>
      </c>
      <c r="AM310" s="8" t="str">
        <f>IF(B310="","",IF(Z310="N","Easy",IF(OR(AND(ISNUMBER(AB310),AB310&gt;'Scoring Settings'!$B$11),AND(ISNUMBER(W310),W310&gt;'Scoring Settings'!$B$12),AND(ISNUMBER(M310),M310&lt;='Scoring Settings'!$B$13)),"High","Medium")))</f>
        <v>High</v>
      </c>
      <c r="AN310" s="5" t="s">
        <v>97</v>
      </c>
      <c r="AO310" s="7">
        <v>44592</v>
      </c>
      <c r="AP310" s="5" t="s">
        <v>197</v>
      </c>
      <c r="AQ310" s="29" t="s">
        <v>276</v>
      </c>
    </row>
    <row r="311" spans="1:43" hidden="1">
      <c r="A311" s="28">
        <v>87902</v>
      </c>
      <c r="B311" s="5" t="s">
        <v>1907</v>
      </c>
      <c r="C311" s="5" t="s">
        <v>242</v>
      </c>
      <c r="D311" s="5" t="s">
        <v>115</v>
      </c>
      <c r="E311" s="5" t="s">
        <v>68</v>
      </c>
      <c r="F311" s="5" t="s">
        <v>249</v>
      </c>
      <c r="G311" s="5" t="s">
        <v>356</v>
      </c>
      <c r="H311" s="5" t="s">
        <v>129</v>
      </c>
      <c r="I311" s="6">
        <v>0</v>
      </c>
      <c r="J311" s="7">
        <v>43726</v>
      </c>
      <c r="K311" s="8" t="str">
        <f>IF(B311="","",IF(AND(I311="",J311=""),"Unknown",IF(OR(AND(ISNUMBER(I311),I311=0),AND(ISNUMBER(J311),J311&lt;=EDATE('Scoring Settings'!$B$4,-'Scoring Settings'!$B$5))),"Not in use",IF(AND(ISNUMBER(I311),I311&lt;'Scoring Settings'!$B$6),"Low use","Active"))))</f>
        <v>Not in use</v>
      </c>
      <c r="L311" s="5">
        <v>2</v>
      </c>
      <c r="M311" s="5">
        <v>4</v>
      </c>
      <c r="N311" s="5"/>
      <c r="O311" s="5" t="s">
        <v>191</v>
      </c>
      <c r="P311" s="5" t="s">
        <v>192</v>
      </c>
      <c r="Q311" s="9">
        <v>0</v>
      </c>
      <c r="R311" s="5" t="s">
        <v>193</v>
      </c>
      <c r="S311" s="5" t="s">
        <v>318</v>
      </c>
      <c r="T311" s="5" t="s">
        <v>195</v>
      </c>
      <c r="U311" s="7"/>
      <c r="V311" s="5" t="s">
        <v>95</v>
      </c>
      <c r="W311" s="6">
        <v>110</v>
      </c>
      <c r="X311" s="5" t="s">
        <v>80</v>
      </c>
      <c r="Y311" s="9">
        <v>7</v>
      </c>
      <c r="Z311" s="5" t="s">
        <v>80</v>
      </c>
      <c r="AA311" s="5" t="s">
        <v>185</v>
      </c>
      <c r="AB311" s="9">
        <v>3</v>
      </c>
      <c r="AC311" s="5" t="s">
        <v>80</v>
      </c>
      <c r="AD311" s="5" t="s">
        <v>79</v>
      </c>
      <c r="AE311" s="5" t="s">
        <v>82</v>
      </c>
      <c r="AF311" s="10">
        <v>27000</v>
      </c>
      <c r="AG311" s="7">
        <v>46112</v>
      </c>
      <c r="AH311" s="10">
        <v>21500</v>
      </c>
      <c r="AI311" s="10">
        <v>18000</v>
      </c>
      <c r="AJ311" s="11">
        <f t="shared" si="4"/>
        <v>14.333333333333332</v>
      </c>
      <c r="AK311" s="12">
        <f>IF(B311="","",OR(K311="Not in use",K311="Low use")+AND(N311&lt;&gt;"",N311&lt;&gt;"TBD")+AND(ISNUMBER(U311),U311&lt;=EDATE('Scoring Settings'!$B$4,'Scoring Settings'!$B$8))+AND(ISNUMBER(L311),L311&lt;='Scoring Settings'!$B$7))</f>
        <v>2</v>
      </c>
      <c r="AL311" s="5" t="s">
        <v>96</v>
      </c>
      <c r="AM311" s="8" t="str">
        <f>IF(B311="","",IF(Z311="N","Easy",IF(OR(AND(ISNUMBER(AB311),AB311&gt;'Scoring Settings'!$B$11),AND(ISNUMBER(W311),W311&gt;'Scoring Settings'!$B$12),AND(ISNUMBER(M311),M311&lt;='Scoring Settings'!$B$13)),"High","Medium")))</f>
        <v>Medium</v>
      </c>
      <c r="AN311" s="5" t="s">
        <v>97</v>
      </c>
      <c r="AO311" s="7">
        <v>44926</v>
      </c>
      <c r="AP311" s="5" t="s">
        <v>197</v>
      </c>
      <c r="AQ311" s="29" t="s">
        <v>399</v>
      </c>
    </row>
    <row r="312" spans="1:43" hidden="1">
      <c r="A312" s="28">
        <v>150425</v>
      </c>
      <c r="B312" s="5" t="s">
        <v>1908</v>
      </c>
      <c r="C312" s="5" t="s">
        <v>599</v>
      </c>
      <c r="D312" s="5" t="s">
        <v>67</v>
      </c>
      <c r="E312" s="5" t="s">
        <v>311</v>
      </c>
      <c r="F312" s="5" t="s">
        <v>236</v>
      </c>
      <c r="G312" s="5" t="s">
        <v>90</v>
      </c>
      <c r="H312" s="5" t="s">
        <v>174</v>
      </c>
      <c r="I312" s="6">
        <v>311</v>
      </c>
      <c r="J312" s="7">
        <v>44309</v>
      </c>
      <c r="K312" s="8" t="str">
        <f>IF(B312="","",IF(AND(I312="",J312=""),"Unknown",IF(OR(AND(ISNUMBER(I312),I312=0),AND(ISNUMBER(J312),J312&lt;=EDATE('Scoring Settings'!$B$4,-'Scoring Settings'!$B$5))),"Not in use",IF(AND(ISNUMBER(I312),I312&lt;'Scoring Settings'!$B$6),"Low use","Active"))))</f>
        <v>Active</v>
      </c>
      <c r="L312" s="5">
        <v>3</v>
      </c>
      <c r="M312" s="5">
        <v>3</v>
      </c>
      <c r="N312" s="5"/>
      <c r="O312" s="5" t="s">
        <v>130</v>
      </c>
      <c r="P312" s="5" t="s">
        <v>1909</v>
      </c>
      <c r="Q312" s="9">
        <v>3</v>
      </c>
      <c r="R312" s="5" t="s">
        <v>478</v>
      </c>
      <c r="S312" s="5" t="s">
        <v>479</v>
      </c>
      <c r="T312" s="5" t="s">
        <v>168</v>
      </c>
      <c r="U312" s="7">
        <v>43844</v>
      </c>
      <c r="V312" s="5" t="s">
        <v>135</v>
      </c>
      <c r="W312" s="6">
        <v>72</v>
      </c>
      <c r="X312" s="5" t="s">
        <v>80</v>
      </c>
      <c r="Y312" s="9">
        <v>7</v>
      </c>
      <c r="Z312" s="5" t="s">
        <v>79</v>
      </c>
      <c r="AA312" s="5" t="s">
        <v>110</v>
      </c>
      <c r="AB312" s="9">
        <v>3</v>
      </c>
      <c r="AC312" s="5" t="s">
        <v>82</v>
      </c>
      <c r="AD312" s="5" t="s">
        <v>82</v>
      </c>
      <c r="AE312" s="5" t="s">
        <v>80</v>
      </c>
      <c r="AF312" s="10">
        <v>26000</v>
      </c>
      <c r="AG312" s="7">
        <v>48760</v>
      </c>
      <c r="AH312" s="10">
        <v>27500</v>
      </c>
      <c r="AI312" s="10">
        <v>25000</v>
      </c>
      <c r="AJ312" s="11">
        <f t="shared" si="4"/>
        <v>13.200000000000001</v>
      </c>
      <c r="AK312" s="12">
        <f>IF(B312="","",OR(K312="Not in use",K312="Low use")+AND(N312&lt;&gt;"",N312&lt;&gt;"TBD")+AND(ISNUMBER(U312),U312&lt;=EDATE('Scoring Settings'!$B$4,'Scoring Settings'!$B$8))+AND(ISNUMBER(L312),L312&lt;='Scoring Settings'!$B$7))</f>
        <v>1</v>
      </c>
      <c r="AL312" s="5" t="s">
        <v>223</v>
      </c>
      <c r="AM312" s="8" t="str">
        <f>IF(B312="","",IF(Z312="N","Easy",IF(OR(AND(ISNUMBER(AB312),AB312&gt;'Scoring Settings'!$B$11),AND(ISNUMBER(W312),W312&gt;'Scoring Settings'!$B$12),AND(ISNUMBER(M312),M312&lt;='Scoring Settings'!$B$13)),"High","Medium")))</f>
        <v>Easy</v>
      </c>
      <c r="AN312" s="5" t="s">
        <v>97</v>
      </c>
      <c r="AO312" s="7">
        <v>44651</v>
      </c>
      <c r="AP312" s="5" t="s">
        <v>98</v>
      </c>
      <c r="AQ312" s="29" t="s">
        <v>213</v>
      </c>
    </row>
    <row r="313" spans="1:43" ht="42.75" hidden="1">
      <c r="A313" s="28">
        <v>34665</v>
      </c>
      <c r="B313" s="5" t="s">
        <v>1921</v>
      </c>
      <c r="C313" s="5" t="s">
        <v>634</v>
      </c>
      <c r="D313" s="5" t="s">
        <v>297</v>
      </c>
      <c r="E313" s="5" t="s">
        <v>298</v>
      </c>
      <c r="F313" s="5" t="s">
        <v>312</v>
      </c>
      <c r="G313" s="5" t="s">
        <v>226</v>
      </c>
      <c r="H313" s="5" t="s">
        <v>105</v>
      </c>
      <c r="I313" s="6">
        <v>114</v>
      </c>
      <c r="J313" s="7">
        <v>44291</v>
      </c>
      <c r="K313" s="8" t="str">
        <f>IF(B313="","",IF(AND(I313="",J313=""),"Unknown",IF(OR(AND(ISNUMBER(I313),I313=0),AND(ISNUMBER(J313),J313&lt;=EDATE('Scoring Settings'!$B$4,-'Scoring Settings'!$B$5))),"Not in use",IF(AND(ISNUMBER(I313),I313&lt;'Scoring Settings'!$B$6),"Low use","Active"))))</f>
        <v>Active</v>
      </c>
      <c r="L313" s="5">
        <v>3</v>
      </c>
      <c r="M313" s="5">
        <v>2</v>
      </c>
      <c r="N313" s="5"/>
      <c r="O313" s="5" t="s">
        <v>73</v>
      </c>
      <c r="P313" s="5" t="s">
        <v>1922</v>
      </c>
      <c r="Q313" s="9">
        <v>4</v>
      </c>
      <c r="R313" s="5" t="s">
        <v>203</v>
      </c>
      <c r="S313" s="5" t="s">
        <v>204</v>
      </c>
      <c r="T313" s="5" t="s">
        <v>122</v>
      </c>
      <c r="U313" s="7">
        <v>47269</v>
      </c>
      <c r="V313" s="5" t="s">
        <v>135</v>
      </c>
      <c r="W313" s="6">
        <v>20</v>
      </c>
      <c r="X313" s="5" t="s">
        <v>80</v>
      </c>
      <c r="Y313" s="9">
        <v>10</v>
      </c>
      <c r="Z313" s="5" t="s">
        <v>80</v>
      </c>
      <c r="AA313" s="5" t="s">
        <v>81</v>
      </c>
      <c r="AB313" s="9">
        <v>18</v>
      </c>
      <c r="AC313" s="5" t="s">
        <v>79</v>
      </c>
      <c r="AD313" s="5" t="s">
        <v>80</v>
      </c>
      <c r="AE313" s="5" t="s">
        <v>79</v>
      </c>
      <c r="AF313" s="10">
        <v>125000</v>
      </c>
      <c r="AG313" s="7">
        <v>45777</v>
      </c>
      <c r="AH313" s="10">
        <v>146000</v>
      </c>
      <c r="AI313" s="10">
        <v>78500</v>
      </c>
      <c r="AJ313" s="11">
        <f t="shared" si="4"/>
        <v>22.318471337579616</v>
      </c>
      <c r="AK313" s="12">
        <f>IF(B313="","",OR(K313="Not in use",K313="Low use")+AND(N313&lt;&gt;"",N313&lt;&gt;"TBD")+AND(ISNUMBER(U313),U313&lt;=EDATE('Scoring Settings'!$B$4,'Scoring Settings'!$B$8))+AND(ISNUMBER(L313),L313&lt;='Scoring Settings'!$B$7))</f>
        <v>0</v>
      </c>
      <c r="AL313" s="5" t="s">
        <v>96</v>
      </c>
      <c r="AM313" s="8" t="str">
        <f>IF(B313="","",IF(Z313="N","Easy",IF(OR(AND(ISNUMBER(AB313),AB313&gt;'Scoring Settings'!$B$11),AND(ISNUMBER(W313),W313&gt;'Scoring Settings'!$B$12),AND(ISNUMBER(M313),M313&lt;='Scoring Settings'!$B$13)),"High","Medium")))</f>
        <v>High</v>
      </c>
      <c r="AN313" s="5" t="s">
        <v>97</v>
      </c>
      <c r="AO313" s="7">
        <v>44712</v>
      </c>
      <c r="AP313" s="5" t="s">
        <v>98</v>
      </c>
      <c r="AQ313" s="29" t="s">
        <v>780</v>
      </c>
    </row>
    <row r="314" spans="1:43" hidden="1">
      <c r="A314" s="28">
        <v>72461</v>
      </c>
      <c r="B314" s="5" t="s">
        <v>1923</v>
      </c>
      <c r="C314" s="5" t="s">
        <v>371</v>
      </c>
      <c r="D314" s="5" t="s">
        <v>162</v>
      </c>
      <c r="E314" s="5" t="s">
        <v>68</v>
      </c>
      <c r="F314" s="5" t="s">
        <v>69</v>
      </c>
      <c r="G314" s="5" t="s">
        <v>404</v>
      </c>
      <c r="H314" s="5" t="s">
        <v>189</v>
      </c>
      <c r="I314" s="6">
        <v>352</v>
      </c>
      <c r="J314" s="7">
        <v>44313</v>
      </c>
      <c r="K314" s="8" t="str">
        <f>IF(B314="","",IF(AND(I314="",J314=""),"Unknown",IF(OR(AND(ISNUMBER(I314),I314=0),AND(ISNUMBER(J314),J314&lt;=EDATE('Scoring Settings'!$B$4,-'Scoring Settings'!$B$5))),"Not in use",IF(AND(ISNUMBER(I314),I314&lt;'Scoring Settings'!$B$6),"Low use","Active"))))</f>
        <v>Active</v>
      </c>
      <c r="L314" s="5">
        <v>3</v>
      </c>
      <c r="M314" s="5">
        <v>2</v>
      </c>
      <c r="N314" s="5" t="s">
        <v>533</v>
      </c>
      <c r="O314" s="5" t="s">
        <v>73</v>
      </c>
      <c r="P314" s="5" t="s">
        <v>1924</v>
      </c>
      <c r="Q314" s="9">
        <v>7</v>
      </c>
      <c r="R314" s="5" t="s">
        <v>330</v>
      </c>
      <c r="S314" s="5" t="s">
        <v>331</v>
      </c>
      <c r="T314" s="5" t="s">
        <v>184</v>
      </c>
      <c r="U314" s="7">
        <v>45046</v>
      </c>
      <c r="V314" s="5" t="s">
        <v>78</v>
      </c>
      <c r="W314" s="6">
        <v>290</v>
      </c>
      <c r="X314" s="5" t="s">
        <v>79</v>
      </c>
      <c r="Y314" s="9">
        <v>5</v>
      </c>
      <c r="Z314" s="5" t="s">
        <v>79</v>
      </c>
      <c r="AA314" s="5" t="s">
        <v>110</v>
      </c>
      <c r="AB314" s="9">
        <v>5</v>
      </c>
      <c r="AC314" s="5" t="s">
        <v>82</v>
      </c>
      <c r="AD314" s="5" t="s">
        <v>82</v>
      </c>
      <c r="AE314" s="5" t="s">
        <v>79</v>
      </c>
      <c r="AF314" s="10">
        <v>100000</v>
      </c>
      <c r="AG314" s="7">
        <v>46234</v>
      </c>
      <c r="AH314" s="10">
        <v>96000</v>
      </c>
      <c r="AI314" s="10">
        <v>63500</v>
      </c>
      <c r="AJ314" s="11">
        <f t="shared" si="4"/>
        <v>18.141732283464567</v>
      </c>
      <c r="AK314" s="12">
        <f>IF(B314="","",OR(K314="Not in use",K314="Low use")+AND(N314&lt;&gt;"",N314&lt;&gt;"TBD")+AND(ISNUMBER(U314),U314&lt;=EDATE('Scoring Settings'!$B$4,'Scoring Settings'!$B$8))+AND(ISNUMBER(L314),L314&lt;='Scoring Settings'!$B$7))</f>
        <v>1</v>
      </c>
      <c r="AL314" s="5" t="s">
        <v>2217</v>
      </c>
      <c r="AM314" s="8" t="str">
        <f>IF(B314="","",IF(Z314="N","Easy",IF(OR(AND(ISNUMBER(AB314),AB314&gt;'Scoring Settings'!$B$11),AND(ISNUMBER(W314),W314&gt;'Scoring Settings'!$B$12),AND(ISNUMBER(M314),M314&lt;='Scoring Settings'!$B$13)),"High","Medium")))</f>
        <v>Easy</v>
      </c>
      <c r="AN314" s="5" t="s">
        <v>97</v>
      </c>
      <c r="AO314" s="7">
        <v>44592</v>
      </c>
      <c r="AP314" s="5" t="s">
        <v>98</v>
      </c>
      <c r="AQ314" s="29" t="s">
        <v>136</v>
      </c>
    </row>
    <row r="315" spans="1:43" hidden="1">
      <c r="A315" s="28">
        <v>56991</v>
      </c>
      <c r="B315" s="5" t="s">
        <v>1935</v>
      </c>
      <c r="C315" s="5" t="s">
        <v>293</v>
      </c>
      <c r="D315" s="5" t="s">
        <v>162</v>
      </c>
      <c r="E315" s="5" t="s">
        <v>68</v>
      </c>
      <c r="F315" s="5" t="s">
        <v>188</v>
      </c>
      <c r="G315" s="5" t="s">
        <v>226</v>
      </c>
      <c r="H315" s="5" t="s">
        <v>71</v>
      </c>
      <c r="I315" s="6">
        <v>0</v>
      </c>
      <c r="J315" s="7">
        <v>43640</v>
      </c>
      <c r="K315" s="8" t="str">
        <f>IF(B315="","",IF(AND(I315="",J315=""),"Unknown",IF(OR(AND(ISNUMBER(I315),I315=0),AND(ISNUMBER(J315),J315&lt;=EDATE('Scoring Settings'!$B$4,-'Scoring Settings'!$B$5))),"Not in use",IF(AND(ISNUMBER(I315),I315&lt;'Scoring Settings'!$B$6),"Low use","Active"))))</f>
        <v>Not in use</v>
      </c>
      <c r="L315" s="5">
        <v>3</v>
      </c>
      <c r="M315" s="5">
        <v>3</v>
      </c>
      <c r="N315" s="5"/>
      <c r="O315" s="5" t="s">
        <v>73</v>
      </c>
      <c r="P315" s="5" t="s">
        <v>1936</v>
      </c>
      <c r="Q315" s="9">
        <v>4</v>
      </c>
      <c r="R315" s="5" t="s">
        <v>251</v>
      </c>
      <c r="S315" s="5" t="s">
        <v>133</v>
      </c>
      <c r="T315" s="5" t="s">
        <v>109</v>
      </c>
      <c r="U315" s="7">
        <v>44165</v>
      </c>
      <c r="V315" s="5" t="s">
        <v>95</v>
      </c>
      <c r="W315" s="6">
        <v>20</v>
      </c>
      <c r="X315" s="5" t="s">
        <v>80</v>
      </c>
      <c r="Y315" s="9">
        <v>5</v>
      </c>
      <c r="Z315" s="5" t="s">
        <v>80</v>
      </c>
      <c r="AA315" s="5" t="s">
        <v>205</v>
      </c>
      <c r="AB315" s="9">
        <v>7</v>
      </c>
      <c r="AC315" s="5" t="s">
        <v>82</v>
      </c>
      <c r="AD315" s="5" t="s">
        <v>80</v>
      </c>
      <c r="AE315" s="5" t="s">
        <v>79</v>
      </c>
      <c r="AF315" s="10">
        <v>41500</v>
      </c>
      <c r="AG315" s="7">
        <v>46568</v>
      </c>
      <c r="AH315" s="10">
        <v>66000</v>
      </c>
      <c r="AI315" s="10">
        <v>23500</v>
      </c>
      <c r="AJ315" s="11">
        <f t="shared" si="4"/>
        <v>33.702127659574472</v>
      </c>
      <c r="AK315" s="12">
        <f>IF(B315="","",OR(K315="Not in use",K315="Low use")+AND(N315&lt;&gt;"",N315&lt;&gt;"TBD")+AND(ISNUMBER(U315),U315&lt;=EDATE('Scoring Settings'!$B$4,'Scoring Settings'!$B$8))+AND(ISNUMBER(L315),L315&lt;='Scoring Settings'!$B$7))</f>
        <v>2</v>
      </c>
      <c r="AL315" s="5" t="s">
        <v>96</v>
      </c>
      <c r="AM315" s="8" t="str">
        <f>IF(B315="","",IF(Z315="N","Easy",IF(OR(AND(ISNUMBER(AB315),AB315&gt;'Scoring Settings'!$B$11),AND(ISNUMBER(W315),W315&gt;'Scoring Settings'!$B$12),AND(ISNUMBER(M315),M315&lt;='Scoring Settings'!$B$13)),"High","Medium")))</f>
        <v>High</v>
      </c>
      <c r="AN315" s="5" t="s">
        <v>97</v>
      </c>
      <c r="AO315" s="7">
        <v>44742</v>
      </c>
      <c r="AP315" s="5" t="s">
        <v>197</v>
      </c>
      <c r="AQ315" s="29" t="s">
        <v>276</v>
      </c>
    </row>
    <row r="316" spans="1:43" hidden="1">
      <c r="A316" s="28">
        <v>198649</v>
      </c>
      <c r="B316" s="5" t="s">
        <v>1975</v>
      </c>
      <c r="C316" s="5" t="s">
        <v>316</v>
      </c>
      <c r="D316" s="5" t="s">
        <v>67</v>
      </c>
      <c r="E316" s="5" t="s">
        <v>68</v>
      </c>
      <c r="F316" s="5" t="s">
        <v>560</v>
      </c>
      <c r="G316" s="5" t="s">
        <v>284</v>
      </c>
      <c r="H316" s="5" t="s">
        <v>118</v>
      </c>
      <c r="I316" s="6">
        <v>0</v>
      </c>
      <c r="J316" s="7">
        <v>43761</v>
      </c>
      <c r="K316" s="8" t="str">
        <f>IF(B316="","",IF(AND(I316="",J316=""),"Unknown",IF(OR(AND(ISNUMBER(I316),I316=0),AND(ISNUMBER(J316),J316&lt;=EDATE('Scoring Settings'!$B$4,-'Scoring Settings'!$B$5))),"Not in use",IF(AND(ISNUMBER(I316),I316&lt;'Scoring Settings'!$B$6),"Low use","Active"))))</f>
        <v>Not in use</v>
      </c>
      <c r="L316" s="5">
        <v>4</v>
      </c>
      <c r="M316" s="5">
        <v>1</v>
      </c>
      <c r="N316" s="5" t="s">
        <v>317</v>
      </c>
      <c r="O316" s="5" t="s">
        <v>73</v>
      </c>
      <c r="P316" s="5" t="s">
        <v>1893</v>
      </c>
      <c r="Q316" s="9">
        <v>2</v>
      </c>
      <c r="R316" s="5" t="s">
        <v>132</v>
      </c>
      <c r="S316" s="5" t="s">
        <v>133</v>
      </c>
      <c r="T316" s="5" t="s">
        <v>184</v>
      </c>
      <c r="U316" s="7">
        <v>44227</v>
      </c>
      <c r="V316" s="5" t="s">
        <v>95</v>
      </c>
      <c r="W316" s="6">
        <v>18</v>
      </c>
      <c r="X316" s="5" t="s">
        <v>80</v>
      </c>
      <c r="Y316" s="9">
        <v>10</v>
      </c>
      <c r="Z316" s="5" t="s">
        <v>80</v>
      </c>
      <c r="AA316" s="5" t="s">
        <v>123</v>
      </c>
      <c r="AB316" s="9">
        <v>71</v>
      </c>
      <c r="AC316" s="5" t="s">
        <v>82</v>
      </c>
      <c r="AD316" s="5" t="s">
        <v>80</v>
      </c>
      <c r="AE316" s="5" t="s">
        <v>82</v>
      </c>
      <c r="AF316" s="10">
        <v>170000</v>
      </c>
      <c r="AG316" s="7">
        <v>46568</v>
      </c>
      <c r="AH316" s="10">
        <v>376000</v>
      </c>
      <c r="AI316" s="10">
        <v>118000</v>
      </c>
      <c r="AJ316" s="11">
        <f t="shared" si="4"/>
        <v>38.237288135593218</v>
      </c>
      <c r="AK316" s="12">
        <f>IF(B316="","",OR(K316="Not in use",K316="Low use")+AND(N316&lt;&gt;"",N316&lt;&gt;"TBD")+AND(ISNUMBER(U316),U316&lt;=EDATE('Scoring Settings'!$B$4,'Scoring Settings'!$B$8))+AND(ISNUMBER(L316),L316&lt;='Scoring Settings'!$B$7))</f>
        <v>3</v>
      </c>
      <c r="AL316" s="5" t="s">
        <v>2217</v>
      </c>
      <c r="AM316" s="8" t="str">
        <f>IF(B316="","",IF(Z316="N","Easy",IF(OR(AND(ISNUMBER(AB316),AB316&gt;'Scoring Settings'!$B$11),AND(ISNUMBER(W316),W316&gt;'Scoring Settings'!$B$12),AND(ISNUMBER(M316),M316&lt;='Scoring Settings'!$B$13)),"High","Medium")))</f>
        <v>High</v>
      </c>
      <c r="AN316" s="5" t="s">
        <v>97</v>
      </c>
      <c r="AO316" s="7">
        <v>44712</v>
      </c>
      <c r="AP316" s="5" t="s">
        <v>98</v>
      </c>
      <c r="AQ316" s="29" t="s">
        <v>149</v>
      </c>
    </row>
    <row r="317" spans="1:43" hidden="1">
      <c r="A317" s="28">
        <v>188650</v>
      </c>
      <c r="B317" s="5" t="s">
        <v>1978</v>
      </c>
      <c r="C317" s="5" t="s">
        <v>667</v>
      </c>
      <c r="D317" s="5" t="s">
        <v>115</v>
      </c>
      <c r="E317" s="5" t="s">
        <v>68</v>
      </c>
      <c r="F317" s="5" t="s">
        <v>163</v>
      </c>
      <c r="G317" s="5" t="s">
        <v>70</v>
      </c>
      <c r="H317" s="5" t="s">
        <v>189</v>
      </c>
      <c r="I317" s="6">
        <v>0</v>
      </c>
      <c r="J317" s="7">
        <v>43896</v>
      </c>
      <c r="K317" s="8" t="str">
        <f>IF(B317="","",IF(AND(I317="",J317=""),"Unknown",IF(OR(AND(ISNUMBER(I317),I317=0),AND(ISNUMBER(J317),J317&lt;=EDATE('Scoring Settings'!$B$4,-'Scoring Settings'!$B$5))),"Not in use",IF(AND(ISNUMBER(I317),I317&lt;'Scoring Settings'!$B$6),"Low use","Active"))))</f>
        <v>Not in use</v>
      </c>
      <c r="L317" s="5">
        <v>1</v>
      </c>
      <c r="M317" s="5">
        <v>4</v>
      </c>
      <c r="N317" s="5" t="s">
        <v>72</v>
      </c>
      <c r="O317" s="5" t="s">
        <v>73</v>
      </c>
      <c r="P317" s="5" t="s">
        <v>1979</v>
      </c>
      <c r="Q317" s="9">
        <v>3</v>
      </c>
      <c r="R317" s="5" t="s">
        <v>478</v>
      </c>
      <c r="S317" s="5" t="s">
        <v>479</v>
      </c>
      <c r="T317" s="5" t="s">
        <v>77</v>
      </c>
      <c r="U317" s="7">
        <v>43844</v>
      </c>
      <c r="V317" s="5" t="s">
        <v>135</v>
      </c>
      <c r="W317" s="6">
        <v>13160</v>
      </c>
      <c r="X317" s="5" t="s">
        <v>80</v>
      </c>
      <c r="Y317" s="9">
        <v>7</v>
      </c>
      <c r="Z317" s="5" t="s">
        <v>80</v>
      </c>
      <c r="AA317" s="5" t="s">
        <v>81</v>
      </c>
      <c r="AB317" s="9">
        <v>2</v>
      </c>
      <c r="AC317" s="5" t="s">
        <v>82</v>
      </c>
      <c r="AD317" s="5" t="s">
        <v>79</v>
      </c>
      <c r="AE317" s="5" t="s">
        <v>82</v>
      </c>
      <c r="AF317" s="10">
        <v>50000</v>
      </c>
      <c r="AG317" s="7">
        <v>49582</v>
      </c>
      <c r="AH317" s="10">
        <v>241000</v>
      </c>
      <c r="AI317" s="10">
        <v>34000</v>
      </c>
      <c r="AJ317" s="11">
        <f t="shared" si="4"/>
        <v>85.058823529411768</v>
      </c>
      <c r="AK317" s="12">
        <f>IF(B317="","",OR(K317="Not in use",K317="Low use")+AND(N317&lt;&gt;"",N317&lt;&gt;"TBD")+AND(ISNUMBER(U317),U317&lt;=EDATE('Scoring Settings'!$B$4,'Scoring Settings'!$B$8))+AND(ISNUMBER(L317),L317&lt;='Scoring Settings'!$B$7))</f>
        <v>3</v>
      </c>
      <c r="AL317" s="5" t="s">
        <v>96</v>
      </c>
      <c r="AM317" s="8" t="str">
        <f>IF(B317="","",IF(Z317="N","Easy",IF(OR(AND(ISNUMBER(AB317),AB317&gt;'Scoring Settings'!$B$11),AND(ISNUMBER(W317),W317&gt;'Scoring Settings'!$B$12),AND(ISNUMBER(M317),M317&lt;='Scoring Settings'!$B$13)),"High","Medium")))</f>
        <v>High</v>
      </c>
      <c r="AN317" s="5" t="s">
        <v>97</v>
      </c>
      <c r="AO317" s="7">
        <v>44834</v>
      </c>
      <c r="AP317" s="5" t="s">
        <v>197</v>
      </c>
      <c r="AQ317" s="29" t="s">
        <v>276</v>
      </c>
    </row>
    <row r="318" spans="1:43" hidden="1">
      <c r="A318" s="28">
        <v>172355</v>
      </c>
      <c r="B318" s="5" t="s">
        <v>1980</v>
      </c>
      <c r="C318" s="5" t="s">
        <v>293</v>
      </c>
      <c r="D318" s="5" t="s">
        <v>162</v>
      </c>
      <c r="E318" s="5" t="s">
        <v>68</v>
      </c>
      <c r="F318" s="5" t="s">
        <v>157</v>
      </c>
      <c r="G318" s="5" t="s">
        <v>104</v>
      </c>
      <c r="H318" s="5" t="s">
        <v>129</v>
      </c>
      <c r="I318" s="6">
        <v>159</v>
      </c>
      <c r="J318" s="7">
        <v>44315</v>
      </c>
      <c r="K318" s="8" t="str">
        <f>IF(B318="","",IF(AND(I318="",J318=""),"Unknown",IF(OR(AND(ISNUMBER(I318),I318=0),AND(ISNUMBER(J318),J318&lt;=EDATE('Scoring Settings'!$B$4,-'Scoring Settings'!$B$5))),"Not in use",IF(AND(ISNUMBER(I318),I318&lt;'Scoring Settings'!$B$6),"Low use","Active"))))</f>
        <v>Active</v>
      </c>
      <c r="L318" s="5">
        <v>1</v>
      </c>
      <c r="M318" s="5">
        <v>3</v>
      </c>
      <c r="N318" s="5" t="s">
        <v>458</v>
      </c>
      <c r="O318" s="5" t="s">
        <v>73</v>
      </c>
      <c r="P318" s="5" t="s">
        <v>1936</v>
      </c>
      <c r="Q318" s="9">
        <v>4</v>
      </c>
      <c r="R318" s="5" t="s">
        <v>239</v>
      </c>
      <c r="S318" s="5" t="s">
        <v>240</v>
      </c>
      <c r="T318" s="5" t="s">
        <v>109</v>
      </c>
      <c r="U318" s="7">
        <v>44316</v>
      </c>
      <c r="V318" s="5" t="s">
        <v>135</v>
      </c>
      <c r="W318" s="6">
        <v>3720</v>
      </c>
      <c r="X318" s="5" t="s">
        <v>80</v>
      </c>
      <c r="Y318" s="9">
        <v>10</v>
      </c>
      <c r="Z318" s="5" t="s">
        <v>80</v>
      </c>
      <c r="AA318" s="5" t="s">
        <v>205</v>
      </c>
      <c r="AB318" s="9">
        <v>6</v>
      </c>
      <c r="AC318" s="5" t="s">
        <v>80</v>
      </c>
      <c r="AD318" s="5" t="s">
        <v>82</v>
      </c>
      <c r="AE318" s="5" t="s">
        <v>79</v>
      </c>
      <c r="AF318" s="10">
        <v>60000</v>
      </c>
      <c r="AG318" s="7">
        <v>48822</v>
      </c>
      <c r="AH318" s="10">
        <v>137500</v>
      </c>
      <c r="AI318" s="10">
        <v>34000</v>
      </c>
      <c r="AJ318" s="11">
        <f t="shared" si="4"/>
        <v>48.529411764705884</v>
      </c>
      <c r="AK318" s="12">
        <f>IF(B318="","",OR(K318="Not in use",K318="Low use")+AND(N318&lt;&gt;"",N318&lt;&gt;"TBD")+AND(ISNUMBER(U318),U318&lt;=EDATE('Scoring Settings'!$B$4,'Scoring Settings'!$B$8))+AND(ISNUMBER(L318),L318&lt;='Scoring Settings'!$B$7))</f>
        <v>3</v>
      </c>
      <c r="AL318" s="5" t="s">
        <v>96</v>
      </c>
      <c r="AM318" s="8" t="str">
        <f>IF(B318="","",IF(Z318="N","Easy",IF(OR(AND(ISNUMBER(AB318),AB318&gt;'Scoring Settings'!$B$11),AND(ISNUMBER(W318),W318&gt;'Scoring Settings'!$B$12),AND(ISNUMBER(M318),M318&lt;='Scoring Settings'!$B$13)),"High","Medium")))</f>
        <v>High</v>
      </c>
      <c r="AN318" s="5" t="s">
        <v>97</v>
      </c>
      <c r="AO318" s="7">
        <v>44651</v>
      </c>
      <c r="AP318" s="5" t="s">
        <v>98</v>
      </c>
      <c r="AQ318" s="29" t="s">
        <v>170</v>
      </c>
    </row>
    <row r="319" spans="1:43" hidden="1">
      <c r="A319" s="28">
        <v>18566</v>
      </c>
      <c r="B319" s="5" t="s">
        <v>2006</v>
      </c>
      <c r="C319" s="5" t="s">
        <v>453</v>
      </c>
      <c r="D319" s="5" t="s">
        <v>67</v>
      </c>
      <c r="E319" s="5" t="s">
        <v>298</v>
      </c>
      <c r="F319" s="5" t="s">
        <v>127</v>
      </c>
      <c r="G319" s="5" t="s">
        <v>128</v>
      </c>
      <c r="H319" s="5" t="s">
        <v>174</v>
      </c>
      <c r="I319" s="6">
        <v>82</v>
      </c>
      <c r="J319" s="7">
        <v>44306</v>
      </c>
      <c r="K319" s="8" t="str">
        <f>IF(B319="","",IF(AND(I319="",J319=""),"Unknown",IF(OR(AND(ISNUMBER(I319),I319=0),AND(ISNUMBER(J319),J319&lt;=EDATE('Scoring Settings'!$B$4,-'Scoring Settings'!$B$5))),"Not in use",IF(AND(ISNUMBER(I319),I319&lt;'Scoring Settings'!$B$6),"Low use","Active"))))</f>
        <v>Active</v>
      </c>
      <c r="L319" s="5">
        <v>2</v>
      </c>
      <c r="M319" s="5">
        <v>4</v>
      </c>
      <c r="N319" s="5" t="s">
        <v>72</v>
      </c>
      <c r="O319" s="5" t="s">
        <v>191</v>
      </c>
      <c r="P319" s="5" t="s">
        <v>192</v>
      </c>
      <c r="Q319" s="9">
        <v>0</v>
      </c>
      <c r="R319" s="5" t="s">
        <v>193</v>
      </c>
      <c r="S319" s="5" t="s">
        <v>194</v>
      </c>
      <c r="T319" s="5" t="s">
        <v>195</v>
      </c>
      <c r="U319" s="7"/>
      <c r="V319" s="5" t="s">
        <v>135</v>
      </c>
      <c r="W319" s="6">
        <v>1350</v>
      </c>
      <c r="X319" s="5" t="s">
        <v>80</v>
      </c>
      <c r="Y319" s="9">
        <v>10</v>
      </c>
      <c r="Z319" s="5" t="s">
        <v>80</v>
      </c>
      <c r="AA319" s="5" t="s">
        <v>81</v>
      </c>
      <c r="AB319" s="9">
        <v>3</v>
      </c>
      <c r="AC319" s="5" t="s">
        <v>80</v>
      </c>
      <c r="AD319" s="5" t="s">
        <v>79</v>
      </c>
      <c r="AE319" s="5" t="s">
        <v>79</v>
      </c>
      <c r="AF319" s="10">
        <v>23000</v>
      </c>
      <c r="AG319" s="7">
        <v>49429</v>
      </c>
      <c r="AH319" s="10">
        <v>17500</v>
      </c>
      <c r="AI319" s="10">
        <v>16500</v>
      </c>
      <c r="AJ319" s="11">
        <f t="shared" si="4"/>
        <v>12.727272727272727</v>
      </c>
      <c r="AK319" s="12">
        <f>IF(B319="","",OR(K319="Not in use",K319="Low use")+AND(N319&lt;&gt;"",N319&lt;&gt;"TBD")+AND(ISNUMBER(U319),U319&lt;=EDATE('Scoring Settings'!$B$4,'Scoring Settings'!$B$8))+AND(ISNUMBER(L319),L319&lt;='Scoring Settings'!$B$7))</f>
        <v>1</v>
      </c>
      <c r="AL319" s="5" t="s">
        <v>96</v>
      </c>
      <c r="AM319" s="8" t="str">
        <f>IF(B319="","",IF(Z319="N","Easy",IF(OR(AND(ISNUMBER(AB319),AB319&gt;'Scoring Settings'!$B$11),AND(ISNUMBER(W319),W319&gt;'Scoring Settings'!$B$12),AND(ISNUMBER(M319),M319&lt;='Scoring Settings'!$B$13)),"High","Medium")))</f>
        <v>High</v>
      </c>
      <c r="AN319" s="5" t="s">
        <v>97</v>
      </c>
      <c r="AO319" s="7">
        <v>44834</v>
      </c>
      <c r="AP319" s="5" t="s">
        <v>98</v>
      </c>
      <c r="AQ319" s="29" t="s">
        <v>136</v>
      </c>
    </row>
    <row r="320" spans="1:43" hidden="1">
      <c r="A320" s="28">
        <v>147349</v>
      </c>
      <c r="B320" s="5" t="s">
        <v>2011</v>
      </c>
      <c r="C320" s="5" t="s">
        <v>161</v>
      </c>
      <c r="D320" s="5" t="s">
        <v>162</v>
      </c>
      <c r="E320" s="5" t="s">
        <v>68</v>
      </c>
      <c r="F320" s="5" t="s">
        <v>201</v>
      </c>
      <c r="G320" s="5" t="s">
        <v>271</v>
      </c>
      <c r="H320" s="5" t="s">
        <v>189</v>
      </c>
      <c r="I320" s="6">
        <v>20</v>
      </c>
      <c r="J320" s="7">
        <v>44171</v>
      </c>
      <c r="K320" s="8" t="str">
        <f>IF(B320="","",IF(AND(I320="",J320=""),"Unknown",IF(OR(AND(ISNUMBER(I320),I320=0),AND(ISNUMBER(J320),J320&lt;=EDATE('Scoring Settings'!$B$4,-'Scoring Settings'!$B$5))),"Not in use",IF(AND(ISNUMBER(I320),I320&lt;'Scoring Settings'!$B$6),"Low use","Active"))))</f>
        <v>Low use</v>
      </c>
      <c r="L320" s="5">
        <v>3</v>
      </c>
      <c r="M320" s="5">
        <v>4</v>
      </c>
      <c r="N320" s="5" t="s">
        <v>678</v>
      </c>
      <c r="O320" s="5" t="s">
        <v>73</v>
      </c>
      <c r="P320" s="5" t="s">
        <v>2012</v>
      </c>
      <c r="Q320" s="9">
        <v>3</v>
      </c>
      <c r="R320" s="5" t="s">
        <v>239</v>
      </c>
      <c r="S320" s="5" t="s">
        <v>240</v>
      </c>
      <c r="T320" s="5" t="s">
        <v>77</v>
      </c>
      <c r="U320" s="7">
        <v>44316</v>
      </c>
      <c r="V320" s="5" t="s">
        <v>95</v>
      </c>
      <c r="W320" s="6">
        <v>61</v>
      </c>
      <c r="X320" s="5" t="s">
        <v>79</v>
      </c>
      <c r="Y320" s="9">
        <v>2</v>
      </c>
      <c r="Z320" s="5" t="s">
        <v>79</v>
      </c>
      <c r="AA320" s="5" t="s">
        <v>110</v>
      </c>
      <c r="AB320" s="9">
        <v>2</v>
      </c>
      <c r="AC320" s="5" t="s">
        <v>79</v>
      </c>
      <c r="AD320" s="5" t="s">
        <v>82</v>
      </c>
      <c r="AE320" s="5" t="s">
        <v>82</v>
      </c>
      <c r="AF320" s="10">
        <v>55000</v>
      </c>
      <c r="AG320" s="7">
        <v>46721</v>
      </c>
      <c r="AH320" s="10">
        <v>62500</v>
      </c>
      <c r="AI320" s="10">
        <v>47000</v>
      </c>
      <c r="AJ320" s="11">
        <f t="shared" si="4"/>
        <v>15.957446808510639</v>
      </c>
      <c r="AK320" s="12">
        <f>IF(B320="","",OR(K320="Not in use",K320="Low use")+AND(N320&lt;&gt;"",N320&lt;&gt;"TBD")+AND(ISNUMBER(U320),U320&lt;=EDATE('Scoring Settings'!$B$4,'Scoring Settings'!$B$8))+AND(ISNUMBER(L320),L320&lt;='Scoring Settings'!$B$7))</f>
        <v>3</v>
      </c>
      <c r="AL320" s="5" t="s">
        <v>223</v>
      </c>
      <c r="AM320" s="8" t="str">
        <f>IF(B320="","",IF(Z320="N","Easy",IF(OR(AND(ISNUMBER(AB320),AB320&gt;'Scoring Settings'!$B$11),AND(ISNUMBER(W320),W320&gt;'Scoring Settings'!$B$12),AND(ISNUMBER(M320),M320&lt;='Scoring Settings'!$B$13)),"High","Medium")))</f>
        <v>Easy</v>
      </c>
      <c r="AN320" s="5" t="s">
        <v>97</v>
      </c>
      <c r="AO320" s="7">
        <v>44895</v>
      </c>
      <c r="AP320" s="5" t="s">
        <v>98</v>
      </c>
      <c r="AQ320" s="29" t="s">
        <v>213</v>
      </c>
    </row>
    <row r="321" spans="1:43" hidden="1">
      <c r="A321" s="28">
        <v>64511</v>
      </c>
      <c r="B321" s="5" t="s">
        <v>2013</v>
      </c>
      <c r="C321" s="5" t="s">
        <v>215</v>
      </c>
      <c r="D321" s="5" t="s">
        <v>139</v>
      </c>
      <c r="E321" s="5" t="s">
        <v>68</v>
      </c>
      <c r="F321" s="5" t="s">
        <v>346</v>
      </c>
      <c r="G321" s="5" t="s">
        <v>221</v>
      </c>
      <c r="H321" s="5" t="s">
        <v>91</v>
      </c>
      <c r="I321" s="6">
        <v>13</v>
      </c>
      <c r="J321" s="7">
        <v>44203</v>
      </c>
      <c r="K321" s="8" t="str">
        <f>IF(B321="","",IF(AND(I321="",J321=""),"Unknown",IF(OR(AND(ISNUMBER(I321),I321=0),AND(ISNUMBER(J321),J321&lt;=EDATE('Scoring Settings'!$B$4,-'Scoring Settings'!$B$5))),"Not in use",IF(AND(ISNUMBER(I321),I321&lt;'Scoring Settings'!$B$6),"Low use","Active"))))</f>
        <v>Low use</v>
      </c>
      <c r="L321" s="5">
        <v>1</v>
      </c>
      <c r="M321" s="5">
        <v>4</v>
      </c>
      <c r="N321" s="5"/>
      <c r="O321" s="5" t="s">
        <v>73</v>
      </c>
      <c r="P321" s="5" t="s">
        <v>477</v>
      </c>
      <c r="Q321" s="9">
        <v>2</v>
      </c>
      <c r="R321" s="5" t="s">
        <v>256</v>
      </c>
      <c r="S321" s="5" t="s">
        <v>257</v>
      </c>
      <c r="T321" s="5" t="s">
        <v>109</v>
      </c>
      <c r="U321" s="7">
        <v>45077</v>
      </c>
      <c r="V321" s="5" t="s">
        <v>95</v>
      </c>
      <c r="W321" s="6">
        <v>4160</v>
      </c>
      <c r="X321" s="5" t="s">
        <v>79</v>
      </c>
      <c r="Y321" s="9">
        <v>7</v>
      </c>
      <c r="Z321" s="5" t="s">
        <v>80</v>
      </c>
      <c r="AA321" s="5" t="s">
        <v>185</v>
      </c>
      <c r="AB321" s="9">
        <v>1</v>
      </c>
      <c r="AC321" s="5" t="s">
        <v>82</v>
      </c>
      <c r="AD321" s="5" t="s">
        <v>79</v>
      </c>
      <c r="AE321" s="5" t="s">
        <v>79</v>
      </c>
      <c r="AF321" s="10">
        <v>32500</v>
      </c>
      <c r="AG321" s="7">
        <v>49552</v>
      </c>
      <c r="AH321" s="10">
        <v>118000</v>
      </c>
      <c r="AI321" s="10">
        <v>23000</v>
      </c>
      <c r="AJ321" s="11">
        <f t="shared" si="4"/>
        <v>61.565217391304344</v>
      </c>
      <c r="AK321" s="12">
        <f>IF(B321="","",OR(K321="Not in use",K321="Low use")+AND(N321&lt;&gt;"",N321&lt;&gt;"TBD")+AND(ISNUMBER(U321),U321&lt;=EDATE('Scoring Settings'!$B$4,'Scoring Settings'!$B$8))+AND(ISNUMBER(L321),L321&lt;='Scoring Settings'!$B$7))</f>
        <v>2</v>
      </c>
      <c r="AL321" s="5" t="s">
        <v>96</v>
      </c>
      <c r="AM321" s="8" t="str">
        <f>IF(B321="","",IF(Z321="N","Easy",IF(OR(AND(ISNUMBER(AB321),AB321&gt;'Scoring Settings'!$B$11),AND(ISNUMBER(W321),W321&gt;'Scoring Settings'!$B$12),AND(ISNUMBER(M321),M321&lt;='Scoring Settings'!$B$13)),"High","Medium")))</f>
        <v>High</v>
      </c>
      <c r="AN321" s="5" t="s">
        <v>97</v>
      </c>
      <c r="AO321" s="7">
        <v>44651</v>
      </c>
      <c r="AP321" s="5" t="s">
        <v>98</v>
      </c>
      <c r="AQ321" s="29" t="s">
        <v>213</v>
      </c>
    </row>
    <row r="322" spans="1:43" hidden="1">
      <c r="A322" s="28">
        <v>149409</v>
      </c>
      <c r="B322" s="5" t="s">
        <v>2027</v>
      </c>
      <c r="C322" s="5" t="s">
        <v>380</v>
      </c>
      <c r="D322" s="5" t="s">
        <v>102</v>
      </c>
      <c r="E322" s="5" t="s">
        <v>68</v>
      </c>
      <c r="F322" s="5" t="s">
        <v>243</v>
      </c>
      <c r="G322" s="5" t="s">
        <v>356</v>
      </c>
      <c r="H322" s="5" t="s">
        <v>71</v>
      </c>
      <c r="I322" s="6">
        <v>46</v>
      </c>
      <c r="J322" s="7">
        <v>44295</v>
      </c>
      <c r="K322" s="8" t="str">
        <f>IF(B322="","",IF(AND(I322="",J322=""),"Unknown",IF(OR(AND(ISNUMBER(I322),I322=0),AND(ISNUMBER(J322),J322&lt;=EDATE('Scoring Settings'!$B$4,-'Scoring Settings'!$B$5))),"Not in use",IF(AND(ISNUMBER(I322),I322&lt;'Scoring Settings'!$B$6),"Low use","Active"))))</f>
        <v>Active</v>
      </c>
      <c r="L322" s="5">
        <v>2</v>
      </c>
      <c r="M322" s="5">
        <v>3</v>
      </c>
      <c r="N322" s="5" t="s">
        <v>1163</v>
      </c>
      <c r="O322" s="5" t="s">
        <v>73</v>
      </c>
      <c r="P322" s="5" t="s">
        <v>702</v>
      </c>
      <c r="Q322" s="9">
        <v>3</v>
      </c>
      <c r="R322" s="5" t="s">
        <v>166</v>
      </c>
      <c r="S322" s="5" t="s">
        <v>564</v>
      </c>
      <c r="T322" s="5" t="s">
        <v>184</v>
      </c>
      <c r="U322" s="7">
        <v>44754</v>
      </c>
      <c r="V322" s="5" t="s">
        <v>95</v>
      </c>
      <c r="W322" s="6">
        <v>230</v>
      </c>
      <c r="X322" s="5" t="s">
        <v>79</v>
      </c>
      <c r="Y322" s="9">
        <v>3</v>
      </c>
      <c r="Z322" s="5" t="s">
        <v>80</v>
      </c>
      <c r="AA322" s="5" t="s">
        <v>185</v>
      </c>
      <c r="AB322" s="9">
        <v>3</v>
      </c>
      <c r="AC322" s="5" t="s">
        <v>82</v>
      </c>
      <c r="AD322" s="5" t="s">
        <v>79</v>
      </c>
      <c r="AE322" s="5" t="s">
        <v>80</v>
      </c>
      <c r="AF322" s="10">
        <v>21500</v>
      </c>
      <c r="AG322" s="7">
        <v>46599</v>
      </c>
      <c r="AH322" s="10">
        <v>23000</v>
      </c>
      <c r="AI322" s="10">
        <v>11000</v>
      </c>
      <c r="AJ322" s="11">
        <f t="shared" si="4"/>
        <v>25.09090909090909</v>
      </c>
      <c r="AK322" s="12">
        <f>IF(B322="","",OR(K322="Not in use",K322="Low use")+AND(N322&lt;&gt;"",N322&lt;&gt;"TBD")+AND(ISNUMBER(U322),U322&lt;=EDATE('Scoring Settings'!$B$4,'Scoring Settings'!$B$8))+AND(ISNUMBER(L322),L322&lt;='Scoring Settings'!$B$7))</f>
        <v>2</v>
      </c>
      <c r="AL322" s="5" t="s">
        <v>96</v>
      </c>
      <c r="AM322" s="8" t="str">
        <f>IF(B322="","",IF(Z322="N","Easy",IF(OR(AND(ISNUMBER(AB322),AB322&gt;'Scoring Settings'!$B$11),AND(ISNUMBER(W322),W322&gt;'Scoring Settings'!$B$12),AND(ISNUMBER(M322),M322&lt;='Scoring Settings'!$B$13)),"High","Medium")))</f>
        <v>Medium</v>
      </c>
      <c r="AN322" s="5" t="s">
        <v>97</v>
      </c>
      <c r="AO322" s="7">
        <v>44681</v>
      </c>
      <c r="AP322" s="5" t="s">
        <v>98</v>
      </c>
      <c r="AQ322" s="29" t="s">
        <v>136</v>
      </c>
    </row>
    <row r="323" spans="1:43" ht="42.75" hidden="1">
      <c r="A323" s="28">
        <v>151118</v>
      </c>
      <c r="B323" s="5" t="s">
        <v>2028</v>
      </c>
      <c r="C323" s="5" t="s">
        <v>259</v>
      </c>
      <c r="D323" s="5" t="s">
        <v>67</v>
      </c>
      <c r="E323" s="5" t="s">
        <v>68</v>
      </c>
      <c r="F323" s="5" t="s">
        <v>312</v>
      </c>
      <c r="G323" s="5" t="s">
        <v>90</v>
      </c>
      <c r="H323" s="5" t="s">
        <v>189</v>
      </c>
      <c r="I323" s="6">
        <v>18</v>
      </c>
      <c r="J323" s="7">
        <v>44226</v>
      </c>
      <c r="K323" s="8" t="str">
        <f>IF(B323="","",IF(AND(I323="",J323=""),"Unknown",IF(OR(AND(ISNUMBER(I323),I323=0),AND(ISNUMBER(J323),J323&lt;=EDATE('Scoring Settings'!$B$4,-'Scoring Settings'!$B$5))),"Not in use",IF(AND(ISNUMBER(I323),I323&lt;'Scoring Settings'!$B$6),"Low use","Active"))))</f>
        <v>Low use</v>
      </c>
      <c r="L323" s="5">
        <v>2</v>
      </c>
      <c r="M323" s="5">
        <v>4</v>
      </c>
      <c r="N323" s="5"/>
      <c r="O323" s="5" t="s">
        <v>73</v>
      </c>
      <c r="P323" s="5" t="s">
        <v>2029</v>
      </c>
      <c r="Q323" s="9">
        <v>1</v>
      </c>
      <c r="R323" s="5" t="s">
        <v>166</v>
      </c>
      <c r="S323" s="5" t="s">
        <v>308</v>
      </c>
      <c r="T323" s="5" t="s">
        <v>184</v>
      </c>
      <c r="U323" s="7">
        <v>45209</v>
      </c>
      <c r="V323" s="5" t="s">
        <v>78</v>
      </c>
      <c r="W323" s="6">
        <v>510</v>
      </c>
      <c r="X323" s="5" t="s">
        <v>80</v>
      </c>
      <c r="Y323" s="9">
        <v>10</v>
      </c>
      <c r="Z323" s="5" t="s">
        <v>79</v>
      </c>
      <c r="AA323" s="5" t="s">
        <v>110</v>
      </c>
      <c r="AB323" s="9">
        <v>2</v>
      </c>
      <c r="AC323" s="5" t="s">
        <v>79</v>
      </c>
      <c r="AD323" s="5" t="s">
        <v>79</v>
      </c>
      <c r="AE323" s="5" t="s">
        <v>82</v>
      </c>
      <c r="AF323" s="10">
        <v>20000</v>
      </c>
      <c r="AG323" s="7">
        <v>47999</v>
      </c>
      <c r="AH323" s="10">
        <v>20500</v>
      </c>
      <c r="AI323" s="10">
        <v>16000</v>
      </c>
      <c r="AJ323" s="11">
        <f t="shared" si="4"/>
        <v>15.375</v>
      </c>
      <c r="AK323" s="12">
        <f>IF(B323="","",OR(K323="Not in use",K323="Low use")+AND(N323&lt;&gt;"",N323&lt;&gt;"TBD")+AND(ISNUMBER(U323),U323&lt;=EDATE('Scoring Settings'!$B$4,'Scoring Settings'!$B$8))+AND(ISNUMBER(L323),L323&lt;='Scoring Settings'!$B$7))</f>
        <v>2</v>
      </c>
      <c r="AL323" s="5" t="s">
        <v>223</v>
      </c>
      <c r="AM323" s="8" t="str">
        <f>IF(B323="","",IF(Z323="N","Easy",IF(OR(AND(ISNUMBER(AB323),AB323&gt;'Scoring Settings'!$B$11),AND(ISNUMBER(W323),W323&gt;'Scoring Settings'!$B$12),AND(ISNUMBER(M323),M323&lt;='Scoring Settings'!$B$13)),"High","Medium")))</f>
        <v>Easy</v>
      </c>
      <c r="AN323" s="5" t="s">
        <v>97</v>
      </c>
      <c r="AO323" s="7">
        <v>44712</v>
      </c>
      <c r="AP323" s="5" t="s">
        <v>197</v>
      </c>
      <c r="AQ323" s="29" t="s">
        <v>716</v>
      </c>
    </row>
    <row r="324" spans="1:43" ht="28.5" hidden="1">
      <c r="A324" s="28">
        <v>139635</v>
      </c>
      <c r="B324" s="5" t="s">
        <v>2035</v>
      </c>
      <c r="C324" s="5" t="s">
        <v>634</v>
      </c>
      <c r="D324" s="5" t="s">
        <v>297</v>
      </c>
      <c r="E324" s="5" t="s">
        <v>68</v>
      </c>
      <c r="F324" s="5" t="s">
        <v>288</v>
      </c>
      <c r="G324" s="5" t="s">
        <v>404</v>
      </c>
      <c r="H324" s="5" t="s">
        <v>129</v>
      </c>
      <c r="I324" s="6">
        <v>51</v>
      </c>
      <c r="J324" s="7">
        <v>44303</v>
      </c>
      <c r="K324" s="8" t="str">
        <f>IF(B324="","",IF(AND(I324="",J324=""),"Unknown",IF(OR(AND(ISNUMBER(I324),I324=0),AND(ISNUMBER(J324),J324&lt;=EDATE('Scoring Settings'!$B$4,-'Scoring Settings'!$B$5))),"Not in use",IF(AND(ISNUMBER(I324),I324&lt;'Scoring Settings'!$B$6),"Low use","Active"))))</f>
        <v>Active</v>
      </c>
      <c r="L324" s="5">
        <v>2</v>
      </c>
      <c r="M324" s="5">
        <v>4</v>
      </c>
      <c r="N324" s="5" t="s">
        <v>306</v>
      </c>
      <c r="O324" s="5" t="s">
        <v>73</v>
      </c>
      <c r="P324" s="5" t="s">
        <v>2036</v>
      </c>
      <c r="Q324" s="9">
        <v>1</v>
      </c>
      <c r="R324" s="5" t="s">
        <v>166</v>
      </c>
      <c r="S324" s="5" t="s">
        <v>167</v>
      </c>
      <c r="T324" s="5" t="s">
        <v>109</v>
      </c>
      <c r="U324" s="7">
        <v>45482</v>
      </c>
      <c r="V324" s="5" t="s">
        <v>135</v>
      </c>
      <c r="W324" s="6">
        <v>11</v>
      </c>
      <c r="X324" s="5" t="s">
        <v>79</v>
      </c>
      <c r="Y324" s="9">
        <v>2</v>
      </c>
      <c r="Z324" s="5" t="s">
        <v>80</v>
      </c>
      <c r="AA324" s="5" t="s">
        <v>205</v>
      </c>
      <c r="AB324" s="9">
        <v>3</v>
      </c>
      <c r="AC324" s="5" t="s">
        <v>82</v>
      </c>
      <c r="AD324" s="5" t="s">
        <v>79</v>
      </c>
      <c r="AE324" s="5" t="s">
        <v>79</v>
      </c>
      <c r="AF324" s="10">
        <v>15500</v>
      </c>
      <c r="AG324" s="7">
        <v>45808</v>
      </c>
      <c r="AH324" s="10">
        <v>20500</v>
      </c>
      <c r="AI324" s="10">
        <v>12500</v>
      </c>
      <c r="AJ324" s="11">
        <f t="shared" si="4"/>
        <v>19.68</v>
      </c>
      <c r="AK324" s="12">
        <f>IF(B324="","",OR(K324="Not in use",K324="Low use")+AND(N324&lt;&gt;"",N324&lt;&gt;"TBD")+AND(ISNUMBER(U324),U324&lt;=EDATE('Scoring Settings'!$B$4,'Scoring Settings'!$B$8))+AND(ISNUMBER(L324),L324&lt;='Scoring Settings'!$B$7))</f>
        <v>2</v>
      </c>
      <c r="AL324" s="5" t="s">
        <v>2217</v>
      </c>
      <c r="AM324" s="8" t="str">
        <f>IF(B324="","",IF(Z324="N","Easy",IF(OR(AND(ISNUMBER(AB324),AB324&gt;'Scoring Settings'!$B$11),AND(ISNUMBER(W324),W324&gt;'Scoring Settings'!$B$12),AND(ISNUMBER(M324),M324&lt;='Scoring Settings'!$B$13)),"High","Medium")))</f>
        <v>Medium</v>
      </c>
      <c r="AN324" s="5" t="s">
        <v>97</v>
      </c>
      <c r="AO324" s="7">
        <v>44742</v>
      </c>
      <c r="AP324" s="5" t="s">
        <v>197</v>
      </c>
      <c r="AQ324" s="29" t="s">
        <v>2037</v>
      </c>
    </row>
    <row r="325" spans="1:43" ht="42.75" hidden="1">
      <c r="A325" s="28">
        <v>52956</v>
      </c>
      <c r="B325" s="5" t="s">
        <v>2040</v>
      </c>
      <c r="C325" s="5" t="s">
        <v>262</v>
      </c>
      <c r="D325" s="5" t="s">
        <v>67</v>
      </c>
      <c r="E325" s="5" t="s">
        <v>68</v>
      </c>
      <c r="F325" s="5" t="s">
        <v>302</v>
      </c>
      <c r="G325" s="5" t="s">
        <v>153</v>
      </c>
      <c r="H325" s="5" t="s">
        <v>189</v>
      </c>
      <c r="I325" s="6">
        <v>398</v>
      </c>
      <c r="J325" s="7">
        <v>44281</v>
      </c>
      <c r="K325" s="8" t="str">
        <f>IF(B325="","",IF(AND(I325="",J325=""),"Unknown",IF(OR(AND(ISNUMBER(I325),I325=0),AND(ISNUMBER(J325),J325&lt;=EDATE('Scoring Settings'!$B$4,-'Scoring Settings'!$B$5))),"Not in use",IF(AND(ISNUMBER(I325),I325&lt;'Scoring Settings'!$B$6),"Low use","Active"))))</f>
        <v>Active</v>
      </c>
      <c r="L325" s="5">
        <v>3</v>
      </c>
      <c r="M325" s="5">
        <v>4</v>
      </c>
      <c r="N325" s="5" t="s">
        <v>1142</v>
      </c>
      <c r="O325" s="5" t="s">
        <v>73</v>
      </c>
      <c r="P325" s="5" t="s">
        <v>787</v>
      </c>
      <c r="Q325" s="9">
        <v>2</v>
      </c>
      <c r="R325" s="5" t="s">
        <v>330</v>
      </c>
      <c r="S325" s="5" t="s">
        <v>331</v>
      </c>
      <c r="T325" s="5" t="s">
        <v>184</v>
      </c>
      <c r="U325" s="7">
        <v>45046</v>
      </c>
      <c r="V325" s="5" t="s">
        <v>135</v>
      </c>
      <c r="W325" s="6">
        <v>3580</v>
      </c>
      <c r="X325" s="5" t="s">
        <v>80</v>
      </c>
      <c r="Y325" s="9">
        <v>7</v>
      </c>
      <c r="Z325" s="5" t="s">
        <v>80</v>
      </c>
      <c r="AA325" s="5" t="s">
        <v>185</v>
      </c>
      <c r="AB325" s="9">
        <v>1</v>
      </c>
      <c r="AC325" s="5" t="s">
        <v>79</v>
      </c>
      <c r="AD325" s="5" t="s">
        <v>82</v>
      </c>
      <c r="AE325" s="5" t="s">
        <v>80</v>
      </c>
      <c r="AF325" s="10">
        <v>46000</v>
      </c>
      <c r="AG325" s="7">
        <v>46904</v>
      </c>
      <c r="AH325" s="10">
        <v>78000</v>
      </c>
      <c r="AI325" s="10">
        <v>39500</v>
      </c>
      <c r="AJ325" s="11">
        <f t="shared" ref="AJ325:AJ388" si="5">IF(AND(ISNUMBER(AH325),ISNUMBER(AI325),N(AI325)&gt;0),AH325/AI325*12,"")</f>
        <v>23.696202531645572</v>
      </c>
      <c r="AK325" s="12">
        <f>IF(B325="","",OR(K325="Not in use",K325="Low use")+AND(N325&lt;&gt;"",N325&lt;&gt;"TBD")+AND(ISNUMBER(U325),U325&lt;=EDATE('Scoring Settings'!$B$4,'Scoring Settings'!$B$8))+AND(ISNUMBER(L325),L325&lt;='Scoring Settings'!$B$7))</f>
        <v>1</v>
      </c>
      <c r="AL325" s="5" t="s">
        <v>2217</v>
      </c>
      <c r="AM325" s="8" t="str">
        <f>IF(B325="","",IF(Z325="N","Easy",IF(OR(AND(ISNUMBER(AB325),AB325&gt;'Scoring Settings'!$B$11),AND(ISNUMBER(W325),W325&gt;'Scoring Settings'!$B$12),AND(ISNUMBER(M325),M325&lt;='Scoring Settings'!$B$13)),"High","Medium")))</f>
        <v>High</v>
      </c>
      <c r="AN325" s="5" t="s">
        <v>97</v>
      </c>
      <c r="AO325" s="7">
        <v>44895</v>
      </c>
      <c r="AP325" s="5" t="s">
        <v>98</v>
      </c>
      <c r="AQ325" s="29" t="s">
        <v>2041</v>
      </c>
    </row>
    <row r="326" spans="1:43" hidden="1">
      <c r="A326" s="28">
        <v>153837</v>
      </c>
      <c r="B326" s="5" t="s">
        <v>2045</v>
      </c>
      <c r="C326" s="5" t="s">
        <v>262</v>
      </c>
      <c r="D326" s="5" t="s">
        <v>67</v>
      </c>
      <c r="E326" s="5" t="s">
        <v>311</v>
      </c>
      <c r="F326" s="5" t="s">
        <v>178</v>
      </c>
      <c r="G326" s="5" t="s">
        <v>210</v>
      </c>
      <c r="H326" s="5" t="s">
        <v>91</v>
      </c>
      <c r="I326" s="6">
        <v>1</v>
      </c>
      <c r="J326" s="7">
        <v>43955</v>
      </c>
      <c r="K326" s="8" t="str">
        <f>IF(B326="","",IF(AND(I326="",J326=""),"Unknown",IF(OR(AND(ISNUMBER(I326),I326=0),AND(ISNUMBER(J326),J326&lt;=EDATE('Scoring Settings'!$B$4,-'Scoring Settings'!$B$5))),"Not in use",IF(AND(ISNUMBER(I326),I326&lt;'Scoring Settings'!$B$6),"Low use","Active"))))</f>
        <v>Not in use</v>
      </c>
      <c r="L326" s="5">
        <v>1</v>
      </c>
      <c r="M326" s="5">
        <v>4</v>
      </c>
      <c r="N326" s="5"/>
      <c r="O326" s="5" t="s">
        <v>73</v>
      </c>
      <c r="P326" s="5" t="s">
        <v>1521</v>
      </c>
      <c r="Q326" s="9">
        <v>2</v>
      </c>
      <c r="R326" s="5" t="s">
        <v>478</v>
      </c>
      <c r="S326" s="5" t="s">
        <v>479</v>
      </c>
      <c r="T326" s="5" t="s">
        <v>122</v>
      </c>
      <c r="U326" s="7">
        <v>43844</v>
      </c>
      <c r="V326" s="5" t="s">
        <v>78</v>
      </c>
      <c r="W326" s="6">
        <v>23</v>
      </c>
      <c r="X326" s="5" t="s">
        <v>80</v>
      </c>
      <c r="Y326" s="9">
        <v>10</v>
      </c>
      <c r="Z326" s="5" t="s">
        <v>80</v>
      </c>
      <c r="AA326" s="5" t="s">
        <v>185</v>
      </c>
      <c r="AB326" s="9">
        <v>1</v>
      </c>
      <c r="AC326" s="5" t="s">
        <v>82</v>
      </c>
      <c r="AD326" s="5" t="s">
        <v>79</v>
      </c>
      <c r="AE326" s="5" t="s">
        <v>79</v>
      </c>
      <c r="AF326" s="10">
        <v>41500</v>
      </c>
      <c r="AG326" s="7">
        <v>46752</v>
      </c>
      <c r="AH326" s="10">
        <v>33500</v>
      </c>
      <c r="AI326" s="10">
        <v>24500</v>
      </c>
      <c r="AJ326" s="11">
        <f t="shared" si="5"/>
        <v>16.408163265306122</v>
      </c>
      <c r="AK326" s="12">
        <f>IF(B326="","",OR(K326="Not in use",K326="Low use")+AND(N326&lt;&gt;"",N326&lt;&gt;"TBD")+AND(ISNUMBER(U326),U326&lt;=EDATE('Scoring Settings'!$B$4,'Scoring Settings'!$B$8))+AND(ISNUMBER(L326),L326&lt;='Scoring Settings'!$B$7))</f>
        <v>3</v>
      </c>
      <c r="AL326" s="5" t="s">
        <v>96</v>
      </c>
      <c r="AM326" s="8" t="str">
        <f>IF(B326="","",IF(Z326="N","Easy",IF(OR(AND(ISNUMBER(AB326),AB326&gt;'Scoring Settings'!$B$11),AND(ISNUMBER(W326),W326&gt;'Scoring Settings'!$B$12),AND(ISNUMBER(M326),M326&lt;='Scoring Settings'!$B$13)),"High","Medium")))</f>
        <v>Medium</v>
      </c>
      <c r="AN326" s="5" t="s">
        <v>97</v>
      </c>
      <c r="AO326" s="7">
        <v>44834</v>
      </c>
      <c r="AP326" s="5" t="s">
        <v>197</v>
      </c>
      <c r="AQ326" s="29" t="s">
        <v>276</v>
      </c>
    </row>
    <row r="327" spans="1:43" ht="42.75" hidden="1">
      <c r="A327" s="28">
        <v>89279</v>
      </c>
      <c r="B327" s="5" t="s">
        <v>2047</v>
      </c>
      <c r="C327" s="5" t="s">
        <v>301</v>
      </c>
      <c r="D327" s="5" t="s">
        <v>162</v>
      </c>
      <c r="E327" s="5" t="s">
        <v>298</v>
      </c>
      <c r="F327" s="5" t="s">
        <v>140</v>
      </c>
      <c r="G327" s="5" t="s">
        <v>70</v>
      </c>
      <c r="H327" s="5" t="s">
        <v>118</v>
      </c>
      <c r="I327" s="6">
        <v>7</v>
      </c>
      <c r="J327" s="7">
        <v>44281</v>
      </c>
      <c r="K327" s="8" t="str">
        <f>IF(B327="","",IF(AND(I327="",J327=""),"Unknown",IF(OR(AND(ISNUMBER(I327),I327=0),AND(ISNUMBER(J327),J327&lt;=EDATE('Scoring Settings'!$B$4,-'Scoring Settings'!$B$5))),"Not in use",IF(AND(ISNUMBER(I327),I327&lt;'Scoring Settings'!$B$6),"Low use","Active"))))</f>
        <v>Low use</v>
      </c>
      <c r="L327" s="5">
        <v>5</v>
      </c>
      <c r="M327" s="5">
        <v>1</v>
      </c>
      <c r="N327" s="5"/>
      <c r="O327" s="5" t="s">
        <v>130</v>
      </c>
      <c r="P327" s="5" t="s">
        <v>2048</v>
      </c>
      <c r="Q327" s="9">
        <v>1</v>
      </c>
      <c r="R327" s="5" t="s">
        <v>245</v>
      </c>
      <c r="S327" s="5" t="s">
        <v>246</v>
      </c>
      <c r="T327" s="5" t="s">
        <v>195</v>
      </c>
      <c r="U327" s="7">
        <v>45777</v>
      </c>
      <c r="V327" s="5" t="s">
        <v>95</v>
      </c>
      <c r="W327" s="6">
        <v>600</v>
      </c>
      <c r="X327" s="5" t="s">
        <v>80</v>
      </c>
      <c r="Y327" s="9">
        <v>10</v>
      </c>
      <c r="Z327" s="5" t="s">
        <v>79</v>
      </c>
      <c r="AA327" s="5" t="s">
        <v>110</v>
      </c>
      <c r="AB327" s="9">
        <v>21</v>
      </c>
      <c r="AC327" s="5" t="s">
        <v>79</v>
      </c>
      <c r="AD327" s="5" t="s">
        <v>82</v>
      </c>
      <c r="AE327" s="5" t="s">
        <v>79</v>
      </c>
      <c r="AF327" s="10">
        <v>21500</v>
      </c>
      <c r="AG327" s="7">
        <v>48121</v>
      </c>
      <c r="AH327" s="10">
        <v>44000</v>
      </c>
      <c r="AI327" s="10">
        <v>17500</v>
      </c>
      <c r="AJ327" s="11">
        <f t="shared" si="5"/>
        <v>30.171428571428571</v>
      </c>
      <c r="AK327" s="12">
        <f>IF(B327="","",OR(K327="Not in use",K327="Low use")+AND(N327&lt;&gt;"",N327&lt;&gt;"TBD")+AND(ISNUMBER(U327),U327&lt;=EDATE('Scoring Settings'!$B$4,'Scoring Settings'!$B$8))+AND(ISNUMBER(L327),L327&lt;='Scoring Settings'!$B$7))</f>
        <v>1</v>
      </c>
      <c r="AL327" s="5" t="s">
        <v>223</v>
      </c>
      <c r="AM327" s="8" t="str">
        <f>IF(B327="","",IF(Z327="N","Easy",IF(OR(AND(ISNUMBER(AB327),AB327&gt;'Scoring Settings'!$B$11),AND(ISNUMBER(W327),W327&gt;'Scoring Settings'!$B$12),AND(ISNUMBER(M327),M327&lt;='Scoring Settings'!$B$13)),"High","Medium")))</f>
        <v>Easy</v>
      </c>
      <c r="AN327" s="5" t="s">
        <v>97</v>
      </c>
      <c r="AO327" s="7">
        <v>44834</v>
      </c>
      <c r="AP327" s="5" t="s">
        <v>98</v>
      </c>
      <c r="AQ327" s="29" t="s">
        <v>2049</v>
      </c>
    </row>
    <row r="328" spans="1:43" hidden="1">
      <c r="A328" s="28">
        <v>173112</v>
      </c>
      <c r="B328" s="5" t="s">
        <v>2051</v>
      </c>
      <c r="C328" s="5" t="s">
        <v>338</v>
      </c>
      <c r="D328" s="5" t="s">
        <v>139</v>
      </c>
      <c r="E328" s="5" t="s">
        <v>68</v>
      </c>
      <c r="F328" s="5" t="s">
        <v>288</v>
      </c>
      <c r="G328" s="5" t="s">
        <v>271</v>
      </c>
      <c r="H328" s="5" t="s">
        <v>129</v>
      </c>
      <c r="I328" s="6">
        <v>396</v>
      </c>
      <c r="J328" s="7">
        <v>44278</v>
      </c>
      <c r="K328" s="8" t="str">
        <f>IF(B328="","",IF(AND(I328="",J328=""),"Unknown",IF(OR(AND(ISNUMBER(I328),I328=0),AND(ISNUMBER(J328),J328&lt;=EDATE('Scoring Settings'!$B$4,-'Scoring Settings'!$B$5))),"Not in use",IF(AND(ISNUMBER(I328),I328&lt;'Scoring Settings'!$B$6),"Low use","Active"))))</f>
        <v>Active</v>
      </c>
      <c r="L328" s="5">
        <v>3</v>
      </c>
      <c r="M328" s="5">
        <v>4</v>
      </c>
      <c r="N328" s="5" t="s">
        <v>366</v>
      </c>
      <c r="O328" s="5" t="s">
        <v>130</v>
      </c>
      <c r="P328" s="5" t="s">
        <v>1454</v>
      </c>
      <c r="Q328" s="9">
        <v>1</v>
      </c>
      <c r="R328" s="5" t="s">
        <v>239</v>
      </c>
      <c r="S328" s="5" t="s">
        <v>240</v>
      </c>
      <c r="T328" s="5" t="s">
        <v>168</v>
      </c>
      <c r="U328" s="7">
        <v>44316</v>
      </c>
      <c r="V328" s="5" t="s">
        <v>135</v>
      </c>
      <c r="W328" s="6">
        <v>5</v>
      </c>
      <c r="X328" s="5" t="s">
        <v>79</v>
      </c>
      <c r="Y328" s="9">
        <v>2</v>
      </c>
      <c r="Z328" s="5" t="s">
        <v>80</v>
      </c>
      <c r="AA328" s="5" t="s">
        <v>81</v>
      </c>
      <c r="AB328" s="9">
        <v>0</v>
      </c>
      <c r="AC328" s="5" t="s">
        <v>79</v>
      </c>
      <c r="AD328" s="5" t="s">
        <v>80</v>
      </c>
      <c r="AE328" s="5" t="s">
        <v>80</v>
      </c>
      <c r="AF328" s="10">
        <v>22000</v>
      </c>
      <c r="AG328" s="7">
        <v>47330</v>
      </c>
      <c r="AH328" s="10">
        <v>16000</v>
      </c>
      <c r="AI328" s="10">
        <v>18000</v>
      </c>
      <c r="AJ328" s="11">
        <f t="shared" si="5"/>
        <v>10.666666666666666</v>
      </c>
      <c r="AK328" s="12">
        <f>IF(B328="","",OR(K328="Not in use",K328="Low use")+AND(N328&lt;&gt;"",N328&lt;&gt;"TBD")+AND(ISNUMBER(U328),U328&lt;=EDATE('Scoring Settings'!$B$4,'Scoring Settings'!$B$8))+AND(ISNUMBER(L328),L328&lt;='Scoring Settings'!$B$7))</f>
        <v>2</v>
      </c>
      <c r="AL328" s="5" t="s">
        <v>2217</v>
      </c>
      <c r="AM328" s="8" t="str">
        <f>IF(B328="","",IF(Z328="N","Easy",IF(OR(AND(ISNUMBER(AB328),AB328&gt;'Scoring Settings'!$B$11),AND(ISNUMBER(W328),W328&gt;'Scoring Settings'!$B$12),AND(ISNUMBER(M328),M328&lt;='Scoring Settings'!$B$13)),"High","Medium")))</f>
        <v>Medium</v>
      </c>
      <c r="AN328" s="5" t="s">
        <v>97</v>
      </c>
      <c r="AO328" s="7">
        <v>44804</v>
      </c>
      <c r="AP328" s="5" t="s">
        <v>98</v>
      </c>
      <c r="AQ328" s="29" t="s">
        <v>149</v>
      </c>
    </row>
    <row r="329" spans="1:43" hidden="1">
      <c r="A329" s="28">
        <v>47217</v>
      </c>
      <c r="B329" s="5" t="s">
        <v>2053</v>
      </c>
      <c r="C329" s="5" t="s">
        <v>234</v>
      </c>
      <c r="D329" s="5" t="s">
        <v>102</v>
      </c>
      <c r="E329" s="5" t="s">
        <v>68</v>
      </c>
      <c r="F329" s="5" t="s">
        <v>116</v>
      </c>
      <c r="G329" s="5" t="s">
        <v>117</v>
      </c>
      <c r="H329" s="5" t="s">
        <v>129</v>
      </c>
      <c r="I329" s="6">
        <v>5</v>
      </c>
      <c r="J329" s="7">
        <v>44314</v>
      </c>
      <c r="K329" s="8" t="str">
        <f>IF(B329="","",IF(AND(I329="",J329=""),"Unknown",IF(OR(AND(ISNUMBER(I329),I329=0),AND(ISNUMBER(J329),J329&lt;=EDATE('Scoring Settings'!$B$4,-'Scoring Settings'!$B$5))),"Not in use",IF(AND(ISNUMBER(I329),I329&lt;'Scoring Settings'!$B$6),"Low use","Active"))))</f>
        <v>Low use</v>
      </c>
      <c r="L329" s="5">
        <v>2</v>
      </c>
      <c r="M329" s="5">
        <v>4</v>
      </c>
      <c r="N329" s="5"/>
      <c r="O329" s="5" t="s">
        <v>73</v>
      </c>
      <c r="P329" s="5" t="s">
        <v>1599</v>
      </c>
      <c r="Q329" s="9">
        <v>4</v>
      </c>
      <c r="R329" s="5" t="s">
        <v>72</v>
      </c>
      <c r="S329" s="5" t="s">
        <v>108</v>
      </c>
      <c r="T329" s="5" t="s">
        <v>72</v>
      </c>
      <c r="U329" s="7" t="s">
        <v>72</v>
      </c>
      <c r="V329" s="5" t="s">
        <v>95</v>
      </c>
      <c r="W329" s="6">
        <v>380</v>
      </c>
      <c r="X329" s="5" t="s">
        <v>80</v>
      </c>
      <c r="Y329" s="9">
        <v>7</v>
      </c>
      <c r="Z329" s="5" t="s">
        <v>80</v>
      </c>
      <c r="AA329" s="5" t="s">
        <v>81</v>
      </c>
      <c r="AB329" s="9">
        <v>3</v>
      </c>
      <c r="AC329" s="5" t="s">
        <v>79</v>
      </c>
      <c r="AD329" s="5" t="s">
        <v>82</v>
      </c>
      <c r="AE329" s="5" t="s">
        <v>79</v>
      </c>
      <c r="AF329" s="10">
        <v>46500</v>
      </c>
      <c r="AG329" s="7">
        <v>48121</v>
      </c>
      <c r="AH329" s="10">
        <v>30000</v>
      </c>
      <c r="AI329" s="10">
        <v>31500</v>
      </c>
      <c r="AJ329" s="11">
        <f t="shared" si="5"/>
        <v>11.428571428571427</v>
      </c>
      <c r="AK329" s="12">
        <f>IF(B329="","",OR(K329="Not in use",K329="Low use")+AND(N329&lt;&gt;"",N329&lt;&gt;"TBD")+AND(ISNUMBER(U329),U329&lt;=EDATE('Scoring Settings'!$B$4,'Scoring Settings'!$B$8))+AND(ISNUMBER(L329),L329&lt;='Scoring Settings'!$B$7))</f>
        <v>2</v>
      </c>
      <c r="AL329" s="5" t="s">
        <v>96</v>
      </c>
      <c r="AM329" s="8" t="str">
        <f>IF(B329="","",IF(Z329="N","Easy",IF(OR(AND(ISNUMBER(AB329),AB329&gt;'Scoring Settings'!$B$11),AND(ISNUMBER(W329),W329&gt;'Scoring Settings'!$B$12),AND(ISNUMBER(M329),M329&lt;='Scoring Settings'!$B$13)),"High","Medium")))</f>
        <v>Medium</v>
      </c>
      <c r="AN329" s="5" t="s">
        <v>97</v>
      </c>
      <c r="AO329" s="7">
        <v>44895</v>
      </c>
      <c r="AP329" s="5" t="s">
        <v>197</v>
      </c>
      <c r="AQ329" s="29" t="s">
        <v>628</v>
      </c>
    </row>
    <row r="330" spans="1:43" ht="42.75" hidden="1">
      <c r="A330" s="28">
        <v>31840</v>
      </c>
      <c r="B330" s="5" t="s">
        <v>2072</v>
      </c>
      <c r="C330" s="5" t="s">
        <v>667</v>
      </c>
      <c r="D330" s="5" t="s">
        <v>115</v>
      </c>
      <c r="E330" s="5" t="s">
        <v>68</v>
      </c>
      <c r="F330" s="5" t="s">
        <v>288</v>
      </c>
      <c r="G330" s="5" t="s">
        <v>221</v>
      </c>
      <c r="H330" s="5" t="s">
        <v>142</v>
      </c>
      <c r="I330" s="6">
        <v>1</v>
      </c>
      <c r="J330" s="7">
        <v>43947</v>
      </c>
      <c r="K330" s="8" t="str">
        <f>IF(B330="","",IF(AND(I330="",J330=""),"Unknown",IF(OR(AND(ISNUMBER(I330),I330=0),AND(ISNUMBER(J330),J330&lt;=EDATE('Scoring Settings'!$B$4,-'Scoring Settings'!$B$5))),"Not in use",IF(AND(ISNUMBER(I330),I330&lt;'Scoring Settings'!$B$6),"Low use","Active"))))</f>
        <v>Not in use</v>
      </c>
      <c r="L330" s="5">
        <v>2</v>
      </c>
      <c r="M330" s="5">
        <v>3</v>
      </c>
      <c r="N330" s="5"/>
      <c r="O330" s="5" t="s">
        <v>143</v>
      </c>
      <c r="P330" s="5" t="s">
        <v>144</v>
      </c>
      <c r="Q330" s="9">
        <v>0</v>
      </c>
      <c r="R330" s="5" t="s">
        <v>145</v>
      </c>
      <c r="S330" s="5" t="s">
        <v>145</v>
      </c>
      <c r="T330" s="5" t="s">
        <v>146</v>
      </c>
      <c r="U330" s="7">
        <v>44681</v>
      </c>
      <c r="V330" s="5" t="s">
        <v>135</v>
      </c>
      <c r="W330" s="6">
        <v>130</v>
      </c>
      <c r="X330" s="5" t="s">
        <v>80</v>
      </c>
      <c r="Y330" s="9">
        <v>5</v>
      </c>
      <c r="Z330" s="5" t="s">
        <v>80</v>
      </c>
      <c r="AA330" s="5" t="s">
        <v>123</v>
      </c>
      <c r="AB330" s="9">
        <v>8</v>
      </c>
      <c r="AC330" s="5" t="s">
        <v>79</v>
      </c>
      <c r="AD330" s="5" t="s">
        <v>82</v>
      </c>
      <c r="AE330" s="5" t="s">
        <v>82</v>
      </c>
      <c r="AF330" s="10">
        <v>75000</v>
      </c>
      <c r="AG330" s="7">
        <v>45808</v>
      </c>
      <c r="AH330" s="10">
        <v>128500</v>
      </c>
      <c r="AI330" s="10">
        <v>42500</v>
      </c>
      <c r="AJ330" s="11">
        <f t="shared" si="5"/>
        <v>36.28235294117647</v>
      </c>
      <c r="AK330" s="12">
        <f>IF(B330="","",OR(K330="Not in use",K330="Low use")+AND(N330&lt;&gt;"",N330&lt;&gt;"TBD")+AND(ISNUMBER(U330),U330&lt;=EDATE('Scoring Settings'!$B$4,'Scoring Settings'!$B$8))+AND(ISNUMBER(L330),L330&lt;='Scoring Settings'!$B$7))</f>
        <v>3</v>
      </c>
      <c r="AL330" s="5" t="s">
        <v>96</v>
      </c>
      <c r="AM330" s="8" t="str">
        <f>IF(B330="","",IF(Z330="N","Easy",IF(OR(AND(ISNUMBER(AB330),AB330&gt;'Scoring Settings'!$B$11),AND(ISNUMBER(W330),W330&gt;'Scoring Settings'!$B$12),AND(ISNUMBER(M330),M330&lt;='Scoring Settings'!$B$13)),"High","Medium")))</f>
        <v>High</v>
      </c>
      <c r="AN330" s="5" t="s">
        <v>97</v>
      </c>
      <c r="AO330" s="7">
        <v>44712</v>
      </c>
      <c r="AP330" s="5" t="s">
        <v>197</v>
      </c>
      <c r="AQ330" s="29" t="s">
        <v>1061</v>
      </c>
    </row>
    <row r="331" spans="1:43" hidden="1">
      <c r="A331" s="28">
        <v>185239</v>
      </c>
      <c r="B331" s="5" t="s">
        <v>2090</v>
      </c>
      <c r="C331" s="5" t="s">
        <v>126</v>
      </c>
      <c r="D331" s="5" t="s">
        <v>88</v>
      </c>
      <c r="E331" s="5" t="s">
        <v>68</v>
      </c>
      <c r="F331" s="5" t="s">
        <v>89</v>
      </c>
      <c r="G331" s="5" t="s">
        <v>278</v>
      </c>
      <c r="H331" s="5" t="s">
        <v>189</v>
      </c>
      <c r="I331" s="6">
        <v>4</v>
      </c>
      <c r="J331" s="7">
        <v>43617</v>
      </c>
      <c r="K331" s="8" t="str">
        <f>IF(B331="","",IF(AND(I331="",J331=""),"Unknown",IF(OR(AND(ISNUMBER(I331),I331=0),AND(ISNUMBER(J331),J331&lt;=EDATE('Scoring Settings'!$B$4,-'Scoring Settings'!$B$5))),"Not in use",IF(AND(ISNUMBER(I331),I331&lt;'Scoring Settings'!$B$6),"Low use","Active"))))</f>
        <v>Not in use</v>
      </c>
      <c r="L331" s="5">
        <v>1</v>
      </c>
      <c r="M331" s="5">
        <v>3</v>
      </c>
      <c r="N331" s="5"/>
      <c r="O331" s="5" t="s">
        <v>130</v>
      </c>
      <c r="P331" s="5" t="s">
        <v>2091</v>
      </c>
      <c r="Q331" s="9">
        <v>2</v>
      </c>
      <c r="R331" s="5" t="s">
        <v>478</v>
      </c>
      <c r="S331" s="5" t="s">
        <v>479</v>
      </c>
      <c r="T331" s="5" t="s">
        <v>195</v>
      </c>
      <c r="U331" s="7">
        <v>43844</v>
      </c>
      <c r="V331" s="5" t="s">
        <v>135</v>
      </c>
      <c r="W331" s="6">
        <v>620</v>
      </c>
      <c r="X331" s="5" t="s">
        <v>79</v>
      </c>
      <c r="Y331" s="9">
        <v>3</v>
      </c>
      <c r="Z331" s="5" t="s">
        <v>79</v>
      </c>
      <c r="AA331" s="5" t="s">
        <v>110</v>
      </c>
      <c r="AB331" s="9">
        <v>3</v>
      </c>
      <c r="AC331" s="5" t="s">
        <v>80</v>
      </c>
      <c r="AD331" s="5" t="s">
        <v>79</v>
      </c>
      <c r="AE331" s="5" t="s">
        <v>82</v>
      </c>
      <c r="AF331" s="10">
        <v>27500</v>
      </c>
      <c r="AG331" s="7">
        <v>49095</v>
      </c>
      <c r="AH331" s="10">
        <v>34000</v>
      </c>
      <c r="AI331" s="10">
        <v>24000</v>
      </c>
      <c r="AJ331" s="11">
        <f t="shared" si="5"/>
        <v>17</v>
      </c>
      <c r="AK331" s="12">
        <f>IF(B331="","",OR(K331="Not in use",K331="Low use")+AND(N331&lt;&gt;"",N331&lt;&gt;"TBD")+AND(ISNUMBER(U331),U331&lt;=EDATE('Scoring Settings'!$B$4,'Scoring Settings'!$B$8))+AND(ISNUMBER(L331),L331&lt;='Scoring Settings'!$B$7))</f>
        <v>3</v>
      </c>
      <c r="AL331" s="5" t="s">
        <v>223</v>
      </c>
      <c r="AM331" s="8" t="str">
        <f>IF(B331="","",IF(Z331="N","Easy",IF(OR(AND(ISNUMBER(AB331),AB331&gt;'Scoring Settings'!$B$11),AND(ISNUMBER(W331),W331&gt;'Scoring Settings'!$B$12),AND(ISNUMBER(M331),M331&lt;='Scoring Settings'!$B$13)),"High","Medium")))</f>
        <v>Easy</v>
      </c>
      <c r="AN331" s="5" t="s">
        <v>97</v>
      </c>
      <c r="AO331" s="7">
        <v>44742</v>
      </c>
      <c r="AP331" s="5" t="s">
        <v>197</v>
      </c>
      <c r="AQ331" s="29" t="s">
        <v>499</v>
      </c>
    </row>
    <row r="332" spans="1:43" hidden="1">
      <c r="A332" s="28">
        <v>192276</v>
      </c>
      <c r="B332" s="5" t="s">
        <v>2097</v>
      </c>
      <c r="C332" s="5" t="s">
        <v>234</v>
      </c>
      <c r="D332" s="5" t="s">
        <v>102</v>
      </c>
      <c r="E332" s="5" t="s">
        <v>68</v>
      </c>
      <c r="F332" s="5" t="s">
        <v>299</v>
      </c>
      <c r="G332" s="5" t="s">
        <v>271</v>
      </c>
      <c r="H332" s="5" t="s">
        <v>91</v>
      </c>
      <c r="I332" s="6">
        <v>25</v>
      </c>
      <c r="J332" s="7">
        <v>44304</v>
      </c>
      <c r="K332" s="8" t="str">
        <f>IF(B332="","",IF(AND(I332="",J332=""),"Unknown",IF(OR(AND(ISNUMBER(I332),I332=0),AND(ISNUMBER(J332),J332&lt;=EDATE('Scoring Settings'!$B$4,-'Scoring Settings'!$B$5))),"Not in use",IF(AND(ISNUMBER(I332),I332&lt;'Scoring Settings'!$B$6),"Low use","Active"))))</f>
        <v>Active</v>
      </c>
      <c r="L332" s="5">
        <v>5</v>
      </c>
      <c r="M332" s="5">
        <v>1</v>
      </c>
      <c r="N332" s="5" t="s">
        <v>254</v>
      </c>
      <c r="O332" s="5" t="s">
        <v>73</v>
      </c>
      <c r="P332" s="5" t="s">
        <v>2098</v>
      </c>
      <c r="Q332" s="9">
        <v>8</v>
      </c>
      <c r="R332" s="5" t="s">
        <v>239</v>
      </c>
      <c r="S332" s="5" t="s">
        <v>240</v>
      </c>
      <c r="T332" s="5" t="s">
        <v>109</v>
      </c>
      <c r="U332" s="7">
        <v>44316</v>
      </c>
      <c r="V332" s="5" t="s">
        <v>78</v>
      </c>
      <c r="W332" s="6">
        <v>13</v>
      </c>
      <c r="X332" s="5" t="s">
        <v>80</v>
      </c>
      <c r="Y332" s="9">
        <v>7</v>
      </c>
      <c r="Z332" s="5" t="s">
        <v>79</v>
      </c>
      <c r="AA332" s="5" t="s">
        <v>110</v>
      </c>
      <c r="AB332" s="9">
        <v>22</v>
      </c>
      <c r="AC332" s="5" t="s">
        <v>79</v>
      </c>
      <c r="AD332" s="5" t="s">
        <v>79</v>
      </c>
      <c r="AE332" s="5" t="s">
        <v>82</v>
      </c>
      <c r="AF332" s="10">
        <v>140000</v>
      </c>
      <c r="AG332" s="7">
        <v>48913</v>
      </c>
      <c r="AH332" s="10">
        <v>73000</v>
      </c>
      <c r="AI332" s="10">
        <v>83000</v>
      </c>
      <c r="AJ332" s="11">
        <f t="shared" si="5"/>
        <v>10.554216867469879</v>
      </c>
      <c r="AK332" s="12">
        <f>IF(B332="","",OR(K332="Not in use",K332="Low use")+AND(N332&lt;&gt;"",N332&lt;&gt;"TBD")+AND(ISNUMBER(U332),U332&lt;=EDATE('Scoring Settings'!$B$4,'Scoring Settings'!$B$8))+AND(ISNUMBER(L332),L332&lt;='Scoring Settings'!$B$7))</f>
        <v>2</v>
      </c>
      <c r="AL332" s="5" t="s">
        <v>2217</v>
      </c>
      <c r="AM332" s="8" t="str">
        <f>IF(B332="","",IF(Z332="N","Easy",IF(OR(AND(ISNUMBER(AB332),AB332&gt;'Scoring Settings'!$B$11),AND(ISNUMBER(W332),W332&gt;'Scoring Settings'!$B$12),AND(ISNUMBER(M332),M332&lt;='Scoring Settings'!$B$13)),"High","Medium")))</f>
        <v>Easy</v>
      </c>
      <c r="AN332" s="5" t="s">
        <v>97</v>
      </c>
      <c r="AO332" s="7">
        <v>44742</v>
      </c>
      <c r="AP332" s="5" t="s">
        <v>98</v>
      </c>
      <c r="AQ332" s="29" t="s">
        <v>213</v>
      </c>
    </row>
    <row r="333" spans="1:43" hidden="1">
      <c r="A333" s="28">
        <v>148874</v>
      </c>
      <c r="B333" s="5" t="s">
        <v>2099</v>
      </c>
      <c r="C333" s="5" t="s">
        <v>464</v>
      </c>
      <c r="D333" s="5" t="s">
        <v>88</v>
      </c>
      <c r="E333" s="5" t="s">
        <v>298</v>
      </c>
      <c r="F333" s="5" t="s">
        <v>288</v>
      </c>
      <c r="G333" s="5" t="s">
        <v>210</v>
      </c>
      <c r="H333" s="5" t="s">
        <v>118</v>
      </c>
      <c r="I333" s="6">
        <v>693</v>
      </c>
      <c r="J333" s="7">
        <v>44297</v>
      </c>
      <c r="K333" s="8" t="str">
        <f>IF(B333="","",IF(AND(I333="",J333=""),"Unknown",IF(OR(AND(ISNUMBER(I333),I333=0),AND(ISNUMBER(J333),J333&lt;=EDATE('Scoring Settings'!$B$4,-'Scoring Settings'!$B$5))),"Not in use",IF(AND(ISNUMBER(I333),I333&lt;'Scoring Settings'!$B$6),"Low use","Active"))))</f>
        <v>Active</v>
      </c>
      <c r="L333" s="5">
        <v>3</v>
      </c>
      <c r="M333" s="5">
        <v>2</v>
      </c>
      <c r="N333" s="5" t="s">
        <v>433</v>
      </c>
      <c r="O333" s="5" t="s">
        <v>73</v>
      </c>
      <c r="P333" s="5" t="s">
        <v>2100</v>
      </c>
      <c r="Q333" s="9">
        <v>4</v>
      </c>
      <c r="R333" s="5" t="s">
        <v>132</v>
      </c>
      <c r="S333" s="5" t="s">
        <v>133</v>
      </c>
      <c r="T333" s="5" t="s">
        <v>77</v>
      </c>
      <c r="U333" s="7">
        <v>44227</v>
      </c>
      <c r="V333" s="5" t="s">
        <v>135</v>
      </c>
      <c r="W333" s="6">
        <v>390</v>
      </c>
      <c r="X333" s="5" t="s">
        <v>79</v>
      </c>
      <c r="Y333" s="9">
        <v>3</v>
      </c>
      <c r="Z333" s="5" t="s">
        <v>80</v>
      </c>
      <c r="AA333" s="5" t="s">
        <v>123</v>
      </c>
      <c r="AB333" s="9">
        <v>8</v>
      </c>
      <c r="AC333" s="5" t="s">
        <v>80</v>
      </c>
      <c r="AD333" s="5" t="s">
        <v>79</v>
      </c>
      <c r="AE333" s="5" t="s">
        <v>80</v>
      </c>
      <c r="AF333" s="10">
        <v>90000</v>
      </c>
      <c r="AG333" s="7">
        <v>47330</v>
      </c>
      <c r="AH333" s="10">
        <v>56000</v>
      </c>
      <c r="AI333" s="10">
        <v>55000</v>
      </c>
      <c r="AJ333" s="11">
        <f t="shared" si="5"/>
        <v>12.218181818181817</v>
      </c>
      <c r="AK333" s="12">
        <f>IF(B333="","",OR(K333="Not in use",K333="Low use")+AND(N333&lt;&gt;"",N333&lt;&gt;"TBD")+AND(ISNUMBER(U333),U333&lt;=EDATE('Scoring Settings'!$B$4,'Scoring Settings'!$B$8))+AND(ISNUMBER(L333),L333&lt;='Scoring Settings'!$B$7))</f>
        <v>2</v>
      </c>
      <c r="AL333" s="5" t="s">
        <v>2217</v>
      </c>
      <c r="AM333" s="8" t="str">
        <f>IF(B333="","",IF(Z333="N","Easy",IF(OR(AND(ISNUMBER(AB333),AB333&gt;'Scoring Settings'!$B$11),AND(ISNUMBER(W333),W333&gt;'Scoring Settings'!$B$12),AND(ISNUMBER(M333),M333&lt;='Scoring Settings'!$B$13)),"High","Medium")))</f>
        <v>High</v>
      </c>
      <c r="AN333" s="5" t="s">
        <v>97</v>
      </c>
      <c r="AO333" s="7">
        <v>44895</v>
      </c>
      <c r="AP333" s="5" t="s">
        <v>98</v>
      </c>
      <c r="AQ333" s="29" t="s">
        <v>136</v>
      </c>
    </row>
    <row r="334" spans="1:43" hidden="1">
      <c r="A334" s="28">
        <v>150183</v>
      </c>
      <c r="B334" s="5" t="s">
        <v>2101</v>
      </c>
      <c r="C334" s="5" t="s">
        <v>13</v>
      </c>
      <c r="D334" s="5" t="s">
        <v>162</v>
      </c>
      <c r="E334" s="5" t="s">
        <v>68</v>
      </c>
      <c r="F334" s="5" t="s">
        <v>209</v>
      </c>
      <c r="G334" s="5" t="s">
        <v>70</v>
      </c>
      <c r="H334" s="5" t="s">
        <v>142</v>
      </c>
      <c r="I334" s="6">
        <v>7</v>
      </c>
      <c r="J334" s="7">
        <v>44288</v>
      </c>
      <c r="K334" s="8" t="str">
        <f>IF(B334="","",IF(AND(I334="",J334=""),"Unknown",IF(OR(AND(ISNUMBER(I334),I334=0),AND(ISNUMBER(J334),J334&lt;=EDATE('Scoring Settings'!$B$4,-'Scoring Settings'!$B$5))),"Not in use",IF(AND(ISNUMBER(I334),I334&lt;'Scoring Settings'!$B$6),"Low use","Active"))))</f>
        <v>Low use</v>
      </c>
      <c r="L334" s="5">
        <v>3</v>
      </c>
      <c r="M334" s="5">
        <v>2</v>
      </c>
      <c r="N334" s="5"/>
      <c r="O334" s="5" t="s">
        <v>143</v>
      </c>
      <c r="P334" s="5" t="s">
        <v>144</v>
      </c>
      <c r="Q334" s="9">
        <v>0</v>
      </c>
      <c r="R334" s="5" t="s">
        <v>145</v>
      </c>
      <c r="S334" s="5" t="s">
        <v>145</v>
      </c>
      <c r="T334" s="5" t="s">
        <v>146</v>
      </c>
      <c r="U334" s="7"/>
      <c r="V334" s="5" t="s">
        <v>135</v>
      </c>
      <c r="W334" s="6">
        <v>650</v>
      </c>
      <c r="X334" s="5" t="s">
        <v>80</v>
      </c>
      <c r="Y334" s="9">
        <v>10</v>
      </c>
      <c r="Z334" s="5" t="s">
        <v>80</v>
      </c>
      <c r="AA334" s="5" t="s">
        <v>185</v>
      </c>
      <c r="AB334" s="9">
        <v>16</v>
      </c>
      <c r="AC334" s="5" t="s">
        <v>80</v>
      </c>
      <c r="AD334" s="5" t="s">
        <v>79</v>
      </c>
      <c r="AE334" s="5" t="s">
        <v>79</v>
      </c>
      <c r="AF334" s="10">
        <v>85000</v>
      </c>
      <c r="AG334" s="7">
        <v>48610</v>
      </c>
      <c r="AH334" s="10">
        <v>202500</v>
      </c>
      <c r="AI334" s="10">
        <v>48000</v>
      </c>
      <c r="AJ334" s="11">
        <f t="shared" si="5"/>
        <v>50.625</v>
      </c>
      <c r="AK334" s="12">
        <f>IF(B334="","",OR(K334="Not in use",K334="Low use")+AND(N334&lt;&gt;"",N334&lt;&gt;"TBD")+AND(ISNUMBER(U334),U334&lt;=EDATE('Scoring Settings'!$B$4,'Scoring Settings'!$B$8))+AND(ISNUMBER(L334),L334&lt;='Scoring Settings'!$B$7))</f>
        <v>1</v>
      </c>
      <c r="AL334" s="5" t="s">
        <v>96</v>
      </c>
      <c r="AM334" s="8" t="str">
        <f>IF(B334="","",IF(Z334="N","Easy",IF(OR(AND(ISNUMBER(AB334),AB334&gt;'Scoring Settings'!$B$11),AND(ISNUMBER(W334),W334&gt;'Scoring Settings'!$B$12),AND(ISNUMBER(M334),M334&lt;='Scoring Settings'!$B$13)),"High","Medium")))</f>
        <v>High</v>
      </c>
      <c r="AN334" s="5" t="s">
        <v>97</v>
      </c>
      <c r="AO334" s="7">
        <v>44834</v>
      </c>
      <c r="AP334" s="5" t="s">
        <v>197</v>
      </c>
      <c r="AQ334" s="29" t="s">
        <v>669</v>
      </c>
    </row>
    <row r="335" spans="1:43" hidden="1">
      <c r="A335" s="28">
        <v>132998</v>
      </c>
      <c r="B335" s="5" t="s">
        <v>2102</v>
      </c>
      <c r="C335" s="5" t="s">
        <v>262</v>
      </c>
      <c r="D335" s="5" t="s">
        <v>67</v>
      </c>
      <c r="E335" s="5" t="s">
        <v>298</v>
      </c>
      <c r="F335" s="5" t="s">
        <v>152</v>
      </c>
      <c r="G335" s="5" t="s">
        <v>284</v>
      </c>
      <c r="H335" s="5" t="s">
        <v>189</v>
      </c>
      <c r="I335" s="6">
        <v>4</v>
      </c>
      <c r="J335" s="7">
        <v>44262</v>
      </c>
      <c r="K335" s="8" t="str">
        <f>IF(B335="","",IF(AND(I335="",J335=""),"Unknown",IF(OR(AND(ISNUMBER(I335),I335=0),AND(ISNUMBER(J335),J335&lt;=EDATE('Scoring Settings'!$B$4,-'Scoring Settings'!$B$5))),"Not in use",IF(AND(ISNUMBER(I335),I335&lt;'Scoring Settings'!$B$6),"Low use","Active"))))</f>
        <v>Low use</v>
      </c>
      <c r="L335" s="5">
        <v>4</v>
      </c>
      <c r="M335" s="5">
        <v>2</v>
      </c>
      <c r="N335" s="5"/>
      <c r="O335" s="5" t="s">
        <v>130</v>
      </c>
      <c r="P335" s="5" t="s">
        <v>2103</v>
      </c>
      <c r="Q335" s="9">
        <v>3</v>
      </c>
      <c r="R335" s="5" t="s">
        <v>256</v>
      </c>
      <c r="S335" s="5" t="s">
        <v>257</v>
      </c>
      <c r="T335" s="5" t="s">
        <v>168</v>
      </c>
      <c r="U335" s="7">
        <v>45077</v>
      </c>
      <c r="V335" s="5" t="s">
        <v>78</v>
      </c>
      <c r="W335" s="6">
        <v>1390</v>
      </c>
      <c r="X335" s="5" t="s">
        <v>79</v>
      </c>
      <c r="Y335" s="9">
        <v>3</v>
      </c>
      <c r="Z335" s="5" t="s">
        <v>80</v>
      </c>
      <c r="AA335" s="5" t="s">
        <v>205</v>
      </c>
      <c r="AB335" s="9">
        <v>20</v>
      </c>
      <c r="AC335" s="5" t="s">
        <v>82</v>
      </c>
      <c r="AD335" s="5" t="s">
        <v>82</v>
      </c>
      <c r="AE335" s="5" t="s">
        <v>80</v>
      </c>
      <c r="AF335" s="10">
        <v>50000</v>
      </c>
      <c r="AG335" s="7">
        <v>46053</v>
      </c>
      <c r="AH335" s="10">
        <v>92000</v>
      </c>
      <c r="AI335" s="10">
        <v>33500</v>
      </c>
      <c r="AJ335" s="11">
        <f t="shared" si="5"/>
        <v>32.955223880597018</v>
      </c>
      <c r="AK335" s="12">
        <f>IF(B335="","",OR(K335="Not in use",K335="Low use")+AND(N335&lt;&gt;"",N335&lt;&gt;"TBD")+AND(ISNUMBER(U335),U335&lt;=EDATE('Scoring Settings'!$B$4,'Scoring Settings'!$B$8))+AND(ISNUMBER(L335),L335&lt;='Scoring Settings'!$B$7))</f>
        <v>1</v>
      </c>
      <c r="AL335" s="5" t="s">
        <v>96</v>
      </c>
      <c r="AM335" s="8" t="str">
        <f>IF(B335="","",IF(Z335="N","Easy",IF(OR(AND(ISNUMBER(AB335),AB335&gt;'Scoring Settings'!$B$11),AND(ISNUMBER(W335),W335&gt;'Scoring Settings'!$B$12),AND(ISNUMBER(M335),M335&lt;='Scoring Settings'!$B$13)),"High","Medium")))</f>
        <v>High</v>
      </c>
      <c r="AN335" s="5" t="s">
        <v>97</v>
      </c>
      <c r="AO335" s="7">
        <v>44742</v>
      </c>
      <c r="AP335" s="5" t="s">
        <v>197</v>
      </c>
      <c r="AQ335" s="29" t="s">
        <v>276</v>
      </c>
    </row>
    <row r="336" spans="1:43" hidden="1">
      <c r="A336" s="28">
        <v>33110</v>
      </c>
      <c r="B336" s="5" t="s">
        <v>2114</v>
      </c>
      <c r="C336" s="5" t="s">
        <v>467</v>
      </c>
      <c r="D336" s="5" t="s">
        <v>297</v>
      </c>
      <c r="E336" s="5" t="s">
        <v>68</v>
      </c>
      <c r="F336" s="5" t="s">
        <v>396</v>
      </c>
      <c r="G336" s="5" t="s">
        <v>179</v>
      </c>
      <c r="H336" s="5" t="s">
        <v>91</v>
      </c>
      <c r="I336" s="6">
        <v>12</v>
      </c>
      <c r="J336" s="7">
        <v>44180</v>
      </c>
      <c r="K336" s="8" t="str">
        <f>IF(B336="","",IF(AND(I336="",J336=""),"Unknown",IF(OR(AND(ISNUMBER(I336),I336=0),AND(ISNUMBER(J336),J336&lt;=EDATE('Scoring Settings'!$B$4,-'Scoring Settings'!$B$5))),"Not in use",IF(AND(ISNUMBER(I336),I336&lt;'Scoring Settings'!$B$6),"Low use","Active"))))</f>
        <v>Low use</v>
      </c>
      <c r="L336" s="5">
        <v>2</v>
      </c>
      <c r="M336" s="5">
        <v>3</v>
      </c>
      <c r="N336" s="5" t="s">
        <v>2115</v>
      </c>
      <c r="O336" s="5" t="s">
        <v>73</v>
      </c>
      <c r="P336" s="5" t="s">
        <v>2116</v>
      </c>
      <c r="Q336" s="9">
        <v>4</v>
      </c>
      <c r="R336" s="5" t="s">
        <v>245</v>
      </c>
      <c r="S336" s="5" t="s">
        <v>246</v>
      </c>
      <c r="T336" s="5" t="s">
        <v>109</v>
      </c>
      <c r="U336" s="7">
        <v>45777</v>
      </c>
      <c r="V336" s="5" t="s">
        <v>135</v>
      </c>
      <c r="W336" s="6">
        <v>460</v>
      </c>
      <c r="X336" s="5" t="s">
        <v>80</v>
      </c>
      <c r="Y336" s="9">
        <v>10</v>
      </c>
      <c r="Z336" s="5" t="s">
        <v>80</v>
      </c>
      <c r="AA336" s="5" t="s">
        <v>185</v>
      </c>
      <c r="AB336" s="9">
        <v>6</v>
      </c>
      <c r="AC336" s="5" t="s">
        <v>82</v>
      </c>
      <c r="AD336" s="5" t="s">
        <v>79</v>
      </c>
      <c r="AE336" s="5" t="s">
        <v>82</v>
      </c>
      <c r="AF336" s="10">
        <v>41000</v>
      </c>
      <c r="AG336" s="7">
        <v>45747</v>
      </c>
      <c r="AH336" s="10">
        <v>33000</v>
      </c>
      <c r="AI336" s="10">
        <v>32000</v>
      </c>
      <c r="AJ336" s="11">
        <f t="shared" si="5"/>
        <v>12.375</v>
      </c>
      <c r="AK336" s="12">
        <f>IF(B336="","",OR(K336="Not in use",K336="Low use")+AND(N336&lt;&gt;"",N336&lt;&gt;"TBD")+AND(ISNUMBER(U336),U336&lt;=EDATE('Scoring Settings'!$B$4,'Scoring Settings'!$B$8))+AND(ISNUMBER(L336),L336&lt;='Scoring Settings'!$B$7))</f>
        <v>3</v>
      </c>
      <c r="AL336" s="5" t="s">
        <v>96</v>
      </c>
      <c r="AM336" s="8" t="str">
        <f>IF(B336="","",IF(Z336="N","Easy",IF(OR(AND(ISNUMBER(AB336),AB336&gt;'Scoring Settings'!$B$11),AND(ISNUMBER(W336),W336&gt;'Scoring Settings'!$B$12),AND(ISNUMBER(M336),M336&lt;='Scoring Settings'!$B$13)),"High","Medium")))</f>
        <v>High</v>
      </c>
      <c r="AN336" s="5" t="s">
        <v>97</v>
      </c>
      <c r="AO336" s="7">
        <v>44834</v>
      </c>
      <c r="AP336" s="5" t="s">
        <v>197</v>
      </c>
      <c r="AQ336" s="29" t="s">
        <v>669</v>
      </c>
    </row>
    <row r="337" spans="1:43" hidden="1">
      <c r="A337" s="28">
        <v>28081</v>
      </c>
      <c r="B337" s="5" t="s">
        <v>2123</v>
      </c>
      <c r="C337" s="5" t="s">
        <v>172</v>
      </c>
      <c r="D337" s="5" t="s">
        <v>162</v>
      </c>
      <c r="E337" s="5" t="s">
        <v>68</v>
      </c>
      <c r="F337" s="5" t="s">
        <v>326</v>
      </c>
      <c r="G337" s="5" t="s">
        <v>356</v>
      </c>
      <c r="H337" s="5" t="s">
        <v>189</v>
      </c>
      <c r="I337" s="6">
        <v>0</v>
      </c>
      <c r="J337" s="7">
        <v>43789</v>
      </c>
      <c r="K337" s="8" t="str">
        <f>IF(B337="","",IF(AND(I337="",J337=""),"Unknown",IF(OR(AND(ISNUMBER(I337),I337=0),AND(ISNUMBER(J337),J337&lt;=EDATE('Scoring Settings'!$B$4,-'Scoring Settings'!$B$5))),"Not in use",IF(AND(ISNUMBER(I337),I337&lt;'Scoring Settings'!$B$6),"Low use","Active"))))</f>
        <v>Not in use</v>
      </c>
      <c r="L337" s="5">
        <v>3</v>
      </c>
      <c r="M337" s="5">
        <v>3</v>
      </c>
      <c r="N337" s="5" t="s">
        <v>533</v>
      </c>
      <c r="O337" s="5" t="s">
        <v>73</v>
      </c>
      <c r="P337" s="5" t="s">
        <v>1085</v>
      </c>
      <c r="Q337" s="9">
        <v>1</v>
      </c>
      <c r="R337" s="5" t="s">
        <v>256</v>
      </c>
      <c r="S337" s="5" t="s">
        <v>257</v>
      </c>
      <c r="T337" s="5" t="s">
        <v>72</v>
      </c>
      <c r="U337" s="7">
        <v>45077</v>
      </c>
      <c r="V337" s="5" t="s">
        <v>135</v>
      </c>
      <c r="W337" s="6">
        <v>2290</v>
      </c>
      <c r="X337" s="5" t="s">
        <v>79</v>
      </c>
      <c r="Y337" s="9">
        <v>3</v>
      </c>
      <c r="Z337" s="5" t="s">
        <v>80</v>
      </c>
      <c r="AA337" s="5" t="s">
        <v>123</v>
      </c>
      <c r="AB337" s="9">
        <v>5</v>
      </c>
      <c r="AC337" s="5" t="s">
        <v>80</v>
      </c>
      <c r="AD337" s="5" t="s">
        <v>82</v>
      </c>
      <c r="AE337" s="5" t="s">
        <v>79</v>
      </c>
      <c r="AF337" s="10">
        <v>26500</v>
      </c>
      <c r="AG337" s="7">
        <v>45961</v>
      </c>
      <c r="AH337" s="10">
        <v>68500</v>
      </c>
      <c r="AI337" s="10">
        <v>19000</v>
      </c>
      <c r="AJ337" s="11">
        <f t="shared" si="5"/>
        <v>43.263157894736842</v>
      </c>
      <c r="AK337" s="12">
        <f>IF(B337="","",OR(K337="Not in use",K337="Low use")+AND(N337&lt;&gt;"",N337&lt;&gt;"TBD")+AND(ISNUMBER(U337),U337&lt;=EDATE('Scoring Settings'!$B$4,'Scoring Settings'!$B$8))+AND(ISNUMBER(L337),L337&lt;='Scoring Settings'!$B$7))</f>
        <v>2</v>
      </c>
      <c r="AL337" s="5" t="s">
        <v>96</v>
      </c>
      <c r="AM337" s="8" t="str">
        <f>IF(B337="","",IF(Z337="N","Easy",IF(OR(AND(ISNUMBER(AB337),AB337&gt;'Scoring Settings'!$B$11),AND(ISNUMBER(W337),W337&gt;'Scoring Settings'!$B$12),AND(ISNUMBER(M337),M337&lt;='Scoring Settings'!$B$13)),"High","Medium")))</f>
        <v>High</v>
      </c>
      <c r="AN337" s="5" t="s">
        <v>97</v>
      </c>
      <c r="AO337" s="7">
        <v>44895</v>
      </c>
      <c r="AP337" s="5" t="s">
        <v>98</v>
      </c>
      <c r="AQ337" s="29" t="s">
        <v>170</v>
      </c>
    </row>
    <row r="338" spans="1:43" hidden="1">
      <c r="A338" s="28">
        <v>182530</v>
      </c>
      <c r="B338" s="5" t="s">
        <v>2124</v>
      </c>
      <c r="C338" s="5" t="s">
        <v>287</v>
      </c>
      <c r="D338" s="5" t="s">
        <v>162</v>
      </c>
      <c r="E338" s="5" t="s">
        <v>298</v>
      </c>
      <c r="F338" s="5" t="s">
        <v>236</v>
      </c>
      <c r="G338" s="5" t="s">
        <v>210</v>
      </c>
      <c r="H338" s="5" t="s">
        <v>105</v>
      </c>
      <c r="I338" s="6">
        <v>0</v>
      </c>
      <c r="J338" s="7">
        <v>43875</v>
      </c>
      <c r="K338" s="8" t="str">
        <f>IF(B338="","",IF(AND(I338="",J338=""),"Unknown",IF(OR(AND(ISNUMBER(I338),I338=0),AND(ISNUMBER(J338),J338&lt;=EDATE('Scoring Settings'!$B$4,-'Scoring Settings'!$B$5))),"Not in use",IF(AND(ISNUMBER(I338),I338&lt;'Scoring Settings'!$B$6),"Low use","Active"))))</f>
        <v>Not in use</v>
      </c>
      <c r="L338" s="5">
        <v>2</v>
      </c>
      <c r="M338" s="5">
        <v>4</v>
      </c>
      <c r="N338" s="5"/>
      <c r="O338" s="5" t="s">
        <v>73</v>
      </c>
      <c r="P338" s="5" t="s">
        <v>425</v>
      </c>
      <c r="Q338" s="9">
        <v>3</v>
      </c>
      <c r="R338" s="5" t="s">
        <v>166</v>
      </c>
      <c r="S338" s="5" t="s">
        <v>564</v>
      </c>
      <c r="T338" s="5" t="s">
        <v>184</v>
      </c>
      <c r="U338" s="7">
        <v>44754</v>
      </c>
      <c r="V338" s="5" t="s">
        <v>135</v>
      </c>
      <c r="W338" s="6">
        <v>31</v>
      </c>
      <c r="X338" s="5" t="s">
        <v>79</v>
      </c>
      <c r="Y338" s="9">
        <v>7</v>
      </c>
      <c r="Z338" s="5" t="s">
        <v>79</v>
      </c>
      <c r="AA338" s="5" t="s">
        <v>110</v>
      </c>
      <c r="AB338" s="9">
        <v>3</v>
      </c>
      <c r="AC338" s="5" t="s">
        <v>82</v>
      </c>
      <c r="AD338" s="5" t="s">
        <v>82</v>
      </c>
      <c r="AE338" s="5" t="s">
        <v>80</v>
      </c>
      <c r="AF338" s="10">
        <v>48000</v>
      </c>
      <c r="AG338" s="7">
        <v>45808</v>
      </c>
      <c r="AH338" s="10">
        <v>40500</v>
      </c>
      <c r="AI338" s="10">
        <v>42000</v>
      </c>
      <c r="AJ338" s="11">
        <f t="shared" si="5"/>
        <v>11.571428571428571</v>
      </c>
      <c r="AK338" s="12">
        <f>IF(B338="","",OR(K338="Not in use",K338="Low use")+AND(N338&lt;&gt;"",N338&lt;&gt;"TBD")+AND(ISNUMBER(U338),U338&lt;=EDATE('Scoring Settings'!$B$4,'Scoring Settings'!$B$8))+AND(ISNUMBER(L338),L338&lt;='Scoring Settings'!$B$7))</f>
        <v>2</v>
      </c>
      <c r="AL338" s="5" t="s">
        <v>223</v>
      </c>
      <c r="AM338" s="8" t="str">
        <f>IF(B338="","",IF(Z338="N","Easy",IF(OR(AND(ISNUMBER(AB338),AB338&gt;'Scoring Settings'!$B$11),AND(ISNUMBER(W338),W338&gt;'Scoring Settings'!$B$12),AND(ISNUMBER(M338),M338&lt;='Scoring Settings'!$B$13)),"High","Medium")))</f>
        <v>Easy</v>
      </c>
      <c r="AN338" s="5" t="s">
        <v>97</v>
      </c>
      <c r="AO338" s="7">
        <v>44592</v>
      </c>
      <c r="AP338" s="5" t="s">
        <v>197</v>
      </c>
      <c r="AQ338" s="29" t="s">
        <v>688</v>
      </c>
    </row>
    <row r="339" spans="1:43" ht="28.5" hidden="1">
      <c r="A339" s="28">
        <v>157534</v>
      </c>
      <c r="B339" s="5" t="s">
        <v>2132</v>
      </c>
      <c r="C339" s="5" t="s">
        <v>215</v>
      </c>
      <c r="D339" s="5" t="s">
        <v>139</v>
      </c>
      <c r="E339" s="5" t="s">
        <v>68</v>
      </c>
      <c r="F339" s="5" t="s">
        <v>157</v>
      </c>
      <c r="G339" s="5" t="s">
        <v>267</v>
      </c>
      <c r="H339" s="5" t="s">
        <v>129</v>
      </c>
      <c r="I339" s="6">
        <v>101</v>
      </c>
      <c r="J339" s="7">
        <v>44299</v>
      </c>
      <c r="K339" s="8" t="str">
        <f>IF(B339="","",IF(AND(I339="",J339=""),"Unknown",IF(OR(AND(ISNUMBER(I339),I339=0),AND(ISNUMBER(J339),J339&lt;=EDATE('Scoring Settings'!$B$4,-'Scoring Settings'!$B$5))),"Not in use",IF(AND(ISNUMBER(I339),I339&lt;'Scoring Settings'!$B$6),"Low use","Active"))))</f>
        <v>Active</v>
      </c>
      <c r="L339" s="5">
        <v>4</v>
      </c>
      <c r="M339" s="5">
        <v>2</v>
      </c>
      <c r="N339" s="5" t="s">
        <v>377</v>
      </c>
      <c r="O339" s="5" t="s">
        <v>73</v>
      </c>
      <c r="P339" s="5" t="s">
        <v>2133</v>
      </c>
      <c r="Q339" s="9">
        <v>4</v>
      </c>
      <c r="R339" s="5" t="s">
        <v>107</v>
      </c>
      <c r="S339" s="5" t="s">
        <v>108</v>
      </c>
      <c r="T339" s="5" t="s">
        <v>109</v>
      </c>
      <c r="U339" s="7">
        <v>43655</v>
      </c>
      <c r="V339" s="5" t="s">
        <v>95</v>
      </c>
      <c r="W339" s="6">
        <v>48</v>
      </c>
      <c r="X339" s="5" t="s">
        <v>79</v>
      </c>
      <c r="Y339" s="9">
        <v>2</v>
      </c>
      <c r="Z339" s="5" t="s">
        <v>80</v>
      </c>
      <c r="AA339" s="5" t="s">
        <v>81</v>
      </c>
      <c r="AB339" s="9">
        <v>29</v>
      </c>
      <c r="AC339" s="5" t="s">
        <v>82</v>
      </c>
      <c r="AD339" s="5" t="s">
        <v>80</v>
      </c>
      <c r="AE339" s="5" t="s">
        <v>82</v>
      </c>
      <c r="AF339" s="10">
        <v>75000</v>
      </c>
      <c r="AG339" s="7">
        <v>45991</v>
      </c>
      <c r="AH339" s="10">
        <v>199500</v>
      </c>
      <c r="AI339" s="10">
        <v>46500</v>
      </c>
      <c r="AJ339" s="11">
        <f t="shared" si="5"/>
        <v>51.483870967741936</v>
      </c>
      <c r="AK339" s="12">
        <f>IF(B339="","",OR(K339="Not in use",K339="Low use")+AND(N339&lt;&gt;"",N339&lt;&gt;"TBD")+AND(ISNUMBER(U339),U339&lt;=EDATE('Scoring Settings'!$B$4,'Scoring Settings'!$B$8))+AND(ISNUMBER(L339),L339&lt;='Scoring Settings'!$B$7))</f>
        <v>2</v>
      </c>
      <c r="AL339" s="5" t="s">
        <v>2217</v>
      </c>
      <c r="AM339" s="8" t="str">
        <f>IF(B339="","",IF(Z339="N","Easy",IF(OR(AND(ISNUMBER(AB339),AB339&gt;'Scoring Settings'!$B$11),AND(ISNUMBER(W339),W339&gt;'Scoring Settings'!$B$12),AND(ISNUMBER(M339),M339&lt;='Scoring Settings'!$B$13)),"High","Medium")))</f>
        <v>High</v>
      </c>
      <c r="AN339" s="5" t="s">
        <v>97</v>
      </c>
      <c r="AO339" s="7">
        <v>44804</v>
      </c>
      <c r="AP339" s="5" t="s">
        <v>197</v>
      </c>
      <c r="AQ339" s="29" t="s">
        <v>2134</v>
      </c>
    </row>
    <row r="340" spans="1:43" hidden="1">
      <c r="A340" s="28">
        <v>101112</v>
      </c>
      <c r="B340" s="5" t="s">
        <v>137</v>
      </c>
      <c r="C340" s="5" t="s">
        <v>138</v>
      </c>
      <c r="D340" s="5" t="s">
        <v>139</v>
      </c>
      <c r="E340" s="5" t="s">
        <v>68</v>
      </c>
      <c r="F340" s="5" t="s">
        <v>140</v>
      </c>
      <c r="G340" s="5" t="s">
        <v>141</v>
      </c>
      <c r="H340" s="5" t="s">
        <v>142</v>
      </c>
      <c r="I340" s="6">
        <v>19</v>
      </c>
      <c r="J340" s="7">
        <v>44242</v>
      </c>
      <c r="K340" s="8" t="str">
        <f>IF(B340="","",IF(AND(I340="",J340=""),"Unknown",IF(OR(AND(ISNUMBER(I340),I340=0),AND(ISNUMBER(J340),J340&lt;=EDATE('Scoring Settings'!$B$4,-'Scoring Settings'!$B$5))),"Not in use",IF(AND(ISNUMBER(I340),I340&lt;'Scoring Settings'!$B$6),"Low use","Active"))))</f>
        <v>Low use</v>
      </c>
      <c r="L340" s="5">
        <v>3</v>
      </c>
      <c r="M340" s="5">
        <v>2</v>
      </c>
      <c r="N340" s="5"/>
      <c r="O340" s="5" t="s">
        <v>143</v>
      </c>
      <c r="P340" s="5" t="s">
        <v>144</v>
      </c>
      <c r="Q340" s="9">
        <v>0</v>
      </c>
      <c r="R340" s="5" t="s">
        <v>145</v>
      </c>
      <c r="S340" s="5" t="s">
        <v>145</v>
      </c>
      <c r="T340" s="5" t="s">
        <v>146</v>
      </c>
      <c r="U340" s="7">
        <v>45808</v>
      </c>
      <c r="V340" s="5" t="s">
        <v>78</v>
      </c>
      <c r="W340" s="6">
        <v>130</v>
      </c>
      <c r="X340" s="5" t="s">
        <v>79</v>
      </c>
      <c r="Y340" s="9">
        <v>3</v>
      </c>
      <c r="Z340" s="5" t="s">
        <v>80</v>
      </c>
      <c r="AA340" s="5" t="s">
        <v>147</v>
      </c>
      <c r="AB340" s="9">
        <v>5</v>
      </c>
      <c r="AC340" s="5" t="s">
        <v>80</v>
      </c>
      <c r="AD340" s="5" t="s">
        <v>79</v>
      </c>
      <c r="AE340" s="5" t="s">
        <v>79</v>
      </c>
      <c r="AF340" s="10">
        <v>230000</v>
      </c>
      <c r="AG340" s="7">
        <v>45961</v>
      </c>
      <c r="AH340" s="10">
        <v>374500</v>
      </c>
      <c r="AI340" s="13">
        <v>131000</v>
      </c>
      <c r="AJ340" s="11">
        <f t="shared" si="5"/>
        <v>34.305343511450381</v>
      </c>
      <c r="AK340" s="12">
        <f>IF(B340="","",OR(K340="Not in use",K340="Low use")+AND(N340&lt;&gt;"",N340&lt;&gt;"TBD")+AND(ISNUMBER(U340),U340&lt;=EDATE('Scoring Settings'!$B$4,'Scoring Settings'!$B$8))+AND(ISNUMBER(L340),L340&lt;='Scoring Settings'!$B$7))</f>
        <v>1</v>
      </c>
      <c r="AL340" s="5" t="s">
        <v>96</v>
      </c>
      <c r="AM340" s="8" t="str">
        <f>IF(B340="","",IF(Z340="N","Easy",IF(OR(AND(ISNUMBER(AB340),AB340&gt;'Scoring Settings'!$B$11),AND(ISNUMBER(W340),W340&gt;'Scoring Settings'!$B$12),AND(ISNUMBER(M340),M340&lt;='Scoring Settings'!$B$13)),"High","Medium")))</f>
        <v>High</v>
      </c>
      <c r="AN340" s="5" t="s">
        <v>148</v>
      </c>
      <c r="AO340" s="7">
        <v>45169</v>
      </c>
      <c r="AP340" s="5" t="s">
        <v>98</v>
      </c>
      <c r="AQ340" s="29" t="s">
        <v>149</v>
      </c>
    </row>
    <row r="341" spans="1:43" hidden="1">
      <c r="A341" s="28">
        <v>74276</v>
      </c>
      <c r="B341" s="5" t="s">
        <v>150</v>
      </c>
      <c r="C341" s="5" t="s">
        <v>151</v>
      </c>
      <c r="D341" s="5" t="s">
        <v>102</v>
      </c>
      <c r="E341" s="5" t="s">
        <v>68</v>
      </c>
      <c r="F341" s="5" t="s">
        <v>152</v>
      </c>
      <c r="G341" s="5" t="s">
        <v>153</v>
      </c>
      <c r="H341" s="5" t="s">
        <v>105</v>
      </c>
      <c r="I341" s="6">
        <v>19</v>
      </c>
      <c r="J341" s="7">
        <v>44312</v>
      </c>
      <c r="K341" s="8" t="str">
        <f>IF(B341="","",IF(AND(I341="",J341=""),"Unknown",IF(OR(AND(ISNUMBER(I341),I341=0),AND(ISNUMBER(J341),J341&lt;=EDATE('Scoring Settings'!$B$4,-'Scoring Settings'!$B$5))),"Not in use",IF(AND(ISNUMBER(I341),I341&lt;'Scoring Settings'!$B$6),"Low use","Active"))))</f>
        <v>Low use</v>
      </c>
      <c r="L341" s="5">
        <v>2</v>
      </c>
      <c r="M341" s="5">
        <v>4</v>
      </c>
      <c r="N341" s="5"/>
      <c r="O341" s="5" t="s">
        <v>73</v>
      </c>
      <c r="P341" s="5" t="s">
        <v>154</v>
      </c>
      <c r="Q341" s="9">
        <v>1</v>
      </c>
      <c r="R341" s="5" t="s">
        <v>93</v>
      </c>
      <c r="S341" s="5" t="s">
        <v>94</v>
      </c>
      <c r="T341" s="5" t="s">
        <v>72</v>
      </c>
      <c r="U341" s="7">
        <v>44561</v>
      </c>
      <c r="V341" s="5" t="s">
        <v>78</v>
      </c>
      <c r="W341" s="6">
        <v>83</v>
      </c>
      <c r="X341" s="5" t="s">
        <v>80</v>
      </c>
      <c r="Y341" s="9">
        <v>5</v>
      </c>
      <c r="Z341" s="5" t="s">
        <v>80</v>
      </c>
      <c r="AA341" s="5" t="s">
        <v>147</v>
      </c>
      <c r="AB341" s="9">
        <v>0</v>
      </c>
      <c r="AC341" s="5" t="s">
        <v>82</v>
      </c>
      <c r="AD341" s="5" t="s">
        <v>79</v>
      </c>
      <c r="AE341" s="5" t="s">
        <v>82</v>
      </c>
      <c r="AF341" s="10">
        <v>25000</v>
      </c>
      <c r="AG341" s="7">
        <v>48518</v>
      </c>
      <c r="AH341" s="10">
        <v>14500</v>
      </c>
      <c r="AI341" s="10">
        <v>20000</v>
      </c>
      <c r="AJ341" s="11">
        <f t="shared" si="5"/>
        <v>8.6999999999999993</v>
      </c>
      <c r="AK341" s="12">
        <f>IF(B341="","",OR(K341="Not in use",K341="Low use")+AND(N341&lt;&gt;"",N341&lt;&gt;"TBD")+AND(ISNUMBER(U341),U341&lt;=EDATE('Scoring Settings'!$B$4,'Scoring Settings'!$B$8))+AND(ISNUMBER(L341),L341&lt;='Scoring Settings'!$B$7))</f>
        <v>3</v>
      </c>
      <c r="AL341" s="5" t="s">
        <v>96</v>
      </c>
      <c r="AM341" s="8" t="str">
        <f>IF(B341="","",IF(Z341="N","Easy",IF(OR(AND(ISNUMBER(AB341),AB341&gt;'Scoring Settings'!$B$11),AND(ISNUMBER(W341),W341&gt;'Scoring Settings'!$B$12),AND(ISNUMBER(M341),M341&lt;='Scoring Settings'!$B$13)),"High","Medium")))</f>
        <v>Medium</v>
      </c>
      <c r="AN341" s="5" t="s">
        <v>148</v>
      </c>
      <c r="AO341" s="7">
        <v>44985</v>
      </c>
      <c r="AP341" s="5" t="s">
        <v>98</v>
      </c>
      <c r="AQ341" s="29" t="s">
        <v>149</v>
      </c>
    </row>
    <row r="342" spans="1:43" hidden="1">
      <c r="A342" s="28">
        <v>75318</v>
      </c>
      <c r="B342" s="5" t="s">
        <v>160</v>
      </c>
      <c r="C342" s="5" t="s">
        <v>161</v>
      </c>
      <c r="D342" s="5" t="s">
        <v>162</v>
      </c>
      <c r="E342" s="5" t="s">
        <v>68</v>
      </c>
      <c r="F342" s="5" t="s">
        <v>163</v>
      </c>
      <c r="G342" s="5" t="s">
        <v>128</v>
      </c>
      <c r="H342" s="5" t="s">
        <v>71</v>
      </c>
      <c r="I342" s="6">
        <v>1652</v>
      </c>
      <c r="J342" s="7">
        <v>44302</v>
      </c>
      <c r="K342" s="8" t="str">
        <f>IF(B342="","",IF(AND(I342="",J342=""),"Unknown",IF(OR(AND(ISNUMBER(I342),I342=0),AND(ISNUMBER(J342),J342&lt;=EDATE('Scoring Settings'!$B$4,-'Scoring Settings'!$B$5))),"Not in use",IF(AND(ISNUMBER(I342),I342&lt;'Scoring Settings'!$B$6),"Low use","Active"))))</f>
        <v>Active</v>
      </c>
      <c r="L342" s="5">
        <v>5</v>
      </c>
      <c r="M342" s="5">
        <v>1</v>
      </c>
      <c r="N342" s="5" t="s">
        <v>164</v>
      </c>
      <c r="O342" s="5" t="s">
        <v>130</v>
      </c>
      <c r="P342" s="5" t="s">
        <v>165</v>
      </c>
      <c r="Q342" s="9">
        <v>4</v>
      </c>
      <c r="R342" s="5" t="s">
        <v>166</v>
      </c>
      <c r="S342" s="5" t="s">
        <v>167</v>
      </c>
      <c r="T342" s="5" t="s">
        <v>168</v>
      </c>
      <c r="U342" s="7">
        <v>45482</v>
      </c>
      <c r="V342" s="5" t="s">
        <v>135</v>
      </c>
      <c r="W342" s="6">
        <v>86</v>
      </c>
      <c r="X342" s="5" t="s">
        <v>79</v>
      </c>
      <c r="Y342" s="9">
        <v>2</v>
      </c>
      <c r="Z342" s="5" t="s">
        <v>80</v>
      </c>
      <c r="AA342" s="5" t="s">
        <v>123</v>
      </c>
      <c r="AB342" s="9">
        <v>71</v>
      </c>
      <c r="AC342" s="5" t="s">
        <v>80</v>
      </c>
      <c r="AD342" s="5" t="s">
        <v>82</v>
      </c>
      <c r="AE342" s="5" t="s">
        <v>80</v>
      </c>
      <c r="AF342" s="10">
        <v>150000</v>
      </c>
      <c r="AG342" s="7">
        <v>45900</v>
      </c>
      <c r="AH342" s="13">
        <v>415000</v>
      </c>
      <c r="AI342" s="10">
        <v>119000</v>
      </c>
      <c r="AJ342" s="11">
        <f t="shared" si="5"/>
        <v>41.84873949579832</v>
      </c>
      <c r="AK342" s="12">
        <f>IF(B342="","",OR(K342="Not in use",K342="Low use")+AND(N342&lt;&gt;"",N342&lt;&gt;"TBD")+AND(ISNUMBER(U342),U342&lt;=EDATE('Scoring Settings'!$B$4,'Scoring Settings'!$B$8))+AND(ISNUMBER(L342),L342&lt;='Scoring Settings'!$B$7))</f>
        <v>1</v>
      </c>
      <c r="AL342" s="5" t="s">
        <v>2217</v>
      </c>
      <c r="AM342" s="8" t="str">
        <f>IF(B342="","",IF(Z342="N","Easy",IF(OR(AND(ISNUMBER(AB342),AB342&gt;'Scoring Settings'!$B$11),AND(ISNUMBER(W342),W342&gt;'Scoring Settings'!$B$12),AND(ISNUMBER(M342),M342&lt;='Scoring Settings'!$B$13)),"High","Medium")))</f>
        <v>High</v>
      </c>
      <c r="AN342" s="5" t="s">
        <v>148</v>
      </c>
      <c r="AO342" s="7">
        <v>45016</v>
      </c>
      <c r="AP342" s="5" t="s">
        <v>98</v>
      </c>
      <c r="AQ342" s="29" t="s">
        <v>170</v>
      </c>
    </row>
    <row r="343" spans="1:43" hidden="1">
      <c r="A343" s="28">
        <v>149690</v>
      </c>
      <c r="B343" s="5" t="s">
        <v>207</v>
      </c>
      <c r="C343" s="5" t="s">
        <v>208</v>
      </c>
      <c r="D343" s="5" t="s">
        <v>67</v>
      </c>
      <c r="E343" s="5" t="s">
        <v>68</v>
      </c>
      <c r="F343" s="5" t="s">
        <v>209</v>
      </c>
      <c r="G343" s="5" t="s">
        <v>210</v>
      </c>
      <c r="H343" s="5" t="s">
        <v>91</v>
      </c>
      <c r="I343" s="6">
        <v>0</v>
      </c>
      <c r="J343" s="7">
        <v>43894</v>
      </c>
      <c r="K343" s="8" t="str">
        <f>IF(B343="","",IF(AND(I343="",J343=""),"Unknown",IF(OR(AND(ISNUMBER(I343),I343=0),AND(ISNUMBER(J343),J343&lt;=EDATE('Scoring Settings'!$B$4,-'Scoring Settings'!$B$5))),"Not in use",IF(AND(ISNUMBER(I343),I343&lt;'Scoring Settings'!$B$6),"Low use","Active"))))</f>
        <v>Not in use</v>
      </c>
      <c r="L343" s="5">
        <v>1</v>
      </c>
      <c r="M343" s="5">
        <v>3</v>
      </c>
      <c r="N343" s="5" t="s">
        <v>211</v>
      </c>
      <c r="O343" s="5" t="s">
        <v>73</v>
      </c>
      <c r="P343" s="5" t="s">
        <v>212</v>
      </c>
      <c r="Q343" s="9">
        <v>4</v>
      </c>
      <c r="R343" s="5" t="s">
        <v>132</v>
      </c>
      <c r="S343" s="5" t="s">
        <v>133</v>
      </c>
      <c r="T343" s="5" t="s">
        <v>184</v>
      </c>
      <c r="U343" s="7">
        <v>44227</v>
      </c>
      <c r="V343" s="5" t="s">
        <v>135</v>
      </c>
      <c r="W343" s="6">
        <v>470</v>
      </c>
      <c r="X343" s="5" t="s">
        <v>80</v>
      </c>
      <c r="Y343" s="9">
        <v>10</v>
      </c>
      <c r="Z343" s="5" t="s">
        <v>80</v>
      </c>
      <c r="AA343" s="5" t="s">
        <v>205</v>
      </c>
      <c r="AB343" s="9">
        <v>4</v>
      </c>
      <c r="AC343" s="5" t="s">
        <v>82</v>
      </c>
      <c r="AD343" s="5" t="s">
        <v>80</v>
      </c>
      <c r="AE343" s="5" t="s">
        <v>80</v>
      </c>
      <c r="AF343" s="10">
        <v>65000</v>
      </c>
      <c r="AG343" s="7">
        <v>49490</v>
      </c>
      <c r="AH343" s="10">
        <v>100000</v>
      </c>
      <c r="AI343" s="10">
        <v>37500</v>
      </c>
      <c r="AJ343" s="11">
        <f t="shared" si="5"/>
        <v>32</v>
      </c>
      <c r="AK343" s="12">
        <f>IF(B343="","",OR(K343="Not in use",K343="Low use")+AND(N343&lt;&gt;"",N343&lt;&gt;"TBD")+AND(ISNUMBER(U343),U343&lt;=EDATE('Scoring Settings'!$B$4,'Scoring Settings'!$B$8))+AND(ISNUMBER(L343),L343&lt;='Scoring Settings'!$B$7))</f>
        <v>4</v>
      </c>
      <c r="AL343" s="5" t="s">
        <v>96</v>
      </c>
      <c r="AM343" s="8" t="str">
        <f>IF(B343="","",IF(Z343="N","Easy",IF(OR(AND(ISNUMBER(AB343),AB343&gt;'Scoring Settings'!$B$11),AND(ISNUMBER(W343),W343&gt;'Scoring Settings'!$B$12),AND(ISNUMBER(M343),M343&lt;='Scoring Settings'!$B$13)),"High","Medium")))</f>
        <v>Medium</v>
      </c>
      <c r="AN343" s="5" t="s">
        <v>148</v>
      </c>
      <c r="AO343" s="7">
        <v>45199</v>
      </c>
      <c r="AP343" s="5" t="s">
        <v>98</v>
      </c>
      <c r="AQ343" s="29" t="s">
        <v>213</v>
      </c>
    </row>
    <row r="344" spans="1:43" hidden="1">
      <c r="A344" s="28">
        <v>46281</v>
      </c>
      <c r="B344" s="5" t="s">
        <v>224</v>
      </c>
      <c r="C344" s="5" t="s">
        <v>225</v>
      </c>
      <c r="D344" s="5" t="s">
        <v>67</v>
      </c>
      <c r="E344" s="5" t="s">
        <v>68</v>
      </c>
      <c r="F344" s="5" t="s">
        <v>173</v>
      </c>
      <c r="G344" s="5" t="s">
        <v>226</v>
      </c>
      <c r="H344" s="5" t="s">
        <v>142</v>
      </c>
      <c r="I344" s="6">
        <v>102</v>
      </c>
      <c r="J344" s="7">
        <v>44298</v>
      </c>
      <c r="K344" s="8" t="str">
        <f>IF(B344="","",IF(AND(I344="",J344=""),"Unknown",IF(OR(AND(ISNUMBER(I344),I344=0),AND(ISNUMBER(J344),J344&lt;=EDATE('Scoring Settings'!$B$4,-'Scoring Settings'!$B$5))),"Not in use",IF(AND(ISNUMBER(I344),I344&lt;'Scoring Settings'!$B$6),"Low use","Active"))))</f>
        <v>Active</v>
      </c>
      <c r="L344" s="5">
        <v>3</v>
      </c>
      <c r="M344" s="5">
        <v>2</v>
      </c>
      <c r="N344" s="5" t="s">
        <v>227</v>
      </c>
      <c r="O344" s="5" t="s">
        <v>143</v>
      </c>
      <c r="P344" s="5" t="s">
        <v>144</v>
      </c>
      <c r="Q344" s="9">
        <v>0</v>
      </c>
      <c r="R344" s="5" t="s">
        <v>145</v>
      </c>
      <c r="S344" s="5" t="s">
        <v>145</v>
      </c>
      <c r="T344" s="5" t="s">
        <v>146</v>
      </c>
      <c r="U344" s="7">
        <v>45291</v>
      </c>
      <c r="V344" s="5" t="s">
        <v>135</v>
      </c>
      <c r="W344" s="6">
        <v>9</v>
      </c>
      <c r="X344" s="5" t="s">
        <v>80</v>
      </c>
      <c r="Y344" s="9">
        <v>10</v>
      </c>
      <c r="Z344" s="5" t="s">
        <v>80</v>
      </c>
      <c r="AA344" s="5" t="s">
        <v>123</v>
      </c>
      <c r="AB344" s="9">
        <v>27</v>
      </c>
      <c r="AC344" s="5" t="s">
        <v>80</v>
      </c>
      <c r="AD344" s="5" t="s">
        <v>82</v>
      </c>
      <c r="AE344" s="5" t="s">
        <v>79</v>
      </c>
      <c r="AF344" s="10">
        <v>21500</v>
      </c>
      <c r="AG344" s="7">
        <v>48426</v>
      </c>
      <c r="AH344" s="10">
        <v>31500</v>
      </c>
      <c r="AI344" s="10">
        <v>11000</v>
      </c>
      <c r="AJ344" s="11">
        <f t="shared" si="5"/>
        <v>34.363636363636367</v>
      </c>
      <c r="AK344" s="12">
        <f>IF(B344="","",OR(K344="Not in use",K344="Low use")+AND(N344&lt;&gt;"",N344&lt;&gt;"TBD")+AND(ISNUMBER(U344),U344&lt;=EDATE('Scoring Settings'!$B$4,'Scoring Settings'!$B$8))+AND(ISNUMBER(L344),L344&lt;='Scoring Settings'!$B$7))</f>
        <v>1</v>
      </c>
      <c r="AL344" s="5" t="s">
        <v>2217</v>
      </c>
      <c r="AM344" s="8" t="str">
        <f>IF(B344="","",IF(Z344="N","Easy",IF(OR(AND(ISNUMBER(AB344),AB344&gt;'Scoring Settings'!$B$11),AND(ISNUMBER(W344),W344&gt;'Scoring Settings'!$B$12),AND(ISNUMBER(M344),M344&lt;='Scoring Settings'!$B$13)),"High","Medium")))</f>
        <v>High</v>
      </c>
      <c r="AN344" s="5" t="s">
        <v>148</v>
      </c>
      <c r="AO344" s="7">
        <v>45077</v>
      </c>
      <c r="AP344" s="5" t="s">
        <v>197</v>
      </c>
      <c r="AQ344" s="29" t="s">
        <v>228</v>
      </c>
    </row>
    <row r="345" spans="1:43" hidden="1">
      <c r="A345" s="28">
        <v>82513</v>
      </c>
      <c r="B345" s="5" t="s">
        <v>277</v>
      </c>
      <c r="C345" s="5" t="s">
        <v>220</v>
      </c>
      <c r="D345" s="5" t="s">
        <v>139</v>
      </c>
      <c r="E345" s="5" t="s">
        <v>68</v>
      </c>
      <c r="F345" s="5" t="s">
        <v>209</v>
      </c>
      <c r="G345" s="5" t="s">
        <v>278</v>
      </c>
      <c r="H345" s="5" t="s">
        <v>142</v>
      </c>
      <c r="I345" s="6">
        <v>99</v>
      </c>
      <c r="J345" s="7">
        <v>44283</v>
      </c>
      <c r="K345" s="8" t="str">
        <f>IF(B345="","",IF(AND(I345="",J345=""),"Unknown",IF(OR(AND(ISNUMBER(I345),I345=0),AND(ISNUMBER(J345),J345&lt;=EDATE('Scoring Settings'!$B$4,-'Scoring Settings'!$B$5))),"Not in use",IF(AND(ISNUMBER(I345),I345&lt;'Scoring Settings'!$B$6),"Low use","Active"))))</f>
        <v>Active</v>
      </c>
      <c r="L345" s="5">
        <v>3</v>
      </c>
      <c r="M345" s="5">
        <v>3</v>
      </c>
      <c r="N345" s="5" t="s">
        <v>279</v>
      </c>
      <c r="O345" s="5" t="s">
        <v>143</v>
      </c>
      <c r="P345" s="5" t="s">
        <v>144</v>
      </c>
      <c r="Q345" s="9">
        <v>0</v>
      </c>
      <c r="R345" s="5" t="s">
        <v>145</v>
      </c>
      <c r="S345" s="5" t="s">
        <v>145</v>
      </c>
      <c r="T345" s="5" t="s">
        <v>146</v>
      </c>
      <c r="U345" s="7">
        <v>45808</v>
      </c>
      <c r="V345" s="5" t="s">
        <v>95</v>
      </c>
      <c r="W345" s="6">
        <v>3500</v>
      </c>
      <c r="X345" s="5" t="s">
        <v>79</v>
      </c>
      <c r="Y345" s="9">
        <v>7</v>
      </c>
      <c r="Z345" s="5" t="s">
        <v>79</v>
      </c>
      <c r="AA345" s="5" t="s">
        <v>110</v>
      </c>
      <c r="AB345" s="9">
        <v>5</v>
      </c>
      <c r="AC345" s="5" t="s">
        <v>80</v>
      </c>
      <c r="AD345" s="5" t="s">
        <v>82</v>
      </c>
      <c r="AE345" s="5" t="s">
        <v>79</v>
      </c>
      <c r="AF345" s="10">
        <v>23500</v>
      </c>
      <c r="AG345" s="7">
        <v>45716</v>
      </c>
      <c r="AH345" s="10">
        <v>48500</v>
      </c>
      <c r="AI345" s="10">
        <v>15000</v>
      </c>
      <c r="AJ345" s="11">
        <f t="shared" si="5"/>
        <v>38.799999999999997</v>
      </c>
      <c r="AK345" s="12">
        <f>IF(B345="","",OR(K345="Not in use",K345="Low use")+AND(N345&lt;&gt;"",N345&lt;&gt;"TBD")+AND(ISNUMBER(U345),U345&lt;=EDATE('Scoring Settings'!$B$4,'Scoring Settings'!$B$8))+AND(ISNUMBER(L345),L345&lt;='Scoring Settings'!$B$7))</f>
        <v>1</v>
      </c>
      <c r="AL345" s="5" t="s">
        <v>2217</v>
      </c>
      <c r="AM345" s="8" t="str">
        <f>IF(B345="","",IF(Z345="N","Easy",IF(OR(AND(ISNUMBER(AB345),AB345&gt;'Scoring Settings'!$B$11),AND(ISNUMBER(W345),W345&gt;'Scoring Settings'!$B$12),AND(ISNUMBER(M345),M345&lt;='Scoring Settings'!$B$13)),"High","Medium")))</f>
        <v>Easy</v>
      </c>
      <c r="AN345" s="5" t="s">
        <v>148</v>
      </c>
      <c r="AO345" s="7">
        <v>45199</v>
      </c>
      <c r="AP345" s="5" t="s">
        <v>197</v>
      </c>
      <c r="AQ345" s="29" t="s">
        <v>280</v>
      </c>
    </row>
    <row r="346" spans="1:43" hidden="1">
      <c r="A346" s="28">
        <v>148763</v>
      </c>
      <c r="B346" s="5" t="s">
        <v>315</v>
      </c>
      <c r="C346" s="5" t="s">
        <v>316</v>
      </c>
      <c r="D346" s="5" t="s">
        <v>67</v>
      </c>
      <c r="E346" s="5" t="s">
        <v>298</v>
      </c>
      <c r="F346" s="5" t="s">
        <v>299</v>
      </c>
      <c r="G346" s="5" t="s">
        <v>271</v>
      </c>
      <c r="H346" s="5" t="s">
        <v>91</v>
      </c>
      <c r="I346" s="6">
        <v>114</v>
      </c>
      <c r="J346" s="7">
        <v>44313</v>
      </c>
      <c r="K346" s="8" t="str">
        <f>IF(B346="","",IF(AND(I346="",J346=""),"Unknown",IF(OR(AND(ISNUMBER(I346),I346=0),AND(ISNUMBER(J346),J346&lt;=EDATE('Scoring Settings'!$B$4,-'Scoring Settings'!$B$5))),"Not in use",IF(AND(ISNUMBER(I346),I346&lt;'Scoring Settings'!$B$6),"Low use","Active"))))</f>
        <v>Active</v>
      </c>
      <c r="L346" s="5">
        <v>2</v>
      </c>
      <c r="M346" s="5">
        <v>3</v>
      </c>
      <c r="N346" s="5" t="s">
        <v>317</v>
      </c>
      <c r="O346" s="5" t="s">
        <v>191</v>
      </c>
      <c r="P346" s="5" t="s">
        <v>192</v>
      </c>
      <c r="Q346" s="9">
        <v>0</v>
      </c>
      <c r="R346" s="5" t="s">
        <v>193</v>
      </c>
      <c r="S346" s="5" t="s">
        <v>318</v>
      </c>
      <c r="T346" s="5" t="s">
        <v>195</v>
      </c>
      <c r="U346" s="7"/>
      <c r="V346" s="5" t="s">
        <v>78</v>
      </c>
      <c r="W346" s="6">
        <v>64</v>
      </c>
      <c r="X346" s="5" t="s">
        <v>80</v>
      </c>
      <c r="Y346" s="9">
        <v>10</v>
      </c>
      <c r="Z346" s="5" t="s">
        <v>79</v>
      </c>
      <c r="AA346" s="5" t="s">
        <v>110</v>
      </c>
      <c r="AB346" s="9">
        <v>8</v>
      </c>
      <c r="AC346" s="5" t="s">
        <v>80</v>
      </c>
      <c r="AD346" s="5" t="s">
        <v>80</v>
      </c>
      <c r="AE346" s="5" t="s">
        <v>79</v>
      </c>
      <c r="AF346" s="10">
        <v>28000</v>
      </c>
      <c r="AG346" s="7">
        <v>48487</v>
      </c>
      <c r="AH346" s="10">
        <v>26500</v>
      </c>
      <c r="AI346" s="10">
        <v>24500</v>
      </c>
      <c r="AJ346" s="11">
        <f t="shared" si="5"/>
        <v>12.979591836734695</v>
      </c>
      <c r="AK346" s="12">
        <f>IF(B346="","",OR(K346="Not in use",K346="Low use")+AND(N346&lt;&gt;"",N346&lt;&gt;"TBD")+AND(ISNUMBER(U346),U346&lt;=EDATE('Scoring Settings'!$B$4,'Scoring Settings'!$B$8))+AND(ISNUMBER(L346),L346&lt;='Scoring Settings'!$B$7))</f>
        <v>2</v>
      </c>
      <c r="AL346" s="5" t="s">
        <v>2217</v>
      </c>
      <c r="AM346" s="8" t="str">
        <f>IF(B346="","",IF(Z346="N","Easy",IF(OR(AND(ISNUMBER(AB346),AB346&gt;'Scoring Settings'!$B$11),AND(ISNUMBER(W346),W346&gt;'Scoring Settings'!$B$12),AND(ISNUMBER(M346),M346&lt;='Scoring Settings'!$B$13)),"High","Medium")))</f>
        <v>Easy</v>
      </c>
      <c r="AN346" s="5" t="s">
        <v>148</v>
      </c>
      <c r="AO346" s="7">
        <v>45169</v>
      </c>
      <c r="AP346" s="5" t="s">
        <v>197</v>
      </c>
      <c r="AQ346" s="29" t="s">
        <v>319</v>
      </c>
    </row>
    <row r="347" spans="1:43" hidden="1">
      <c r="A347" s="28">
        <v>137519</v>
      </c>
      <c r="B347" s="5" t="s">
        <v>324</v>
      </c>
      <c r="C347" s="5" t="s">
        <v>325</v>
      </c>
      <c r="D347" s="5" t="s">
        <v>139</v>
      </c>
      <c r="E347" s="5" t="s">
        <v>68</v>
      </c>
      <c r="F347" s="5" t="s">
        <v>326</v>
      </c>
      <c r="G347" s="5" t="s">
        <v>267</v>
      </c>
      <c r="H347" s="5" t="s">
        <v>105</v>
      </c>
      <c r="I347" s="6">
        <v>4</v>
      </c>
      <c r="J347" s="7">
        <v>44032</v>
      </c>
      <c r="K347" s="8" t="str">
        <f>IF(B347="","",IF(AND(I347="",J347=""),"Unknown",IF(OR(AND(ISNUMBER(I347),I347=0),AND(ISNUMBER(J347),J347&lt;=EDATE('Scoring Settings'!$B$4,-'Scoring Settings'!$B$5))),"Not in use",IF(AND(ISNUMBER(I347),I347&lt;'Scoring Settings'!$B$6),"Low use","Active"))))</f>
        <v>Not in use</v>
      </c>
      <c r="L347" s="5">
        <v>3</v>
      </c>
      <c r="M347" s="5">
        <v>3</v>
      </c>
      <c r="N347" s="5" t="s">
        <v>279</v>
      </c>
      <c r="O347" s="5" t="s">
        <v>73</v>
      </c>
      <c r="P347" s="5" t="s">
        <v>327</v>
      </c>
      <c r="Q347" s="9">
        <v>2</v>
      </c>
      <c r="R347" s="5" t="s">
        <v>182</v>
      </c>
      <c r="S347" s="5" t="s">
        <v>183</v>
      </c>
      <c r="T347" s="5" t="s">
        <v>72</v>
      </c>
      <c r="U347" s="7">
        <v>42855</v>
      </c>
      <c r="V347" s="5" t="s">
        <v>135</v>
      </c>
      <c r="W347" s="6">
        <v>100</v>
      </c>
      <c r="X347" s="5" t="s">
        <v>80</v>
      </c>
      <c r="Y347" s="9">
        <v>5</v>
      </c>
      <c r="Z347" s="5" t="s">
        <v>80</v>
      </c>
      <c r="AA347" s="5" t="s">
        <v>185</v>
      </c>
      <c r="AB347" s="9">
        <v>6</v>
      </c>
      <c r="AC347" s="5" t="s">
        <v>80</v>
      </c>
      <c r="AD347" s="5" t="s">
        <v>82</v>
      </c>
      <c r="AE347" s="5" t="s">
        <v>82</v>
      </c>
      <c r="AF347" s="10">
        <v>40500</v>
      </c>
      <c r="AG347" s="7">
        <v>46873</v>
      </c>
      <c r="AH347" s="10">
        <v>25500</v>
      </c>
      <c r="AI347" s="10">
        <v>25500</v>
      </c>
      <c r="AJ347" s="11">
        <f t="shared" si="5"/>
        <v>12</v>
      </c>
      <c r="AK347" s="12">
        <f>IF(B347="","",OR(K347="Not in use",K347="Low use")+AND(N347&lt;&gt;"",N347&lt;&gt;"TBD")+AND(ISNUMBER(U347),U347&lt;=EDATE('Scoring Settings'!$B$4,'Scoring Settings'!$B$8))+AND(ISNUMBER(L347),L347&lt;='Scoring Settings'!$B$7))</f>
        <v>3</v>
      </c>
      <c r="AL347" s="5" t="s">
        <v>96</v>
      </c>
      <c r="AM347" s="8" t="str">
        <f>IF(B347="","",IF(Z347="N","Easy",IF(OR(AND(ISNUMBER(AB347),AB347&gt;'Scoring Settings'!$B$11),AND(ISNUMBER(W347),W347&gt;'Scoring Settings'!$B$12),AND(ISNUMBER(M347),M347&lt;='Scoring Settings'!$B$13)),"High","Medium")))</f>
        <v>High</v>
      </c>
      <c r="AN347" s="5" t="s">
        <v>148</v>
      </c>
      <c r="AO347" s="7">
        <v>45138</v>
      </c>
      <c r="AP347" s="5" t="s">
        <v>98</v>
      </c>
      <c r="AQ347" s="29" t="s">
        <v>149</v>
      </c>
    </row>
    <row r="348" spans="1:43" ht="42.75" hidden="1">
      <c r="A348" s="28">
        <v>35557</v>
      </c>
      <c r="B348" s="5" t="s">
        <v>363</v>
      </c>
      <c r="C348" s="5" t="s">
        <v>13</v>
      </c>
      <c r="D348" s="5" t="s">
        <v>162</v>
      </c>
      <c r="E348" s="5" t="s">
        <v>298</v>
      </c>
      <c r="F348" s="5" t="s">
        <v>326</v>
      </c>
      <c r="G348" s="5" t="s">
        <v>278</v>
      </c>
      <c r="H348" s="5" t="s">
        <v>142</v>
      </c>
      <c r="I348" s="6">
        <v>177</v>
      </c>
      <c r="J348" s="7">
        <v>44294</v>
      </c>
      <c r="K348" s="8" t="str">
        <f>IF(B348="","",IF(AND(I348="",J348=""),"Unknown",IF(OR(AND(ISNUMBER(I348),I348=0),AND(ISNUMBER(J348),J348&lt;=EDATE('Scoring Settings'!$B$4,-'Scoring Settings'!$B$5))),"Not in use",IF(AND(ISNUMBER(I348),I348&lt;'Scoring Settings'!$B$6),"Low use","Active"))))</f>
        <v>Active</v>
      </c>
      <c r="L348" s="5">
        <v>2</v>
      </c>
      <c r="M348" s="5">
        <v>3</v>
      </c>
      <c r="N348" s="5"/>
      <c r="O348" s="5" t="s">
        <v>143</v>
      </c>
      <c r="P348" s="5" t="s">
        <v>144</v>
      </c>
      <c r="Q348" s="9">
        <v>0</v>
      </c>
      <c r="R348" s="5" t="s">
        <v>145</v>
      </c>
      <c r="S348" s="5" t="s">
        <v>145</v>
      </c>
      <c r="T348" s="5" t="s">
        <v>146</v>
      </c>
      <c r="U348" s="7">
        <v>46295</v>
      </c>
      <c r="V348" s="5" t="s">
        <v>135</v>
      </c>
      <c r="W348" s="6">
        <v>39</v>
      </c>
      <c r="X348" s="5" t="s">
        <v>79</v>
      </c>
      <c r="Y348" s="9">
        <v>5</v>
      </c>
      <c r="Z348" s="5" t="s">
        <v>79</v>
      </c>
      <c r="AA348" s="5" t="s">
        <v>110</v>
      </c>
      <c r="AB348" s="9">
        <v>5</v>
      </c>
      <c r="AC348" s="5" t="s">
        <v>79</v>
      </c>
      <c r="AD348" s="5" t="s">
        <v>82</v>
      </c>
      <c r="AE348" s="5" t="s">
        <v>79</v>
      </c>
      <c r="AF348" s="10">
        <v>65000</v>
      </c>
      <c r="AG348" s="7">
        <v>48548</v>
      </c>
      <c r="AH348" s="10">
        <v>61000</v>
      </c>
      <c r="AI348" s="10">
        <v>44000</v>
      </c>
      <c r="AJ348" s="11">
        <f t="shared" si="5"/>
        <v>16.636363636363637</v>
      </c>
      <c r="AK348" s="12">
        <f>IF(B348="","",OR(K348="Not in use",K348="Low use")+AND(N348&lt;&gt;"",N348&lt;&gt;"TBD")+AND(ISNUMBER(U348),U348&lt;=EDATE('Scoring Settings'!$B$4,'Scoring Settings'!$B$8))+AND(ISNUMBER(L348),L348&lt;='Scoring Settings'!$B$7))</f>
        <v>1</v>
      </c>
      <c r="AL348" s="5" t="s">
        <v>223</v>
      </c>
      <c r="AM348" s="8" t="str">
        <f>IF(B348="","",IF(Z348="N","Easy",IF(OR(AND(ISNUMBER(AB348),AB348&gt;'Scoring Settings'!$B$11),AND(ISNUMBER(W348),W348&gt;'Scoring Settings'!$B$12),AND(ISNUMBER(M348),M348&lt;='Scoring Settings'!$B$13)),"High","Medium")))</f>
        <v>Easy</v>
      </c>
      <c r="AN348" s="5" t="s">
        <v>148</v>
      </c>
      <c r="AO348" s="7">
        <v>45046</v>
      </c>
      <c r="AP348" s="5" t="s">
        <v>98</v>
      </c>
      <c r="AQ348" s="29" t="s">
        <v>364</v>
      </c>
    </row>
    <row r="349" spans="1:43" hidden="1">
      <c r="A349" s="28">
        <v>135654</v>
      </c>
      <c r="B349" s="5" t="s">
        <v>424</v>
      </c>
      <c r="C349" s="5" t="s">
        <v>287</v>
      </c>
      <c r="D349" s="5" t="s">
        <v>162</v>
      </c>
      <c r="E349" s="5" t="s">
        <v>68</v>
      </c>
      <c r="F349" s="5" t="s">
        <v>157</v>
      </c>
      <c r="G349" s="5" t="s">
        <v>278</v>
      </c>
      <c r="H349" s="5" t="s">
        <v>129</v>
      </c>
      <c r="I349" s="6">
        <v>0</v>
      </c>
      <c r="J349" s="7">
        <v>43926</v>
      </c>
      <c r="K349" s="8" t="str">
        <f>IF(B349="","",IF(AND(I349="",J349=""),"Unknown",IF(OR(AND(ISNUMBER(I349),I349=0),AND(ISNUMBER(J349),J349&lt;=EDATE('Scoring Settings'!$B$4,-'Scoring Settings'!$B$5))),"Not in use",IF(AND(ISNUMBER(I349),I349&lt;'Scoring Settings'!$B$6),"Low use","Active"))))</f>
        <v>Not in use</v>
      </c>
      <c r="L349" s="5">
        <v>1</v>
      </c>
      <c r="M349" s="5">
        <v>4</v>
      </c>
      <c r="N349" s="5"/>
      <c r="O349" s="5" t="s">
        <v>73</v>
      </c>
      <c r="P349" s="5" t="s">
        <v>425</v>
      </c>
      <c r="Q349" s="9">
        <v>3</v>
      </c>
      <c r="R349" s="5" t="s">
        <v>182</v>
      </c>
      <c r="S349" s="5" t="s">
        <v>183</v>
      </c>
      <c r="T349" s="5" t="s">
        <v>122</v>
      </c>
      <c r="U349" s="7">
        <v>42855</v>
      </c>
      <c r="V349" s="5" t="s">
        <v>95</v>
      </c>
      <c r="W349" s="6">
        <v>5890</v>
      </c>
      <c r="X349" s="5" t="s">
        <v>80</v>
      </c>
      <c r="Y349" s="9">
        <v>10</v>
      </c>
      <c r="Z349" s="5" t="s">
        <v>80</v>
      </c>
      <c r="AA349" s="5" t="s">
        <v>205</v>
      </c>
      <c r="AB349" s="9">
        <v>1</v>
      </c>
      <c r="AC349" s="5" t="s">
        <v>79</v>
      </c>
      <c r="AD349" s="5" t="s">
        <v>79</v>
      </c>
      <c r="AE349" s="5" t="s">
        <v>79</v>
      </c>
      <c r="AF349" s="10">
        <v>40000</v>
      </c>
      <c r="AG349" s="7">
        <v>49248</v>
      </c>
      <c r="AH349" s="10">
        <v>89500</v>
      </c>
      <c r="AI349" s="10">
        <v>23000</v>
      </c>
      <c r="AJ349" s="11">
        <f t="shared" si="5"/>
        <v>46.695652173913047</v>
      </c>
      <c r="AK349" s="12">
        <f>IF(B349="","",OR(K349="Not in use",K349="Low use")+AND(N349&lt;&gt;"",N349&lt;&gt;"TBD")+AND(ISNUMBER(U349),U349&lt;=EDATE('Scoring Settings'!$B$4,'Scoring Settings'!$B$8))+AND(ISNUMBER(L349),L349&lt;='Scoring Settings'!$B$7))</f>
        <v>3</v>
      </c>
      <c r="AL349" s="5" t="s">
        <v>96</v>
      </c>
      <c r="AM349" s="8" t="str">
        <f>IF(B349="","",IF(Z349="N","Easy",IF(OR(AND(ISNUMBER(AB349),AB349&gt;'Scoring Settings'!$B$11),AND(ISNUMBER(W349),W349&gt;'Scoring Settings'!$B$12),AND(ISNUMBER(M349),M349&lt;='Scoring Settings'!$B$13)),"High","Medium")))</f>
        <v>High</v>
      </c>
      <c r="AN349" s="5" t="s">
        <v>148</v>
      </c>
      <c r="AO349" s="7">
        <v>45107</v>
      </c>
      <c r="AP349" s="5" t="s">
        <v>98</v>
      </c>
      <c r="AQ349" s="29" t="s">
        <v>149</v>
      </c>
    </row>
    <row r="350" spans="1:43" hidden="1">
      <c r="A350" s="28">
        <v>78730</v>
      </c>
      <c r="B350" s="5" t="s">
        <v>432</v>
      </c>
      <c r="C350" s="5" t="s">
        <v>87</v>
      </c>
      <c r="D350" s="5" t="s">
        <v>88</v>
      </c>
      <c r="E350" s="5" t="s">
        <v>68</v>
      </c>
      <c r="F350" s="5" t="s">
        <v>396</v>
      </c>
      <c r="G350" s="5" t="s">
        <v>70</v>
      </c>
      <c r="H350" s="5" t="s">
        <v>189</v>
      </c>
      <c r="I350" s="6">
        <v>160</v>
      </c>
      <c r="J350" s="7">
        <v>44287</v>
      </c>
      <c r="K350" s="8" t="str">
        <f>IF(B350="","",IF(AND(I350="",J350=""),"Unknown",IF(OR(AND(ISNUMBER(I350),I350=0),AND(ISNUMBER(J350),J350&lt;=EDATE('Scoring Settings'!$B$4,-'Scoring Settings'!$B$5))),"Not in use",IF(AND(ISNUMBER(I350),I350&lt;'Scoring Settings'!$B$6),"Low use","Active"))))</f>
        <v>Active</v>
      </c>
      <c r="L350" s="5">
        <v>1</v>
      </c>
      <c r="M350" s="5">
        <v>3</v>
      </c>
      <c r="N350" s="5" t="s">
        <v>433</v>
      </c>
      <c r="O350" s="5" t="s">
        <v>130</v>
      </c>
      <c r="P350" s="5" t="s">
        <v>92</v>
      </c>
      <c r="Q350" s="9">
        <v>3</v>
      </c>
      <c r="R350" s="5" t="s">
        <v>251</v>
      </c>
      <c r="S350" s="5" t="s">
        <v>72</v>
      </c>
      <c r="T350" s="5" t="s">
        <v>195</v>
      </c>
      <c r="U350" s="7">
        <v>44165</v>
      </c>
      <c r="V350" s="5" t="s">
        <v>78</v>
      </c>
      <c r="W350" s="6">
        <v>160</v>
      </c>
      <c r="X350" s="5" t="s">
        <v>79</v>
      </c>
      <c r="Y350" s="9">
        <v>3</v>
      </c>
      <c r="Z350" s="5" t="s">
        <v>80</v>
      </c>
      <c r="AA350" s="5" t="s">
        <v>81</v>
      </c>
      <c r="AB350" s="9">
        <v>6</v>
      </c>
      <c r="AC350" s="5" t="s">
        <v>79</v>
      </c>
      <c r="AD350" s="5" t="s">
        <v>80</v>
      </c>
      <c r="AE350" s="5" t="s">
        <v>79</v>
      </c>
      <c r="AF350" s="10">
        <v>23000</v>
      </c>
      <c r="AG350" s="7">
        <v>47422</v>
      </c>
      <c r="AH350" s="10">
        <v>19500</v>
      </c>
      <c r="AI350" s="10">
        <v>14500</v>
      </c>
      <c r="AJ350" s="11">
        <f t="shared" si="5"/>
        <v>16.137931034482758</v>
      </c>
      <c r="AK350" s="12">
        <f>IF(B350="","",OR(K350="Not in use",K350="Low use")+AND(N350&lt;&gt;"",N350&lt;&gt;"TBD")+AND(ISNUMBER(U350),U350&lt;=EDATE('Scoring Settings'!$B$4,'Scoring Settings'!$B$8))+AND(ISNUMBER(L350),L350&lt;='Scoring Settings'!$B$7))</f>
        <v>3</v>
      </c>
      <c r="AL350" s="5" t="s">
        <v>96</v>
      </c>
      <c r="AM350" s="8" t="str">
        <f>IF(B350="","",IF(Z350="N","Easy",IF(OR(AND(ISNUMBER(AB350),AB350&gt;'Scoring Settings'!$B$11),AND(ISNUMBER(W350),W350&gt;'Scoring Settings'!$B$12),AND(ISNUMBER(M350),M350&lt;='Scoring Settings'!$B$13)),"High","Medium")))</f>
        <v>High</v>
      </c>
      <c r="AN350" s="5" t="s">
        <v>148</v>
      </c>
      <c r="AO350" s="7">
        <v>44957</v>
      </c>
      <c r="AP350" s="5" t="s">
        <v>98</v>
      </c>
      <c r="AQ350" s="29" t="s">
        <v>136</v>
      </c>
    </row>
    <row r="351" spans="1:43" hidden="1">
      <c r="A351" s="28">
        <v>135467</v>
      </c>
      <c r="B351" s="5" t="s">
        <v>441</v>
      </c>
      <c r="C351" s="5" t="s">
        <v>423</v>
      </c>
      <c r="D351" s="5" t="s">
        <v>67</v>
      </c>
      <c r="E351" s="5" t="s">
        <v>68</v>
      </c>
      <c r="F351" s="5" t="s">
        <v>249</v>
      </c>
      <c r="G351" s="5" t="s">
        <v>284</v>
      </c>
      <c r="H351" s="5" t="s">
        <v>189</v>
      </c>
      <c r="I351" s="6">
        <v>213</v>
      </c>
      <c r="J351" s="7">
        <v>44300</v>
      </c>
      <c r="K351" s="8" t="str">
        <f>IF(B351="","",IF(AND(I351="",J351=""),"Unknown",IF(OR(AND(ISNUMBER(I351),I351=0),AND(ISNUMBER(J351),J351&lt;=EDATE('Scoring Settings'!$B$4,-'Scoring Settings'!$B$5))),"Not in use",IF(AND(ISNUMBER(I351),I351&lt;'Scoring Settings'!$B$6),"Low use","Active"))))</f>
        <v>Active</v>
      </c>
      <c r="L351" s="5">
        <v>4</v>
      </c>
      <c r="M351" s="5">
        <v>3</v>
      </c>
      <c r="N351" s="5" t="s">
        <v>442</v>
      </c>
      <c r="O351" s="5" t="s">
        <v>73</v>
      </c>
      <c r="P351" s="5" t="s">
        <v>443</v>
      </c>
      <c r="Q351" s="9">
        <v>2</v>
      </c>
      <c r="R351" s="5" t="s">
        <v>239</v>
      </c>
      <c r="S351" s="5" t="s">
        <v>240</v>
      </c>
      <c r="T351" s="5" t="s">
        <v>184</v>
      </c>
      <c r="U351" s="7">
        <v>44316</v>
      </c>
      <c r="V351" s="5" t="s">
        <v>78</v>
      </c>
      <c r="W351" s="6">
        <v>230</v>
      </c>
      <c r="X351" s="5" t="s">
        <v>80</v>
      </c>
      <c r="Y351" s="9">
        <v>10</v>
      </c>
      <c r="Z351" s="5" t="s">
        <v>80</v>
      </c>
      <c r="AA351" s="5" t="s">
        <v>81</v>
      </c>
      <c r="AB351" s="9">
        <v>2</v>
      </c>
      <c r="AC351" s="5" t="s">
        <v>82</v>
      </c>
      <c r="AD351" s="5" t="s">
        <v>82</v>
      </c>
      <c r="AE351" s="5" t="s">
        <v>82</v>
      </c>
      <c r="AF351" s="10">
        <v>46000</v>
      </c>
      <c r="AG351" s="7">
        <v>46965</v>
      </c>
      <c r="AH351" s="10">
        <v>25500</v>
      </c>
      <c r="AI351" s="10">
        <v>37000</v>
      </c>
      <c r="AJ351" s="11">
        <f t="shared" si="5"/>
        <v>8.2702702702702702</v>
      </c>
      <c r="AK351" s="12">
        <f>IF(B351="","",OR(K351="Not in use",K351="Low use")+AND(N351&lt;&gt;"",N351&lt;&gt;"TBD")+AND(ISNUMBER(U351),U351&lt;=EDATE('Scoring Settings'!$B$4,'Scoring Settings'!$B$8))+AND(ISNUMBER(L351),L351&lt;='Scoring Settings'!$B$7))</f>
        <v>2</v>
      </c>
      <c r="AL351" s="5" t="s">
        <v>2217</v>
      </c>
      <c r="AM351" s="8" t="str">
        <f>IF(B351="","",IF(Z351="N","Easy",IF(OR(AND(ISNUMBER(AB351),AB351&gt;'Scoring Settings'!$B$11),AND(ISNUMBER(W351),W351&gt;'Scoring Settings'!$B$12),AND(ISNUMBER(M351),M351&lt;='Scoring Settings'!$B$13)),"High","Medium")))</f>
        <v>Medium</v>
      </c>
      <c r="AN351" s="5" t="s">
        <v>148</v>
      </c>
      <c r="AO351" s="7">
        <v>45046</v>
      </c>
      <c r="AP351" s="5" t="s">
        <v>98</v>
      </c>
      <c r="AQ351" s="29" t="s">
        <v>170</v>
      </c>
    </row>
    <row r="352" spans="1:43" hidden="1">
      <c r="A352" s="28">
        <v>38116</v>
      </c>
      <c r="B352" s="5" t="s">
        <v>450</v>
      </c>
      <c r="C352" s="5" t="s">
        <v>270</v>
      </c>
      <c r="D352" s="5" t="s">
        <v>139</v>
      </c>
      <c r="E352" s="5" t="s">
        <v>311</v>
      </c>
      <c r="F352" s="5" t="s">
        <v>387</v>
      </c>
      <c r="G352" s="5" t="s">
        <v>70</v>
      </c>
      <c r="H352" s="5" t="s">
        <v>174</v>
      </c>
      <c r="I352" s="6">
        <v>17</v>
      </c>
      <c r="J352" s="7">
        <v>44189</v>
      </c>
      <c r="K352" s="8" t="str">
        <f>IF(B352="","",IF(AND(I352="",J352=""),"Unknown",IF(OR(AND(ISNUMBER(I352),I352=0),AND(ISNUMBER(J352),J352&lt;=EDATE('Scoring Settings'!$B$4,-'Scoring Settings'!$B$5))),"Not in use",IF(AND(ISNUMBER(I352),I352&lt;'Scoring Settings'!$B$6),"Low use","Active"))))</f>
        <v>Low use</v>
      </c>
      <c r="L352" s="5">
        <v>2</v>
      </c>
      <c r="M352" s="5">
        <v>3</v>
      </c>
      <c r="N352" s="5" t="s">
        <v>350</v>
      </c>
      <c r="O352" s="5" t="s">
        <v>73</v>
      </c>
      <c r="P352" s="5" t="s">
        <v>451</v>
      </c>
      <c r="Q352" s="9">
        <v>4</v>
      </c>
      <c r="R352" s="5" t="s">
        <v>239</v>
      </c>
      <c r="S352" s="5" t="s">
        <v>240</v>
      </c>
      <c r="T352" s="5" t="s">
        <v>122</v>
      </c>
      <c r="U352" s="7">
        <v>44316</v>
      </c>
      <c r="V352" s="5" t="s">
        <v>95</v>
      </c>
      <c r="W352" s="6">
        <v>53</v>
      </c>
      <c r="X352" s="5" t="s">
        <v>79</v>
      </c>
      <c r="Y352" s="9">
        <v>2</v>
      </c>
      <c r="Z352" s="5" t="s">
        <v>80</v>
      </c>
      <c r="AA352" s="5" t="s">
        <v>81</v>
      </c>
      <c r="AB352" s="9">
        <v>1</v>
      </c>
      <c r="AC352" s="5" t="s">
        <v>82</v>
      </c>
      <c r="AD352" s="5" t="s">
        <v>82</v>
      </c>
      <c r="AE352" s="5" t="s">
        <v>79</v>
      </c>
      <c r="AF352" s="10">
        <v>46000</v>
      </c>
      <c r="AG352" s="7">
        <v>48913</v>
      </c>
      <c r="AH352" s="10">
        <v>32500</v>
      </c>
      <c r="AI352" s="10">
        <v>34500</v>
      </c>
      <c r="AJ352" s="11">
        <f t="shared" si="5"/>
        <v>11.304347826086957</v>
      </c>
      <c r="AK352" s="12">
        <f>IF(B352="","",OR(K352="Not in use",K352="Low use")+AND(N352&lt;&gt;"",N352&lt;&gt;"TBD")+AND(ISNUMBER(U352),U352&lt;=EDATE('Scoring Settings'!$B$4,'Scoring Settings'!$B$8))+AND(ISNUMBER(L352),L352&lt;='Scoring Settings'!$B$7))</f>
        <v>4</v>
      </c>
      <c r="AL352" s="5" t="s">
        <v>2217</v>
      </c>
      <c r="AM352" s="8" t="str">
        <f>IF(B352="","",IF(Z352="N","Easy",IF(OR(AND(ISNUMBER(AB352),AB352&gt;'Scoring Settings'!$B$11),AND(ISNUMBER(W352),W352&gt;'Scoring Settings'!$B$12),AND(ISNUMBER(M352),M352&lt;='Scoring Settings'!$B$13)),"High","Medium")))</f>
        <v>Medium</v>
      </c>
      <c r="AN352" s="5" t="s">
        <v>148</v>
      </c>
      <c r="AO352" s="7">
        <v>45138</v>
      </c>
      <c r="AP352" s="5" t="s">
        <v>98</v>
      </c>
      <c r="AQ352" s="29" t="s">
        <v>170</v>
      </c>
    </row>
    <row r="353" spans="1:43" hidden="1">
      <c r="A353" s="28">
        <v>174202</v>
      </c>
      <c r="B353" s="5" t="s">
        <v>511</v>
      </c>
      <c r="C353" s="5" t="s">
        <v>215</v>
      </c>
      <c r="D353" s="5" t="s">
        <v>139</v>
      </c>
      <c r="E353" s="5" t="s">
        <v>68</v>
      </c>
      <c r="F353" s="5" t="s">
        <v>243</v>
      </c>
      <c r="G353" s="5" t="s">
        <v>153</v>
      </c>
      <c r="H353" s="5" t="s">
        <v>71</v>
      </c>
      <c r="I353" s="6">
        <v>16</v>
      </c>
      <c r="J353" s="7">
        <v>44213</v>
      </c>
      <c r="K353" s="8" t="str">
        <f>IF(B353="","",IF(AND(I353="",J353=""),"Unknown",IF(OR(AND(ISNUMBER(I353),I353=0),AND(ISNUMBER(J353),J353&lt;=EDATE('Scoring Settings'!$B$4,-'Scoring Settings'!$B$5))),"Not in use",IF(AND(ISNUMBER(I353),I353&lt;'Scoring Settings'!$B$6),"Low use","Active"))))</f>
        <v>Low use</v>
      </c>
      <c r="L353" s="5">
        <v>3</v>
      </c>
      <c r="M353" s="5">
        <v>3</v>
      </c>
      <c r="N353" s="5" t="s">
        <v>512</v>
      </c>
      <c r="O353" s="5" t="s">
        <v>73</v>
      </c>
      <c r="P353" s="5" t="s">
        <v>513</v>
      </c>
      <c r="Q353" s="9">
        <v>1</v>
      </c>
      <c r="R353" s="5" t="s">
        <v>166</v>
      </c>
      <c r="S353" s="5" t="s">
        <v>308</v>
      </c>
      <c r="T353" s="5" t="s">
        <v>184</v>
      </c>
      <c r="U353" s="7">
        <v>45209</v>
      </c>
      <c r="V353" s="5" t="s">
        <v>135</v>
      </c>
      <c r="W353" s="6">
        <v>92</v>
      </c>
      <c r="X353" s="5" t="s">
        <v>79</v>
      </c>
      <c r="Y353" s="9">
        <v>3</v>
      </c>
      <c r="Z353" s="5" t="s">
        <v>79</v>
      </c>
      <c r="AA353" s="5" t="s">
        <v>110</v>
      </c>
      <c r="AB353" s="9">
        <v>2</v>
      </c>
      <c r="AC353" s="5" t="s">
        <v>82</v>
      </c>
      <c r="AD353" s="5" t="s">
        <v>79</v>
      </c>
      <c r="AE353" s="5" t="s">
        <v>79</v>
      </c>
      <c r="AF353" s="10">
        <v>38500</v>
      </c>
      <c r="AG353" s="7">
        <v>46904</v>
      </c>
      <c r="AH353" s="10">
        <v>14000</v>
      </c>
      <c r="AI353" s="10">
        <v>35000</v>
      </c>
      <c r="AJ353" s="11">
        <f t="shared" si="5"/>
        <v>4.8000000000000007</v>
      </c>
      <c r="AK353" s="12">
        <f>IF(B353="","",OR(K353="Not in use",K353="Low use")+AND(N353&lt;&gt;"",N353&lt;&gt;"TBD")+AND(ISNUMBER(U353),U353&lt;=EDATE('Scoring Settings'!$B$4,'Scoring Settings'!$B$8))+AND(ISNUMBER(L353),L353&lt;='Scoring Settings'!$B$7))</f>
        <v>2</v>
      </c>
      <c r="AL353" s="5" t="s">
        <v>223</v>
      </c>
      <c r="AM353" s="8" t="str">
        <f>IF(B353="","",IF(Z353="N","Easy",IF(OR(AND(ISNUMBER(AB353),AB353&gt;'Scoring Settings'!$B$11),AND(ISNUMBER(W353),W353&gt;'Scoring Settings'!$B$12),AND(ISNUMBER(M353),M353&lt;='Scoring Settings'!$B$13)),"High","Medium")))</f>
        <v>Easy</v>
      </c>
      <c r="AN353" s="5" t="s">
        <v>148</v>
      </c>
      <c r="AO353" s="7">
        <v>45260</v>
      </c>
      <c r="AP353" s="5" t="s">
        <v>98</v>
      </c>
      <c r="AQ353" s="29" t="s">
        <v>136</v>
      </c>
    </row>
    <row r="354" spans="1:43" hidden="1">
      <c r="A354" s="28">
        <v>157433</v>
      </c>
      <c r="B354" s="5" t="s">
        <v>529</v>
      </c>
      <c r="C354" s="5" t="s">
        <v>234</v>
      </c>
      <c r="D354" s="5" t="s">
        <v>102</v>
      </c>
      <c r="E354" s="5" t="s">
        <v>68</v>
      </c>
      <c r="F354" s="5" t="s">
        <v>302</v>
      </c>
      <c r="G354" s="5" t="s">
        <v>221</v>
      </c>
      <c r="H354" s="5" t="s">
        <v>105</v>
      </c>
      <c r="I354" s="6">
        <v>0</v>
      </c>
      <c r="J354" s="7">
        <v>43759</v>
      </c>
      <c r="K354" s="8" t="str">
        <f>IF(B354="","",IF(AND(I354="",J354=""),"Unknown",IF(OR(AND(ISNUMBER(I354),I354=0),AND(ISNUMBER(J354),J354&lt;=EDATE('Scoring Settings'!$B$4,-'Scoring Settings'!$B$5))),"Not in use",IF(AND(ISNUMBER(I354),I354&lt;'Scoring Settings'!$B$6),"Low use","Active"))))</f>
        <v>Not in use</v>
      </c>
      <c r="L354" s="5">
        <v>3</v>
      </c>
      <c r="M354" s="5">
        <v>3</v>
      </c>
      <c r="N354" s="5" t="s">
        <v>72</v>
      </c>
      <c r="O354" s="5" t="s">
        <v>191</v>
      </c>
      <c r="P354" s="5" t="s">
        <v>192</v>
      </c>
      <c r="Q354" s="9">
        <v>0</v>
      </c>
      <c r="R354" s="5" t="s">
        <v>193</v>
      </c>
      <c r="S354" s="5" t="s">
        <v>194</v>
      </c>
      <c r="T354" s="5" t="s">
        <v>195</v>
      </c>
      <c r="U354" s="7"/>
      <c r="V354" s="5" t="s">
        <v>135</v>
      </c>
      <c r="W354" s="6">
        <v>42</v>
      </c>
      <c r="X354" s="5" t="s">
        <v>79</v>
      </c>
      <c r="Y354" s="9">
        <v>7</v>
      </c>
      <c r="Z354" s="5" t="s">
        <v>79</v>
      </c>
      <c r="AA354" s="5" t="s">
        <v>110</v>
      </c>
      <c r="AB354" s="9">
        <v>8</v>
      </c>
      <c r="AC354" s="5" t="s">
        <v>80</v>
      </c>
      <c r="AD354" s="5" t="s">
        <v>80</v>
      </c>
      <c r="AE354" s="5" t="s">
        <v>79</v>
      </c>
      <c r="AF354" s="10">
        <v>17500</v>
      </c>
      <c r="AG354" s="7">
        <v>47026</v>
      </c>
      <c r="AH354" s="10">
        <v>18500</v>
      </c>
      <c r="AI354" s="10">
        <v>15500</v>
      </c>
      <c r="AJ354" s="11">
        <f t="shared" si="5"/>
        <v>14.322580645161292</v>
      </c>
      <c r="AK354" s="12">
        <f>IF(B354="","",OR(K354="Not in use",K354="Low use")+AND(N354&lt;&gt;"",N354&lt;&gt;"TBD")+AND(ISNUMBER(U354),U354&lt;=EDATE('Scoring Settings'!$B$4,'Scoring Settings'!$B$8))+AND(ISNUMBER(L354),L354&lt;='Scoring Settings'!$B$7))</f>
        <v>1</v>
      </c>
      <c r="AL354" s="5" t="s">
        <v>223</v>
      </c>
      <c r="AM354" s="8" t="str">
        <f>IF(B354="","",IF(Z354="N","Easy",IF(OR(AND(ISNUMBER(AB354),AB354&gt;'Scoring Settings'!$B$11),AND(ISNUMBER(W354),W354&gt;'Scoring Settings'!$B$12),AND(ISNUMBER(M354),M354&lt;='Scoring Settings'!$B$13)),"High","Medium")))</f>
        <v>Easy</v>
      </c>
      <c r="AN354" s="5" t="s">
        <v>148</v>
      </c>
      <c r="AO354" s="7">
        <v>45107</v>
      </c>
      <c r="AP354" s="5" t="s">
        <v>98</v>
      </c>
      <c r="AQ354" s="29" t="s">
        <v>136</v>
      </c>
    </row>
    <row r="355" spans="1:43" hidden="1">
      <c r="A355" s="28">
        <v>69556</v>
      </c>
      <c r="B355" s="5" t="s">
        <v>535</v>
      </c>
      <c r="C355" s="5" t="s">
        <v>87</v>
      </c>
      <c r="D355" s="5" t="s">
        <v>88</v>
      </c>
      <c r="E355" s="5" t="s">
        <v>68</v>
      </c>
      <c r="F355" s="5" t="s">
        <v>127</v>
      </c>
      <c r="G355" s="5" t="s">
        <v>237</v>
      </c>
      <c r="H355" s="5" t="s">
        <v>174</v>
      </c>
      <c r="I355" s="6">
        <v>333</v>
      </c>
      <c r="J355" s="7">
        <v>44282</v>
      </c>
      <c r="K355" s="8" t="str">
        <f>IF(B355="","",IF(AND(I355="",J355=""),"Unknown",IF(OR(AND(ISNUMBER(I355),I355=0),AND(ISNUMBER(J355),J355&lt;=EDATE('Scoring Settings'!$B$4,-'Scoring Settings'!$B$5))),"Not in use",IF(AND(ISNUMBER(I355),I355&lt;'Scoring Settings'!$B$6),"Low use","Active"))))</f>
        <v>Active</v>
      </c>
      <c r="L355" s="5">
        <v>5</v>
      </c>
      <c r="M355" s="5">
        <v>2</v>
      </c>
      <c r="N355" s="5" t="s">
        <v>474</v>
      </c>
      <c r="O355" s="5" t="s">
        <v>73</v>
      </c>
      <c r="P355" s="5" t="s">
        <v>536</v>
      </c>
      <c r="Q355" s="9">
        <v>7</v>
      </c>
      <c r="R355" s="5" t="s">
        <v>93</v>
      </c>
      <c r="S355" s="5" t="s">
        <v>94</v>
      </c>
      <c r="T355" s="5" t="s">
        <v>109</v>
      </c>
      <c r="U355" s="7">
        <v>44561</v>
      </c>
      <c r="V355" s="5" t="s">
        <v>135</v>
      </c>
      <c r="W355" s="6">
        <v>140</v>
      </c>
      <c r="X355" s="5" t="s">
        <v>79</v>
      </c>
      <c r="Y355" s="9">
        <v>2</v>
      </c>
      <c r="Z355" s="5" t="s">
        <v>79</v>
      </c>
      <c r="AA355" s="5" t="s">
        <v>110</v>
      </c>
      <c r="AB355" s="9">
        <v>6</v>
      </c>
      <c r="AC355" s="5" t="s">
        <v>80</v>
      </c>
      <c r="AD355" s="5" t="s">
        <v>79</v>
      </c>
      <c r="AE355" s="5" t="s">
        <v>79</v>
      </c>
      <c r="AF355" s="10">
        <v>150000</v>
      </c>
      <c r="AG355" s="7">
        <v>46203</v>
      </c>
      <c r="AH355" s="10">
        <v>95000</v>
      </c>
      <c r="AI355" s="10">
        <v>131000</v>
      </c>
      <c r="AJ355" s="11">
        <f t="shared" si="5"/>
        <v>8.7022900763358777</v>
      </c>
      <c r="AK355" s="12">
        <f>IF(B355="","",OR(K355="Not in use",K355="Low use")+AND(N355&lt;&gt;"",N355&lt;&gt;"TBD")+AND(ISNUMBER(U355),U355&lt;=EDATE('Scoring Settings'!$B$4,'Scoring Settings'!$B$8))+AND(ISNUMBER(L355),L355&lt;='Scoring Settings'!$B$7))</f>
        <v>2</v>
      </c>
      <c r="AL355" s="5" t="s">
        <v>2217</v>
      </c>
      <c r="AM355" s="8" t="str">
        <f>IF(B355="","",IF(Z355="N","Easy",IF(OR(AND(ISNUMBER(AB355),AB355&gt;'Scoring Settings'!$B$11),AND(ISNUMBER(W355),W355&gt;'Scoring Settings'!$B$12),AND(ISNUMBER(M355),M355&lt;='Scoring Settings'!$B$13)),"High","Medium")))</f>
        <v>Easy</v>
      </c>
      <c r="AN355" s="5" t="s">
        <v>148</v>
      </c>
      <c r="AO355" s="7">
        <v>44985</v>
      </c>
      <c r="AP355" s="5" t="s">
        <v>197</v>
      </c>
      <c r="AQ355" s="29" t="s">
        <v>537</v>
      </c>
    </row>
    <row r="356" spans="1:43" hidden="1">
      <c r="A356" s="28">
        <v>48648</v>
      </c>
      <c r="B356" s="5" t="s">
        <v>546</v>
      </c>
      <c r="C356" s="5" t="s">
        <v>138</v>
      </c>
      <c r="D356" s="5" t="s">
        <v>139</v>
      </c>
      <c r="E356" s="5" t="s">
        <v>68</v>
      </c>
      <c r="F356" s="5" t="s">
        <v>140</v>
      </c>
      <c r="G356" s="5" t="s">
        <v>128</v>
      </c>
      <c r="H356" s="5" t="s">
        <v>71</v>
      </c>
      <c r="I356" s="6">
        <v>14</v>
      </c>
      <c r="J356" s="7">
        <v>44259</v>
      </c>
      <c r="K356" s="8" t="str">
        <f>IF(B356="","",IF(AND(I356="",J356=""),"Unknown",IF(OR(AND(ISNUMBER(I356),I356=0),AND(ISNUMBER(J356),J356&lt;=EDATE('Scoring Settings'!$B$4,-'Scoring Settings'!$B$5))),"Not in use",IF(AND(ISNUMBER(I356),I356&lt;'Scoring Settings'!$B$6),"Low use","Active"))))</f>
        <v>Low use</v>
      </c>
      <c r="L356" s="5">
        <v>3</v>
      </c>
      <c r="M356" s="5">
        <v>2</v>
      </c>
      <c r="N356" s="5"/>
      <c r="O356" s="5" t="s">
        <v>73</v>
      </c>
      <c r="P356" s="5" t="s">
        <v>547</v>
      </c>
      <c r="Q356" s="9">
        <v>8</v>
      </c>
      <c r="R356" s="5" t="s">
        <v>132</v>
      </c>
      <c r="S356" s="5" t="s">
        <v>133</v>
      </c>
      <c r="T356" s="5" t="s">
        <v>77</v>
      </c>
      <c r="U356" s="7">
        <v>44227</v>
      </c>
      <c r="V356" s="5" t="s">
        <v>95</v>
      </c>
      <c r="W356" s="6">
        <v>810</v>
      </c>
      <c r="X356" s="5" t="s">
        <v>79</v>
      </c>
      <c r="Y356" s="9">
        <v>7</v>
      </c>
      <c r="Z356" s="5" t="s">
        <v>80</v>
      </c>
      <c r="AA356" s="5" t="s">
        <v>185</v>
      </c>
      <c r="AB356" s="9">
        <v>26</v>
      </c>
      <c r="AC356" s="5" t="s">
        <v>82</v>
      </c>
      <c r="AD356" s="5" t="s">
        <v>82</v>
      </c>
      <c r="AE356" s="5" t="s">
        <v>80</v>
      </c>
      <c r="AF356" s="10">
        <v>135000</v>
      </c>
      <c r="AG356" s="7">
        <v>46599</v>
      </c>
      <c r="AH356" s="10">
        <v>326000</v>
      </c>
      <c r="AI356" s="10">
        <v>110500</v>
      </c>
      <c r="AJ356" s="11">
        <f t="shared" si="5"/>
        <v>35.402714932126699</v>
      </c>
      <c r="AK356" s="12">
        <f>IF(B356="","",OR(K356="Not in use",K356="Low use")+AND(N356&lt;&gt;"",N356&lt;&gt;"TBD")+AND(ISNUMBER(U356),U356&lt;=EDATE('Scoring Settings'!$B$4,'Scoring Settings'!$B$8))+AND(ISNUMBER(L356),L356&lt;='Scoring Settings'!$B$7))</f>
        <v>2</v>
      </c>
      <c r="AL356" s="5" t="s">
        <v>96</v>
      </c>
      <c r="AM356" s="8" t="str">
        <f>IF(B356="","",IF(Z356="N","Easy",IF(OR(AND(ISNUMBER(AB356),AB356&gt;'Scoring Settings'!$B$11),AND(ISNUMBER(W356),W356&gt;'Scoring Settings'!$B$12),AND(ISNUMBER(M356),M356&lt;='Scoring Settings'!$B$13)),"High","Medium")))</f>
        <v>High</v>
      </c>
      <c r="AN356" s="5" t="s">
        <v>148</v>
      </c>
      <c r="AO356" s="7">
        <v>45046</v>
      </c>
      <c r="AP356" s="5" t="s">
        <v>98</v>
      </c>
      <c r="AQ356" s="29" t="s">
        <v>213</v>
      </c>
    </row>
    <row r="357" spans="1:43" hidden="1">
      <c r="A357" s="28">
        <v>177738</v>
      </c>
      <c r="B357" s="5" t="s">
        <v>551</v>
      </c>
      <c r="C357" s="5" t="s">
        <v>172</v>
      </c>
      <c r="D357" s="5" t="s">
        <v>162</v>
      </c>
      <c r="E357" s="5" t="s">
        <v>68</v>
      </c>
      <c r="F357" s="5" t="s">
        <v>299</v>
      </c>
      <c r="G357" s="5" t="s">
        <v>267</v>
      </c>
      <c r="H357" s="5" t="s">
        <v>142</v>
      </c>
      <c r="I357" s="6">
        <v>243</v>
      </c>
      <c r="J357" s="7">
        <v>44297</v>
      </c>
      <c r="K357" s="8" t="str">
        <f>IF(B357="","",IF(AND(I357="",J357=""),"Unknown",IF(OR(AND(ISNUMBER(I357),I357=0),AND(ISNUMBER(J357),J357&lt;=EDATE('Scoring Settings'!$B$4,-'Scoring Settings'!$B$5))),"Not in use",IF(AND(ISNUMBER(I357),I357&lt;'Scoring Settings'!$B$6),"Low use","Active"))))</f>
        <v>Active</v>
      </c>
      <c r="L357" s="5">
        <v>1</v>
      </c>
      <c r="M357" s="5">
        <v>4</v>
      </c>
      <c r="N357" s="5"/>
      <c r="O357" s="5" t="s">
        <v>143</v>
      </c>
      <c r="P357" s="5" t="s">
        <v>144</v>
      </c>
      <c r="Q357" s="9">
        <v>0</v>
      </c>
      <c r="R357" s="5" t="s">
        <v>145</v>
      </c>
      <c r="S357" s="5" t="s">
        <v>145</v>
      </c>
      <c r="T357" s="5" t="s">
        <v>146</v>
      </c>
      <c r="U357" s="7"/>
      <c r="V357" s="5" t="s">
        <v>135</v>
      </c>
      <c r="W357" s="6">
        <v>35</v>
      </c>
      <c r="X357" s="5" t="s">
        <v>80</v>
      </c>
      <c r="Y357" s="9">
        <v>7</v>
      </c>
      <c r="Z357" s="5" t="s">
        <v>80</v>
      </c>
      <c r="AA357" s="5" t="s">
        <v>81</v>
      </c>
      <c r="AB357" s="9">
        <v>1</v>
      </c>
      <c r="AC357" s="5" t="s">
        <v>79</v>
      </c>
      <c r="AD357" s="5" t="s">
        <v>82</v>
      </c>
      <c r="AE357" s="5" t="s">
        <v>82</v>
      </c>
      <c r="AF357" s="10">
        <v>75000</v>
      </c>
      <c r="AG357" s="7">
        <v>49643</v>
      </c>
      <c r="AH357" s="10">
        <v>114000</v>
      </c>
      <c r="AI357" s="10">
        <v>38000</v>
      </c>
      <c r="AJ357" s="11">
        <f t="shared" si="5"/>
        <v>36</v>
      </c>
      <c r="AK357" s="12">
        <f>IF(B357="","",OR(K357="Not in use",K357="Low use")+AND(N357&lt;&gt;"",N357&lt;&gt;"TBD")+AND(ISNUMBER(U357),U357&lt;=EDATE('Scoring Settings'!$B$4,'Scoring Settings'!$B$8))+AND(ISNUMBER(L357),L357&lt;='Scoring Settings'!$B$7))</f>
        <v>1</v>
      </c>
      <c r="AL357" s="5" t="s">
        <v>96</v>
      </c>
      <c r="AM357" s="8" t="str">
        <f>IF(B357="","",IF(Z357="N","Easy",IF(OR(AND(ISNUMBER(AB357),AB357&gt;'Scoring Settings'!$B$11),AND(ISNUMBER(W357),W357&gt;'Scoring Settings'!$B$12),AND(ISNUMBER(M357),M357&lt;='Scoring Settings'!$B$13)),"High","Medium")))</f>
        <v>Medium</v>
      </c>
      <c r="AN357" s="5" t="s">
        <v>148</v>
      </c>
      <c r="AO357" s="7">
        <v>45230</v>
      </c>
      <c r="AP357" s="5" t="s">
        <v>98</v>
      </c>
      <c r="AQ357" s="29" t="s">
        <v>213</v>
      </c>
    </row>
    <row r="358" spans="1:43" hidden="1">
      <c r="A358" s="28">
        <v>56455</v>
      </c>
      <c r="B358" s="5" t="s">
        <v>574</v>
      </c>
      <c r="C358" s="5" t="s">
        <v>467</v>
      </c>
      <c r="D358" s="5" t="s">
        <v>297</v>
      </c>
      <c r="E358" s="5" t="s">
        <v>311</v>
      </c>
      <c r="F358" s="5" t="s">
        <v>89</v>
      </c>
      <c r="G358" s="5" t="s">
        <v>128</v>
      </c>
      <c r="H358" s="5" t="s">
        <v>91</v>
      </c>
      <c r="I358" s="6">
        <v>45</v>
      </c>
      <c r="J358" s="7">
        <v>44301</v>
      </c>
      <c r="K358" s="8" t="str">
        <f>IF(B358="","",IF(AND(I358="",J358=""),"Unknown",IF(OR(AND(ISNUMBER(I358),I358=0),AND(ISNUMBER(J358),J358&lt;=EDATE('Scoring Settings'!$B$4,-'Scoring Settings'!$B$5))),"Not in use",IF(AND(ISNUMBER(I358),I358&lt;'Scoring Settings'!$B$6),"Low use","Active"))))</f>
        <v>Active</v>
      </c>
      <c r="L358" s="5">
        <v>3</v>
      </c>
      <c r="M358" s="5">
        <v>3</v>
      </c>
      <c r="N358" s="5" t="s">
        <v>575</v>
      </c>
      <c r="O358" s="5" t="s">
        <v>73</v>
      </c>
      <c r="P358" s="5" t="s">
        <v>576</v>
      </c>
      <c r="Q358" s="9">
        <v>3</v>
      </c>
      <c r="R358" s="5" t="s">
        <v>182</v>
      </c>
      <c r="S358" s="5" t="s">
        <v>183</v>
      </c>
      <c r="T358" s="5" t="s">
        <v>72</v>
      </c>
      <c r="U358" s="7">
        <v>42855</v>
      </c>
      <c r="V358" s="5" t="s">
        <v>135</v>
      </c>
      <c r="W358" s="6">
        <v>640</v>
      </c>
      <c r="X358" s="5" t="s">
        <v>80</v>
      </c>
      <c r="Y358" s="9">
        <v>7</v>
      </c>
      <c r="Z358" s="5" t="s">
        <v>79</v>
      </c>
      <c r="AA358" s="5" t="s">
        <v>110</v>
      </c>
      <c r="AB358" s="9">
        <v>5</v>
      </c>
      <c r="AC358" s="5" t="s">
        <v>80</v>
      </c>
      <c r="AD358" s="5" t="s">
        <v>80</v>
      </c>
      <c r="AE358" s="5" t="s">
        <v>80</v>
      </c>
      <c r="AF358" s="10">
        <v>65000</v>
      </c>
      <c r="AG358" s="7">
        <v>46934</v>
      </c>
      <c r="AH358" s="10">
        <v>51500</v>
      </c>
      <c r="AI358" s="10">
        <v>53000</v>
      </c>
      <c r="AJ358" s="11">
        <f t="shared" si="5"/>
        <v>11.660377358490566</v>
      </c>
      <c r="AK358" s="12">
        <f>IF(B358="","",OR(K358="Not in use",K358="Low use")+AND(N358&lt;&gt;"",N358&lt;&gt;"TBD")+AND(ISNUMBER(U358),U358&lt;=EDATE('Scoring Settings'!$B$4,'Scoring Settings'!$B$8))+AND(ISNUMBER(L358),L358&lt;='Scoring Settings'!$B$7))</f>
        <v>2</v>
      </c>
      <c r="AL358" s="5" t="s">
        <v>223</v>
      </c>
      <c r="AM358" s="8" t="str">
        <f>IF(B358="","",IF(Z358="N","Easy",IF(OR(AND(ISNUMBER(AB358),AB358&gt;'Scoring Settings'!$B$11),AND(ISNUMBER(W358),W358&gt;'Scoring Settings'!$B$12),AND(ISNUMBER(M358),M358&lt;='Scoring Settings'!$B$13)),"High","Medium")))</f>
        <v>Easy</v>
      </c>
      <c r="AN358" s="5" t="s">
        <v>148</v>
      </c>
      <c r="AO358" s="7">
        <v>45107</v>
      </c>
      <c r="AP358" s="5" t="s">
        <v>98</v>
      </c>
      <c r="AQ358" s="29" t="s">
        <v>213</v>
      </c>
    </row>
    <row r="359" spans="1:43" hidden="1">
      <c r="A359" s="28">
        <v>81562</v>
      </c>
      <c r="B359" s="5" t="s">
        <v>578</v>
      </c>
      <c r="C359" s="5" t="s">
        <v>242</v>
      </c>
      <c r="D359" s="5" t="s">
        <v>115</v>
      </c>
      <c r="E359" s="5" t="s">
        <v>298</v>
      </c>
      <c r="F359" s="5" t="s">
        <v>127</v>
      </c>
      <c r="G359" s="5" t="s">
        <v>284</v>
      </c>
      <c r="H359" s="5" t="s">
        <v>91</v>
      </c>
      <c r="I359" s="6">
        <v>54</v>
      </c>
      <c r="J359" s="7">
        <v>44276</v>
      </c>
      <c r="K359" s="8" t="str">
        <f>IF(B359="","",IF(AND(I359="",J359=""),"Unknown",IF(OR(AND(ISNUMBER(I359),I359=0),AND(ISNUMBER(J359),J359&lt;=EDATE('Scoring Settings'!$B$4,-'Scoring Settings'!$B$5))),"Not in use",IF(AND(ISNUMBER(I359),I359&lt;'Scoring Settings'!$B$6),"Low use","Active"))))</f>
        <v>Active</v>
      </c>
      <c r="L359" s="5">
        <v>1</v>
      </c>
      <c r="M359" s="5">
        <v>4</v>
      </c>
      <c r="N359" s="5"/>
      <c r="O359" s="5" t="s">
        <v>73</v>
      </c>
      <c r="P359" s="5" t="s">
        <v>579</v>
      </c>
      <c r="Q359" s="9">
        <v>1</v>
      </c>
      <c r="R359" s="5" t="s">
        <v>166</v>
      </c>
      <c r="S359" s="5" t="s">
        <v>308</v>
      </c>
      <c r="T359" s="5" t="s">
        <v>77</v>
      </c>
      <c r="U359" s="7">
        <v>45209</v>
      </c>
      <c r="V359" s="5" t="s">
        <v>135</v>
      </c>
      <c r="W359" s="6">
        <v>690</v>
      </c>
      <c r="X359" s="5" t="s">
        <v>80</v>
      </c>
      <c r="Y359" s="9">
        <v>7</v>
      </c>
      <c r="Z359" s="5" t="s">
        <v>79</v>
      </c>
      <c r="AA359" s="5" t="s">
        <v>110</v>
      </c>
      <c r="AB359" s="9">
        <v>1</v>
      </c>
      <c r="AC359" s="5" t="s">
        <v>82</v>
      </c>
      <c r="AD359" s="5" t="s">
        <v>82</v>
      </c>
      <c r="AE359" s="5" t="s">
        <v>79</v>
      </c>
      <c r="AF359" s="10">
        <v>40500</v>
      </c>
      <c r="AG359" s="7">
        <v>49368</v>
      </c>
      <c r="AH359" s="10">
        <v>18000</v>
      </c>
      <c r="AI359" s="10">
        <v>37500</v>
      </c>
      <c r="AJ359" s="11">
        <f t="shared" si="5"/>
        <v>5.76</v>
      </c>
      <c r="AK359" s="12">
        <f>IF(B359="","",OR(K359="Not in use",K359="Low use")+AND(N359&lt;&gt;"",N359&lt;&gt;"TBD")+AND(ISNUMBER(U359),U359&lt;=EDATE('Scoring Settings'!$B$4,'Scoring Settings'!$B$8))+AND(ISNUMBER(L359),L359&lt;='Scoring Settings'!$B$7))</f>
        <v>1</v>
      </c>
      <c r="AL359" s="5" t="s">
        <v>223</v>
      </c>
      <c r="AM359" s="8" t="str">
        <f>IF(B359="","",IF(Z359="N","Easy",IF(OR(AND(ISNUMBER(AB359),AB359&gt;'Scoring Settings'!$B$11),AND(ISNUMBER(W359),W359&gt;'Scoring Settings'!$B$12),AND(ISNUMBER(M359),M359&lt;='Scoring Settings'!$B$13)),"High","Medium")))</f>
        <v>Easy</v>
      </c>
      <c r="AN359" s="5" t="s">
        <v>148</v>
      </c>
      <c r="AO359" s="7">
        <v>45260</v>
      </c>
      <c r="AP359" s="5" t="s">
        <v>98</v>
      </c>
      <c r="AQ359" s="29" t="s">
        <v>213</v>
      </c>
    </row>
    <row r="360" spans="1:43" hidden="1">
      <c r="A360" s="28">
        <v>143659</v>
      </c>
      <c r="B360" s="5" t="s">
        <v>590</v>
      </c>
      <c r="C360" s="5" t="s">
        <v>395</v>
      </c>
      <c r="D360" s="5" t="s">
        <v>88</v>
      </c>
      <c r="E360" s="5" t="s">
        <v>311</v>
      </c>
      <c r="F360" s="5" t="s">
        <v>173</v>
      </c>
      <c r="G360" s="5" t="s">
        <v>104</v>
      </c>
      <c r="H360" s="5" t="s">
        <v>174</v>
      </c>
      <c r="I360" s="6">
        <v>11</v>
      </c>
      <c r="J360" s="7">
        <v>44263</v>
      </c>
      <c r="K360" s="8" t="str">
        <f>IF(B360="","",IF(AND(I360="",J360=""),"Unknown",IF(OR(AND(ISNUMBER(I360),I360=0),AND(ISNUMBER(J360),J360&lt;=EDATE('Scoring Settings'!$B$4,-'Scoring Settings'!$B$5))),"Not in use",IF(AND(ISNUMBER(I360),I360&lt;'Scoring Settings'!$B$6),"Low use","Active"))))</f>
        <v>Low use</v>
      </c>
      <c r="L360" s="5">
        <v>3</v>
      </c>
      <c r="M360" s="5">
        <v>2</v>
      </c>
      <c r="N360" s="5" t="s">
        <v>591</v>
      </c>
      <c r="O360" s="5" t="s">
        <v>73</v>
      </c>
      <c r="P360" s="5" t="s">
        <v>592</v>
      </c>
      <c r="Q360" s="9">
        <v>5</v>
      </c>
      <c r="R360" s="5" t="s">
        <v>478</v>
      </c>
      <c r="S360" s="5" t="s">
        <v>479</v>
      </c>
      <c r="T360" s="5" t="s">
        <v>109</v>
      </c>
      <c r="U360" s="7">
        <v>43844</v>
      </c>
      <c r="V360" s="5" t="s">
        <v>78</v>
      </c>
      <c r="W360" s="6">
        <v>67</v>
      </c>
      <c r="X360" s="5" t="s">
        <v>80</v>
      </c>
      <c r="Y360" s="9">
        <v>10</v>
      </c>
      <c r="Z360" s="5" t="s">
        <v>80</v>
      </c>
      <c r="AA360" s="5" t="s">
        <v>205</v>
      </c>
      <c r="AB360" s="9">
        <v>18</v>
      </c>
      <c r="AC360" s="5" t="s">
        <v>82</v>
      </c>
      <c r="AD360" s="5" t="s">
        <v>82</v>
      </c>
      <c r="AE360" s="5" t="s">
        <v>82</v>
      </c>
      <c r="AF360" s="10">
        <v>150000</v>
      </c>
      <c r="AG360" s="7">
        <v>47664</v>
      </c>
      <c r="AH360" s="10">
        <v>344500</v>
      </c>
      <c r="AI360" s="10">
        <v>77500</v>
      </c>
      <c r="AJ360" s="11">
        <f t="shared" si="5"/>
        <v>53.341935483870969</v>
      </c>
      <c r="AK360" s="12">
        <f>IF(B360="","",OR(K360="Not in use",K360="Low use")+AND(N360&lt;&gt;"",N360&lt;&gt;"TBD")+AND(ISNUMBER(U360),U360&lt;=EDATE('Scoring Settings'!$B$4,'Scoring Settings'!$B$8))+AND(ISNUMBER(L360),L360&lt;='Scoring Settings'!$B$7))</f>
        <v>3</v>
      </c>
      <c r="AL360" s="5" t="s">
        <v>96</v>
      </c>
      <c r="AM360" s="8" t="str">
        <f>IF(B360="","",IF(Z360="N","Easy",IF(OR(AND(ISNUMBER(AB360),AB360&gt;'Scoring Settings'!$B$11),AND(ISNUMBER(W360),W360&gt;'Scoring Settings'!$B$12),AND(ISNUMBER(M360),M360&lt;='Scoring Settings'!$B$13)),"High","Medium")))</f>
        <v>High</v>
      </c>
      <c r="AN360" s="5" t="s">
        <v>148</v>
      </c>
      <c r="AO360" s="7">
        <v>45291</v>
      </c>
      <c r="AP360" s="5" t="s">
        <v>197</v>
      </c>
      <c r="AQ360" s="29" t="s">
        <v>399</v>
      </c>
    </row>
    <row r="361" spans="1:43" hidden="1">
      <c r="A361" s="28">
        <v>125692</v>
      </c>
      <c r="B361" s="5" t="s">
        <v>604</v>
      </c>
      <c r="C361" s="5" t="s">
        <v>522</v>
      </c>
      <c r="D361" s="5" t="s">
        <v>297</v>
      </c>
      <c r="E361" s="5" t="s">
        <v>68</v>
      </c>
      <c r="F361" s="5" t="s">
        <v>103</v>
      </c>
      <c r="G361" s="5" t="s">
        <v>90</v>
      </c>
      <c r="H361" s="5" t="s">
        <v>105</v>
      </c>
      <c r="I361" s="6">
        <v>0</v>
      </c>
      <c r="J361" s="7">
        <v>43743</v>
      </c>
      <c r="K361" s="8" t="str">
        <f>IF(B361="","",IF(AND(I361="",J361=""),"Unknown",IF(OR(AND(ISNUMBER(I361),I361=0),AND(ISNUMBER(J361),J361&lt;=EDATE('Scoring Settings'!$B$4,-'Scoring Settings'!$B$5))),"Not in use",IF(AND(ISNUMBER(I361),I361&lt;'Scoring Settings'!$B$6),"Low use","Active"))))</f>
        <v>Not in use</v>
      </c>
      <c r="L361" s="5">
        <v>1</v>
      </c>
      <c r="M361" s="5">
        <v>4</v>
      </c>
      <c r="N361" s="5" t="s">
        <v>575</v>
      </c>
      <c r="O361" s="5" t="s">
        <v>73</v>
      </c>
      <c r="P361" s="5" t="s">
        <v>605</v>
      </c>
      <c r="Q361" s="9">
        <v>2</v>
      </c>
      <c r="R361" s="5" t="s">
        <v>72</v>
      </c>
      <c r="S361" s="5" t="s">
        <v>133</v>
      </c>
      <c r="T361" s="5" t="s">
        <v>77</v>
      </c>
      <c r="U361" s="7">
        <v>43555</v>
      </c>
      <c r="V361" s="5" t="s">
        <v>95</v>
      </c>
      <c r="W361" s="6">
        <v>650</v>
      </c>
      <c r="X361" s="5" t="s">
        <v>80</v>
      </c>
      <c r="Y361" s="9">
        <v>5</v>
      </c>
      <c r="Z361" s="5" t="s">
        <v>80</v>
      </c>
      <c r="AA361" s="5" t="s">
        <v>205</v>
      </c>
      <c r="AB361" s="9">
        <v>1</v>
      </c>
      <c r="AC361" s="5" t="s">
        <v>79</v>
      </c>
      <c r="AD361" s="5" t="s">
        <v>82</v>
      </c>
      <c r="AE361" s="5" t="s">
        <v>82</v>
      </c>
      <c r="AF361" s="10">
        <v>22000</v>
      </c>
      <c r="AG361" s="7">
        <v>48760</v>
      </c>
      <c r="AH361" s="10">
        <v>17500</v>
      </c>
      <c r="AI361" s="10">
        <v>11500</v>
      </c>
      <c r="AJ361" s="11">
        <f t="shared" si="5"/>
        <v>18.260869565217391</v>
      </c>
      <c r="AK361" s="12">
        <f>IF(B361="","",OR(K361="Not in use",K361="Low use")+AND(N361&lt;&gt;"",N361&lt;&gt;"TBD")+AND(ISNUMBER(U361),U361&lt;=EDATE('Scoring Settings'!$B$4,'Scoring Settings'!$B$8))+AND(ISNUMBER(L361),L361&lt;='Scoring Settings'!$B$7))</f>
        <v>4</v>
      </c>
      <c r="AL361" s="5" t="s">
        <v>96</v>
      </c>
      <c r="AM361" s="8" t="str">
        <f>IF(B361="","",IF(Z361="N","Easy",IF(OR(AND(ISNUMBER(AB361),AB361&gt;'Scoring Settings'!$B$11),AND(ISNUMBER(W361),W361&gt;'Scoring Settings'!$B$12),AND(ISNUMBER(M361),M361&lt;='Scoring Settings'!$B$13)),"High","Medium")))</f>
        <v>Medium</v>
      </c>
      <c r="AN361" s="5" t="s">
        <v>148</v>
      </c>
      <c r="AO361" s="7">
        <v>44985</v>
      </c>
      <c r="AP361" s="5" t="s">
        <v>197</v>
      </c>
      <c r="AQ361" s="29" t="s">
        <v>276</v>
      </c>
    </row>
    <row r="362" spans="1:43" ht="42.75" hidden="1">
      <c r="A362" s="28">
        <v>26765</v>
      </c>
      <c r="B362" s="5" t="s">
        <v>620</v>
      </c>
      <c r="C362" s="5" t="s">
        <v>409</v>
      </c>
      <c r="D362" s="5" t="s">
        <v>115</v>
      </c>
      <c r="E362" s="5" t="s">
        <v>298</v>
      </c>
      <c r="F362" s="5" t="s">
        <v>312</v>
      </c>
      <c r="G362" s="5" t="s">
        <v>356</v>
      </c>
      <c r="H362" s="5" t="s">
        <v>118</v>
      </c>
      <c r="I362" s="6">
        <v>21</v>
      </c>
      <c r="J362" s="7">
        <v>44241</v>
      </c>
      <c r="K362" s="8" t="str">
        <f>IF(B362="","",IF(AND(I362="",J362=""),"Unknown",IF(OR(AND(ISNUMBER(I362),I362=0),AND(ISNUMBER(J362),J362&lt;=EDATE('Scoring Settings'!$B$4,-'Scoring Settings'!$B$5))),"Not in use",IF(AND(ISNUMBER(I362),I362&lt;'Scoring Settings'!$B$6),"Low use","Active"))))</f>
        <v>Low use</v>
      </c>
      <c r="L362" s="5">
        <v>2</v>
      </c>
      <c r="M362" s="5">
        <v>4</v>
      </c>
      <c r="N362" s="5"/>
      <c r="O362" s="5" t="s">
        <v>130</v>
      </c>
      <c r="P362" s="5" t="s">
        <v>621</v>
      </c>
      <c r="Q362" s="9">
        <v>4</v>
      </c>
      <c r="R362" s="5" t="s">
        <v>182</v>
      </c>
      <c r="S362" s="5" t="s">
        <v>183</v>
      </c>
      <c r="T362" s="5" t="s">
        <v>195</v>
      </c>
      <c r="U362" s="7">
        <v>42855</v>
      </c>
      <c r="V362" s="5" t="s">
        <v>78</v>
      </c>
      <c r="W362" s="6">
        <v>64</v>
      </c>
      <c r="X362" s="5" t="s">
        <v>80</v>
      </c>
      <c r="Y362" s="9">
        <v>7</v>
      </c>
      <c r="Z362" s="5" t="s">
        <v>79</v>
      </c>
      <c r="AA362" s="5" t="s">
        <v>110</v>
      </c>
      <c r="AB362" s="9">
        <v>2</v>
      </c>
      <c r="AC362" s="5" t="s">
        <v>80</v>
      </c>
      <c r="AD362" s="5" t="s">
        <v>82</v>
      </c>
      <c r="AE362" s="5" t="s">
        <v>80</v>
      </c>
      <c r="AF362" s="10">
        <v>25000</v>
      </c>
      <c r="AG362" s="7">
        <v>49003</v>
      </c>
      <c r="AH362" s="10">
        <v>32000</v>
      </c>
      <c r="AI362" s="10">
        <v>23500</v>
      </c>
      <c r="AJ362" s="11">
        <f t="shared" si="5"/>
        <v>16.340425531914892</v>
      </c>
      <c r="AK362" s="12">
        <f>IF(B362="","",OR(K362="Not in use",K362="Low use")+AND(N362&lt;&gt;"",N362&lt;&gt;"TBD")+AND(ISNUMBER(U362),U362&lt;=EDATE('Scoring Settings'!$B$4,'Scoring Settings'!$B$8))+AND(ISNUMBER(L362),L362&lt;='Scoring Settings'!$B$7))</f>
        <v>3</v>
      </c>
      <c r="AL362" s="5" t="s">
        <v>223</v>
      </c>
      <c r="AM362" s="8" t="str">
        <f>IF(B362="","",IF(Z362="N","Easy",IF(OR(AND(ISNUMBER(AB362),AB362&gt;'Scoring Settings'!$B$11),AND(ISNUMBER(W362),W362&gt;'Scoring Settings'!$B$12),AND(ISNUMBER(M362),M362&lt;='Scoring Settings'!$B$13)),"High","Medium")))</f>
        <v>Easy</v>
      </c>
      <c r="AN362" s="5" t="s">
        <v>148</v>
      </c>
      <c r="AO362" s="7">
        <v>44957</v>
      </c>
      <c r="AP362" s="5" t="s">
        <v>98</v>
      </c>
      <c r="AQ362" s="29" t="s">
        <v>622</v>
      </c>
    </row>
    <row r="363" spans="1:43" hidden="1">
      <c r="A363" s="28">
        <v>131423</v>
      </c>
      <c r="B363" s="5" t="s">
        <v>641</v>
      </c>
      <c r="C363" s="5" t="s">
        <v>220</v>
      </c>
      <c r="D363" s="5" t="s">
        <v>139</v>
      </c>
      <c r="E363" s="5" t="s">
        <v>68</v>
      </c>
      <c r="F363" s="5" t="s">
        <v>127</v>
      </c>
      <c r="G363" s="5" t="s">
        <v>141</v>
      </c>
      <c r="H363" s="5" t="s">
        <v>142</v>
      </c>
      <c r="I363" s="6">
        <v>25</v>
      </c>
      <c r="J363" s="7">
        <v>44272</v>
      </c>
      <c r="K363" s="8" t="str">
        <f>IF(B363="","",IF(AND(I363="",J363=""),"Unknown",IF(OR(AND(ISNUMBER(I363),I363=0),AND(ISNUMBER(J363),J363&lt;=EDATE('Scoring Settings'!$B$4,-'Scoring Settings'!$B$5))),"Not in use",IF(AND(ISNUMBER(I363),I363&lt;'Scoring Settings'!$B$6),"Low use","Active"))))</f>
        <v>Active</v>
      </c>
      <c r="L363" s="5">
        <v>4</v>
      </c>
      <c r="M363" s="5">
        <v>3</v>
      </c>
      <c r="N363" s="5" t="s">
        <v>350</v>
      </c>
      <c r="O363" s="5" t="s">
        <v>143</v>
      </c>
      <c r="P363" s="5" t="s">
        <v>144</v>
      </c>
      <c r="Q363" s="9">
        <v>0</v>
      </c>
      <c r="R363" s="5" t="s">
        <v>145</v>
      </c>
      <c r="S363" s="5" t="s">
        <v>145</v>
      </c>
      <c r="T363" s="5" t="s">
        <v>146</v>
      </c>
      <c r="U363" s="7">
        <v>44620</v>
      </c>
      <c r="V363" s="5" t="s">
        <v>78</v>
      </c>
      <c r="W363" s="6">
        <v>790</v>
      </c>
      <c r="X363" s="5" t="s">
        <v>79</v>
      </c>
      <c r="Y363" s="9">
        <v>3</v>
      </c>
      <c r="Z363" s="5" t="s">
        <v>80</v>
      </c>
      <c r="AA363" s="5" t="s">
        <v>81</v>
      </c>
      <c r="AB363" s="9">
        <v>7</v>
      </c>
      <c r="AC363" s="5" t="s">
        <v>82</v>
      </c>
      <c r="AD363" s="5" t="s">
        <v>79</v>
      </c>
      <c r="AE363" s="5" t="s">
        <v>82</v>
      </c>
      <c r="AF363" s="10">
        <v>115000</v>
      </c>
      <c r="AG363" s="7">
        <v>47968</v>
      </c>
      <c r="AH363" s="10">
        <v>139000</v>
      </c>
      <c r="AI363" s="10">
        <v>63000</v>
      </c>
      <c r="AJ363" s="11">
        <f t="shared" si="5"/>
        <v>26.476190476190478</v>
      </c>
      <c r="AK363" s="12">
        <f>IF(B363="","",OR(K363="Not in use",K363="Low use")+AND(N363&lt;&gt;"",N363&lt;&gt;"TBD")+AND(ISNUMBER(U363),U363&lt;=EDATE('Scoring Settings'!$B$4,'Scoring Settings'!$B$8))+AND(ISNUMBER(L363),L363&lt;='Scoring Settings'!$B$7))</f>
        <v>2</v>
      </c>
      <c r="AL363" s="5" t="s">
        <v>2217</v>
      </c>
      <c r="AM363" s="8" t="str">
        <f>IF(B363="","",IF(Z363="N","Easy",IF(OR(AND(ISNUMBER(AB363),AB363&gt;'Scoring Settings'!$B$11),AND(ISNUMBER(W363),W363&gt;'Scoring Settings'!$B$12),AND(ISNUMBER(M363),M363&lt;='Scoring Settings'!$B$13)),"High","Medium")))</f>
        <v>High</v>
      </c>
      <c r="AN363" s="5" t="s">
        <v>148</v>
      </c>
      <c r="AO363" s="7">
        <v>45169</v>
      </c>
      <c r="AP363" s="5" t="s">
        <v>98</v>
      </c>
      <c r="AQ363" s="29" t="s">
        <v>149</v>
      </c>
    </row>
    <row r="364" spans="1:43" hidden="1">
      <c r="A364" s="28">
        <v>136727</v>
      </c>
      <c r="B364" s="5" t="s">
        <v>642</v>
      </c>
      <c r="C364" s="5" t="s">
        <v>156</v>
      </c>
      <c r="D364" s="5" t="s">
        <v>139</v>
      </c>
      <c r="E364" s="5" t="s">
        <v>68</v>
      </c>
      <c r="F364" s="5" t="s">
        <v>560</v>
      </c>
      <c r="G364" s="5" t="s">
        <v>90</v>
      </c>
      <c r="H364" s="5" t="s">
        <v>71</v>
      </c>
      <c r="I364" s="6">
        <v>20</v>
      </c>
      <c r="J364" s="7">
        <v>44236</v>
      </c>
      <c r="K364" s="8" t="str">
        <f>IF(B364="","",IF(AND(I364="",J364=""),"Unknown",IF(OR(AND(ISNUMBER(I364),I364=0),AND(ISNUMBER(J364),J364&lt;=EDATE('Scoring Settings'!$B$4,-'Scoring Settings'!$B$5))),"Not in use",IF(AND(ISNUMBER(I364),I364&lt;'Scoring Settings'!$B$6),"Low use","Active"))))</f>
        <v>Low use</v>
      </c>
      <c r="L364" s="5">
        <v>2</v>
      </c>
      <c r="M364" s="5">
        <v>4</v>
      </c>
      <c r="N364" s="5"/>
      <c r="O364" s="5" t="s">
        <v>73</v>
      </c>
      <c r="P364" s="5" t="s">
        <v>643</v>
      </c>
      <c r="Q364" s="9">
        <v>2</v>
      </c>
      <c r="R364" s="5" t="s">
        <v>239</v>
      </c>
      <c r="S364" s="5" t="s">
        <v>240</v>
      </c>
      <c r="T364" s="5" t="s">
        <v>77</v>
      </c>
      <c r="U364" s="7">
        <v>44316</v>
      </c>
      <c r="V364" s="5" t="s">
        <v>95</v>
      </c>
      <c r="W364" s="6">
        <v>34</v>
      </c>
      <c r="X364" s="5" t="s">
        <v>80</v>
      </c>
      <c r="Y364" s="9">
        <v>10</v>
      </c>
      <c r="Z364" s="5" t="s">
        <v>80</v>
      </c>
      <c r="AA364" s="5" t="s">
        <v>185</v>
      </c>
      <c r="AB364" s="9">
        <v>1</v>
      </c>
      <c r="AC364" s="5" t="s">
        <v>82</v>
      </c>
      <c r="AD364" s="5" t="s">
        <v>79</v>
      </c>
      <c r="AE364" s="5" t="s">
        <v>79</v>
      </c>
      <c r="AF364" s="10">
        <v>28500</v>
      </c>
      <c r="AG364" s="7">
        <v>47907</v>
      </c>
      <c r="AH364" s="10">
        <v>39000</v>
      </c>
      <c r="AI364" s="10">
        <v>14500</v>
      </c>
      <c r="AJ364" s="11">
        <f t="shared" si="5"/>
        <v>32.275862068965516</v>
      </c>
      <c r="AK364" s="12">
        <f>IF(B364="","",OR(K364="Not in use",K364="Low use")+AND(N364&lt;&gt;"",N364&lt;&gt;"TBD")+AND(ISNUMBER(U364),U364&lt;=EDATE('Scoring Settings'!$B$4,'Scoring Settings'!$B$8))+AND(ISNUMBER(L364),L364&lt;='Scoring Settings'!$B$7))</f>
        <v>3</v>
      </c>
      <c r="AL364" s="5" t="s">
        <v>96</v>
      </c>
      <c r="AM364" s="8" t="str">
        <f>IF(B364="","",IF(Z364="N","Easy",IF(OR(AND(ISNUMBER(AB364),AB364&gt;'Scoring Settings'!$B$11),AND(ISNUMBER(W364),W364&gt;'Scoring Settings'!$B$12),AND(ISNUMBER(M364),M364&lt;='Scoring Settings'!$B$13)),"High","Medium")))</f>
        <v>Medium</v>
      </c>
      <c r="AN364" s="5" t="s">
        <v>148</v>
      </c>
      <c r="AO364" s="7">
        <v>45107</v>
      </c>
      <c r="AP364" s="5" t="s">
        <v>98</v>
      </c>
      <c r="AQ364" s="29" t="s">
        <v>170</v>
      </c>
    </row>
    <row r="365" spans="1:43" hidden="1">
      <c r="A365" s="28">
        <v>198095</v>
      </c>
      <c r="B365" s="5" t="s">
        <v>665</v>
      </c>
      <c r="C365" s="5" t="s">
        <v>13</v>
      </c>
      <c r="D365" s="5" t="s">
        <v>162</v>
      </c>
      <c r="E365" s="5" t="s">
        <v>68</v>
      </c>
      <c r="F365" s="5" t="s">
        <v>387</v>
      </c>
      <c r="G365" s="5" t="s">
        <v>356</v>
      </c>
      <c r="H365" s="5" t="s">
        <v>142</v>
      </c>
      <c r="I365" s="6">
        <v>11</v>
      </c>
      <c r="J365" s="7">
        <v>44213</v>
      </c>
      <c r="K365" s="8" t="str">
        <f>IF(B365="","",IF(AND(I365="",J365=""),"Unknown",IF(OR(AND(ISNUMBER(I365),I365=0),AND(ISNUMBER(J365),J365&lt;=EDATE('Scoring Settings'!$B$4,-'Scoring Settings'!$B$5))),"Not in use",IF(AND(ISNUMBER(I365),I365&lt;'Scoring Settings'!$B$6),"Low use","Active"))))</f>
        <v>Low use</v>
      </c>
      <c r="L365" s="5">
        <v>2</v>
      </c>
      <c r="M365" s="5">
        <v>3</v>
      </c>
      <c r="N365" s="5" t="s">
        <v>164</v>
      </c>
      <c r="O365" s="5" t="s">
        <v>143</v>
      </c>
      <c r="P365" s="5" t="s">
        <v>144</v>
      </c>
      <c r="Q365" s="9">
        <v>0</v>
      </c>
      <c r="R365" s="5" t="s">
        <v>145</v>
      </c>
      <c r="S365" s="5" t="s">
        <v>145</v>
      </c>
      <c r="T365" s="5" t="s">
        <v>146</v>
      </c>
      <c r="U365" s="7"/>
      <c r="V365" s="5" t="s">
        <v>135</v>
      </c>
      <c r="W365" s="6">
        <v>2900</v>
      </c>
      <c r="X365" s="5" t="s">
        <v>79</v>
      </c>
      <c r="Y365" s="9">
        <v>3</v>
      </c>
      <c r="Z365" s="5" t="s">
        <v>80</v>
      </c>
      <c r="AA365" s="5" t="s">
        <v>185</v>
      </c>
      <c r="AB365" s="9">
        <v>6</v>
      </c>
      <c r="AC365" s="5" t="s">
        <v>79</v>
      </c>
      <c r="AD365" s="5" t="s">
        <v>82</v>
      </c>
      <c r="AE365" s="5" t="s">
        <v>82</v>
      </c>
      <c r="AF365" s="10">
        <v>75000</v>
      </c>
      <c r="AG365" s="7">
        <v>46234</v>
      </c>
      <c r="AH365" s="10">
        <v>232500</v>
      </c>
      <c r="AI365" s="10">
        <v>28500</v>
      </c>
      <c r="AJ365" s="11">
        <f t="shared" si="5"/>
        <v>97.89473684210526</v>
      </c>
      <c r="AK365" s="12">
        <f>IF(B365="","",OR(K365="Not in use",K365="Low use")+AND(N365&lt;&gt;"",N365&lt;&gt;"TBD")+AND(ISNUMBER(U365),U365&lt;=EDATE('Scoring Settings'!$B$4,'Scoring Settings'!$B$8))+AND(ISNUMBER(L365),L365&lt;='Scoring Settings'!$B$7))</f>
        <v>3</v>
      </c>
      <c r="AL365" s="5" t="s">
        <v>96</v>
      </c>
      <c r="AM365" s="8" t="str">
        <f>IF(B365="","",IF(Z365="N","Easy",IF(OR(AND(ISNUMBER(AB365),AB365&gt;'Scoring Settings'!$B$11),AND(ISNUMBER(W365),W365&gt;'Scoring Settings'!$B$12),AND(ISNUMBER(M365),M365&lt;='Scoring Settings'!$B$13)),"High","Medium")))</f>
        <v>High</v>
      </c>
      <c r="AN365" s="5" t="s">
        <v>148</v>
      </c>
      <c r="AO365" s="7">
        <v>45016</v>
      </c>
      <c r="AP365" s="5" t="s">
        <v>197</v>
      </c>
      <c r="AQ365" s="29" t="s">
        <v>399</v>
      </c>
    </row>
    <row r="366" spans="1:43" hidden="1">
      <c r="A366" s="28">
        <v>78340</v>
      </c>
      <c r="B366" s="5" t="s">
        <v>666</v>
      </c>
      <c r="C366" s="5" t="s">
        <v>667</v>
      </c>
      <c r="D366" s="5" t="s">
        <v>115</v>
      </c>
      <c r="E366" s="5" t="s">
        <v>68</v>
      </c>
      <c r="F366" s="5" t="s">
        <v>89</v>
      </c>
      <c r="G366" s="5" t="s">
        <v>90</v>
      </c>
      <c r="H366" s="5" t="s">
        <v>189</v>
      </c>
      <c r="I366" s="6">
        <v>17</v>
      </c>
      <c r="J366" s="7">
        <v>44183</v>
      </c>
      <c r="K366" s="8" t="str">
        <f>IF(B366="","",IF(AND(I366="",J366=""),"Unknown",IF(OR(AND(ISNUMBER(I366),I366=0),AND(ISNUMBER(J366),J366&lt;=EDATE('Scoring Settings'!$B$4,-'Scoring Settings'!$B$5))),"Not in use",IF(AND(ISNUMBER(I366),I366&lt;'Scoring Settings'!$B$6),"Low use","Active"))))</f>
        <v>Low use</v>
      </c>
      <c r="L366" s="5">
        <v>3</v>
      </c>
      <c r="M366" s="5">
        <v>3</v>
      </c>
      <c r="N366" s="5" t="s">
        <v>668</v>
      </c>
      <c r="O366" s="5" t="s">
        <v>191</v>
      </c>
      <c r="P366" s="5" t="s">
        <v>192</v>
      </c>
      <c r="Q366" s="9">
        <v>0</v>
      </c>
      <c r="R366" s="5" t="s">
        <v>193</v>
      </c>
      <c r="S366" s="5" t="s">
        <v>194</v>
      </c>
      <c r="T366" s="5" t="s">
        <v>195</v>
      </c>
      <c r="U366" s="7"/>
      <c r="V366" s="5" t="s">
        <v>135</v>
      </c>
      <c r="W366" s="6">
        <v>970</v>
      </c>
      <c r="X366" s="5" t="s">
        <v>80</v>
      </c>
      <c r="Y366" s="9">
        <v>10</v>
      </c>
      <c r="Z366" s="5" t="s">
        <v>80</v>
      </c>
      <c r="AA366" s="5" t="s">
        <v>185</v>
      </c>
      <c r="AB366" s="9">
        <v>4</v>
      </c>
      <c r="AC366" s="5" t="s">
        <v>82</v>
      </c>
      <c r="AD366" s="5" t="s">
        <v>79</v>
      </c>
      <c r="AE366" s="5" t="s">
        <v>79</v>
      </c>
      <c r="AF366" s="10">
        <v>19000</v>
      </c>
      <c r="AG366" s="7">
        <v>46630</v>
      </c>
      <c r="AH366" s="10">
        <v>24000</v>
      </c>
      <c r="AI366" s="10">
        <v>15500</v>
      </c>
      <c r="AJ366" s="11">
        <f t="shared" si="5"/>
        <v>18.58064516129032</v>
      </c>
      <c r="AK366" s="12">
        <f>IF(B366="","",OR(K366="Not in use",K366="Low use")+AND(N366&lt;&gt;"",N366&lt;&gt;"TBD")+AND(ISNUMBER(U366),U366&lt;=EDATE('Scoring Settings'!$B$4,'Scoring Settings'!$B$8))+AND(ISNUMBER(L366),L366&lt;='Scoring Settings'!$B$7))</f>
        <v>2</v>
      </c>
      <c r="AL366" s="5" t="s">
        <v>96</v>
      </c>
      <c r="AM366" s="8" t="str">
        <f>IF(B366="","",IF(Z366="N","Easy",IF(OR(AND(ISNUMBER(AB366),AB366&gt;'Scoring Settings'!$B$11),AND(ISNUMBER(W366),W366&gt;'Scoring Settings'!$B$12),AND(ISNUMBER(M366),M366&lt;='Scoring Settings'!$B$13)),"High","Medium")))</f>
        <v>Medium</v>
      </c>
      <c r="AN366" s="5" t="s">
        <v>148</v>
      </c>
      <c r="AO366" s="7">
        <v>45199</v>
      </c>
      <c r="AP366" s="5" t="s">
        <v>197</v>
      </c>
      <c r="AQ366" s="29" t="s">
        <v>669</v>
      </c>
    </row>
    <row r="367" spans="1:43" hidden="1">
      <c r="A367" s="28">
        <v>175349</v>
      </c>
      <c r="B367" s="5" t="s">
        <v>672</v>
      </c>
      <c r="C367" s="5" t="s">
        <v>467</v>
      </c>
      <c r="D367" s="5" t="s">
        <v>297</v>
      </c>
      <c r="E367" s="5" t="s">
        <v>68</v>
      </c>
      <c r="F367" s="5" t="s">
        <v>419</v>
      </c>
      <c r="G367" s="5" t="s">
        <v>356</v>
      </c>
      <c r="H367" s="5" t="s">
        <v>91</v>
      </c>
      <c r="I367" s="6">
        <v>0</v>
      </c>
      <c r="J367" s="7">
        <v>44135</v>
      </c>
      <c r="K367" s="8" t="str">
        <f>IF(B367="","",IF(AND(I367="",J367=""),"Unknown",IF(OR(AND(ISNUMBER(I367),I367=0),AND(ISNUMBER(J367),J367&lt;=EDATE('Scoring Settings'!$B$4,-'Scoring Settings'!$B$5))),"Not in use",IF(AND(ISNUMBER(I367),I367&lt;'Scoring Settings'!$B$6),"Low use","Active"))))</f>
        <v>Not in use</v>
      </c>
      <c r="L367" s="5">
        <v>2</v>
      </c>
      <c r="M367" s="5">
        <v>3</v>
      </c>
      <c r="N367" s="5"/>
      <c r="O367" s="5" t="s">
        <v>73</v>
      </c>
      <c r="P367" s="5" t="s">
        <v>673</v>
      </c>
      <c r="Q367" s="9">
        <v>4</v>
      </c>
      <c r="R367" s="5" t="s">
        <v>478</v>
      </c>
      <c r="S367" s="5" t="s">
        <v>72</v>
      </c>
      <c r="T367" s="5" t="s">
        <v>122</v>
      </c>
      <c r="U367" s="7">
        <v>43844</v>
      </c>
      <c r="V367" s="5" t="s">
        <v>135</v>
      </c>
      <c r="W367" s="6">
        <v>20</v>
      </c>
      <c r="X367" s="5" t="s">
        <v>80</v>
      </c>
      <c r="Y367" s="9">
        <v>10</v>
      </c>
      <c r="Z367" s="5" t="s">
        <v>80</v>
      </c>
      <c r="AA367" s="5" t="s">
        <v>205</v>
      </c>
      <c r="AB367" s="9">
        <v>2</v>
      </c>
      <c r="AC367" s="5" t="s">
        <v>80</v>
      </c>
      <c r="AD367" s="5" t="s">
        <v>80</v>
      </c>
      <c r="AE367" s="5" t="s">
        <v>82</v>
      </c>
      <c r="AF367" s="10">
        <v>70000</v>
      </c>
      <c r="AG367" s="7">
        <v>48273</v>
      </c>
      <c r="AH367" s="10">
        <v>62500</v>
      </c>
      <c r="AI367" s="10">
        <v>45000</v>
      </c>
      <c r="AJ367" s="11">
        <f t="shared" si="5"/>
        <v>16.666666666666664</v>
      </c>
      <c r="AK367" s="12">
        <f>IF(B367="","",OR(K367="Not in use",K367="Low use")+AND(N367&lt;&gt;"",N367&lt;&gt;"TBD")+AND(ISNUMBER(U367),U367&lt;=EDATE('Scoring Settings'!$B$4,'Scoring Settings'!$B$8))+AND(ISNUMBER(L367),L367&lt;='Scoring Settings'!$B$7))</f>
        <v>3</v>
      </c>
      <c r="AL367" s="5" t="s">
        <v>96</v>
      </c>
      <c r="AM367" s="8" t="str">
        <f>IF(B367="","",IF(Z367="N","Easy",IF(OR(AND(ISNUMBER(AB367),AB367&gt;'Scoring Settings'!$B$11),AND(ISNUMBER(W367),W367&gt;'Scoring Settings'!$B$12),AND(ISNUMBER(M367),M367&lt;='Scoring Settings'!$B$13)),"High","Medium")))</f>
        <v>Medium</v>
      </c>
      <c r="AN367" s="5" t="s">
        <v>148</v>
      </c>
      <c r="AO367" s="7">
        <v>45230</v>
      </c>
      <c r="AP367" s="5" t="s">
        <v>98</v>
      </c>
      <c r="AQ367" s="29" t="s">
        <v>213</v>
      </c>
    </row>
    <row r="368" spans="1:43" hidden="1">
      <c r="A368" s="28">
        <v>150514</v>
      </c>
      <c r="B368" s="5" t="s">
        <v>675</v>
      </c>
      <c r="C368" s="5" t="s">
        <v>464</v>
      </c>
      <c r="D368" s="5" t="s">
        <v>88</v>
      </c>
      <c r="E368" s="5" t="s">
        <v>68</v>
      </c>
      <c r="F368" s="5" t="s">
        <v>127</v>
      </c>
      <c r="G368" s="5" t="s">
        <v>278</v>
      </c>
      <c r="H368" s="5" t="s">
        <v>118</v>
      </c>
      <c r="I368" s="6">
        <v>18</v>
      </c>
      <c r="J368" s="7">
        <v>44209</v>
      </c>
      <c r="K368" s="8" t="str">
        <f>IF(B368="","",IF(AND(I368="",J368=""),"Unknown",IF(OR(AND(ISNUMBER(I368),I368=0),AND(ISNUMBER(J368),J368&lt;=EDATE('Scoring Settings'!$B$4,-'Scoring Settings'!$B$5))),"Not in use",IF(AND(ISNUMBER(I368),I368&lt;'Scoring Settings'!$B$6),"Low use","Active"))))</f>
        <v>Low use</v>
      </c>
      <c r="L368" s="5">
        <v>2</v>
      </c>
      <c r="M368" s="5">
        <v>3</v>
      </c>
      <c r="N368" s="5" t="s">
        <v>474</v>
      </c>
      <c r="O368" s="5" t="s">
        <v>73</v>
      </c>
      <c r="P368" s="5" t="s">
        <v>676</v>
      </c>
      <c r="Q368" s="9">
        <v>1</v>
      </c>
      <c r="R368" s="5" t="s">
        <v>203</v>
      </c>
      <c r="S368" s="5" t="s">
        <v>508</v>
      </c>
      <c r="T368" s="5" t="s">
        <v>184</v>
      </c>
      <c r="U368" s="7">
        <v>47269</v>
      </c>
      <c r="V368" s="5" t="s">
        <v>95</v>
      </c>
      <c r="W368" s="6">
        <v>77</v>
      </c>
      <c r="X368" s="5" t="s">
        <v>79</v>
      </c>
      <c r="Y368" s="9">
        <v>3</v>
      </c>
      <c r="Z368" s="5" t="s">
        <v>80</v>
      </c>
      <c r="AA368" s="5" t="s">
        <v>185</v>
      </c>
      <c r="AB368" s="9">
        <v>6</v>
      </c>
      <c r="AC368" s="5" t="s">
        <v>79</v>
      </c>
      <c r="AD368" s="5" t="s">
        <v>80</v>
      </c>
      <c r="AE368" s="5" t="s">
        <v>82</v>
      </c>
      <c r="AF368" s="10">
        <v>20500</v>
      </c>
      <c r="AG368" s="7">
        <v>46660</v>
      </c>
      <c r="AH368" s="10">
        <v>11500</v>
      </c>
      <c r="AI368" s="10">
        <v>12500</v>
      </c>
      <c r="AJ368" s="11">
        <f t="shared" si="5"/>
        <v>11.040000000000001</v>
      </c>
      <c r="AK368" s="12">
        <f>IF(B368="","",OR(K368="Not in use",K368="Low use")+AND(N368&lt;&gt;"",N368&lt;&gt;"TBD")+AND(ISNUMBER(U368),U368&lt;=EDATE('Scoring Settings'!$B$4,'Scoring Settings'!$B$8))+AND(ISNUMBER(L368),L368&lt;='Scoring Settings'!$B$7))</f>
        <v>3</v>
      </c>
      <c r="AL368" s="5" t="s">
        <v>96</v>
      </c>
      <c r="AM368" s="8" t="str">
        <f>IF(B368="","",IF(Z368="N","Easy",IF(OR(AND(ISNUMBER(AB368),AB368&gt;'Scoring Settings'!$B$11),AND(ISNUMBER(W368),W368&gt;'Scoring Settings'!$B$12),AND(ISNUMBER(M368),M368&lt;='Scoring Settings'!$B$13)),"High","Medium")))</f>
        <v>High</v>
      </c>
      <c r="AN368" s="5" t="s">
        <v>148</v>
      </c>
      <c r="AO368" s="7">
        <v>45138</v>
      </c>
      <c r="AP368" s="5" t="s">
        <v>98</v>
      </c>
      <c r="AQ368" s="29" t="s">
        <v>149</v>
      </c>
    </row>
    <row r="369" spans="1:43" hidden="1">
      <c r="A369" s="28">
        <v>73284</v>
      </c>
      <c r="B369" s="5" t="s">
        <v>683</v>
      </c>
      <c r="C369" s="5" t="s">
        <v>522</v>
      </c>
      <c r="D369" s="5" t="s">
        <v>297</v>
      </c>
      <c r="E369" s="5" t="s">
        <v>68</v>
      </c>
      <c r="F369" s="5" t="s">
        <v>173</v>
      </c>
      <c r="G369" s="5" t="s">
        <v>404</v>
      </c>
      <c r="H369" s="5" t="s">
        <v>91</v>
      </c>
      <c r="I369" s="6">
        <v>278</v>
      </c>
      <c r="J369" s="7">
        <v>44311</v>
      </c>
      <c r="K369" s="8" t="str">
        <f>IF(B369="","",IF(AND(I369="",J369=""),"Unknown",IF(OR(AND(ISNUMBER(I369),I369=0),AND(ISNUMBER(J369),J369&lt;=EDATE('Scoring Settings'!$B$4,-'Scoring Settings'!$B$5))),"Not in use",IF(AND(ISNUMBER(I369),I369&lt;'Scoring Settings'!$B$6),"Low use","Active"))))</f>
        <v>Active</v>
      </c>
      <c r="L369" s="5">
        <v>1</v>
      </c>
      <c r="M369" s="5">
        <v>4</v>
      </c>
      <c r="N369" s="5" t="s">
        <v>72</v>
      </c>
      <c r="O369" s="5" t="s">
        <v>73</v>
      </c>
      <c r="P369" s="5" t="s">
        <v>684</v>
      </c>
      <c r="Q369" s="9">
        <v>1</v>
      </c>
      <c r="R369" s="5" t="s">
        <v>132</v>
      </c>
      <c r="S369" s="5" t="s">
        <v>72</v>
      </c>
      <c r="T369" s="5" t="s">
        <v>184</v>
      </c>
      <c r="U369" s="7">
        <v>44227</v>
      </c>
      <c r="V369" s="5" t="s">
        <v>135</v>
      </c>
      <c r="W369" s="6">
        <v>650</v>
      </c>
      <c r="X369" s="5" t="s">
        <v>80</v>
      </c>
      <c r="Y369" s="9">
        <v>10</v>
      </c>
      <c r="Z369" s="5" t="s">
        <v>80</v>
      </c>
      <c r="AA369" s="5" t="s">
        <v>205</v>
      </c>
      <c r="AB369" s="9">
        <v>0</v>
      </c>
      <c r="AC369" s="5" t="s">
        <v>80</v>
      </c>
      <c r="AD369" s="5" t="s">
        <v>82</v>
      </c>
      <c r="AE369" s="5" t="s">
        <v>79</v>
      </c>
      <c r="AF369" s="10">
        <v>22000</v>
      </c>
      <c r="AG369" s="7">
        <v>45961</v>
      </c>
      <c r="AH369" s="10">
        <v>38500</v>
      </c>
      <c r="AI369" s="10">
        <v>11500</v>
      </c>
      <c r="AJ369" s="11">
        <f t="shared" si="5"/>
        <v>40.173913043478265</v>
      </c>
      <c r="AK369" s="12">
        <f>IF(B369="","",OR(K369="Not in use",K369="Low use")+AND(N369&lt;&gt;"",N369&lt;&gt;"TBD")+AND(ISNUMBER(U369),U369&lt;=EDATE('Scoring Settings'!$B$4,'Scoring Settings'!$B$8))+AND(ISNUMBER(L369),L369&lt;='Scoring Settings'!$B$7))</f>
        <v>2</v>
      </c>
      <c r="AL369" s="5" t="s">
        <v>96</v>
      </c>
      <c r="AM369" s="8" t="str">
        <f>IF(B369="","",IF(Z369="N","Easy",IF(OR(AND(ISNUMBER(AB369),AB369&gt;'Scoring Settings'!$B$11),AND(ISNUMBER(W369),W369&gt;'Scoring Settings'!$B$12),AND(ISNUMBER(M369),M369&lt;='Scoring Settings'!$B$13)),"High","Medium")))</f>
        <v>Medium</v>
      </c>
      <c r="AN369" s="5" t="s">
        <v>148</v>
      </c>
      <c r="AO369" s="7">
        <v>45046</v>
      </c>
      <c r="AP369" s="5" t="s">
        <v>197</v>
      </c>
      <c r="AQ369" s="29" t="s">
        <v>276</v>
      </c>
    </row>
    <row r="370" spans="1:43" hidden="1">
      <c r="A370" s="28">
        <v>88211</v>
      </c>
      <c r="B370" s="5" t="s">
        <v>698</v>
      </c>
      <c r="C370" s="5" t="s">
        <v>699</v>
      </c>
      <c r="D370" s="5" t="s">
        <v>297</v>
      </c>
      <c r="E370" s="5" t="s">
        <v>298</v>
      </c>
      <c r="F370" s="5" t="s">
        <v>103</v>
      </c>
      <c r="G370" s="5" t="s">
        <v>117</v>
      </c>
      <c r="H370" s="5" t="s">
        <v>105</v>
      </c>
      <c r="I370" s="6">
        <v>2</v>
      </c>
      <c r="J370" s="7">
        <v>43813</v>
      </c>
      <c r="K370" s="8" t="str">
        <f>IF(B370="","",IF(AND(I370="",J370=""),"Unknown",IF(OR(AND(ISNUMBER(I370),I370=0),AND(ISNUMBER(J370),J370&lt;=EDATE('Scoring Settings'!$B$4,-'Scoring Settings'!$B$5))),"Not in use",IF(AND(ISNUMBER(I370),I370&lt;'Scoring Settings'!$B$6),"Low use","Active"))))</f>
        <v>Not in use</v>
      </c>
      <c r="L370" s="5">
        <v>3</v>
      </c>
      <c r="M370" s="5">
        <v>2</v>
      </c>
      <c r="N370" s="5"/>
      <c r="O370" s="5" t="s">
        <v>73</v>
      </c>
      <c r="P370" s="5" t="s">
        <v>700</v>
      </c>
      <c r="Q370" s="9">
        <v>1</v>
      </c>
      <c r="R370" s="5" t="s">
        <v>239</v>
      </c>
      <c r="S370" s="5" t="s">
        <v>240</v>
      </c>
      <c r="T370" s="5" t="s">
        <v>77</v>
      </c>
      <c r="U370" s="7">
        <v>44316</v>
      </c>
      <c r="V370" s="5" t="s">
        <v>95</v>
      </c>
      <c r="W370" s="6">
        <v>140</v>
      </c>
      <c r="X370" s="5" t="s">
        <v>80</v>
      </c>
      <c r="Y370" s="9">
        <v>10</v>
      </c>
      <c r="Z370" s="5" t="s">
        <v>79</v>
      </c>
      <c r="AA370" s="5" t="s">
        <v>110</v>
      </c>
      <c r="AB370" s="9">
        <v>8</v>
      </c>
      <c r="AC370" s="5" t="s">
        <v>82</v>
      </c>
      <c r="AD370" s="5" t="s">
        <v>82</v>
      </c>
      <c r="AE370" s="5" t="s">
        <v>82</v>
      </c>
      <c r="AF370" s="10">
        <v>33500</v>
      </c>
      <c r="AG370" s="7">
        <v>48944</v>
      </c>
      <c r="AH370" s="10">
        <v>44000</v>
      </c>
      <c r="AI370" s="10">
        <v>29000</v>
      </c>
      <c r="AJ370" s="11">
        <f t="shared" si="5"/>
        <v>18.206896551724135</v>
      </c>
      <c r="AK370" s="12">
        <f>IF(B370="","",OR(K370="Not in use",K370="Low use")+AND(N370&lt;&gt;"",N370&lt;&gt;"TBD")+AND(ISNUMBER(U370),U370&lt;=EDATE('Scoring Settings'!$B$4,'Scoring Settings'!$B$8))+AND(ISNUMBER(L370),L370&lt;='Scoring Settings'!$B$7))</f>
        <v>2</v>
      </c>
      <c r="AL370" s="5" t="s">
        <v>223</v>
      </c>
      <c r="AM370" s="8" t="str">
        <f>IF(B370="","",IF(Z370="N","Easy",IF(OR(AND(ISNUMBER(AB370),AB370&gt;'Scoring Settings'!$B$11),AND(ISNUMBER(W370),W370&gt;'Scoring Settings'!$B$12),AND(ISNUMBER(M370),M370&lt;='Scoring Settings'!$B$13)),"High","Medium")))</f>
        <v>Easy</v>
      </c>
      <c r="AN370" s="5" t="s">
        <v>148</v>
      </c>
      <c r="AO370" s="7">
        <v>45291</v>
      </c>
      <c r="AP370" s="5" t="s">
        <v>98</v>
      </c>
      <c r="AQ370" s="29" t="s">
        <v>136</v>
      </c>
    </row>
    <row r="371" spans="1:43" hidden="1">
      <c r="A371" s="28">
        <v>97914</v>
      </c>
      <c r="B371" s="5" t="s">
        <v>714</v>
      </c>
      <c r="C371" s="5" t="s">
        <v>215</v>
      </c>
      <c r="D371" s="5" t="s">
        <v>139</v>
      </c>
      <c r="E371" s="5" t="s">
        <v>311</v>
      </c>
      <c r="F371" s="5" t="s">
        <v>178</v>
      </c>
      <c r="G371" s="5" t="s">
        <v>278</v>
      </c>
      <c r="H371" s="5" t="s">
        <v>142</v>
      </c>
      <c r="I371" s="6">
        <v>4</v>
      </c>
      <c r="J371" s="7">
        <v>44248</v>
      </c>
      <c r="K371" s="8" t="str">
        <f>IF(B371="","",IF(AND(I371="",J371=""),"Unknown",IF(OR(AND(ISNUMBER(I371),I371=0),AND(ISNUMBER(J371),J371&lt;=EDATE('Scoring Settings'!$B$4,-'Scoring Settings'!$B$5))),"Not in use",IF(AND(ISNUMBER(I371),I371&lt;'Scoring Settings'!$B$6),"Low use","Active"))))</f>
        <v>Low use</v>
      </c>
      <c r="L371" s="5">
        <v>2</v>
      </c>
      <c r="M371" s="5">
        <v>3</v>
      </c>
      <c r="N371" s="5" t="s">
        <v>350</v>
      </c>
      <c r="O371" s="5" t="s">
        <v>143</v>
      </c>
      <c r="P371" s="5" t="s">
        <v>144</v>
      </c>
      <c r="Q371" s="9">
        <v>0</v>
      </c>
      <c r="R371" s="5" t="s">
        <v>145</v>
      </c>
      <c r="S371" s="5" t="s">
        <v>145</v>
      </c>
      <c r="T371" s="5" t="s">
        <v>146</v>
      </c>
      <c r="U371" s="7">
        <v>45716</v>
      </c>
      <c r="V371" s="5" t="s">
        <v>95</v>
      </c>
      <c r="W371" s="6">
        <v>770</v>
      </c>
      <c r="X371" s="5" t="s">
        <v>79</v>
      </c>
      <c r="Y371" s="9">
        <v>5</v>
      </c>
      <c r="Z371" s="5" t="s">
        <v>80</v>
      </c>
      <c r="AA371" s="5" t="s">
        <v>147</v>
      </c>
      <c r="AB371" s="9">
        <v>1</v>
      </c>
      <c r="AC371" s="5" t="s">
        <v>80</v>
      </c>
      <c r="AD371" s="5" t="s">
        <v>82</v>
      </c>
      <c r="AE371" s="5" t="s">
        <v>82</v>
      </c>
      <c r="AF371" s="10">
        <v>80000</v>
      </c>
      <c r="AG371" s="7">
        <v>47238</v>
      </c>
      <c r="AH371" s="10">
        <v>77500</v>
      </c>
      <c r="AI371" s="10">
        <v>36500</v>
      </c>
      <c r="AJ371" s="11">
        <f t="shared" si="5"/>
        <v>25.479452054794521</v>
      </c>
      <c r="AK371" s="12">
        <f>IF(B371="","",OR(K371="Not in use",K371="Low use")+AND(N371&lt;&gt;"",N371&lt;&gt;"TBD")+AND(ISNUMBER(U371),U371&lt;=EDATE('Scoring Settings'!$B$4,'Scoring Settings'!$B$8))+AND(ISNUMBER(L371),L371&lt;='Scoring Settings'!$B$7))</f>
        <v>3</v>
      </c>
      <c r="AL371" s="5" t="s">
        <v>96</v>
      </c>
      <c r="AM371" s="8" t="str">
        <f>IF(B371="","",IF(Z371="N","Easy",IF(OR(AND(ISNUMBER(AB371),AB371&gt;'Scoring Settings'!$B$11),AND(ISNUMBER(W371),W371&gt;'Scoring Settings'!$B$12),AND(ISNUMBER(M371),M371&lt;='Scoring Settings'!$B$13)),"High","Medium")))</f>
        <v>Medium</v>
      </c>
      <c r="AN371" s="5" t="s">
        <v>148</v>
      </c>
      <c r="AO371" s="7">
        <v>44985</v>
      </c>
      <c r="AP371" s="5" t="s">
        <v>98</v>
      </c>
      <c r="AQ371" s="29" t="s">
        <v>149</v>
      </c>
    </row>
    <row r="372" spans="1:43" ht="42.75" hidden="1">
      <c r="A372" s="28">
        <v>172378</v>
      </c>
      <c r="B372" s="5" t="s">
        <v>717</v>
      </c>
      <c r="C372" s="5" t="s">
        <v>483</v>
      </c>
      <c r="D372" s="5" t="s">
        <v>88</v>
      </c>
      <c r="E372" s="5" t="s">
        <v>298</v>
      </c>
      <c r="F372" s="5" t="s">
        <v>560</v>
      </c>
      <c r="G372" s="5" t="s">
        <v>278</v>
      </c>
      <c r="H372" s="5" t="s">
        <v>174</v>
      </c>
      <c r="I372" s="6">
        <v>4</v>
      </c>
      <c r="J372" s="7">
        <v>44092</v>
      </c>
      <c r="K372" s="8" t="str">
        <f>IF(B372="","",IF(AND(I372="",J372=""),"Unknown",IF(OR(AND(ISNUMBER(I372),I372=0),AND(ISNUMBER(J372),J372&lt;=EDATE('Scoring Settings'!$B$4,-'Scoring Settings'!$B$5))),"Not in use",IF(AND(ISNUMBER(I372),I372&lt;'Scoring Settings'!$B$6),"Low use","Active"))))</f>
        <v>Not in use</v>
      </c>
      <c r="L372" s="5">
        <v>2</v>
      </c>
      <c r="M372" s="5">
        <v>3</v>
      </c>
      <c r="N372" s="5"/>
      <c r="O372" s="5" t="s">
        <v>130</v>
      </c>
      <c r="P372" s="5" t="s">
        <v>718</v>
      </c>
      <c r="Q372" s="9">
        <v>1</v>
      </c>
      <c r="R372" s="5" t="s">
        <v>251</v>
      </c>
      <c r="S372" s="5" t="s">
        <v>133</v>
      </c>
      <c r="T372" s="5" t="s">
        <v>134</v>
      </c>
      <c r="U372" s="7">
        <v>44165</v>
      </c>
      <c r="V372" s="5" t="s">
        <v>135</v>
      </c>
      <c r="W372" s="6">
        <v>17</v>
      </c>
      <c r="X372" s="5" t="s">
        <v>79</v>
      </c>
      <c r="Y372" s="9">
        <v>3</v>
      </c>
      <c r="Z372" s="5" t="s">
        <v>79</v>
      </c>
      <c r="AA372" s="5" t="s">
        <v>110</v>
      </c>
      <c r="AB372" s="9">
        <v>1</v>
      </c>
      <c r="AC372" s="5" t="s">
        <v>82</v>
      </c>
      <c r="AD372" s="5" t="s">
        <v>82</v>
      </c>
      <c r="AE372" s="5" t="s">
        <v>80</v>
      </c>
      <c r="AF372" s="10">
        <v>20000</v>
      </c>
      <c r="AG372" s="7">
        <v>47695</v>
      </c>
      <c r="AH372" s="10">
        <v>22500</v>
      </c>
      <c r="AI372" s="10">
        <v>19500</v>
      </c>
      <c r="AJ372" s="11">
        <f t="shared" si="5"/>
        <v>13.846153846153845</v>
      </c>
      <c r="AK372" s="12">
        <f>IF(B372="","",OR(K372="Not in use",K372="Low use")+AND(N372&lt;&gt;"",N372&lt;&gt;"TBD")+AND(ISNUMBER(U372),U372&lt;=EDATE('Scoring Settings'!$B$4,'Scoring Settings'!$B$8))+AND(ISNUMBER(L372),L372&lt;='Scoring Settings'!$B$7))</f>
        <v>3</v>
      </c>
      <c r="AL372" s="5" t="s">
        <v>223</v>
      </c>
      <c r="AM372" s="8" t="str">
        <f>IF(B372="","",IF(Z372="N","Easy",IF(OR(AND(ISNUMBER(AB372),AB372&gt;'Scoring Settings'!$B$11),AND(ISNUMBER(W372),W372&gt;'Scoring Settings'!$B$12),AND(ISNUMBER(M372),M372&lt;='Scoring Settings'!$B$13)),"High","Medium")))</f>
        <v>Easy</v>
      </c>
      <c r="AN372" s="5" t="s">
        <v>148</v>
      </c>
      <c r="AO372" s="7">
        <v>44957</v>
      </c>
      <c r="AP372" s="5" t="s">
        <v>98</v>
      </c>
      <c r="AQ372" s="29" t="s">
        <v>719</v>
      </c>
    </row>
    <row r="373" spans="1:43" hidden="1">
      <c r="A373" s="28">
        <v>192623</v>
      </c>
      <c r="B373" s="5" t="s">
        <v>725</v>
      </c>
      <c r="C373" s="5" t="s">
        <v>13</v>
      </c>
      <c r="D373" s="5" t="s">
        <v>162</v>
      </c>
      <c r="E373" s="5" t="s">
        <v>311</v>
      </c>
      <c r="F373" s="5" t="s">
        <v>243</v>
      </c>
      <c r="G373" s="5" t="s">
        <v>356</v>
      </c>
      <c r="H373" s="5" t="s">
        <v>71</v>
      </c>
      <c r="I373" s="6">
        <v>6</v>
      </c>
      <c r="J373" s="7">
        <v>44233</v>
      </c>
      <c r="K373" s="8" t="str">
        <f>IF(B373="","",IF(AND(I373="",J373=""),"Unknown",IF(OR(AND(ISNUMBER(I373),I373=0),AND(ISNUMBER(J373),J373&lt;=EDATE('Scoring Settings'!$B$4,-'Scoring Settings'!$B$5))),"Not in use",IF(AND(ISNUMBER(I373),I373&lt;'Scoring Settings'!$B$6),"Low use","Active"))))</f>
        <v>Low use</v>
      </c>
      <c r="L373" s="5">
        <v>3</v>
      </c>
      <c r="M373" s="5">
        <v>3</v>
      </c>
      <c r="N373" s="5"/>
      <c r="O373" s="5" t="s">
        <v>73</v>
      </c>
      <c r="P373" s="5" t="s">
        <v>726</v>
      </c>
      <c r="Q373" s="9">
        <v>2</v>
      </c>
      <c r="R373" s="5" t="s">
        <v>352</v>
      </c>
      <c r="S373" s="5" t="s">
        <v>353</v>
      </c>
      <c r="T373" s="5" t="s">
        <v>109</v>
      </c>
      <c r="U373" s="7">
        <v>47127</v>
      </c>
      <c r="V373" s="5" t="s">
        <v>135</v>
      </c>
      <c r="W373" s="6">
        <v>25</v>
      </c>
      <c r="X373" s="5" t="s">
        <v>79</v>
      </c>
      <c r="Y373" s="9">
        <v>2</v>
      </c>
      <c r="Z373" s="5" t="s">
        <v>79</v>
      </c>
      <c r="AA373" s="5" t="s">
        <v>110</v>
      </c>
      <c r="AB373" s="9">
        <v>5</v>
      </c>
      <c r="AC373" s="5" t="s">
        <v>82</v>
      </c>
      <c r="AD373" s="5" t="s">
        <v>82</v>
      </c>
      <c r="AE373" s="5" t="s">
        <v>79</v>
      </c>
      <c r="AF373" s="10">
        <v>44000</v>
      </c>
      <c r="AG373" s="7">
        <v>45777</v>
      </c>
      <c r="AH373" s="10">
        <v>58000</v>
      </c>
      <c r="AI373" s="10">
        <v>44000</v>
      </c>
      <c r="AJ373" s="11">
        <f t="shared" si="5"/>
        <v>15.818181818181817</v>
      </c>
      <c r="AK373" s="12">
        <f>IF(B373="","",OR(K373="Not in use",K373="Low use")+AND(N373&lt;&gt;"",N373&lt;&gt;"TBD")+AND(ISNUMBER(U373),U373&lt;=EDATE('Scoring Settings'!$B$4,'Scoring Settings'!$B$8))+AND(ISNUMBER(L373),L373&lt;='Scoring Settings'!$B$7))</f>
        <v>1</v>
      </c>
      <c r="AL373" s="5" t="s">
        <v>223</v>
      </c>
      <c r="AM373" s="8" t="str">
        <f>IF(B373="","",IF(Z373="N","Easy",IF(OR(AND(ISNUMBER(AB373),AB373&gt;'Scoring Settings'!$B$11),AND(ISNUMBER(W373),W373&gt;'Scoring Settings'!$B$12),AND(ISNUMBER(M373),M373&lt;='Scoring Settings'!$B$13)),"High","Medium")))</f>
        <v>Easy</v>
      </c>
      <c r="AN373" s="5" t="s">
        <v>148</v>
      </c>
      <c r="AO373" s="7">
        <v>45016</v>
      </c>
      <c r="AP373" s="5" t="s">
        <v>98</v>
      </c>
      <c r="AQ373" s="29" t="s">
        <v>136</v>
      </c>
    </row>
    <row r="374" spans="1:43" hidden="1">
      <c r="A374" s="28">
        <v>28220</v>
      </c>
      <c r="B374" s="5" t="s">
        <v>744</v>
      </c>
      <c r="C374" s="5" t="s">
        <v>301</v>
      </c>
      <c r="D374" s="5" t="s">
        <v>162</v>
      </c>
      <c r="E374" s="5" t="s">
        <v>68</v>
      </c>
      <c r="F374" s="5" t="s">
        <v>419</v>
      </c>
      <c r="G374" s="5" t="s">
        <v>267</v>
      </c>
      <c r="H374" s="5" t="s">
        <v>105</v>
      </c>
      <c r="I374" s="6">
        <v>0</v>
      </c>
      <c r="J374" s="7">
        <v>44167</v>
      </c>
      <c r="K374" s="8" t="str">
        <f>IF(B374="","",IF(AND(I374="",J374=""),"Unknown",IF(OR(AND(ISNUMBER(I374),I374=0),AND(ISNUMBER(J374),J374&lt;=EDATE('Scoring Settings'!$B$4,-'Scoring Settings'!$B$5))),"Not in use",IF(AND(ISNUMBER(I374),I374&lt;'Scoring Settings'!$B$6),"Low use","Active"))))</f>
        <v>Not in use</v>
      </c>
      <c r="L374" s="5">
        <v>2</v>
      </c>
      <c r="M374" s="5">
        <v>3</v>
      </c>
      <c r="N374" s="5" t="s">
        <v>533</v>
      </c>
      <c r="O374" s="5" t="s">
        <v>130</v>
      </c>
      <c r="P374" s="5" t="s">
        <v>745</v>
      </c>
      <c r="Q374" s="9">
        <v>3</v>
      </c>
      <c r="R374" s="5" t="s">
        <v>182</v>
      </c>
      <c r="S374" s="5" t="s">
        <v>183</v>
      </c>
      <c r="T374" s="5" t="s">
        <v>195</v>
      </c>
      <c r="U374" s="7">
        <v>42855</v>
      </c>
      <c r="V374" s="5" t="s">
        <v>135</v>
      </c>
      <c r="W374" s="6">
        <v>23</v>
      </c>
      <c r="X374" s="5" t="s">
        <v>79</v>
      </c>
      <c r="Y374" s="9">
        <v>3</v>
      </c>
      <c r="Z374" s="5" t="s">
        <v>80</v>
      </c>
      <c r="AA374" s="5" t="s">
        <v>205</v>
      </c>
      <c r="AB374" s="9">
        <v>4</v>
      </c>
      <c r="AC374" s="5" t="s">
        <v>79</v>
      </c>
      <c r="AD374" s="5" t="s">
        <v>79</v>
      </c>
      <c r="AE374" s="5" t="s">
        <v>79</v>
      </c>
      <c r="AF374" s="10">
        <v>35500</v>
      </c>
      <c r="AG374" s="7">
        <v>46965</v>
      </c>
      <c r="AH374" s="10">
        <v>46500</v>
      </c>
      <c r="AI374" s="10">
        <v>21000</v>
      </c>
      <c r="AJ374" s="11">
        <f t="shared" si="5"/>
        <v>26.571428571428573</v>
      </c>
      <c r="AK374" s="12">
        <f>IF(B374="","",OR(K374="Not in use",K374="Low use")+AND(N374&lt;&gt;"",N374&lt;&gt;"TBD")+AND(ISNUMBER(U374),U374&lt;=EDATE('Scoring Settings'!$B$4,'Scoring Settings'!$B$8))+AND(ISNUMBER(L374),L374&lt;='Scoring Settings'!$B$7))</f>
        <v>4</v>
      </c>
      <c r="AL374" s="5" t="s">
        <v>96</v>
      </c>
      <c r="AM374" s="8" t="str">
        <f>IF(B374="","",IF(Z374="N","Easy",IF(OR(AND(ISNUMBER(AB374),AB374&gt;'Scoring Settings'!$B$11),AND(ISNUMBER(W374),W374&gt;'Scoring Settings'!$B$12),AND(ISNUMBER(M374),M374&lt;='Scoring Settings'!$B$13)),"High","Medium")))</f>
        <v>Medium</v>
      </c>
      <c r="AN374" s="5" t="s">
        <v>148</v>
      </c>
      <c r="AO374" s="7">
        <v>45199</v>
      </c>
      <c r="AP374" s="5" t="s">
        <v>98</v>
      </c>
      <c r="AQ374" s="29" t="s">
        <v>170</v>
      </c>
    </row>
    <row r="375" spans="1:43" ht="57" hidden="1">
      <c r="A375" s="28">
        <v>156672</v>
      </c>
      <c r="B375" s="5" t="s">
        <v>746</v>
      </c>
      <c r="C375" s="5" t="s">
        <v>270</v>
      </c>
      <c r="D375" s="5" t="s">
        <v>139</v>
      </c>
      <c r="E375" s="5" t="s">
        <v>68</v>
      </c>
      <c r="F375" s="5" t="s">
        <v>396</v>
      </c>
      <c r="G375" s="5" t="s">
        <v>70</v>
      </c>
      <c r="H375" s="5" t="s">
        <v>142</v>
      </c>
      <c r="I375" s="6">
        <v>13</v>
      </c>
      <c r="J375" s="7">
        <v>44270</v>
      </c>
      <c r="K375" s="8" t="str">
        <f>IF(B375="","",IF(AND(I375="",J375=""),"Unknown",IF(OR(AND(ISNUMBER(I375),I375=0),AND(ISNUMBER(J375),J375&lt;=EDATE('Scoring Settings'!$B$4,-'Scoring Settings'!$B$5))),"Not in use",IF(AND(ISNUMBER(I375),I375&lt;'Scoring Settings'!$B$6),"Low use","Active"))))</f>
        <v>Low use</v>
      </c>
      <c r="L375" s="5">
        <v>2</v>
      </c>
      <c r="M375" s="5">
        <v>3</v>
      </c>
      <c r="N375" s="5"/>
      <c r="O375" s="5" t="s">
        <v>143</v>
      </c>
      <c r="P375" s="5" t="s">
        <v>144</v>
      </c>
      <c r="Q375" s="9">
        <v>0</v>
      </c>
      <c r="R375" s="5" t="s">
        <v>145</v>
      </c>
      <c r="S375" s="5" t="s">
        <v>145</v>
      </c>
      <c r="T375" s="5" t="s">
        <v>146</v>
      </c>
      <c r="U375" s="7">
        <v>45626</v>
      </c>
      <c r="V375" s="5" t="s">
        <v>135</v>
      </c>
      <c r="W375" s="6">
        <v>4800</v>
      </c>
      <c r="X375" s="5" t="s">
        <v>79</v>
      </c>
      <c r="Y375" s="9">
        <v>3</v>
      </c>
      <c r="Z375" s="5" t="s">
        <v>80</v>
      </c>
      <c r="AA375" s="5" t="s">
        <v>205</v>
      </c>
      <c r="AB375" s="9">
        <v>7</v>
      </c>
      <c r="AC375" s="5" t="s">
        <v>82</v>
      </c>
      <c r="AD375" s="5" t="s">
        <v>82</v>
      </c>
      <c r="AE375" s="5" t="s">
        <v>80</v>
      </c>
      <c r="AF375" s="10">
        <v>60000</v>
      </c>
      <c r="AG375" s="7">
        <v>48944</v>
      </c>
      <c r="AH375" s="10">
        <v>95500</v>
      </c>
      <c r="AI375" s="10">
        <v>21500</v>
      </c>
      <c r="AJ375" s="11">
        <f t="shared" si="5"/>
        <v>53.302325581395351</v>
      </c>
      <c r="AK375" s="12">
        <f>IF(B375="","",OR(K375="Not in use",K375="Low use")+AND(N375&lt;&gt;"",N375&lt;&gt;"TBD")+AND(ISNUMBER(U375),U375&lt;=EDATE('Scoring Settings'!$B$4,'Scoring Settings'!$B$8))+AND(ISNUMBER(L375),L375&lt;='Scoring Settings'!$B$7))</f>
        <v>2</v>
      </c>
      <c r="AL375" s="5" t="s">
        <v>96</v>
      </c>
      <c r="AM375" s="8" t="str">
        <f>IF(B375="","",IF(Z375="N","Easy",IF(OR(AND(ISNUMBER(AB375),AB375&gt;'Scoring Settings'!$B$11),AND(ISNUMBER(W375),W375&gt;'Scoring Settings'!$B$12),AND(ISNUMBER(M375),M375&lt;='Scoring Settings'!$B$13)),"High","Medium")))</f>
        <v>High</v>
      </c>
      <c r="AN375" s="5" t="s">
        <v>148</v>
      </c>
      <c r="AO375" s="7">
        <v>44985</v>
      </c>
      <c r="AP375" s="5" t="s">
        <v>98</v>
      </c>
      <c r="AQ375" s="29" t="s">
        <v>747</v>
      </c>
    </row>
    <row r="376" spans="1:43" hidden="1">
      <c r="A376" s="28">
        <v>144202</v>
      </c>
      <c r="B376" s="5" t="s">
        <v>774</v>
      </c>
      <c r="C376" s="5" t="s">
        <v>296</v>
      </c>
      <c r="D376" s="5" t="s">
        <v>297</v>
      </c>
      <c r="E376" s="5" t="s">
        <v>68</v>
      </c>
      <c r="F376" s="5" t="s">
        <v>89</v>
      </c>
      <c r="G376" s="5" t="s">
        <v>284</v>
      </c>
      <c r="H376" s="5" t="s">
        <v>142</v>
      </c>
      <c r="I376" s="6">
        <v>17</v>
      </c>
      <c r="J376" s="7">
        <v>44295</v>
      </c>
      <c r="K376" s="8" t="str">
        <f>IF(B376="","",IF(AND(I376="",J376=""),"Unknown",IF(OR(AND(ISNUMBER(I376),I376=0),AND(ISNUMBER(J376),J376&lt;=EDATE('Scoring Settings'!$B$4,-'Scoring Settings'!$B$5))),"Not in use",IF(AND(ISNUMBER(I376),I376&lt;'Scoring Settings'!$B$6),"Low use","Active"))))</f>
        <v>Low use</v>
      </c>
      <c r="L376" s="5">
        <v>2</v>
      </c>
      <c r="M376" s="5">
        <v>3</v>
      </c>
      <c r="N376" s="5"/>
      <c r="O376" s="5" t="s">
        <v>143</v>
      </c>
      <c r="P376" s="5" t="s">
        <v>144</v>
      </c>
      <c r="Q376" s="9">
        <v>0</v>
      </c>
      <c r="R376" s="5" t="s">
        <v>145</v>
      </c>
      <c r="S376" s="5" t="s">
        <v>145</v>
      </c>
      <c r="T376" s="5" t="s">
        <v>146</v>
      </c>
      <c r="U376" s="7"/>
      <c r="V376" s="5" t="s">
        <v>135</v>
      </c>
      <c r="W376" s="6">
        <v>2440</v>
      </c>
      <c r="X376" s="5" t="s">
        <v>80</v>
      </c>
      <c r="Y376" s="9">
        <v>10</v>
      </c>
      <c r="Z376" s="5" t="s">
        <v>80</v>
      </c>
      <c r="AA376" s="5" t="s">
        <v>81</v>
      </c>
      <c r="AB376" s="9">
        <v>4</v>
      </c>
      <c r="AC376" s="5" t="s">
        <v>82</v>
      </c>
      <c r="AD376" s="5" t="s">
        <v>82</v>
      </c>
      <c r="AE376" s="5" t="s">
        <v>80</v>
      </c>
      <c r="AF376" s="10">
        <v>60000</v>
      </c>
      <c r="AG376" s="7">
        <v>46752</v>
      </c>
      <c r="AH376" s="10">
        <v>167000</v>
      </c>
      <c r="AI376" s="10">
        <v>32000</v>
      </c>
      <c r="AJ376" s="11">
        <f t="shared" si="5"/>
        <v>62.625</v>
      </c>
      <c r="AK376" s="12">
        <f>IF(B376="","",OR(K376="Not in use",K376="Low use")+AND(N376&lt;&gt;"",N376&lt;&gt;"TBD")+AND(ISNUMBER(U376),U376&lt;=EDATE('Scoring Settings'!$B$4,'Scoring Settings'!$B$8))+AND(ISNUMBER(L376),L376&lt;='Scoring Settings'!$B$7))</f>
        <v>2</v>
      </c>
      <c r="AL376" s="5" t="s">
        <v>96</v>
      </c>
      <c r="AM376" s="8" t="str">
        <f>IF(B376="","",IF(Z376="N","Easy",IF(OR(AND(ISNUMBER(AB376),AB376&gt;'Scoring Settings'!$B$11),AND(ISNUMBER(W376),W376&gt;'Scoring Settings'!$B$12),AND(ISNUMBER(M376),M376&lt;='Scoring Settings'!$B$13)),"High","Medium")))</f>
        <v>High</v>
      </c>
      <c r="AN376" s="5" t="s">
        <v>148</v>
      </c>
      <c r="AO376" s="7">
        <v>45077</v>
      </c>
      <c r="AP376" s="5" t="s">
        <v>98</v>
      </c>
      <c r="AQ376" s="29" t="s">
        <v>213</v>
      </c>
    </row>
    <row r="377" spans="1:43" ht="42.75" hidden="1">
      <c r="A377" s="28">
        <v>114606</v>
      </c>
      <c r="B377" s="5" t="s">
        <v>778</v>
      </c>
      <c r="C377" s="5" t="s">
        <v>293</v>
      </c>
      <c r="D377" s="5" t="s">
        <v>162</v>
      </c>
      <c r="E377" s="5" t="s">
        <v>298</v>
      </c>
      <c r="F377" s="5" t="s">
        <v>140</v>
      </c>
      <c r="G377" s="5" t="s">
        <v>226</v>
      </c>
      <c r="H377" s="5" t="s">
        <v>91</v>
      </c>
      <c r="I377" s="6">
        <v>23</v>
      </c>
      <c r="J377" s="7">
        <v>44179</v>
      </c>
      <c r="K377" s="8" t="str">
        <f>IF(B377="","",IF(AND(I377="",J377=""),"Unknown",IF(OR(AND(ISNUMBER(I377),I377=0),AND(ISNUMBER(J377),J377&lt;=EDATE('Scoring Settings'!$B$4,-'Scoring Settings'!$B$5))),"Not in use",IF(AND(ISNUMBER(I377),I377&lt;'Scoring Settings'!$B$6),"Low use","Active"))))</f>
        <v>Low use</v>
      </c>
      <c r="L377" s="5">
        <v>2</v>
      </c>
      <c r="M377" s="5">
        <v>4</v>
      </c>
      <c r="N377" s="5" t="s">
        <v>416</v>
      </c>
      <c r="O377" s="5" t="s">
        <v>73</v>
      </c>
      <c r="P377" s="5" t="s">
        <v>779</v>
      </c>
      <c r="Q377" s="9">
        <v>2</v>
      </c>
      <c r="R377" s="5" t="s">
        <v>330</v>
      </c>
      <c r="S377" s="5" t="s">
        <v>331</v>
      </c>
      <c r="T377" s="5" t="s">
        <v>109</v>
      </c>
      <c r="U377" s="7">
        <v>45046</v>
      </c>
      <c r="V377" s="5" t="s">
        <v>135</v>
      </c>
      <c r="W377" s="6">
        <v>200</v>
      </c>
      <c r="X377" s="5" t="s">
        <v>80</v>
      </c>
      <c r="Y377" s="9">
        <v>5</v>
      </c>
      <c r="Z377" s="5" t="s">
        <v>79</v>
      </c>
      <c r="AA377" s="5" t="s">
        <v>110</v>
      </c>
      <c r="AB377" s="9">
        <v>1</v>
      </c>
      <c r="AC377" s="5" t="s">
        <v>82</v>
      </c>
      <c r="AD377" s="5" t="s">
        <v>82</v>
      </c>
      <c r="AE377" s="5" t="s">
        <v>82</v>
      </c>
      <c r="AF377" s="10">
        <v>41500</v>
      </c>
      <c r="AG377" s="7">
        <v>46053</v>
      </c>
      <c r="AH377" s="10">
        <v>21500</v>
      </c>
      <c r="AI377" s="10">
        <v>30000</v>
      </c>
      <c r="AJ377" s="11">
        <f t="shared" si="5"/>
        <v>8.6</v>
      </c>
      <c r="AK377" s="12">
        <f>IF(B377="","",OR(K377="Not in use",K377="Low use")+AND(N377&lt;&gt;"",N377&lt;&gt;"TBD")+AND(ISNUMBER(U377),U377&lt;=EDATE('Scoring Settings'!$B$4,'Scoring Settings'!$B$8))+AND(ISNUMBER(L377),L377&lt;='Scoring Settings'!$B$7))</f>
        <v>3</v>
      </c>
      <c r="AL377" s="5" t="s">
        <v>2217</v>
      </c>
      <c r="AM377" s="8" t="str">
        <f>IF(B377="","",IF(Z377="N","Easy",IF(OR(AND(ISNUMBER(AB377),AB377&gt;'Scoring Settings'!$B$11),AND(ISNUMBER(W377),W377&gt;'Scoring Settings'!$B$12),AND(ISNUMBER(M377),M377&lt;='Scoring Settings'!$B$13)),"High","Medium")))</f>
        <v>Easy</v>
      </c>
      <c r="AN377" s="5" t="s">
        <v>148</v>
      </c>
      <c r="AO377" s="7">
        <v>44957</v>
      </c>
      <c r="AP377" s="5" t="s">
        <v>98</v>
      </c>
      <c r="AQ377" s="29" t="s">
        <v>780</v>
      </c>
    </row>
    <row r="378" spans="1:43" hidden="1">
      <c r="A378" s="28">
        <v>190592</v>
      </c>
      <c r="B378" s="5" t="s">
        <v>805</v>
      </c>
      <c r="C378" s="5" t="s">
        <v>557</v>
      </c>
      <c r="D378" s="5" t="s">
        <v>297</v>
      </c>
      <c r="E378" s="5" t="s">
        <v>311</v>
      </c>
      <c r="F378" s="5" t="s">
        <v>299</v>
      </c>
      <c r="G378" s="5" t="s">
        <v>356</v>
      </c>
      <c r="H378" s="5" t="s">
        <v>71</v>
      </c>
      <c r="I378" s="6">
        <v>0</v>
      </c>
      <c r="J378" s="7">
        <v>43801</v>
      </c>
      <c r="K378" s="8" t="str">
        <f>IF(B378="","",IF(AND(I378="",J378=""),"Unknown",IF(OR(AND(ISNUMBER(I378),I378=0),AND(ISNUMBER(J378),J378&lt;=EDATE('Scoring Settings'!$B$4,-'Scoring Settings'!$B$5))),"Not in use",IF(AND(ISNUMBER(I378),I378&lt;'Scoring Settings'!$B$6),"Low use","Active"))))</f>
        <v>Not in use</v>
      </c>
      <c r="L378" s="5">
        <v>1</v>
      </c>
      <c r="M378" s="5">
        <v>3</v>
      </c>
      <c r="N378" s="5"/>
      <c r="O378" s="5" t="s">
        <v>73</v>
      </c>
      <c r="P378" s="5" t="s">
        <v>806</v>
      </c>
      <c r="Q378" s="9">
        <v>4</v>
      </c>
      <c r="R378" s="5" t="s">
        <v>166</v>
      </c>
      <c r="S378" s="5" t="s">
        <v>564</v>
      </c>
      <c r="T378" s="5" t="s">
        <v>122</v>
      </c>
      <c r="U378" s="7">
        <v>44754</v>
      </c>
      <c r="V378" s="5" t="s">
        <v>78</v>
      </c>
      <c r="W378" s="6">
        <v>6</v>
      </c>
      <c r="X378" s="5" t="s">
        <v>79</v>
      </c>
      <c r="Y378" s="9">
        <v>5</v>
      </c>
      <c r="Z378" s="5" t="s">
        <v>79</v>
      </c>
      <c r="AA378" s="5" t="s">
        <v>110</v>
      </c>
      <c r="AB378" s="9">
        <v>8</v>
      </c>
      <c r="AC378" s="5" t="s">
        <v>79</v>
      </c>
      <c r="AD378" s="5" t="s">
        <v>79</v>
      </c>
      <c r="AE378" s="5" t="s">
        <v>82</v>
      </c>
      <c r="AF378" s="10">
        <v>55000</v>
      </c>
      <c r="AG378" s="7">
        <v>47542</v>
      </c>
      <c r="AH378" s="10">
        <v>48500</v>
      </c>
      <c r="AI378" s="10">
        <v>48000</v>
      </c>
      <c r="AJ378" s="11">
        <f t="shared" si="5"/>
        <v>12.125</v>
      </c>
      <c r="AK378" s="12">
        <f>IF(B378="","",OR(K378="Not in use",K378="Low use")+AND(N378&lt;&gt;"",N378&lt;&gt;"TBD")+AND(ISNUMBER(U378),U378&lt;=EDATE('Scoring Settings'!$B$4,'Scoring Settings'!$B$8))+AND(ISNUMBER(L378),L378&lt;='Scoring Settings'!$B$7))</f>
        <v>2</v>
      </c>
      <c r="AL378" s="5" t="s">
        <v>223</v>
      </c>
      <c r="AM378" s="8" t="str">
        <f>IF(B378="","",IF(Z378="N","Easy",IF(OR(AND(ISNUMBER(AB378),AB378&gt;'Scoring Settings'!$B$11),AND(ISNUMBER(W378),W378&gt;'Scoring Settings'!$B$12),AND(ISNUMBER(M378),M378&lt;='Scoring Settings'!$B$13)),"High","Medium")))</f>
        <v>Easy</v>
      </c>
      <c r="AN378" s="5" t="s">
        <v>148</v>
      </c>
      <c r="AO378" s="7">
        <v>45016</v>
      </c>
      <c r="AP378" s="5" t="s">
        <v>98</v>
      </c>
      <c r="AQ378" s="29" t="s">
        <v>149</v>
      </c>
    </row>
    <row r="379" spans="1:43" hidden="1">
      <c r="A379" s="28">
        <v>66681</v>
      </c>
      <c r="B379" s="5" t="s">
        <v>809</v>
      </c>
      <c r="C379" s="5" t="s">
        <v>242</v>
      </c>
      <c r="D379" s="5" t="s">
        <v>115</v>
      </c>
      <c r="E379" s="5" t="s">
        <v>298</v>
      </c>
      <c r="F379" s="5" t="s">
        <v>116</v>
      </c>
      <c r="G379" s="5" t="s">
        <v>210</v>
      </c>
      <c r="H379" s="5" t="s">
        <v>142</v>
      </c>
      <c r="I379" s="6">
        <v>176</v>
      </c>
      <c r="J379" s="7">
        <v>44302</v>
      </c>
      <c r="K379" s="8" t="str">
        <f>IF(B379="","",IF(AND(I379="",J379=""),"Unknown",IF(OR(AND(ISNUMBER(I379),I379=0),AND(ISNUMBER(J379),J379&lt;=EDATE('Scoring Settings'!$B$4,-'Scoring Settings'!$B$5))),"Not in use",IF(AND(ISNUMBER(I379),I379&lt;'Scoring Settings'!$B$6),"Low use","Active"))))</f>
        <v>Active</v>
      </c>
      <c r="L379" s="5">
        <v>3</v>
      </c>
      <c r="M379" s="5">
        <v>3</v>
      </c>
      <c r="N379" s="5" t="s">
        <v>810</v>
      </c>
      <c r="O379" s="5" t="s">
        <v>143</v>
      </c>
      <c r="P379" s="5" t="s">
        <v>144</v>
      </c>
      <c r="Q379" s="9">
        <v>0</v>
      </c>
      <c r="R379" s="5" t="s">
        <v>145</v>
      </c>
      <c r="S379" s="5" t="s">
        <v>145</v>
      </c>
      <c r="T379" s="5" t="s">
        <v>146</v>
      </c>
      <c r="U379" s="7"/>
      <c r="V379" s="5" t="s">
        <v>95</v>
      </c>
      <c r="W379" s="6">
        <v>18</v>
      </c>
      <c r="X379" s="5" t="s">
        <v>79</v>
      </c>
      <c r="Y379" s="9">
        <v>7</v>
      </c>
      <c r="Z379" s="5" t="s">
        <v>79</v>
      </c>
      <c r="AA379" s="5" t="s">
        <v>110</v>
      </c>
      <c r="AB379" s="9">
        <v>8</v>
      </c>
      <c r="AC379" s="5" t="s">
        <v>82</v>
      </c>
      <c r="AD379" s="5" t="s">
        <v>80</v>
      </c>
      <c r="AE379" s="5" t="s">
        <v>80</v>
      </c>
      <c r="AF379" s="10">
        <v>50000</v>
      </c>
      <c r="AG379" s="7">
        <v>49248</v>
      </c>
      <c r="AH379" s="10">
        <v>73000</v>
      </c>
      <c r="AI379" s="10">
        <v>32500</v>
      </c>
      <c r="AJ379" s="11">
        <f t="shared" si="5"/>
        <v>26.953846153846154</v>
      </c>
      <c r="AK379" s="12">
        <f>IF(B379="","",OR(K379="Not in use",K379="Low use")+AND(N379&lt;&gt;"",N379&lt;&gt;"TBD")+AND(ISNUMBER(U379),U379&lt;=EDATE('Scoring Settings'!$B$4,'Scoring Settings'!$B$8))+AND(ISNUMBER(L379),L379&lt;='Scoring Settings'!$B$7))</f>
        <v>1</v>
      </c>
      <c r="AL379" s="5" t="s">
        <v>223</v>
      </c>
      <c r="AM379" s="8" t="str">
        <f>IF(B379="","",IF(Z379="N","Easy",IF(OR(AND(ISNUMBER(AB379),AB379&gt;'Scoring Settings'!$B$11),AND(ISNUMBER(W379),W379&gt;'Scoring Settings'!$B$12),AND(ISNUMBER(M379),M379&lt;='Scoring Settings'!$B$13)),"High","Medium")))</f>
        <v>Easy</v>
      </c>
      <c r="AN379" s="5" t="s">
        <v>148</v>
      </c>
      <c r="AO379" s="7">
        <v>45107</v>
      </c>
      <c r="AP379" s="5" t="s">
        <v>98</v>
      </c>
      <c r="AQ379" s="29" t="s">
        <v>213</v>
      </c>
    </row>
    <row r="380" spans="1:43" hidden="1">
      <c r="A380" s="28">
        <v>126558</v>
      </c>
      <c r="B380" s="5" t="s">
        <v>813</v>
      </c>
      <c r="C380" s="5" t="s">
        <v>208</v>
      </c>
      <c r="D380" s="5" t="s">
        <v>67</v>
      </c>
      <c r="E380" s="5" t="s">
        <v>311</v>
      </c>
      <c r="F380" s="5" t="s">
        <v>299</v>
      </c>
      <c r="G380" s="5" t="s">
        <v>356</v>
      </c>
      <c r="H380" s="5" t="s">
        <v>118</v>
      </c>
      <c r="I380" s="6">
        <v>342</v>
      </c>
      <c r="J380" s="7">
        <v>44298</v>
      </c>
      <c r="K380" s="8" t="str">
        <f>IF(B380="","",IF(AND(I380="",J380=""),"Unknown",IF(OR(AND(ISNUMBER(I380),I380=0),AND(ISNUMBER(J380),J380&lt;=EDATE('Scoring Settings'!$B$4,-'Scoring Settings'!$B$5))),"Not in use",IF(AND(ISNUMBER(I380),I380&lt;'Scoring Settings'!$B$6),"Low use","Active"))))</f>
        <v>Active</v>
      </c>
      <c r="L380" s="5">
        <v>3</v>
      </c>
      <c r="M380" s="5">
        <v>3</v>
      </c>
      <c r="N380" s="5" t="s">
        <v>227</v>
      </c>
      <c r="O380" s="5" t="s">
        <v>73</v>
      </c>
      <c r="P380" s="5" t="s">
        <v>814</v>
      </c>
      <c r="Q380" s="9">
        <v>3</v>
      </c>
      <c r="R380" s="5" t="s">
        <v>75</v>
      </c>
      <c r="S380" s="5" t="s">
        <v>121</v>
      </c>
      <c r="T380" s="5" t="s">
        <v>109</v>
      </c>
      <c r="U380" s="7">
        <v>46217</v>
      </c>
      <c r="V380" s="5" t="s">
        <v>78</v>
      </c>
      <c r="W380" s="6">
        <v>230</v>
      </c>
      <c r="X380" s="5" t="s">
        <v>80</v>
      </c>
      <c r="Y380" s="9">
        <v>5</v>
      </c>
      <c r="Z380" s="5" t="s">
        <v>80</v>
      </c>
      <c r="AA380" s="5" t="s">
        <v>185</v>
      </c>
      <c r="AB380" s="9">
        <v>7</v>
      </c>
      <c r="AC380" s="5" t="s">
        <v>80</v>
      </c>
      <c r="AD380" s="5" t="s">
        <v>79</v>
      </c>
      <c r="AE380" s="5" t="s">
        <v>80</v>
      </c>
      <c r="AF380" s="10">
        <v>41000</v>
      </c>
      <c r="AG380" s="7">
        <v>46387</v>
      </c>
      <c r="AH380" s="10">
        <v>52000</v>
      </c>
      <c r="AI380" s="10">
        <v>34000</v>
      </c>
      <c r="AJ380" s="11">
        <f t="shared" si="5"/>
        <v>18.352941176470587</v>
      </c>
      <c r="AK380" s="12">
        <f>IF(B380="","",OR(K380="Not in use",K380="Low use")+AND(N380&lt;&gt;"",N380&lt;&gt;"TBD")+AND(ISNUMBER(U380),U380&lt;=EDATE('Scoring Settings'!$B$4,'Scoring Settings'!$B$8))+AND(ISNUMBER(L380),L380&lt;='Scoring Settings'!$B$7))</f>
        <v>1</v>
      </c>
      <c r="AL380" s="5" t="s">
        <v>2217</v>
      </c>
      <c r="AM380" s="8" t="str">
        <f>IF(B380="","",IF(Z380="N","Easy",IF(OR(AND(ISNUMBER(AB380),AB380&gt;'Scoring Settings'!$B$11),AND(ISNUMBER(W380),W380&gt;'Scoring Settings'!$B$12),AND(ISNUMBER(M380),M380&lt;='Scoring Settings'!$B$13)),"High","Medium")))</f>
        <v>High</v>
      </c>
      <c r="AN380" s="5" t="s">
        <v>148</v>
      </c>
      <c r="AO380" s="7">
        <v>45138</v>
      </c>
      <c r="AP380" s="5" t="s">
        <v>98</v>
      </c>
      <c r="AQ380" s="29" t="s">
        <v>170</v>
      </c>
    </row>
    <row r="381" spans="1:43" hidden="1">
      <c r="A381" s="28">
        <v>40894</v>
      </c>
      <c r="B381" s="5" t="s">
        <v>817</v>
      </c>
      <c r="C381" s="5" t="s">
        <v>667</v>
      </c>
      <c r="D381" s="5" t="s">
        <v>115</v>
      </c>
      <c r="E381" s="5" t="s">
        <v>68</v>
      </c>
      <c r="F381" s="5" t="s">
        <v>288</v>
      </c>
      <c r="G381" s="5" t="s">
        <v>284</v>
      </c>
      <c r="H381" s="5" t="s">
        <v>189</v>
      </c>
      <c r="I381" s="6">
        <v>156</v>
      </c>
      <c r="J381" s="7">
        <v>44304</v>
      </c>
      <c r="K381" s="8" t="str">
        <f>IF(B381="","",IF(AND(I381="",J381=""),"Unknown",IF(OR(AND(ISNUMBER(I381),I381=0),AND(ISNUMBER(J381),J381&lt;=EDATE('Scoring Settings'!$B$4,-'Scoring Settings'!$B$5))),"Not in use",IF(AND(ISNUMBER(I381),I381&lt;'Scoring Settings'!$B$6),"Low use","Active"))))</f>
        <v>Active</v>
      </c>
      <c r="L381" s="5">
        <v>4</v>
      </c>
      <c r="M381" s="5">
        <v>2</v>
      </c>
      <c r="N381" s="5" t="s">
        <v>549</v>
      </c>
      <c r="O381" s="5" t="s">
        <v>73</v>
      </c>
      <c r="P381" s="5" t="s">
        <v>818</v>
      </c>
      <c r="Q381" s="9">
        <v>6</v>
      </c>
      <c r="R381" s="5" t="s">
        <v>75</v>
      </c>
      <c r="S381" s="5" t="s">
        <v>121</v>
      </c>
      <c r="T381" s="5" t="s">
        <v>109</v>
      </c>
      <c r="U381" s="7">
        <v>46217</v>
      </c>
      <c r="V381" s="5" t="s">
        <v>135</v>
      </c>
      <c r="W381" s="6">
        <v>81</v>
      </c>
      <c r="X381" s="5" t="s">
        <v>79</v>
      </c>
      <c r="Y381" s="9">
        <v>2</v>
      </c>
      <c r="Z381" s="5" t="s">
        <v>79</v>
      </c>
      <c r="AA381" s="5" t="s">
        <v>110</v>
      </c>
      <c r="AB381" s="9">
        <v>28</v>
      </c>
      <c r="AC381" s="5" t="s">
        <v>82</v>
      </c>
      <c r="AD381" s="5" t="s">
        <v>82</v>
      </c>
      <c r="AE381" s="5" t="s">
        <v>80</v>
      </c>
      <c r="AF381" s="10">
        <v>110000</v>
      </c>
      <c r="AG381" s="7">
        <v>45747</v>
      </c>
      <c r="AH381" s="10">
        <v>118000</v>
      </c>
      <c r="AI381" s="10">
        <v>92500</v>
      </c>
      <c r="AJ381" s="11">
        <f t="shared" si="5"/>
        <v>15.308108108108108</v>
      </c>
      <c r="AK381" s="12">
        <f>IF(B381="","",OR(K381="Not in use",K381="Low use")+AND(N381&lt;&gt;"",N381&lt;&gt;"TBD")+AND(ISNUMBER(U381),U381&lt;=EDATE('Scoring Settings'!$B$4,'Scoring Settings'!$B$8))+AND(ISNUMBER(L381),L381&lt;='Scoring Settings'!$B$7))</f>
        <v>1</v>
      </c>
      <c r="AL381" s="5" t="s">
        <v>2217</v>
      </c>
      <c r="AM381" s="8" t="str">
        <f>IF(B381="","",IF(Z381="N","Easy",IF(OR(AND(ISNUMBER(AB381),AB381&gt;'Scoring Settings'!$B$11),AND(ISNUMBER(W381),W381&gt;'Scoring Settings'!$B$12),AND(ISNUMBER(M381),M381&lt;='Scoring Settings'!$B$13)),"High","Medium")))</f>
        <v>Easy</v>
      </c>
      <c r="AN381" s="5" t="s">
        <v>148</v>
      </c>
      <c r="AO381" s="7">
        <v>45107</v>
      </c>
      <c r="AP381" s="5" t="s">
        <v>98</v>
      </c>
      <c r="AQ381" s="29" t="s">
        <v>149</v>
      </c>
    </row>
    <row r="382" spans="1:43" hidden="1">
      <c r="A382" s="28">
        <v>92434</v>
      </c>
      <c r="B382" s="5" t="s">
        <v>819</v>
      </c>
      <c r="C382" s="5" t="s">
        <v>483</v>
      </c>
      <c r="D382" s="5" t="s">
        <v>88</v>
      </c>
      <c r="E382" s="5" t="s">
        <v>68</v>
      </c>
      <c r="F382" s="5" t="s">
        <v>249</v>
      </c>
      <c r="G382" s="5" t="s">
        <v>237</v>
      </c>
      <c r="H382" s="5" t="s">
        <v>91</v>
      </c>
      <c r="I382" s="6">
        <v>3</v>
      </c>
      <c r="J382" s="7">
        <v>43838</v>
      </c>
      <c r="K382" s="8" t="str">
        <f>IF(B382="","",IF(AND(I382="",J382=""),"Unknown",IF(OR(AND(ISNUMBER(I382),I382=0),AND(ISNUMBER(J382),J382&lt;=EDATE('Scoring Settings'!$B$4,-'Scoring Settings'!$B$5))),"Not in use",IF(AND(ISNUMBER(I382),I382&lt;'Scoring Settings'!$B$6),"Low use","Active"))))</f>
        <v>Not in use</v>
      </c>
      <c r="L382" s="5">
        <v>3</v>
      </c>
      <c r="M382" s="5">
        <v>2</v>
      </c>
      <c r="N382" s="5"/>
      <c r="O382" s="5" t="s">
        <v>73</v>
      </c>
      <c r="P382" s="5" t="s">
        <v>820</v>
      </c>
      <c r="Q382" s="9">
        <v>5</v>
      </c>
      <c r="R382" s="5" t="s">
        <v>478</v>
      </c>
      <c r="S382" s="5" t="s">
        <v>479</v>
      </c>
      <c r="T382" s="5" t="s">
        <v>72</v>
      </c>
      <c r="U382" s="7">
        <v>43844</v>
      </c>
      <c r="V382" s="5" t="s">
        <v>135</v>
      </c>
      <c r="W382" s="6">
        <v>490</v>
      </c>
      <c r="X382" s="5" t="s">
        <v>79</v>
      </c>
      <c r="Y382" s="9">
        <v>5</v>
      </c>
      <c r="Z382" s="5" t="s">
        <v>80</v>
      </c>
      <c r="AA382" s="5" t="s">
        <v>185</v>
      </c>
      <c r="AB382" s="9">
        <v>22</v>
      </c>
      <c r="AC382" s="5" t="s">
        <v>82</v>
      </c>
      <c r="AD382" s="5" t="s">
        <v>80</v>
      </c>
      <c r="AE382" s="5" t="s">
        <v>80</v>
      </c>
      <c r="AF382" s="10">
        <v>55000</v>
      </c>
      <c r="AG382" s="7">
        <v>49399</v>
      </c>
      <c r="AH382" s="10">
        <v>62000</v>
      </c>
      <c r="AI382" s="10">
        <v>41000</v>
      </c>
      <c r="AJ382" s="11">
        <f t="shared" si="5"/>
        <v>18.146341463414636</v>
      </c>
      <c r="AK382" s="12">
        <f>IF(B382="","",OR(K382="Not in use",K382="Low use")+AND(N382&lt;&gt;"",N382&lt;&gt;"TBD")+AND(ISNUMBER(U382),U382&lt;=EDATE('Scoring Settings'!$B$4,'Scoring Settings'!$B$8))+AND(ISNUMBER(L382),L382&lt;='Scoring Settings'!$B$7))</f>
        <v>2</v>
      </c>
      <c r="AL382" s="5" t="s">
        <v>96</v>
      </c>
      <c r="AM382" s="8" t="str">
        <f>IF(B382="","",IF(Z382="N","Easy",IF(OR(AND(ISNUMBER(AB382),AB382&gt;'Scoring Settings'!$B$11),AND(ISNUMBER(W382),W382&gt;'Scoring Settings'!$B$12),AND(ISNUMBER(M382),M382&lt;='Scoring Settings'!$B$13)),"High","Medium")))</f>
        <v>High</v>
      </c>
      <c r="AN382" s="5" t="s">
        <v>148</v>
      </c>
      <c r="AO382" s="7">
        <v>45169</v>
      </c>
      <c r="AP382" s="5" t="s">
        <v>98</v>
      </c>
      <c r="AQ382" s="29" t="s">
        <v>149</v>
      </c>
    </row>
    <row r="383" spans="1:43" hidden="1">
      <c r="A383" s="28">
        <v>59756</v>
      </c>
      <c r="B383" s="5" t="s">
        <v>842</v>
      </c>
      <c r="C383" s="5" t="s">
        <v>305</v>
      </c>
      <c r="D383" s="5" t="s">
        <v>297</v>
      </c>
      <c r="E383" s="5" t="s">
        <v>68</v>
      </c>
      <c r="F383" s="5" t="s">
        <v>157</v>
      </c>
      <c r="G383" s="5" t="s">
        <v>117</v>
      </c>
      <c r="H383" s="5" t="s">
        <v>91</v>
      </c>
      <c r="I383" s="6">
        <v>7</v>
      </c>
      <c r="J383" s="7">
        <v>44187</v>
      </c>
      <c r="K383" s="8" t="str">
        <f>IF(B383="","",IF(AND(I383="",J383=""),"Unknown",IF(OR(AND(ISNUMBER(I383),I383=0),AND(ISNUMBER(J383),J383&lt;=EDATE('Scoring Settings'!$B$4,-'Scoring Settings'!$B$5))),"Not in use",IF(AND(ISNUMBER(I383),I383&lt;'Scoring Settings'!$B$6),"Low use","Active"))))</f>
        <v>Low use</v>
      </c>
      <c r="L383" s="5">
        <v>2</v>
      </c>
      <c r="M383" s="5">
        <v>4</v>
      </c>
      <c r="N383" s="5" t="s">
        <v>723</v>
      </c>
      <c r="O383" s="5" t="s">
        <v>130</v>
      </c>
      <c r="P383" s="5" t="s">
        <v>843</v>
      </c>
      <c r="Q383" s="9">
        <v>1</v>
      </c>
      <c r="R383" s="5" t="s">
        <v>72</v>
      </c>
      <c r="S383" s="5" t="s">
        <v>108</v>
      </c>
      <c r="T383" s="5" t="s">
        <v>195</v>
      </c>
      <c r="U383" s="7">
        <v>43655</v>
      </c>
      <c r="V383" s="5" t="s">
        <v>95</v>
      </c>
      <c r="W383" s="6">
        <v>20</v>
      </c>
      <c r="X383" s="5" t="s">
        <v>80</v>
      </c>
      <c r="Y383" s="9">
        <v>5</v>
      </c>
      <c r="Z383" s="5" t="s">
        <v>80</v>
      </c>
      <c r="AA383" s="5" t="s">
        <v>185</v>
      </c>
      <c r="AB383" s="9">
        <v>3</v>
      </c>
      <c r="AC383" s="5" t="s">
        <v>82</v>
      </c>
      <c r="AD383" s="5" t="s">
        <v>82</v>
      </c>
      <c r="AE383" s="5" t="s">
        <v>82</v>
      </c>
      <c r="AF383" s="10">
        <v>22500</v>
      </c>
      <c r="AG383" s="7">
        <v>48182</v>
      </c>
      <c r="AH383" s="10">
        <v>21500</v>
      </c>
      <c r="AI383" s="10">
        <v>15000</v>
      </c>
      <c r="AJ383" s="11">
        <f t="shared" si="5"/>
        <v>17.2</v>
      </c>
      <c r="AK383" s="12">
        <f>IF(B383="","",OR(K383="Not in use",K383="Low use")+AND(N383&lt;&gt;"",N383&lt;&gt;"TBD")+AND(ISNUMBER(U383),U383&lt;=EDATE('Scoring Settings'!$B$4,'Scoring Settings'!$B$8))+AND(ISNUMBER(L383),L383&lt;='Scoring Settings'!$B$7))</f>
        <v>4</v>
      </c>
      <c r="AL383" s="5" t="s">
        <v>96</v>
      </c>
      <c r="AM383" s="8" t="str">
        <f>IF(B383="","",IF(Z383="N","Easy",IF(OR(AND(ISNUMBER(AB383),AB383&gt;'Scoring Settings'!$B$11),AND(ISNUMBER(W383),W383&gt;'Scoring Settings'!$B$12),AND(ISNUMBER(M383),M383&lt;='Scoring Settings'!$B$13)),"High","Medium")))</f>
        <v>Medium</v>
      </c>
      <c r="AN383" s="5" t="s">
        <v>148</v>
      </c>
      <c r="AO383" s="7">
        <v>45016</v>
      </c>
      <c r="AP383" s="5" t="s">
        <v>197</v>
      </c>
      <c r="AQ383" s="29" t="s">
        <v>844</v>
      </c>
    </row>
    <row r="384" spans="1:43" ht="57" hidden="1">
      <c r="A384" s="28">
        <v>96135</v>
      </c>
      <c r="B384" s="5" t="s">
        <v>864</v>
      </c>
      <c r="C384" s="5" t="s">
        <v>87</v>
      </c>
      <c r="D384" s="5" t="s">
        <v>88</v>
      </c>
      <c r="E384" s="5" t="s">
        <v>68</v>
      </c>
      <c r="F384" s="5" t="s">
        <v>387</v>
      </c>
      <c r="G384" s="5" t="s">
        <v>267</v>
      </c>
      <c r="H384" s="5" t="s">
        <v>91</v>
      </c>
      <c r="I384" s="6">
        <v>934</v>
      </c>
      <c r="J384" s="7">
        <v>44279</v>
      </c>
      <c r="K384" s="8" t="str">
        <f>IF(B384="","",IF(AND(I384="",J384=""),"Unknown",IF(OR(AND(ISNUMBER(I384),I384=0),AND(ISNUMBER(J384),J384&lt;=EDATE('Scoring Settings'!$B$4,-'Scoring Settings'!$B$5))),"Not in use",IF(AND(ISNUMBER(I384),I384&lt;'Scoring Settings'!$B$6),"Low use","Active"))))</f>
        <v>Active</v>
      </c>
      <c r="L384" s="5">
        <v>5</v>
      </c>
      <c r="M384" s="5">
        <v>2</v>
      </c>
      <c r="N384" s="5" t="s">
        <v>865</v>
      </c>
      <c r="O384" s="5" t="s">
        <v>73</v>
      </c>
      <c r="P384" s="5" t="s">
        <v>866</v>
      </c>
      <c r="Q384" s="9">
        <v>7</v>
      </c>
      <c r="R384" s="5" t="s">
        <v>93</v>
      </c>
      <c r="S384" s="5" t="s">
        <v>94</v>
      </c>
      <c r="T384" s="5" t="s">
        <v>122</v>
      </c>
      <c r="U384" s="7">
        <v>44561</v>
      </c>
      <c r="V384" s="5" t="s">
        <v>78</v>
      </c>
      <c r="W384" s="6">
        <v>57</v>
      </c>
      <c r="X384" s="5" t="s">
        <v>79</v>
      </c>
      <c r="Y384" s="9">
        <v>3</v>
      </c>
      <c r="Z384" s="5" t="s">
        <v>80</v>
      </c>
      <c r="AA384" s="5" t="s">
        <v>205</v>
      </c>
      <c r="AB384" s="9">
        <v>8</v>
      </c>
      <c r="AC384" s="5" t="s">
        <v>82</v>
      </c>
      <c r="AD384" s="5" t="s">
        <v>80</v>
      </c>
      <c r="AE384" s="5" t="s">
        <v>82</v>
      </c>
      <c r="AF384" s="10">
        <v>125000</v>
      </c>
      <c r="AG384" s="7">
        <v>45900</v>
      </c>
      <c r="AH384" s="10">
        <v>130500</v>
      </c>
      <c r="AI384" s="10">
        <v>102500</v>
      </c>
      <c r="AJ384" s="11">
        <f t="shared" si="5"/>
        <v>15.278048780487804</v>
      </c>
      <c r="AK384" s="12">
        <f>IF(B384="","",OR(K384="Not in use",K384="Low use")+AND(N384&lt;&gt;"",N384&lt;&gt;"TBD")+AND(ISNUMBER(U384),U384&lt;=EDATE('Scoring Settings'!$B$4,'Scoring Settings'!$B$8))+AND(ISNUMBER(L384),L384&lt;='Scoring Settings'!$B$7))</f>
        <v>2</v>
      </c>
      <c r="AL384" s="5" t="s">
        <v>2217</v>
      </c>
      <c r="AM384" s="8" t="str">
        <f>IF(B384="","",IF(Z384="N","Easy",IF(OR(AND(ISNUMBER(AB384),AB384&gt;'Scoring Settings'!$B$11),AND(ISNUMBER(W384),W384&gt;'Scoring Settings'!$B$12),AND(ISNUMBER(M384),M384&lt;='Scoring Settings'!$B$13)),"High","Medium")))</f>
        <v>High</v>
      </c>
      <c r="AN384" s="5" t="s">
        <v>148</v>
      </c>
      <c r="AO384" s="7">
        <v>45138</v>
      </c>
      <c r="AP384" s="5" t="s">
        <v>98</v>
      </c>
      <c r="AQ384" s="29" t="s">
        <v>867</v>
      </c>
    </row>
    <row r="385" spans="1:43" hidden="1">
      <c r="A385" s="28">
        <v>48602</v>
      </c>
      <c r="B385" s="5" t="s">
        <v>905</v>
      </c>
      <c r="C385" s="5" t="s">
        <v>483</v>
      </c>
      <c r="D385" s="5" t="s">
        <v>88</v>
      </c>
      <c r="E385" s="5" t="s">
        <v>68</v>
      </c>
      <c r="F385" s="5" t="s">
        <v>173</v>
      </c>
      <c r="G385" s="5" t="s">
        <v>278</v>
      </c>
      <c r="H385" s="5" t="s">
        <v>189</v>
      </c>
      <c r="I385" s="6">
        <v>13</v>
      </c>
      <c r="J385" s="7">
        <v>44181</v>
      </c>
      <c r="K385" s="8" t="str">
        <f>IF(B385="","",IF(AND(I385="",J385=""),"Unknown",IF(OR(AND(ISNUMBER(I385),I385=0),AND(ISNUMBER(J385),J385&lt;=EDATE('Scoring Settings'!$B$4,-'Scoring Settings'!$B$5))),"Not in use",IF(AND(ISNUMBER(I385),I385&lt;'Scoring Settings'!$B$6),"Low use","Active"))))</f>
        <v>Low use</v>
      </c>
      <c r="L385" s="5">
        <v>3</v>
      </c>
      <c r="M385" s="5">
        <v>4</v>
      </c>
      <c r="N385" s="5" t="s">
        <v>591</v>
      </c>
      <c r="O385" s="5" t="s">
        <v>130</v>
      </c>
      <c r="P385" s="5" t="s">
        <v>906</v>
      </c>
      <c r="Q385" s="9">
        <v>1</v>
      </c>
      <c r="R385" s="5" t="s">
        <v>245</v>
      </c>
      <c r="S385" s="5" t="s">
        <v>246</v>
      </c>
      <c r="T385" s="5" t="s">
        <v>195</v>
      </c>
      <c r="U385" s="7">
        <v>45777</v>
      </c>
      <c r="V385" s="5" t="s">
        <v>135</v>
      </c>
      <c r="W385" s="6">
        <v>180</v>
      </c>
      <c r="X385" s="5" t="s">
        <v>79</v>
      </c>
      <c r="Y385" s="9">
        <v>3</v>
      </c>
      <c r="Z385" s="5" t="s">
        <v>79</v>
      </c>
      <c r="AA385" s="5" t="s">
        <v>110</v>
      </c>
      <c r="AB385" s="9">
        <v>1</v>
      </c>
      <c r="AC385" s="5" t="s">
        <v>82</v>
      </c>
      <c r="AD385" s="5" t="s">
        <v>80</v>
      </c>
      <c r="AE385" s="5" t="s">
        <v>79</v>
      </c>
      <c r="AF385" s="10">
        <v>10000</v>
      </c>
      <c r="AG385" s="7">
        <v>49674</v>
      </c>
      <c r="AH385" s="10">
        <v>9500</v>
      </c>
      <c r="AI385" s="10">
        <v>7000</v>
      </c>
      <c r="AJ385" s="11">
        <f t="shared" si="5"/>
        <v>16.285714285714285</v>
      </c>
      <c r="AK385" s="12">
        <f>IF(B385="","",OR(K385="Not in use",K385="Low use")+AND(N385&lt;&gt;"",N385&lt;&gt;"TBD")+AND(ISNUMBER(U385),U385&lt;=EDATE('Scoring Settings'!$B$4,'Scoring Settings'!$B$8))+AND(ISNUMBER(L385),L385&lt;='Scoring Settings'!$B$7))</f>
        <v>2</v>
      </c>
      <c r="AL385" s="5" t="s">
        <v>2217</v>
      </c>
      <c r="AM385" s="8" t="str">
        <f>IF(B385="","",IF(Z385="N","Easy",IF(OR(AND(ISNUMBER(AB385),AB385&gt;'Scoring Settings'!$B$11),AND(ISNUMBER(W385),W385&gt;'Scoring Settings'!$B$12),AND(ISNUMBER(M385),M385&lt;='Scoring Settings'!$B$13)),"High","Medium")))</f>
        <v>Easy</v>
      </c>
      <c r="AN385" s="5" t="s">
        <v>148</v>
      </c>
      <c r="AO385" s="7">
        <v>45230</v>
      </c>
      <c r="AP385" s="5" t="s">
        <v>197</v>
      </c>
      <c r="AQ385" s="29" t="s">
        <v>545</v>
      </c>
    </row>
    <row r="386" spans="1:43" hidden="1">
      <c r="A386" s="28">
        <v>84235</v>
      </c>
      <c r="B386" s="5" t="s">
        <v>920</v>
      </c>
      <c r="C386" s="5" t="s">
        <v>262</v>
      </c>
      <c r="D386" s="5" t="s">
        <v>67</v>
      </c>
      <c r="E386" s="5" t="s">
        <v>298</v>
      </c>
      <c r="F386" s="5" t="s">
        <v>266</v>
      </c>
      <c r="G386" s="5" t="s">
        <v>141</v>
      </c>
      <c r="H386" s="5" t="s">
        <v>71</v>
      </c>
      <c r="I386" s="6">
        <v>25</v>
      </c>
      <c r="J386" s="7">
        <v>44285</v>
      </c>
      <c r="K386" s="8" t="str">
        <f>IF(B386="","",IF(AND(I386="",J386=""),"Unknown",IF(OR(AND(ISNUMBER(I386),I386=0),AND(ISNUMBER(J386),J386&lt;=EDATE('Scoring Settings'!$B$4,-'Scoring Settings'!$B$5))),"Not in use",IF(AND(ISNUMBER(I386),I386&lt;'Scoring Settings'!$B$6),"Low use","Active"))))</f>
        <v>Active</v>
      </c>
      <c r="L386" s="5">
        <v>5</v>
      </c>
      <c r="M386" s="5">
        <v>1</v>
      </c>
      <c r="N386" s="5" t="s">
        <v>442</v>
      </c>
      <c r="O386" s="5" t="s">
        <v>73</v>
      </c>
      <c r="P386" s="5" t="s">
        <v>921</v>
      </c>
      <c r="Q386" s="9">
        <v>7</v>
      </c>
      <c r="R386" s="5" t="s">
        <v>251</v>
      </c>
      <c r="S386" s="5" t="s">
        <v>133</v>
      </c>
      <c r="T386" s="5" t="s">
        <v>72</v>
      </c>
      <c r="U386" s="7">
        <v>44165</v>
      </c>
      <c r="V386" s="5" t="s">
        <v>78</v>
      </c>
      <c r="W386" s="6">
        <v>370</v>
      </c>
      <c r="X386" s="5" t="s">
        <v>80</v>
      </c>
      <c r="Y386" s="9">
        <v>7</v>
      </c>
      <c r="Z386" s="5" t="s">
        <v>79</v>
      </c>
      <c r="AA386" s="5" t="s">
        <v>110</v>
      </c>
      <c r="AB386" s="9">
        <v>53</v>
      </c>
      <c r="AC386" s="5" t="s">
        <v>82</v>
      </c>
      <c r="AD386" s="5" t="s">
        <v>79</v>
      </c>
      <c r="AE386" s="5" t="s">
        <v>82</v>
      </c>
      <c r="AF386" s="10">
        <v>505000</v>
      </c>
      <c r="AG386" s="7">
        <v>47542</v>
      </c>
      <c r="AH386" s="10">
        <v>575000</v>
      </c>
      <c r="AI386" s="10">
        <v>335500</v>
      </c>
      <c r="AJ386" s="11">
        <f t="shared" si="5"/>
        <v>20.566318926974663</v>
      </c>
      <c r="AK386" s="12">
        <f>IF(B386="","",OR(K386="Not in use",K386="Low use")+AND(N386&lt;&gt;"",N386&lt;&gt;"TBD")+AND(ISNUMBER(U386),U386&lt;=EDATE('Scoring Settings'!$B$4,'Scoring Settings'!$B$8))+AND(ISNUMBER(L386),L386&lt;='Scoring Settings'!$B$7))</f>
        <v>2</v>
      </c>
      <c r="AL386" s="5" t="s">
        <v>2217</v>
      </c>
      <c r="AM386" s="8" t="str">
        <f>IF(B386="","",IF(Z386="N","Easy",IF(OR(AND(ISNUMBER(AB386),AB386&gt;'Scoring Settings'!$B$11),AND(ISNUMBER(W386),W386&gt;'Scoring Settings'!$B$12),AND(ISNUMBER(M386),M386&lt;='Scoring Settings'!$B$13)),"High","Medium")))</f>
        <v>Easy</v>
      </c>
      <c r="AN386" s="5" t="s">
        <v>148</v>
      </c>
      <c r="AO386" s="7">
        <v>45016</v>
      </c>
      <c r="AP386" s="5" t="s">
        <v>98</v>
      </c>
      <c r="AQ386" s="29" t="s">
        <v>136</v>
      </c>
    </row>
    <row r="387" spans="1:43" hidden="1">
      <c r="A387" s="28">
        <v>153486</v>
      </c>
      <c r="B387" s="5" t="s">
        <v>927</v>
      </c>
      <c r="C387" s="5" t="s">
        <v>215</v>
      </c>
      <c r="D387" s="5" t="s">
        <v>139</v>
      </c>
      <c r="E387" s="5" t="s">
        <v>298</v>
      </c>
      <c r="F387" s="5" t="s">
        <v>326</v>
      </c>
      <c r="G387" s="5" t="s">
        <v>128</v>
      </c>
      <c r="H387" s="5" t="s">
        <v>189</v>
      </c>
      <c r="I387" s="6">
        <v>237</v>
      </c>
      <c r="J387" s="7">
        <v>44315</v>
      </c>
      <c r="K387" s="8" t="str">
        <f>IF(B387="","",IF(AND(I387="",J387=""),"Unknown",IF(OR(AND(ISNUMBER(I387),I387=0),AND(ISNUMBER(J387),J387&lt;=EDATE('Scoring Settings'!$B$4,-'Scoring Settings'!$B$5))),"Not in use",IF(AND(ISNUMBER(I387),I387&lt;'Scoring Settings'!$B$6),"Low use","Active"))))</f>
        <v>Active</v>
      </c>
      <c r="L387" s="5">
        <v>4</v>
      </c>
      <c r="M387" s="5">
        <v>3</v>
      </c>
      <c r="N387" s="5" t="s">
        <v>377</v>
      </c>
      <c r="O387" s="5" t="s">
        <v>73</v>
      </c>
      <c r="P387" s="5" t="s">
        <v>928</v>
      </c>
      <c r="Q387" s="9">
        <v>2</v>
      </c>
      <c r="R387" s="5" t="s">
        <v>245</v>
      </c>
      <c r="S387" s="5" t="s">
        <v>246</v>
      </c>
      <c r="T387" s="5" t="s">
        <v>184</v>
      </c>
      <c r="U387" s="7" t="s">
        <v>72</v>
      </c>
      <c r="V387" s="5" t="s">
        <v>135</v>
      </c>
      <c r="W387" s="6">
        <v>38</v>
      </c>
      <c r="X387" s="5" t="s">
        <v>79</v>
      </c>
      <c r="Y387" s="9">
        <v>3</v>
      </c>
      <c r="Z387" s="5" t="s">
        <v>80</v>
      </c>
      <c r="AA387" s="5" t="s">
        <v>205</v>
      </c>
      <c r="AB387" s="9">
        <v>7</v>
      </c>
      <c r="AC387" s="5" t="s">
        <v>80</v>
      </c>
      <c r="AD387" s="5" t="s">
        <v>82</v>
      </c>
      <c r="AE387" s="5" t="s">
        <v>79</v>
      </c>
      <c r="AF387" s="10">
        <v>35000</v>
      </c>
      <c r="AG387" s="7">
        <v>47514</v>
      </c>
      <c r="AH387" s="10">
        <v>19500</v>
      </c>
      <c r="AI387" s="10">
        <v>23500</v>
      </c>
      <c r="AJ387" s="11">
        <f t="shared" si="5"/>
        <v>9.9574468085106389</v>
      </c>
      <c r="AK387" s="12">
        <f>IF(B387="","",OR(K387="Not in use",K387="Low use")+AND(N387&lt;&gt;"",N387&lt;&gt;"TBD")+AND(ISNUMBER(U387),U387&lt;=EDATE('Scoring Settings'!$B$4,'Scoring Settings'!$B$8))+AND(ISNUMBER(L387),L387&lt;='Scoring Settings'!$B$7))</f>
        <v>1</v>
      </c>
      <c r="AL387" s="5" t="s">
        <v>2217</v>
      </c>
      <c r="AM387" s="8" t="str">
        <f>IF(B387="","",IF(Z387="N","Easy",IF(OR(AND(ISNUMBER(AB387),AB387&gt;'Scoring Settings'!$B$11),AND(ISNUMBER(W387),W387&gt;'Scoring Settings'!$B$12),AND(ISNUMBER(M387),M387&lt;='Scoring Settings'!$B$13)),"High","Medium")))</f>
        <v>High</v>
      </c>
      <c r="AN387" s="5" t="s">
        <v>148</v>
      </c>
      <c r="AO387" s="7">
        <v>45169</v>
      </c>
      <c r="AP387" s="5" t="s">
        <v>98</v>
      </c>
      <c r="AQ387" s="29" t="s">
        <v>149</v>
      </c>
    </row>
    <row r="388" spans="1:43" hidden="1">
      <c r="A388" s="28">
        <v>88622</v>
      </c>
      <c r="B388" s="5" t="s">
        <v>935</v>
      </c>
      <c r="C388" s="5" t="s">
        <v>667</v>
      </c>
      <c r="D388" s="5" t="s">
        <v>115</v>
      </c>
      <c r="E388" s="5" t="s">
        <v>68</v>
      </c>
      <c r="F388" s="5" t="s">
        <v>188</v>
      </c>
      <c r="G388" s="5" t="s">
        <v>90</v>
      </c>
      <c r="H388" s="5" t="s">
        <v>129</v>
      </c>
      <c r="I388" s="6">
        <v>0</v>
      </c>
      <c r="J388" s="7">
        <v>43936</v>
      </c>
      <c r="K388" s="8" t="str">
        <f>IF(B388="","",IF(AND(I388="",J388=""),"Unknown",IF(OR(AND(ISNUMBER(I388),I388=0),AND(ISNUMBER(J388),J388&lt;=EDATE('Scoring Settings'!$B$4,-'Scoring Settings'!$B$5))),"Not in use",IF(AND(ISNUMBER(I388),I388&lt;'Scoring Settings'!$B$6),"Low use","Active"))))</f>
        <v>Not in use</v>
      </c>
      <c r="L388" s="5">
        <v>2</v>
      </c>
      <c r="M388" s="5">
        <v>3</v>
      </c>
      <c r="N388" s="5" t="s">
        <v>856</v>
      </c>
      <c r="O388" s="5" t="s">
        <v>73</v>
      </c>
      <c r="P388" s="5" t="s">
        <v>936</v>
      </c>
      <c r="Q388" s="9">
        <v>1</v>
      </c>
      <c r="R388" s="5" t="s">
        <v>330</v>
      </c>
      <c r="S388" s="5" t="s">
        <v>331</v>
      </c>
      <c r="T388" s="5" t="s">
        <v>109</v>
      </c>
      <c r="U388" s="7">
        <v>45046</v>
      </c>
      <c r="V388" s="5" t="s">
        <v>135</v>
      </c>
      <c r="W388" s="6">
        <v>6200</v>
      </c>
      <c r="X388" s="5" t="s">
        <v>79</v>
      </c>
      <c r="Y388" s="9">
        <v>3</v>
      </c>
      <c r="Z388" s="5" t="s">
        <v>80</v>
      </c>
      <c r="AA388" s="5" t="s">
        <v>81</v>
      </c>
      <c r="AB388" s="9">
        <v>6</v>
      </c>
      <c r="AC388" s="5" t="s">
        <v>82</v>
      </c>
      <c r="AD388" s="5" t="s">
        <v>82</v>
      </c>
      <c r="AE388" s="5" t="s">
        <v>79</v>
      </c>
      <c r="AF388" s="10">
        <v>33500</v>
      </c>
      <c r="AG388" s="7">
        <v>48334</v>
      </c>
      <c r="AH388" s="10">
        <v>75000</v>
      </c>
      <c r="AI388" s="10">
        <v>19500</v>
      </c>
      <c r="AJ388" s="11">
        <f t="shared" si="5"/>
        <v>46.153846153846153</v>
      </c>
      <c r="AK388" s="12">
        <f>IF(B388="","",OR(K388="Not in use",K388="Low use")+AND(N388&lt;&gt;"",N388&lt;&gt;"TBD")+AND(ISNUMBER(U388),U388&lt;=EDATE('Scoring Settings'!$B$4,'Scoring Settings'!$B$8))+AND(ISNUMBER(L388),L388&lt;='Scoring Settings'!$B$7))</f>
        <v>3</v>
      </c>
      <c r="AL388" s="5" t="s">
        <v>96</v>
      </c>
      <c r="AM388" s="8" t="str">
        <f>IF(B388="","",IF(Z388="N","Easy",IF(OR(AND(ISNUMBER(AB388),AB388&gt;'Scoring Settings'!$B$11),AND(ISNUMBER(W388),W388&gt;'Scoring Settings'!$B$12),AND(ISNUMBER(M388),M388&lt;='Scoring Settings'!$B$13)),"High","Medium")))</f>
        <v>High</v>
      </c>
      <c r="AN388" s="5" t="s">
        <v>148</v>
      </c>
      <c r="AO388" s="7">
        <v>45107</v>
      </c>
      <c r="AP388" s="5" t="s">
        <v>197</v>
      </c>
      <c r="AQ388" s="29" t="s">
        <v>486</v>
      </c>
    </row>
    <row r="389" spans="1:43" hidden="1">
      <c r="A389" s="28">
        <v>99080</v>
      </c>
      <c r="B389" s="5" t="s">
        <v>942</v>
      </c>
      <c r="C389" s="5" t="s">
        <v>522</v>
      </c>
      <c r="D389" s="5" t="s">
        <v>297</v>
      </c>
      <c r="E389" s="5" t="s">
        <v>311</v>
      </c>
      <c r="F389" s="5" t="s">
        <v>209</v>
      </c>
      <c r="G389" s="5" t="s">
        <v>128</v>
      </c>
      <c r="H389" s="5" t="s">
        <v>142</v>
      </c>
      <c r="I389" s="6">
        <v>12</v>
      </c>
      <c r="J389" s="7">
        <v>44262</v>
      </c>
      <c r="K389" s="8" t="str">
        <f>IF(B389="","",IF(AND(I389="",J389=""),"Unknown",IF(OR(AND(ISNUMBER(I389),I389=0),AND(ISNUMBER(J389),J389&lt;=EDATE('Scoring Settings'!$B$4,-'Scoring Settings'!$B$5))),"Not in use",IF(AND(ISNUMBER(I389),I389&lt;'Scoring Settings'!$B$6),"Low use","Active"))))</f>
        <v>Low use</v>
      </c>
      <c r="L389" s="5">
        <v>5</v>
      </c>
      <c r="M389" s="5">
        <v>1</v>
      </c>
      <c r="N389" s="5" t="s">
        <v>306</v>
      </c>
      <c r="O389" s="5" t="s">
        <v>143</v>
      </c>
      <c r="P389" s="5" t="s">
        <v>144</v>
      </c>
      <c r="Q389" s="9">
        <v>0</v>
      </c>
      <c r="R389" s="5" t="s">
        <v>145</v>
      </c>
      <c r="S389" s="5" t="s">
        <v>145</v>
      </c>
      <c r="T389" s="5" t="s">
        <v>146</v>
      </c>
      <c r="U389" s="7"/>
      <c r="V389" s="5" t="s">
        <v>95</v>
      </c>
      <c r="W389" s="6">
        <v>1040</v>
      </c>
      <c r="X389" s="5" t="s">
        <v>80</v>
      </c>
      <c r="Y389" s="9">
        <v>7</v>
      </c>
      <c r="Z389" s="5" t="s">
        <v>80</v>
      </c>
      <c r="AA389" s="5" t="s">
        <v>205</v>
      </c>
      <c r="AB389" s="9">
        <v>28</v>
      </c>
      <c r="AC389" s="5" t="s">
        <v>82</v>
      </c>
      <c r="AD389" s="5" t="s">
        <v>80</v>
      </c>
      <c r="AE389" s="5" t="s">
        <v>80</v>
      </c>
      <c r="AF389" s="10">
        <v>390000</v>
      </c>
      <c r="AG389" s="7">
        <v>47756</v>
      </c>
      <c r="AH389" s="10">
        <v>692000</v>
      </c>
      <c r="AI389" s="10">
        <v>234000</v>
      </c>
      <c r="AJ389" s="11">
        <f t="shared" ref="AJ389:AJ452" si="6">IF(AND(ISNUMBER(AH389),ISNUMBER(AI389),N(AI389)&gt;0),AH389/AI389*12,"")</f>
        <v>35.487179487179489</v>
      </c>
      <c r="AK389" s="12">
        <f>IF(B389="","",OR(K389="Not in use",K389="Low use")+AND(N389&lt;&gt;"",N389&lt;&gt;"TBD")+AND(ISNUMBER(U389),U389&lt;=EDATE('Scoring Settings'!$B$4,'Scoring Settings'!$B$8))+AND(ISNUMBER(L389),L389&lt;='Scoring Settings'!$B$7))</f>
        <v>2</v>
      </c>
      <c r="AL389" s="5" t="s">
        <v>2217</v>
      </c>
      <c r="AM389" s="8" t="str">
        <f>IF(B389="","",IF(Z389="N","Easy",IF(OR(AND(ISNUMBER(AB389),AB389&gt;'Scoring Settings'!$B$11),AND(ISNUMBER(W389),W389&gt;'Scoring Settings'!$B$12),AND(ISNUMBER(M389),M389&lt;='Scoring Settings'!$B$13)),"High","Medium")))</f>
        <v>High</v>
      </c>
      <c r="AN389" s="5" t="s">
        <v>148</v>
      </c>
      <c r="AO389" s="7">
        <v>45107</v>
      </c>
      <c r="AP389" s="5" t="s">
        <v>197</v>
      </c>
      <c r="AQ389" s="29" t="s">
        <v>943</v>
      </c>
    </row>
    <row r="390" spans="1:43" hidden="1">
      <c r="A390" s="28">
        <v>152701</v>
      </c>
      <c r="B390" s="5" t="s">
        <v>959</v>
      </c>
      <c r="C390" s="5" t="s">
        <v>172</v>
      </c>
      <c r="D390" s="5" t="s">
        <v>162</v>
      </c>
      <c r="E390" s="5" t="s">
        <v>68</v>
      </c>
      <c r="F390" s="5" t="s">
        <v>419</v>
      </c>
      <c r="G390" s="5" t="s">
        <v>117</v>
      </c>
      <c r="H390" s="5" t="s">
        <v>129</v>
      </c>
      <c r="I390" s="6">
        <v>4</v>
      </c>
      <c r="J390" s="7">
        <v>43619</v>
      </c>
      <c r="K390" s="8" t="str">
        <f>IF(B390="","",IF(AND(I390="",J390=""),"Unknown",IF(OR(AND(ISNUMBER(I390),I390=0),AND(ISNUMBER(J390),J390&lt;=EDATE('Scoring Settings'!$B$4,-'Scoring Settings'!$B$5))),"Not in use",IF(AND(ISNUMBER(I390),I390&lt;'Scoring Settings'!$B$6),"Low use","Active"))))</f>
        <v>Not in use</v>
      </c>
      <c r="L390" s="5">
        <v>3</v>
      </c>
      <c r="M390" s="5">
        <v>4</v>
      </c>
      <c r="N390" s="5" t="s">
        <v>164</v>
      </c>
      <c r="O390" s="5" t="s">
        <v>73</v>
      </c>
      <c r="P390" s="5" t="s">
        <v>960</v>
      </c>
      <c r="Q390" s="9">
        <v>1</v>
      </c>
      <c r="R390" s="5" t="s">
        <v>182</v>
      </c>
      <c r="S390" s="5" t="s">
        <v>183</v>
      </c>
      <c r="T390" s="5" t="s">
        <v>109</v>
      </c>
      <c r="U390" s="7" t="s">
        <v>72</v>
      </c>
      <c r="V390" s="5" t="s">
        <v>78</v>
      </c>
      <c r="W390" s="6">
        <v>46</v>
      </c>
      <c r="X390" s="5" t="s">
        <v>79</v>
      </c>
      <c r="Y390" s="9">
        <v>3</v>
      </c>
      <c r="Z390" s="5" t="s">
        <v>79</v>
      </c>
      <c r="AA390" s="5" t="s">
        <v>110</v>
      </c>
      <c r="AB390" s="9">
        <v>1</v>
      </c>
      <c r="AC390" s="5" t="s">
        <v>79</v>
      </c>
      <c r="AD390" s="5" t="s">
        <v>79</v>
      </c>
      <c r="AE390" s="5" t="s">
        <v>79</v>
      </c>
      <c r="AF390" s="10">
        <v>27500</v>
      </c>
      <c r="AG390" s="7">
        <v>47177</v>
      </c>
      <c r="AH390" s="10">
        <v>30000</v>
      </c>
      <c r="AI390" s="10">
        <v>26000</v>
      </c>
      <c r="AJ390" s="11">
        <f t="shared" si="6"/>
        <v>13.846153846153845</v>
      </c>
      <c r="AK390" s="12">
        <f>IF(B390="","",OR(K390="Not in use",K390="Low use")+AND(N390&lt;&gt;"",N390&lt;&gt;"TBD")+AND(ISNUMBER(U390),U390&lt;=EDATE('Scoring Settings'!$B$4,'Scoring Settings'!$B$8))+AND(ISNUMBER(L390),L390&lt;='Scoring Settings'!$B$7))</f>
        <v>2</v>
      </c>
      <c r="AL390" s="5" t="s">
        <v>223</v>
      </c>
      <c r="AM390" s="8" t="str">
        <f>IF(B390="","",IF(Z390="N","Easy",IF(OR(AND(ISNUMBER(AB390),AB390&gt;'Scoring Settings'!$B$11),AND(ISNUMBER(W390),W390&gt;'Scoring Settings'!$B$12),AND(ISNUMBER(M390),M390&lt;='Scoring Settings'!$B$13)),"High","Medium")))</f>
        <v>Easy</v>
      </c>
      <c r="AN390" s="5" t="s">
        <v>148</v>
      </c>
      <c r="AO390" s="7">
        <v>45046</v>
      </c>
      <c r="AP390" s="5" t="s">
        <v>197</v>
      </c>
      <c r="AQ390" s="29" t="s">
        <v>499</v>
      </c>
    </row>
    <row r="391" spans="1:43" hidden="1">
      <c r="A391" s="28">
        <v>103814</v>
      </c>
      <c r="B391" s="5" t="s">
        <v>964</v>
      </c>
      <c r="C391" s="5" t="s">
        <v>13</v>
      </c>
      <c r="D391" s="5" t="s">
        <v>162</v>
      </c>
      <c r="E391" s="5" t="s">
        <v>68</v>
      </c>
      <c r="F391" s="5" t="s">
        <v>209</v>
      </c>
      <c r="G391" s="5" t="s">
        <v>210</v>
      </c>
      <c r="H391" s="5" t="s">
        <v>142</v>
      </c>
      <c r="I391" s="6">
        <v>0</v>
      </c>
      <c r="J391" s="7">
        <v>44172</v>
      </c>
      <c r="K391" s="8" t="str">
        <f>IF(B391="","",IF(AND(I391="",J391=""),"Unknown",IF(OR(AND(ISNUMBER(I391),I391=0),AND(ISNUMBER(J391),J391&lt;=EDATE('Scoring Settings'!$B$4,-'Scoring Settings'!$B$5))),"Not in use",IF(AND(ISNUMBER(I391),I391&lt;'Scoring Settings'!$B$6),"Low use","Active"))))</f>
        <v>Not in use</v>
      </c>
      <c r="L391" s="5">
        <v>2</v>
      </c>
      <c r="M391" s="5">
        <v>4</v>
      </c>
      <c r="N391" s="5"/>
      <c r="O391" s="5" t="s">
        <v>143</v>
      </c>
      <c r="P391" s="5" t="s">
        <v>144</v>
      </c>
      <c r="Q391" s="9">
        <v>0</v>
      </c>
      <c r="R391" s="5" t="s">
        <v>145</v>
      </c>
      <c r="S391" s="5" t="s">
        <v>145</v>
      </c>
      <c r="T391" s="5" t="s">
        <v>146</v>
      </c>
      <c r="U391" s="7">
        <v>45808</v>
      </c>
      <c r="V391" s="5" t="s">
        <v>135</v>
      </c>
      <c r="W391" s="6">
        <v>75</v>
      </c>
      <c r="X391" s="5" t="s">
        <v>80</v>
      </c>
      <c r="Y391" s="9">
        <v>7</v>
      </c>
      <c r="Z391" s="5" t="s">
        <v>79</v>
      </c>
      <c r="AA391" s="5" t="s">
        <v>110</v>
      </c>
      <c r="AB391" s="9">
        <v>2</v>
      </c>
      <c r="AC391" s="5" t="s">
        <v>79</v>
      </c>
      <c r="AD391" s="5" t="s">
        <v>82</v>
      </c>
      <c r="AE391" s="5" t="s">
        <v>82</v>
      </c>
      <c r="AF391" s="10">
        <v>90000</v>
      </c>
      <c r="AG391" s="7">
        <v>48395</v>
      </c>
      <c r="AH391" s="10">
        <v>89500</v>
      </c>
      <c r="AI391" s="10">
        <v>53000</v>
      </c>
      <c r="AJ391" s="11">
        <f t="shared" si="6"/>
        <v>20.264150943396224</v>
      </c>
      <c r="AK391" s="12">
        <f>IF(B391="","",OR(K391="Not in use",K391="Low use")+AND(N391&lt;&gt;"",N391&lt;&gt;"TBD")+AND(ISNUMBER(U391),U391&lt;=EDATE('Scoring Settings'!$B$4,'Scoring Settings'!$B$8))+AND(ISNUMBER(L391),L391&lt;='Scoring Settings'!$B$7))</f>
        <v>2</v>
      </c>
      <c r="AL391" s="5" t="s">
        <v>223</v>
      </c>
      <c r="AM391" s="8" t="str">
        <f>IF(B391="","",IF(Z391="N","Easy",IF(OR(AND(ISNUMBER(AB391),AB391&gt;'Scoring Settings'!$B$11),AND(ISNUMBER(W391),W391&gt;'Scoring Settings'!$B$12),AND(ISNUMBER(M391),M391&lt;='Scoring Settings'!$B$13)),"High","Medium")))</f>
        <v>Easy</v>
      </c>
      <c r="AN391" s="5" t="s">
        <v>148</v>
      </c>
      <c r="AO391" s="7">
        <v>45169</v>
      </c>
      <c r="AP391" s="5" t="s">
        <v>98</v>
      </c>
      <c r="AQ391" s="29" t="s">
        <v>170</v>
      </c>
    </row>
    <row r="392" spans="1:43" ht="42.75" hidden="1">
      <c r="A392" s="28">
        <v>77346</v>
      </c>
      <c r="B392" s="5" t="s">
        <v>965</v>
      </c>
      <c r="C392" s="5" t="s">
        <v>287</v>
      </c>
      <c r="D392" s="5" t="s">
        <v>162</v>
      </c>
      <c r="E392" s="5" t="s">
        <v>68</v>
      </c>
      <c r="F392" s="5" t="s">
        <v>209</v>
      </c>
      <c r="G392" s="5" t="s">
        <v>70</v>
      </c>
      <c r="H392" s="5" t="s">
        <v>71</v>
      </c>
      <c r="I392" s="6">
        <v>2</v>
      </c>
      <c r="J392" s="7">
        <v>44070</v>
      </c>
      <c r="K392" s="8" t="str">
        <f>IF(B392="","",IF(AND(I392="",J392=""),"Unknown",IF(OR(AND(ISNUMBER(I392),I392=0),AND(ISNUMBER(J392),J392&lt;=EDATE('Scoring Settings'!$B$4,-'Scoring Settings'!$B$5))),"Not in use",IF(AND(ISNUMBER(I392),I392&lt;'Scoring Settings'!$B$6),"Low use","Active"))))</f>
        <v>Not in use</v>
      </c>
      <c r="L392" s="5">
        <v>1</v>
      </c>
      <c r="M392" s="5">
        <v>3</v>
      </c>
      <c r="N392" s="5" t="s">
        <v>458</v>
      </c>
      <c r="O392" s="5" t="s">
        <v>191</v>
      </c>
      <c r="P392" s="5" t="s">
        <v>192</v>
      </c>
      <c r="Q392" s="9">
        <v>0</v>
      </c>
      <c r="R392" s="5" t="s">
        <v>193</v>
      </c>
      <c r="S392" s="5" t="s">
        <v>318</v>
      </c>
      <c r="T392" s="5" t="s">
        <v>195</v>
      </c>
      <c r="U392" s="7">
        <v>44742</v>
      </c>
      <c r="V392" s="5" t="s">
        <v>135</v>
      </c>
      <c r="W392" s="6">
        <v>1100</v>
      </c>
      <c r="X392" s="5" t="s">
        <v>80</v>
      </c>
      <c r="Y392" s="9">
        <v>7</v>
      </c>
      <c r="Z392" s="5" t="s">
        <v>80</v>
      </c>
      <c r="AA392" s="5" t="s">
        <v>81</v>
      </c>
      <c r="AB392" s="9">
        <v>3</v>
      </c>
      <c r="AC392" s="5" t="s">
        <v>82</v>
      </c>
      <c r="AD392" s="5" t="s">
        <v>79</v>
      </c>
      <c r="AE392" s="5" t="s">
        <v>79</v>
      </c>
      <c r="AF392" s="10">
        <v>20000</v>
      </c>
      <c r="AG392" s="7">
        <v>46387</v>
      </c>
      <c r="AH392" s="10">
        <v>20000</v>
      </c>
      <c r="AI392" s="10">
        <v>14500</v>
      </c>
      <c r="AJ392" s="11">
        <f t="shared" si="6"/>
        <v>16.551724137931036</v>
      </c>
      <c r="AK392" s="12">
        <f>IF(B392="","",OR(K392="Not in use",K392="Low use")+AND(N392&lt;&gt;"",N392&lt;&gt;"TBD")+AND(ISNUMBER(U392),U392&lt;=EDATE('Scoring Settings'!$B$4,'Scoring Settings'!$B$8))+AND(ISNUMBER(L392),L392&lt;='Scoring Settings'!$B$7))</f>
        <v>3</v>
      </c>
      <c r="AL392" s="5" t="s">
        <v>96</v>
      </c>
      <c r="AM392" s="8" t="str">
        <f>IF(B392="","",IF(Z392="N","Easy",IF(OR(AND(ISNUMBER(AB392),AB392&gt;'Scoring Settings'!$B$11),AND(ISNUMBER(W392),W392&gt;'Scoring Settings'!$B$12),AND(ISNUMBER(M392),M392&lt;='Scoring Settings'!$B$13)),"High","Medium")))</f>
        <v>High</v>
      </c>
      <c r="AN392" s="5" t="s">
        <v>148</v>
      </c>
      <c r="AO392" s="7">
        <v>45107</v>
      </c>
      <c r="AP392" s="5" t="s">
        <v>98</v>
      </c>
      <c r="AQ392" s="29" t="s">
        <v>421</v>
      </c>
    </row>
    <row r="393" spans="1:43" ht="42.75" hidden="1">
      <c r="A393" s="28">
        <v>160478</v>
      </c>
      <c r="B393" s="5" t="s">
        <v>989</v>
      </c>
      <c r="C393" s="5" t="s">
        <v>101</v>
      </c>
      <c r="D393" s="5" t="s">
        <v>102</v>
      </c>
      <c r="E393" s="5" t="s">
        <v>68</v>
      </c>
      <c r="F393" s="5" t="s">
        <v>178</v>
      </c>
      <c r="G393" s="5" t="s">
        <v>141</v>
      </c>
      <c r="H393" s="5" t="s">
        <v>105</v>
      </c>
      <c r="I393" s="6">
        <v>0</v>
      </c>
      <c r="J393" s="7">
        <v>44083</v>
      </c>
      <c r="K393" s="8" t="str">
        <f>IF(B393="","",IF(AND(I393="",J393=""),"Unknown",IF(OR(AND(ISNUMBER(I393),I393=0),AND(ISNUMBER(J393),J393&lt;=EDATE('Scoring Settings'!$B$4,-'Scoring Settings'!$B$5))),"Not in use",IF(AND(ISNUMBER(I393),I393&lt;'Scoring Settings'!$B$6),"Low use","Active"))))</f>
        <v>Not in use</v>
      </c>
      <c r="L393" s="5">
        <v>4</v>
      </c>
      <c r="M393" s="5">
        <v>2</v>
      </c>
      <c r="N393" s="5" t="s">
        <v>784</v>
      </c>
      <c r="O393" s="5" t="s">
        <v>73</v>
      </c>
      <c r="P393" s="5" t="s">
        <v>990</v>
      </c>
      <c r="Q393" s="9">
        <v>2</v>
      </c>
      <c r="R393" s="5" t="s">
        <v>182</v>
      </c>
      <c r="S393" s="5" t="s">
        <v>183</v>
      </c>
      <c r="T393" s="5" t="s">
        <v>122</v>
      </c>
      <c r="U393" s="7" t="s">
        <v>72</v>
      </c>
      <c r="V393" s="5" t="s">
        <v>78</v>
      </c>
      <c r="W393" s="6">
        <v>80</v>
      </c>
      <c r="X393" s="5" t="s">
        <v>80</v>
      </c>
      <c r="Y393" s="9">
        <v>10</v>
      </c>
      <c r="Z393" s="5" t="s">
        <v>79</v>
      </c>
      <c r="AA393" s="5" t="s">
        <v>110</v>
      </c>
      <c r="AB393" s="9">
        <v>11</v>
      </c>
      <c r="AC393" s="5" t="s">
        <v>79</v>
      </c>
      <c r="AD393" s="5" t="s">
        <v>79</v>
      </c>
      <c r="AE393" s="5" t="s">
        <v>82</v>
      </c>
      <c r="AF393" s="10">
        <v>55000</v>
      </c>
      <c r="AG393" s="7">
        <v>49156</v>
      </c>
      <c r="AH393" s="10">
        <v>38500</v>
      </c>
      <c r="AI393" s="10">
        <v>44000</v>
      </c>
      <c r="AJ393" s="11">
        <f t="shared" si="6"/>
        <v>10.5</v>
      </c>
      <c r="AK393" s="12">
        <f>IF(B393="","",OR(K393="Not in use",K393="Low use")+AND(N393&lt;&gt;"",N393&lt;&gt;"TBD")+AND(ISNUMBER(U393),U393&lt;=EDATE('Scoring Settings'!$B$4,'Scoring Settings'!$B$8))+AND(ISNUMBER(L393),L393&lt;='Scoring Settings'!$B$7))</f>
        <v>2</v>
      </c>
      <c r="AL393" s="5" t="s">
        <v>2217</v>
      </c>
      <c r="AM393" s="8" t="str">
        <f>IF(B393="","",IF(Z393="N","Easy",IF(OR(AND(ISNUMBER(AB393),AB393&gt;'Scoring Settings'!$B$11),AND(ISNUMBER(W393),W393&gt;'Scoring Settings'!$B$12),AND(ISNUMBER(M393),M393&lt;='Scoring Settings'!$B$13)),"High","Medium")))</f>
        <v>Easy</v>
      </c>
      <c r="AN393" s="5" t="s">
        <v>148</v>
      </c>
      <c r="AO393" s="7">
        <v>45199</v>
      </c>
      <c r="AP393" s="5" t="s">
        <v>98</v>
      </c>
      <c r="AQ393" s="29" t="s">
        <v>991</v>
      </c>
    </row>
    <row r="394" spans="1:43" hidden="1">
      <c r="A394" s="28">
        <v>137116</v>
      </c>
      <c r="B394" s="5" t="s">
        <v>999</v>
      </c>
      <c r="C394" s="5" t="s">
        <v>772</v>
      </c>
      <c r="D394" s="5" t="s">
        <v>297</v>
      </c>
      <c r="E394" s="5" t="s">
        <v>68</v>
      </c>
      <c r="F394" s="5" t="s">
        <v>249</v>
      </c>
      <c r="G394" s="5" t="s">
        <v>284</v>
      </c>
      <c r="H394" s="5" t="s">
        <v>91</v>
      </c>
      <c r="I394" s="6">
        <v>5</v>
      </c>
      <c r="J394" s="7">
        <v>43630</v>
      </c>
      <c r="K394" s="8" t="str">
        <f>IF(B394="","",IF(AND(I394="",J394=""),"Unknown",IF(OR(AND(ISNUMBER(I394),I394=0),AND(ISNUMBER(J394),J394&lt;=EDATE('Scoring Settings'!$B$4,-'Scoring Settings'!$B$5))),"Not in use",IF(AND(ISNUMBER(I394),I394&lt;'Scoring Settings'!$B$6),"Low use","Active"))))</f>
        <v>Not in use</v>
      </c>
      <c r="L394" s="5">
        <v>2</v>
      </c>
      <c r="M394" s="5">
        <v>3</v>
      </c>
      <c r="N394" s="5" t="s">
        <v>306</v>
      </c>
      <c r="O394" s="5" t="s">
        <v>73</v>
      </c>
      <c r="P394" s="5" t="s">
        <v>1000</v>
      </c>
      <c r="Q394" s="9">
        <v>3</v>
      </c>
      <c r="R394" s="5" t="s">
        <v>166</v>
      </c>
      <c r="S394" s="5" t="s">
        <v>167</v>
      </c>
      <c r="T394" s="5" t="s">
        <v>109</v>
      </c>
      <c r="U394" s="7">
        <v>45482</v>
      </c>
      <c r="V394" s="5" t="s">
        <v>135</v>
      </c>
      <c r="W394" s="6">
        <v>180</v>
      </c>
      <c r="X394" s="5" t="s">
        <v>80</v>
      </c>
      <c r="Y394" s="9">
        <v>7</v>
      </c>
      <c r="Z394" s="5" t="s">
        <v>80</v>
      </c>
      <c r="AA394" s="5" t="s">
        <v>185</v>
      </c>
      <c r="AB394" s="9">
        <v>6</v>
      </c>
      <c r="AC394" s="5" t="s">
        <v>80</v>
      </c>
      <c r="AD394" s="5" t="s">
        <v>82</v>
      </c>
      <c r="AE394" s="5" t="s">
        <v>80</v>
      </c>
      <c r="AF394" s="10">
        <v>43000</v>
      </c>
      <c r="AG394" s="7">
        <v>47177</v>
      </c>
      <c r="AH394" s="10">
        <v>42000</v>
      </c>
      <c r="AI394" s="10">
        <v>34000</v>
      </c>
      <c r="AJ394" s="11">
        <f t="shared" si="6"/>
        <v>14.823529411764707</v>
      </c>
      <c r="AK394" s="12">
        <f>IF(B394="","",OR(K394="Not in use",K394="Low use")+AND(N394&lt;&gt;"",N394&lt;&gt;"TBD")+AND(ISNUMBER(U394),U394&lt;=EDATE('Scoring Settings'!$B$4,'Scoring Settings'!$B$8))+AND(ISNUMBER(L394),L394&lt;='Scoring Settings'!$B$7))</f>
        <v>3</v>
      </c>
      <c r="AL394" s="5" t="s">
        <v>2217</v>
      </c>
      <c r="AM394" s="8" t="str">
        <f>IF(B394="","",IF(Z394="N","Easy",IF(OR(AND(ISNUMBER(AB394),AB394&gt;'Scoring Settings'!$B$11),AND(ISNUMBER(W394),W394&gt;'Scoring Settings'!$B$12),AND(ISNUMBER(M394),M394&lt;='Scoring Settings'!$B$13)),"High","Medium")))</f>
        <v>High</v>
      </c>
      <c r="AN394" s="5" t="s">
        <v>148</v>
      </c>
      <c r="AO394" s="7">
        <v>45230</v>
      </c>
      <c r="AP394" s="5" t="s">
        <v>98</v>
      </c>
      <c r="AQ394" s="29" t="s">
        <v>213</v>
      </c>
    </row>
    <row r="395" spans="1:43" hidden="1">
      <c r="A395" s="28">
        <v>68094</v>
      </c>
      <c r="B395" s="5" t="s">
        <v>1037</v>
      </c>
      <c r="C395" s="5" t="s">
        <v>66</v>
      </c>
      <c r="D395" s="5" t="s">
        <v>67</v>
      </c>
      <c r="E395" s="5" t="s">
        <v>68</v>
      </c>
      <c r="F395" s="5" t="s">
        <v>243</v>
      </c>
      <c r="G395" s="5" t="s">
        <v>267</v>
      </c>
      <c r="H395" s="5" t="s">
        <v>142</v>
      </c>
      <c r="I395" s="6">
        <v>18</v>
      </c>
      <c r="J395" s="7">
        <v>44216</v>
      </c>
      <c r="K395" s="8" t="str">
        <f>IF(B395="","",IF(AND(I395="",J395=""),"Unknown",IF(OR(AND(ISNUMBER(I395),I395=0),AND(ISNUMBER(J395),J395&lt;=EDATE('Scoring Settings'!$B$4,-'Scoring Settings'!$B$5))),"Not in use",IF(AND(ISNUMBER(I395),I395&lt;'Scoring Settings'!$B$6),"Low use","Active"))))</f>
        <v>Low use</v>
      </c>
      <c r="L395" s="5">
        <v>3</v>
      </c>
      <c r="M395" s="5">
        <v>4</v>
      </c>
      <c r="N395" s="5"/>
      <c r="O395" s="5" t="s">
        <v>143</v>
      </c>
      <c r="P395" s="5" t="s">
        <v>144</v>
      </c>
      <c r="Q395" s="9">
        <v>0</v>
      </c>
      <c r="R395" s="5" t="s">
        <v>145</v>
      </c>
      <c r="S395" s="5" t="s">
        <v>145</v>
      </c>
      <c r="T395" s="5" t="s">
        <v>146</v>
      </c>
      <c r="U395" s="7"/>
      <c r="V395" s="5" t="s">
        <v>135</v>
      </c>
      <c r="W395" s="6">
        <v>170</v>
      </c>
      <c r="X395" s="5" t="s">
        <v>80</v>
      </c>
      <c r="Y395" s="9">
        <v>10</v>
      </c>
      <c r="Z395" s="5" t="s">
        <v>80</v>
      </c>
      <c r="AA395" s="5" t="s">
        <v>205</v>
      </c>
      <c r="AB395" s="9">
        <v>0</v>
      </c>
      <c r="AC395" s="5" t="s">
        <v>79</v>
      </c>
      <c r="AD395" s="5" t="s">
        <v>79</v>
      </c>
      <c r="AE395" s="5" t="s">
        <v>82</v>
      </c>
      <c r="AF395" s="10">
        <v>80000</v>
      </c>
      <c r="AG395" s="7">
        <v>48669</v>
      </c>
      <c r="AH395" s="10">
        <v>101500</v>
      </c>
      <c r="AI395" s="10">
        <v>33500</v>
      </c>
      <c r="AJ395" s="11">
        <f t="shared" si="6"/>
        <v>36.35820895522388</v>
      </c>
      <c r="AK395" s="12">
        <f>IF(B395="","",OR(K395="Not in use",K395="Low use")+AND(N395&lt;&gt;"",N395&lt;&gt;"TBD")+AND(ISNUMBER(U395),U395&lt;=EDATE('Scoring Settings'!$B$4,'Scoring Settings'!$B$8))+AND(ISNUMBER(L395),L395&lt;='Scoring Settings'!$B$7))</f>
        <v>1</v>
      </c>
      <c r="AL395" s="5" t="s">
        <v>96</v>
      </c>
      <c r="AM395" s="8" t="str">
        <f>IF(B395="","",IF(Z395="N","Easy",IF(OR(AND(ISNUMBER(AB395),AB395&gt;'Scoring Settings'!$B$11),AND(ISNUMBER(W395),W395&gt;'Scoring Settings'!$B$12),AND(ISNUMBER(M395),M395&lt;='Scoring Settings'!$B$13)),"High","Medium")))</f>
        <v>Medium</v>
      </c>
      <c r="AN395" s="5" t="s">
        <v>148</v>
      </c>
      <c r="AO395" s="7">
        <v>45199</v>
      </c>
      <c r="AP395" s="5" t="s">
        <v>98</v>
      </c>
      <c r="AQ395" s="29" t="s">
        <v>213</v>
      </c>
    </row>
    <row r="396" spans="1:43" hidden="1">
      <c r="A396" s="28">
        <v>171063</v>
      </c>
      <c r="B396" s="5" t="s">
        <v>1049</v>
      </c>
      <c r="C396" s="5" t="s">
        <v>259</v>
      </c>
      <c r="D396" s="5" t="s">
        <v>67</v>
      </c>
      <c r="E396" s="5" t="s">
        <v>298</v>
      </c>
      <c r="F396" s="5" t="s">
        <v>69</v>
      </c>
      <c r="G396" s="5" t="s">
        <v>271</v>
      </c>
      <c r="H396" s="5" t="s">
        <v>189</v>
      </c>
      <c r="I396" s="6">
        <v>6</v>
      </c>
      <c r="J396" s="7">
        <v>44287</v>
      </c>
      <c r="K396" s="8" t="str">
        <f>IF(B396="","",IF(AND(I396="",J396=""),"Unknown",IF(OR(AND(ISNUMBER(I396),I396=0),AND(ISNUMBER(J396),J396&lt;=EDATE('Scoring Settings'!$B$4,-'Scoring Settings'!$B$5))),"Not in use",IF(AND(ISNUMBER(I396),I396&lt;'Scoring Settings'!$B$6),"Low use","Active"))))</f>
        <v>Low use</v>
      </c>
      <c r="L396" s="5">
        <v>1</v>
      </c>
      <c r="M396" s="5">
        <v>3</v>
      </c>
      <c r="N396" s="5"/>
      <c r="O396" s="5" t="s">
        <v>73</v>
      </c>
      <c r="P396" s="5" t="s">
        <v>1050</v>
      </c>
      <c r="Q396" s="9">
        <v>1</v>
      </c>
      <c r="R396" s="5" t="s">
        <v>256</v>
      </c>
      <c r="S396" s="5" t="s">
        <v>257</v>
      </c>
      <c r="T396" s="5" t="s">
        <v>77</v>
      </c>
      <c r="U396" s="7">
        <v>45077</v>
      </c>
      <c r="V396" s="5" t="s">
        <v>135</v>
      </c>
      <c r="W396" s="6">
        <v>140</v>
      </c>
      <c r="X396" s="5" t="s">
        <v>79</v>
      </c>
      <c r="Y396" s="9">
        <v>5</v>
      </c>
      <c r="Z396" s="5" t="s">
        <v>80</v>
      </c>
      <c r="AA396" s="5" t="s">
        <v>123</v>
      </c>
      <c r="AB396" s="9">
        <v>4</v>
      </c>
      <c r="AC396" s="5" t="s">
        <v>82</v>
      </c>
      <c r="AD396" s="5" t="s">
        <v>79</v>
      </c>
      <c r="AE396" s="5" t="s">
        <v>79</v>
      </c>
      <c r="AF396" s="10">
        <v>34000</v>
      </c>
      <c r="AG396" s="7">
        <v>47299</v>
      </c>
      <c r="AH396" s="10">
        <v>62000</v>
      </c>
      <c r="AI396" s="10">
        <v>23000</v>
      </c>
      <c r="AJ396" s="11">
        <f t="shared" si="6"/>
        <v>32.347826086956523</v>
      </c>
      <c r="AK396" s="12">
        <f>IF(B396="","",OR(K396="Not in use",K396="Low use")+AND(N396&lt;&gt;"",N396&lt;&gt;"TBD")+AND(ISNUMBER(U396),U396&lt;=EDATE('Scoring Settings'!$B$4,'Scoring Settings'!$B$8))+AND(ISNUMBER(L396),L396&lt;='Scoring Settings'!$B$7))</f>
        <v>2</v>
      </c>
      <c r="AL396" s="5" t="s">
        <v>96</v>
      </c>
      <c r="AM396" s="8" t="str">
        <f>IF(B396="","",IF(Z396="N","Easy",IF(OR(AND(ISNUMBER(AB396),AB396&gt;'Scoring Settings'!$B$11),AND(ISNUMBER(W396),W396&gt;'Scoring Settings'!$B$12),AND(ISNUMBER(M396),M396&lt;='Scoring Settings'!$B$13)),"High","Medium")))</f>
        <v>Medium</v>
      </c>
      <c r="AN396" s="5" t="s">
        <v>148</v>
      </c>
      <c r="AO396" s="7">
        <v>45260</v>
      </c>
      <c r="AP396" s="5" t="s">
        <v>98</v>
      </c>
      <c r="AQ396" s="29" t="s">
        <v>149</v>
      </c>
    </row>
    <row r="397" spans="1:43" ht="42.75" hidden="1">
      <c r="A397" s="28">
        <v>72177</v>
      </c>
      <c r="B397" s="5" t="s">
        <v>1062</v>
      </c>
      <c r="C397" s="5" t="s">
        <v>225</v>
      </c>
      <c r="D397" s="5" t="s">
        <v>67</v>
      </c>
      <c r="E397" s="5" t="s">
        <v>68</v>
      </c>
      <c r="F397" s="5" t="s">
        <v>243</v>
      </c>
      <c r="G397" s="5" t="s">
        <v>153</v>
      </c>
      <c r="H397" s="5" t="s">
        <v>118</v>
      </c>
      <c r="I397" s="6">
        <v>25</v>
      </c>
      <c r="J397" s="7">
        <v>44310</v>
      </c>
      <c r="K397" s="8" t="str">
        <f>IF(B397="","",IF(AND(I397="",J397=""),"Unknown",IF(OR(AND(ISNUMBER(I397),I397=0),AND(ISNUMBER(J397),J397&lt;=EDATE('Scoring Settings'!$B$4,-'Scoring Settings'!$B$5))),"Not in use",IF(AND(ISNUMBER(I397),I397&lt;'Scoring Settings'!$B$6),"Low use","Active"))))</f>
        <v>Active</v>
      </c>
      <c r="L397" s="5">
        <v>3</v>
      </c>
      <c r="M397" s="5">
        <v>3</v>
      </c>
      <c r="N397" s="5" t="s">
        <v>501</v>
      </c>
      <c r="O397" s="5" t="s">
        <v>73</v>
      </c>
      <c r="P397" s="5" t="s">
        <v>1063</v>
      </c>
      <c r="Q397" s="9">
        <v>4</v>
      </c>
      <c r="R397" s="5" t="s">
        <v>245</v>
      </c>
      <c r="S397" s="5" t="s">
        <v>246</v>
      </c>
      <c r="T397" s="5" t="s">
        <v>109</v>
      </c>
      <c r="U397" s="7">
        <v>45777</v>
      </c>
      <c r="V397" s="5" t="s">
        <v>78</v>
      </c>
      <c r="W397" s="6">
        <v>200</v>
      </c>
      <c r="X397" s="5" t="s">
        <v>79</v>
      </c>
      <c r="Y397" s="9">
        <v>3</v>
      </c>
      <c r="Z397" s="5" t="s">
        <v>79</v>
      </c>
      <c r="AA397" s="5" t="s">
        <v>110</v>
      </c>
      <c r="AB397" s="9">
        <v>5</v>
      </c>
      <c r="AC397" s="5" t="s">
        <v>80</v>
      </c>
      <c r="AD397" s="5" t="s">
        <v>82</v>
      </c>
      <c r="AE397" s="5" t="s">
        <v>79</v>
      </c>
      <c r="AF397" s="10">
        <v>37000</v>
      </c>
      <c r="AG397" s="7">
        <v>48334</v>
      </c>
      <c r="AH397" s="10">
        <v>13500</v>
      </c>
      <c r="AI397" s="10">
        <v>32500</v>
      </c>
      <c r="AJ397" s="11">
        <f t="shared" si="6"/>
        <v>4.9846153846153847</v>
      </c>
      <c r="AK397" s="12">
        <f>IF(B397="","",OR(K397="Not in use",K397="Low use")+AND(N397&lt;&gt;"",N397&lt;&gt;"TBD")+AND(ISNUMBER(U397),U397&lt;=EDATE('Scoring Settings'!$B$4,'Scoring Settings'!$B$8))+AND(ISNUMBER(L397),L397&lt;='Scoring Settings'!$B$7))</f>
        <v>1</v>
      </c>
      <c r="AL397" s="5" t="s">
        <v>2217</v>
      </c>
      <c r="AM397" s="8" t="str">
        <f>IF(B397="","",IF(Z397="N","Easy",IF(OR(AND(ISNUMBER(AB397),AB397&gt;'Scoring Settings'!$B$11),AND(ISNUMBER(W397),W397&gt;'Scoring Settings'!$B$12),AND(ISNUMBER(M397),M397&lt;='Scoring Settings'!$B$13)),"High","Medium")))</f>
        <v>Easy</v>
      </c>
      <c r="AN397" s="5" t="s">
        <v>148</v>
      </c>
      <c r="AO397" s="7">
        <v>44985</v>
      </c>
      <c r="AP397" s="5" t="s">
        <v>98</v>
      </c>
      <c r="AQ397" s="29" t="s">
        <v>99</v>
      </c>
    </row>
    <row r="398" spans="1:43" hidden="1">
      <c r="A398" s="28">
        <v>40022</v>
      </c>
      <c r="B398" s="5" t="s">
        <v>1086</v>
      </c>
      <c r="C398" s="5" t="s">
        <v>161</v>
      </c>
      <c r="D398" s="5" t="s">
        <v>162</v>
      </c>
      <c r="E398" s="5" t="s">
        <v>68</v>
      </c>
      <c r="F398" s="5" t="s">
        <v>243</v>
      </c>
      <c r="G398" s="5" t="s">
        <v>128</v>
      </c>
      <c r="H398" s="5" t="s">
        <v>118</v>
      </c>
      <c r="I398" s="6">
        <v>8</v>
      </c>
      <c r="J398" s="7">
        <v>44183</v>
      </c>
      <c r="K398" s="8" t="str">
        <f>IF(B398="","",IF(AND(I398="",J398=""),"Unknown",IF(OR(AND(ISNUMBER(I398),I398=0),AND(ISNUMBER(J398),J398&lt;=EDATE('Scoring Settings'!$B$4,-'Scoring Settings'!$B$5))),"Not in use",IF(AND(ISNUMBER(I398),I398&lt;'Scoring Settings'!$B$6),"Low use","Active"))))</f>
        <v>Low use</v>
      </c>
      <c r="L398" s="5">
        <v>5</v>
      </c>
      <c r="M398" s="5">
        <v>2</v>
      </c>
      <c r="N398" s="5" t="s">
        <v>175</v>
      </c>
      <c r="O398" s="5" t="s">
        <v>73</v>
      </c>
      <c r="P398" s="5" t="s">
        <v>1087</v>
      </c>
      <c r="Q398" s="9">
        <v>7</v>
      </c>
      <c r="R398" s="5" t="s">
        <v>132</v>
      </c>
      <c r="S398" s="5" t="s">
        <v>133</v>
      </c>
      <c r="T398" s="5" t="s">
        <v>72</v>
      </c>
      <c r="U398" s="7">
        <v>44227</v>
      </c>
      <c r="V398" s="5" t="s">
        <v>95</v>
      </c>
      <c r="W398" s="6">
        <v>120</v>
      </c>
      <c r="X398" s="5" t="s">
        <v>80</v>
      </c>
      <c r="Y398" s="9">
        <v>7</v>
      </c>
      <c r="Z398" s="5" t="s">
        <v>79</v>
      </c>
      <c r="AA398" s="5" t="s">
        <v>110</v>
      </c>
      <c r="AB398" s="9">
        <v>12</v>
      </c>
      <c r="AC398" s="5" t="s">
        <v>80</v>
      </c>
      <c r="AD398" s="5" t="s">
        <v>80</v>
      </c>
      <c r="AE398" s="5" t="s">
        <v>79</v>
      </c>
      <c r="AF398" s="10">
        <v>70000</v>
      </c>
      <c r="AG398" s="7">
        <v>47999</v>
      </c>
      <c r="AH398" s="10">
        <v>64000</v>
      </c>
      <c r="AI398" s="10">
        <v>57000</v>
      </c>
      <c r="AJ398" s="11">
        <f t="shared" si="6"/>
        <v>13.473684210526315</v>
      </c>
      <c r="AK398" s="12">
        <f>IF(B398="","",OR(K398="Not in use",K398="Low use")+AND(N398&lt;&gt;"",N398&lt;&gt;"TBD")+AND(ISNUMBER(U398),U398&lt;=EDATE('Scoring Settings'!$B$4,'Scoring Settings'!$B$8))+AND(ISNUMBER(L398),L398&lt;='Scoring Settings'!$B$7))</f>
        <v>3</v>
      </c>
      <c r="AL398" s="5" t="s">
        <v>2217</v>
      </c>
      <c r="AM398" s="8" t="str">
        <f>IF(B398="","",IF(Z398="N","Easy",IF(OR(AND(ISNUMBER(AB398),AB398&gt;'Scoring Settings'!$B$11),AND(ISNUMBER(W398),W398&gt;'Scoring Settings'!$B$12),AND(ISNUMBER(M398),M398&lt;='Scoring Settings'!$B$13)),"High","Medium")))</f>
        <v>Easy</v>
      </c>
      <c r="AN398" s="5" t="s">
        <v>148</v>
      </c>
      <c r="AO398" s="7">
        <v>44985</v>
      </c>
      <c r="AP398" s="5" t="s">
        <v>98</v>
      </c>
      <c r="AQ398" s="29" t="s">
        <v>170</v>
      </c>
    </row>
    <row r="399" spans="1:43" hidden="1">
      <c r="A399" s="28">
        <v>181289</v>
      </c>
      <c r="B399" s="5" t="s">
        <v>1088</v>
      </c>
      <c r="C399" s="5" t="s">
        <v>287</v>
      </c>
      <c r="D399" s="5" t="s">
        <v>162</v>
      </c>
      <c r="E399" s="5" t="s">
        <v>68</v>
      </c>
      <c r="F399" s="5" t="s">
        <v>419</v>
      </c>
      <c r="G399" s="5" t="s">
        <v>267</v>
      </c>
      <c r="H399" s="5" t="s">
        <v>129</v>
      </c>
      <c r="I399" s="6">
        <v>84</v>
      </c>
      <c r="J399" s="7">
        <v>44291</v>
      </c>
      <c r="K399" s="8" t="str">
        <f>IF(B399="","",IF(AND(I399="",J399=""),"Unknown",IF(OR(AND(ISNUMBER(I399),I399=0),AND(ISNUMBER(J399),J399&lt;=EDATE('Scoring Settings'!$B$4,-'Scoring Settings'!$B$5))),"Not in use",IF(AND(ISNUMBER(I399),I399&lt;'Scoring Settings'!$B$6),"Low use","Active"))))</f>
        <v>Active</v>
      </c>
      <c r="L399" s="5">
        <v>3</v>
      </c>
      <c r="M399" s="5">
        <v>3</v>
      </c>
      <c r="N399" s="5" t="s">
        <v>458</v>
      </c>
      <c r="O399" s="5" t="s">
        <v>73</v>
      </c>
      <c r="P399" s="5" t="s">
        <v>1089</v>
      </c>
      <c r="Q399" s="9">
        <v>2</v>
      </c>
      <c r="R399" s="5" t="s">
        <v>251</v>
      </c>
      <c r="S399" s="5" t="s">
        <v>133</v>
      </c>
      <c r="T399" s="5" t="s">
        <v>72</v>
      </c>
      <c r="U399" s="7">
        <v>44165</v>
      </c>
      <c r="V399" s="5" t="s">
        <v>135</v>
      </c>
      <c r="W399" s="6">
        <v>46</v>
      </c>
      <c r="X399" s="5" t="s">
        <v>79</v>
      </c>
      <c r="Y399" s="9">
        <v>1</v>
      </c>
      <c r="Z399" s="5" t="s">
        <v>80</v>
      </c>
      <c r="AA399" s="5" t="s">
        <v>81</v>
      </c>
      <c r="AB399" s="9">
        <v>6</v>
      </c>
      <c r="AC399" s="5" t="s">
        <v>82</v>
      </c>
      <c r="AD399" s="5" t="s">
        <v>79</v>
      </c>
      <c r="AE399" s="5" t="s">
        <v>82</v>
      </c>
      <c r="AF399" s="10">
        <v>42000</v>
      </c>
      <c r="AG399" s="7">
        <v>47269</v>
      </c>
      <c r="AH399" s="10">
        <v>74000</v>
      </c>
      <c r="AI399" s="10">
        <v>27500</v>
      </c>
      <c r="AJ399" s="11">
        <f t="shared" si="6"/>
        <v>32.290909090909089</v>
      </c>
      <c r="AK399" s="12">
        <f>IF(B399="","",OR(K399="Not in use",K399="Low use")+AND(N399&lt;&gt;"",N399&lt;&gt;"TBD")+AND(ISNUMBER(U399),U399&lt;=EDATE('Scoring Settings'!$B$4,'Scoring Settings'!$B$8))+AND(ISNUMBER(L399),L399&lt;='Scoring Settings'!$B$7))</f>
        <v>2</v>
      </c>
      <c r="AL399" s="5" t="s">
        <v>2217</v>
      </c>
      <c r="AM399" s="8" t="str">
        <f>IF(B399="","",IF(Z399="N","Easy",IF(OR(AND(ISNUMBER(AB399),AB399&gt;'Scoring Settings'!$B$11),AND(ISNUMBER(W399),W399&gt;'Scoring Settings'!$B$12),AND(ISNUMBER(M399),M399&lt;='Scoring Settings'!$B$13)),"High","Medium")))</f>
        <v>High</v>
      </c>
      <c r="AN399" s="5" t="s">
        <v>148</v>
      </c>
      <c r="AO399" s="7">
        <v>45016</v>
      </c>
      <c r="AP399" s="5" t="s">
        <v>98</v>
      </c>
      <c r="AQ399" s="29" t="s">
        <v>213</v>
      </c>
    </row>
    <row r="400" spans="1:43" hidden="1">
      <c r="A400" s="28">
        <v>128278</v>
      </c>
      <c r="B400" s="5" t="s">
        <v>1099</v>
      </c>
      <c r="C400" s="5" t="s">
        <v>699</v>
      </c>
      <c r="D400" s="5" t="s">
        <v>297</v>
      </c>
      <c r="E400" s="5" t="s">
        <v>68</v>
      </c>
      <c r="F400" s="5" t="s">
        <v>243</v>
      </c>
      <c r="G400" s="5" t="s">
        <v>104</v>
      </c>
      <c r="H400" s="5" t="s">
        <v>189</v>
      </c>
      <c r="I400" s="6">
        <v>13</v>
      </c>
      <c r="J400" s="7">
        <v>44218</v>
      </c>
      <c r="K400" s="8" t="str">
        <f>IF(B400="","",IF(AND(I400="",J400=""),"Unknown",IF(OR(AND(ISNUMBER(I400),I400=0),AND(ISNUMBER(J400),J400&lt;=EDATE('Scoring Settings'!$B$4,-'Scoring Settings'!$B$5))),"Not in use",IF(AND(ISNUMBER(I400),I400&lt;'Scoring Settings'!$B$6),"Low use","Active"))))</f>
        <v>Low use</v>
      </c>
      <c r="L400" s="5">
        <v>2</v>
      </c>
      <c r="M400" s="5">
        <v>3</v>
      </c>
      <c r="N400" s="5"/>
      <c r="O400" s="5" t="s">
        <v>191</v>
      </c>
      <c r="P400" s="5" t="s">
        <v>192</v>
      </c>
      <c r="Q400" s="9">
        <v>0</v>
      </c>
      <c r="R400" s="5" t="s">
        <v>193</v>
      </c>
      <c r="S400" s="5" t="s">
        <v>318</v>
      </c>
      <c r="T400" s="5" t="s">
        <v>195</v>
      </c>
      <c r="U400" s="7">
        <v>44742</v>
      </c>
      <c r="V400" s="5" t="s">
        <v>78</v>
      </c>
      <c r="W400" s="6">
        <v>600</v>
      </c>
      <c r="X400" s="5" t="s">
        <v>80</v>
      </c>
      <c r="Y400" s="9">
        <v>7</v>
      </c>
      <c r="Z400" s="5" t="s">
        <v>80</v>
      </c>
      <c r="AA400" s="5" t="s">
        <v>81</v>
      </c>
      <c r="AB400" s="9">
        <v>8</v>
      </c>
      <c r="AC400" s="5" t="s">
        <v>82</v>
      </c>
      <c r="AD400" s="5" t="s">
        <v>79</v>
      </c>
      <c r="AE400" s="5" t="s">
        <v>79</v>
      </c>
      <c r="AF400" s="10">
        <v>17000</v>
      </c>
      <c r="AG400" s="7">
        <v>48975</v>
      </c>
      <c r="AH400" s="10">
        <v>18000</v>
      </c>
      <c r="AI400" s="10">
        <v>11500</v>
      </c>
      <c r="AJ400" s="11">
        <f t="shared" si="6"/>
        <v>18.782608695652176</v>
      </c>
      <c r="AK400" s="12">
        <f>IF(B400="","",OR(K400="Not in use",K400="Low use")+AND(N400&lt;&gt;"",N400&lt;&gt;"TBD")+AND(ISNUMBER(U400),U400&lt;=EDATE('Scoring Settings'!$B$4,'Scoring Settings'!$B$8))+AND(ISNUMBER(L400),L400&lt;='Scoring Settings'!$B$7))</f>
        <v>2</v>
      </c>
      <c r="AL400" s="5" t="s">
        <v>96</v>
      </c>
      <c r="AM400" s="8" t="str">
        <f>IF(B400="","",IF(Z400="N","Easy",IF(OR(AND(ISNUMBER(AB400),AB400&gt;'Scoring Settings'!$B$11),AND(ISNUMBER(W400),W400&gt;'Scoring Settings'!$B$12),AND(ISNUMBER(M400),M400&lt;='Scoring Settings'!$B$13)),"High","Medium")))</f>
        <v>High</v>
      </c>
      <c r="AN400" s="5" t="s">
        <v>148</v>
      </c>
      <c r="AO400" s="7">
        <v>45230</v>
      </c>
      <c r="AP400" s="5" t="s">
        <v>197</v>
      </c>
      <c r="AQ400" s="29" t="s">
        <v>276</v>
      </c>
    </row>
    <row r="401" spans="1:43" hidden="1">
      <c r="A401" s="28">
        <v>81978</v>
      </c>
      <c r="B401" s="5" t="s">
        <v>1114</v>
      </c>
      <c r="C401" s="5" t="s">
        <v>380</v>
      </c>
      <c r="D401" s="5" t="s">
        <v>102</v>
      </c>
      <c r="E401" s="5" t="s">
        <v>68</v>
      </c>
      <c r="F401" s="5" t="s">
        <v>266</v>
      </c>
      <c r="G401" s="5" t="s">
        <v>104</v>
      </c>
      <c r="H401" s="5" t="s">
        <v>91</v>
      </c>
      <c r="I401" s="6">
        <v>198</v>
      </c>
      <c r="J401" s="7">
        <v>44300</v>
      </c>
      <c r="K401" s="8" t="str">
        <f>IF(B401="","",IF(AND(I401="",J401=""),"Unknown",IF(OR(AND(ISNUMBER(I401),I401=0),AND(ISNUMBER(J401),J401&lt;=EDATE('Scoring Settings'!$B$4,-'Scoring Settings'!$B$5))),"Not in use",IF(AND(ISNUMBER(I401),I401&lt;'Scoring Settings'!$B$6),"Low use","Active"))))</f>
        <v>Active</v>
      </c>
      <c r="L401" s="5">
        <v>4</v>
      </c>
      <c r="M401" s="5">
        <v>1</v>
      </c>
      <c r="N401" s="5" t="s">
        <v>1115</v>
      </c>
      <c r="O401" s="5" t="s">
        <v>73</v>
      </c>
      <c r="P401" s="5" t="s">
        <v>1116</v>
      </c>
      <c r="Q401" s="9">
        <v>5</v>
      </c>
      <c r="R401" s="5" t="s">
        <v>72</v>
      </c>
      <c r="S401" s="5" t="s">
        <v>336</v>
      </c>
      <c r="T401" s="5" t="s">
        <v>77</v>
      </c>
      <c r="U401" s="7">
        <v>45473</v>
      </c>
      <c r="V401" s="5" t="s">
        <v>135</v>
      </c>
      <c r="W401" s="6">
        <v>420</v>
      </c>
      <c r="X401" s="5" t="s">
        <v>79</v>
      </c>
      <c r="Y401" s="9">
        <v>2</v>
      </c>
      <c r="Z401" s="5" t="s">
        <v>80</v>
      </c>
      <c r="AA401" s="5" t="s">
        <v>147</v>
      </c>
      <c r="AB401" s="9">
        <v>86</v>
      </c>
      <c r="AC401" s="5" t="s">
        <v>80</v>
      </c>
      <c r="AD401" s="5" t="s">
        <v>82</v>
      </c>
      <c r="AE401" s="5" t="s">
        <v>80</v>
      </c>
      <c r="AF401" s="10">
        <v>345000</v>
      </c>
      <c r="AG401" s="7">
        <v>47695</v>
      </c>
      <c r="AH401" s="10">
        <v>614000</v>
      </c>
      <c r="AI401" s="10">
        <v>295500</v>
      </c>
      <c r="AJ401" s="11">
        <f t="shared" si="6"/>
        <v>24.934010152284262</v>
      </c>
      <c r="AK401" s="12">
        <f>IF(B401="","",OR(K401="Not in use",K401="Low use")+AND(N401&lt;&gt;"",N401&lt;&gt;"TBD")+AND(ISNUMBER(U401),U401&lt;=EDATE('Scoring Settings'!$B$4,'Scoring Settings'!$B$8))+AND(ISNUMBER(L401),L401&lt;='Scoring Settings'!$B$7))</f>
        <v>1</v>
      </c>
      <c r="AL401" s="5" t="s">
        <v>2217</v>
      </c>
      <c r="AM401" s="8" t="str">
        <f>IF(B401="","",IF(Z401="N","Easy",IF(OR(AND(ISNUMBER(AB401),AB401&gt;'Scoring Settings'!$B$11),AND(ISNUMBER(W401),W401&gt;'Scoring Settings'!$B$12),AND(ISNUMBER(M401),M401&lt;='Scoring Settings'!$B$13)),"High","Medium")))</f>
        <v>High</v>
      </c>
      <c r="AN401" s="5" t="s">
        <v>148</v>
      </c>
      <c r="AO401" s="7">
        <v>44985</v>
      </c>
      <c r="AP401" s="5" t="s">
        <v>197</v>
      </c>
      <c r="AQ401" s="29" t="s">
        <v>1117</v>
      </c>
    </row>
    <row r="402" spans="1:43" hidden="1">
      <c r="A402" s="28">
        <v>185801</v>
      </c>
      <c r="B402" s="5" t="s">
        <v>1125</v>
      </c>
      <c r="C402" s="5" t="s">
        <v>599</v>
      </c>
      <c r="D402" s="5" t="s">
        <v>67</v>
      </c>
      <c r="E402" s="5" t="s">
        <v>68</v>
      </c>
      <c r="F402" s="5" t="s">
        <v>249</v>
      </c>
      <c r="G402" s="5" t="s">
        <v>221</v>
      </c>
      <c r="H402" s="5" t="s">
        <v>129</v>
      </c>
      <c r="I402" s="6">
        <v>779</v>
      </c>
      <c r="J402" s="7">
        <v>44286</v>
      </c>
      <c r="K402" s="8" t="str">
        <f>IF(B402="","",IF(AND(I402="",J402=""),"Unknown",IF(OR(AND(ISNUMBER(I402),I402=0),AND(ISNUMBER(J402),J402&lt;=EDATE('Scoring Settings'!$B$4,-'Scoring Settings'!$B$5))),"Not in use",IF(AND(ISNUMBER(I402),I402&lt;'Scoring Settings'!$B$6),"Low use","Active"))))</f>
        <v>Active</v>
      </c>
      <c r="L402" s="5">
        <v>4</v>
      </c>
      <c r="M402" s="5">
        <v>2</v>
      </c>
      <c r="N402" s="5" t="s">
        <v>1126</v>
      </c>
      <c r="O402" s="5" t="s">
        <v>73</v>
      </c>
      <c r="P402" s="5" t="s">
        <v>1127</v>
      </c>
      <c r="Q402" s="9">
        <v>7</v>
      </c>
      <c r="R402" s="5" t="s">
        <v>107</v>
      </c>
      <c r="S402" s="5" t="s">
        <v>108</v>
      </c>
      <c r="T402" s="5" t="s">
        <v>109</v>
      </c>
      <c r="U402" s="7">
        <v>43655</v>
      </c>
      <c r="V402" s="5" t="s">
        <v>135</v>
      </c>
      <c r="W402" s="6">
        <v>1010</v>
      </c>
      <c r="X402" s="5" t="s">
        <v>80</v>
      </c>
      <c r="Y402" s="9">
        <v>10</v>
      </c>
      <c r="Z402" s="5" t="s">
        <v>79</v>
      </c>
      <c r="AA402" s="5" t="s">
        <v>110</v>
      </c>
      <c r="AB402" s="9">
        <v>14</v>
      </c>
      <c r="AC402" s="5" t="s">
        <v>82</v>
      </c>
      <c r="AD402" s="5" t="s">
        <v>82</v>
      </c>
      <c r="AE402" s="5" t="s">
        <v>82</v>
      </c>
      <c r="AF402" s="10">
        <v>160000</v>
      </c>
      <c r="AG402" s="7">
        <v>46996</v>
      </c>
      <c r="AH402" s="10">
        <v>213000</v>
      </c>
      <c r="AI402" s="10">
        <v>116000</v>
      </c>
      <c r="AJ402" s="11">
        <f t="shared" si="6"/>
        <v>22.03448275862069</v>
      </c>
      <c r="AK402" s="12">
        <f>IF(B402="","",OR(K402="Not in use",K402="Low use")+AND(N402&lt;&gt;"",N402&lt;&gt;"TBD")+AND(ISNUMBER(U402),U402&lt;=EDATE('Scoring Settings'!$B$4,'Scoring Settings'!$B$8))+AND(ISNUMBER(L402),L402&lt;='Scoring Settings'!$B$7))</f>
        <v>2</v>
      </c>
      <c r="AL402" s="5" t="s">
        <v>2217</v>
      </c>
      <c r="AM402" s="8" t="str">
        <f>IF(B402="","",IF(Z402="N","Easy",IF(OR(AND(ISNUMBER(AB402),AB402&gt;'Scoring Settings'!$B$11),AND(ISNUMBER(W402),W402&gt;'Scoring Settings'!$B$12),AND(ISNUMBER(M402),M402&lt;='Scoring Settings'!$B$13)),"High","Medium")))</f>
        <v>Easy</v>
      </c>
      <c r="AN402" s="5" t="s">
        <v>148</v>
      </c>
      <c r="AO402" s="7">
        <v>44957</v>
      </c>
      <c r="AP402" s="5" t="s">
        <v>98</v>
      </c>
      <c r="AQ402" s="29" t="s">
        <v>149</v>
      </c>
    </row>
    <row r="403" spans="1:43" hidden="1">
      <c r="A403" s="28">
        <v>43378</v>
      </c>
      <c r="B403" s="5" t="s">
        <v>1128</v>
      </c>
      <c r="C403" s="5" t="s">
        <v>338</v>
      </c>
      <c r="D403" s="5" t="s">
        <v>139</v>
      </c>
      <c r="E403" s="5" t="s">
        <v>298</v>
      </c>
      <c r="F403" s="5" t="s">
        <v>302</v>
      </c>
      <c r="G403" s="5" t="s">
        <v>128</v>
      </c>
      <c r="H403" s="5" t="s">
        <v>91</v>
      </c>
      <c r="I403" s="6">
        <v>25</v>
      </c>
      <c r="J403" s="7">
        <v>44294</v>
      </c>
      <c r="K403" s="8" t="str">
        <f>IF(B403="","",IF(AND(I403="",J403=""),"Unknown",IF(OR(AND(ISNUMBER(I403),I403=0),AND(ISNUMBER(J403),J403&lt;=EDATE('Scoring Settings'!$B$4,-'Scoring Settings'!$B$5))),"Not in use",IF(AND(ISNUMBER(I403),I403&lt;'Scoring Settings'!$B$6),"Low use","Active"))))</f>
        <v>Active</v>
      </c>
      <c r="L403" s="5">
        <v>2</v>
      </c>
      <c r="M403" s="5">
        <v>4</v>
      </c>
      <c r="N403" s="5" t="s">
        <v>377</v>
      </c>
      <c r="O403" s="5" t="s">
        <v>73</v>
      </c>
      <c r="P403" s="5" t="s">
        <v>1129</v>
      </c>
      <c r="Q403" s="9">
        <v>1</v>
      </c>
      <c r="R403" s="5" t="s">
        <v>166</v>
      </c>
      <c r="S403" s="5" t="s">
        <v>308</v>
      </c>
      <c r="T403" s="5" t="s">
        <v>122</v>
      </c>
      <c r="U403" s="7">
        <v>45209</v>
      </c>
      <c r="V403" s="5" t="s">
        <v>135</v>
      </c>
      <c r="W403" s="6">
        <v>20</v>
      </c>
      <c r="X403" s="5" t="s">
        <v>80</v>
      </c>
      <c r="Y403" s="9">
        <v>10</v>
      </c>
      <c r="Z403" s="5" t="s">
        <v>79</v>
      </c>
      <c r="AA403" s="5" t="s">
        <v>110</v>
      </c>
      <c r="AB403" s="9">
        <v>1</v>
      </c>
      <c r="AC403" s="5" t="s">
        <v>79</v>
      </c>
      <c r="AD403" s="5" t="s">
        <v>82</v>
      </c>
      <c r="AE403" s="5" t="s">
        <v>82</v>
      </c>
      <c r="AF403" s="10">
        <v>40500</v>
      </c>
      <c r="AG403" s="7">
        <v>48334</v>
      </c>
      <c r="AH403" s="10">
        <v>47000</v>
      </c>
      <c r="AI403" s="10">
        <v>26500</v>
      </c>
      <c r="AJ403" s="11">
        <f t="shared" si="6"/>
        <v>21.283018867924529</v>
      </c>
      <c r="AK403" s="12">
        <f>IF(B403="","",OR(K403="Not in use",K403="Low use")+AND(N403&lt;&gt;"",N403&lt;&gt;"TBD")+AND(ISNUMBER(U403),U403&lt;=EDATE('Scoring Settings'!$B$4,'Scoring Settings'!$B$8))+AND(ISNUMBER(L403),L403&lt;='Scoring Settings'!$B$7))</f>
        <v>2</v>
      </c>
      <c r="AL403" s="5" t="s">
        <v>2217</v>
      </c>
      <c r="AM403" s="8" t="str">
        <f>IF(B403="","",IF(Z403="N","Easy",IF(OR(AND(ISNUMBER(AB403),AB403&gt;'Scoring Settings'!$B$11),AND(ISNUMBER(W403),W403&gt;'Scoring Settings'!$B$12),AND(ISNUMBER(M403),M403&lt;='Scoring Settings'!$B$13)),"High","Medium")))</f>
        <v>Easy</v>
      </c>
      <c r="AN403" s="5" t="s">
        <v>148</v>
      </c>
      <c r="AO403" s="7">
        <v>45077</v>
      </c>
      <c r="AP403" s="5" t="s">
        <v>98</v>
      </c>
      <c r="AQ403" s="29" t="s">
        <v>136</v>
      </c>
    </row>
    <row r="404" spans="1:43" hidden="1">
      <c r="A404" s="28">
        <v>107922</v>
      </c>
      <c r="B404" s="5" t="s">
        <v>1155</v>
      </c>
      <c r="C404" s="5" t="s">
        <v>293</v>
      </c>
      <c r="D404" s="5" t="s">
        <v>162</v>
      </c>
      <c r="E404" s="5" t="s">
        <v>298</v>
      </c>
      <c r="F404" s="5" t="s">
        <v>103</v>
      </c>
      <c r="G404" s="5" t="s">
        <v>271</v>
      </c>
      <c r="H404" s="5" t="s">
        <v>71</v>
      </c>
      <c r="I404" s="6">
        <v>10</v>
      </c>
      <c r="J404" s="7">
        <v>44296</v>
      </c>
      <c r="K404" s="8" t="str">
        <f>IF(B404="","",IF(AND(I404="",J404=""),"Unknown",IF(OR(AND(ISNUMBER(I404),I404=0),AND(ISNUMBER(J404),J404&lt;=EDATE('Scoring Settings'!$B$4,-'Scoring Settings'!$B$5))),"Not in use",IF(AND(ISNUMBER(I404),I404&lt;'Scoring Settings'!$B$6),"Low use","Active"))))</f>
        <v>Low use</v>
      </c>
      <c r="L404" s="5">
        <v>3</v>
      </c>
      <c r="M404" s="5">
        <v>2</v>
      </c>
      <c r="N404" s="5" t="s">
        <v>164</v>
      </c>
      <c r="O404" s="5" t="s">
        <v>73</v>
      </c>
      <c r="P404" s="5" t="s">
        <v>1156</v>
      </c>
      <c r="Q404" s="9">
        <v>2</v>
      </c>
      <c r="R404" s="5" t="s">
        <v>107</v>
      </c>
      <c r="S404" s="5" t="s">
        <v>108</v>
      </c>
      <c r="T404" s="5" t="s">
        <v>109</v>
      </c>
      <c r="U404" s="7">
        <v>43655</v>
      </c>
      <c r="V404" s="5" t="s">
        <v>135</v>
      </c>
      <c r="W404" s="6">
        <v>60</v>
      </c>
      <c r="X404" s="5" t="s">
        <v>79</v>
      </c>
      <c r="Y404" s="9">
        <v>1</v>
      </c>
      <c r="Z404" s="5" t="s">
        <v>79</v>
      </c>
      <c r="AA404" s="5" t="s">
        <v>110</v>
      </c>
      <c r="AB404" s="9">
        <v>23</v>
      </c>
      <c r="AC404" s="5" t="s">
        <v>82</v>
      </c>
      <c r="AD404" s="5" t="s">
        <v>82</v>
      </c>
      <c r="AE404" s="5" t="s">
        <v>82</v>
      </c>
      <c r="AF404" s="10">
        <v>70000</v>
      </c>
      <c r="AG404" s="7">
        <v>48610</v>
      </c>
      <c r="AH404" s="10">
        <v>124500</v>
      </c>
      <c r="AI404" s="10">
        <v>64500</v>
      </c>
      <c r="AJ404" s="11">
        <f t="shared" si="6"/>
        <v>23.162790697674421</v>
      </c>
      <c r="AK404" s="12">
        <f>IF(B404="","",OR(K404="Not in use",K404="Low use")+AND(N404&lt;&gt;"",N404&lt;&gt;"TBD")+AND(ISNUMBER(U404),U404&lt;=EDATE('Scoring Settings'!$B$4,'Scoring Settings'!$B$8))+AND(ISNUMBER(L404),L404&lt;='Scoring Settings'!$B$7))</f>
        <v>3</v>
      </c>
      <c r="AL404" s="5" t="s">
        <v>223</v>
      </c>
      <c r="AM404" s="8" t="str">
        <f>IF(B404="","",IF(Z404="N","Easy",IF(OR(AND(ISNUMBER(AB404),AB404&gt;'Scoring Settings'!$B$11),AND(ISNUMBER(W404),W404&gt;'Scoring Settings'!$B$12),AND(ISNUMBER(M404),M404&lt;='Scoring Settings'!$B$13)),"High","Medium")))</f>
        <v>Easy</v>
      </c>
      <c r="AN404" s="5" t="s">
        <v>148</v>
      </c>
      <c r="AO404" s="7">
        <v>45199</v>
      </c>
      <c r="AP404" s="5" t="s">
        <v>98</v>
      </c>
      <c r="AQ404" s="29" t="s">
        <v>136</v>
      </c>
    </row>
    <row r="405" spans="1:43" hidden="1">
      <c r="A405" s="28">
        <v>39744</v>
      </c>
      <c r="B405" s="5" t="s">
        <v>1162</v>
      </c>
      <c r="C405" s="5" t="s">
        <v>380</v>
      </c>
      <c r="D405" s="5" t="s">
        <v>102</v>
      </c>
      <c r="E405" s="5" t="s">
        <v>298</v>
      </c>
      <c r="F405" s="5" t="s">
        <v>178</v>
      </c>
      <c r="G405" s="5" t="s">
        <v>153</v>
      </c>
      <c r="H405" s="5" t="s">
        <v>91</v>
      </c>
      <c r="I405" s="6">
        <v>9</v>
      </c>
      <c r="J405" s="7">
        <v>44296</v>
      </c>
      <c r="K405" s="8" t="str">
        <f>IF(B405="","",IF(AND(I405="",J405=""),"Unknown",IF(OR(AND(ISNUMBER(I405),I405=0),AND(ISNUMBER(J405),J405&lt;=EDATE('Scoring Settings'!$B$4,-'Scoring Settings'!$B$5))),"Not in use",IF(AND(ISNUMBER(I405),I405&lt;'Scoring Settings'!$B$6),"Low use","Active"))))</f>
        <v>Low use</v>
      </c>
      <c r="L405" s="5">
        <v>2</v>
      </c>
      <c r="M405" s="5">
        <v>3</v>
      </c>
      <c r="N405" s="5" t="s">
        <v>1163</v>
      </c>
      <c r="O405" s="5" t="s">
        <v>191</v>
      </c>
      <c r="P405" s="5" t="s">
        <v>192</v>
      </c>
      <c r="Q405" s="9">
        <v>0</v>
      </c>
      <c r="R405" s="5" t="s">
        <v>193</v>
      </c>
      <c r="S405" s="5" t="s">
        <v>318</v>
      </c>
      <c r="T405" s="5" t="s">
        <v>195</v>
      </c>
      <c r="U405" s="7">
        <v>44742</v>
      </c>
      <c r="V405" s="5" t="s">
        <v>78</v>
      </c>
      <c r="W405" s="6">
        <v>78</v>
      </c>
      <c r="X405" s="5" t="s">
        <v>80</v>
      </c>
      <c r="Y405" s="9">
        <v>7</v>
      </c>
      <c r="Z405" s="5" t="s">
        <v>80</v>
      </c>
      <c r="AA405" s="5" t="s">
        <v>205</v>
      </c>
      <c r="AB405" s="9">
        <v>3</v>
      </c>
      <c r="AC405" s="5" t="s">
        <v>80</v>
      </c>
      <c r="AD405" s="5" t="s">
        <v>79</v>
      </c>
      <c r="AE405" s="5" t="s">
        <v>80</v>
      </c>
      <c r="AF405" s="10">
        <v>26000</v>
      </c>
      <c r="AG405" s="7">
        <v>46630</v>
      </c>
      <c r="AH405" s="10">
        <v>18000</v>
      </c>
      <c r="AI405" s="10">
        <v>20500</v>
      </c>
      <c r="AJ405" s="11">
        <f t="shared" si="6"/>
        <v>10.536585365853659</v>
      </c>
      <c r="AK405" s="12">
        <f>IF(B405="","",OR(K405="Not in use",K405="Low use")+AND(N405&lt;&gt;"",N405&lt;&gt;"TBD")+AND(ISNUMBER(U405),U405&lt;=EDATE('Scoring Settings'!$B$4,'Scoring Settings'!$B$8))+AND(ISNUMBER(L405),L405&lt;='Scoring Settings'!$B$7))</f>
        <v>3</v>
      </c>
      <c r="AL405" s="5" t="s">
        <v>2217</v>
      </c>
      <c r="AM405" s="8" t="str">
        <f>IF(B405="","",IF(Z405="N","Easy",IF(OR(AND(ISNUMBER(AB405),AB405&gt;'Scoring Settings'!$B$11),AND(ISNUMBER(W405),W405&gt;'Scoring Settings'!$B$12),AND(ISNUMBER(M405),M405&lt;='Scoring Settings'!$B$13)),"High","Medium")))</f>
        <v>Medium</v>
      </c>
      <c r="AN405" s="5" t="s">
        <v>148</v>
      </c>
      <c r="AO405" s="7">
        <v>45138</v>
      </c>
      <c r="AP405" s="5" t="s">
        <v>98</v>
      </c>
      <c r="AQ405" s="29" t="s">
        <v>136</v>
      </c>
    </row>
    <row r="406" spans="1:43" hidden="1">
      <c r="A406" s="28">
        <v>19237</v>
      </c>
      <c r="B406" s="5" t="s">
        <v>1169</v>
      </c>
      <c r="C406" s="5" t="s">
        <v>464</v>
      </c>
      <c r="D406" s="5" t="s">
        <v>88</v>
      </c>
      <c r="E406" s="5" t="s">
        <v>68</v>
      </c>
      <c r="F406" s="5" t="s">
        <v>302</v>
      </c>
      <c r="G406" s="5" t="s">
        <v>404</v>
      </c>
      <c r="H406" s="5" t="s">
        <v>105</v>
      </c>
      <c r="I406" s="6">
        <v>11</v>
      </c>
      <c r="J406" s="7">
        <v>44285</v>
      </c>
      <c r="K406" s="8" t="str">
        <f>IF(B406="","",IF(AND(I406="",J406=""),"Unknown",IF(OR(AND(ISNUMBER(I406),I406=0),AND(ISNUMBER(J406),J406&lt;=EDATE('Scoring Settings'!$B$4,-'Scoring Settings'!$B$5))),"Not in use",IF(AND(ISNUMBER(I406),I406&lt;'Scoring Settings'!$B$6),"Low use","Active"))))</f>
        <v>Low use</v>
      </c>
      <c r="L406" s="5">
        <v>5</v>
      </c>
      <c r="M406" s="5">
        <v>2</v>
      </c>
      <c r="N406" s="5" t="s">
        <v>433</v>
      </c>
      <c r="O406" s="5" t="s">
        <v>130</v>
      </c>
      <c r="P406" s="5" t="s">
        <v>707</v>
      </c>
      <c r="Q406" s="9">
        <v>2</v>
      </c>
      <c r="R406" s="5" t="s">
        <v>352</v>
      </c>
      <c r="S406" s="5" t="s">
        <v>353</v>
      </c>
      <c r="T406" s="5" t="s">
        <v>195</v>
      </c>
      <c r="U406" s="7">
        <v>47127</v>
      </c>
      <c r="V406" s="5" t="s">
        <v>135</v>
      </c>
      <c r="W406" s="6">
        <v>3</v>
      </c>
      <c r="X406" s="5" t="s">
        <v>79</v>
      </c>
      <c r="Y406" s="9">
        <v>7</v>
      </c>
      <c r="Z406" s="5" t="s">
        <v>79</v>
      </c>
      <c r="AA406" s="5" t="s">
        <v>110</v>
      </c>
      <c r="AB406" s="9">
        <v>27</v>
      </c>
      <c r="AC406" s="5" t="s">
        <v>80</v>
      </c>
      <c r="AD406" s="5" t="s">
        <v>80</v>
      </c>
      <c r="AE406" s="5" t="s">
        <v>82</v>
      </c>
      <c r="AF406" s="10">
        <v>38000</v>
      </c>
      <c r="AG406" s="7">
        <v>45991</v>
      </c>
      <c r="AH406" s="10">
        <v>29500</v>
      </c>
      <c r="AI406" s="10">
        <v>27500</v>
      </c>
      <c r="AJ406" s="11">
        <f t="shared" si="6"/>
        <v>12.872727272727273</v>
      </c>
      <c r="AK406" s="12">
        <f>IF(B406="","",OR(K406="Not in use",K406="Low use")+AND(N406&lt;&gt;"",N406&lt;&gt;"TBD")+AND(ISNUMBER(U406),U406&lt;=EDATE('Scoring Settings'!$B$4,'Scoring Settings'!$B$8))+AND(ISNUMBER(L406),L406&lt;='Scoring Settings'!$B$7))</f>
        <v>2</v>
      </c>
      <c r="AL406" s="5" t="s">
        <v>2217</v>
      </c>
      <c r="AM406" s="8" t="str">
        <f>IF(B406="","",IF(Z406="N","Easy",IF(OR(AND(ISNUMBER(AB406),AB406&gt;'Scoring Settings'!$B$11),AND(ISNUMBER(W406),W406&gt;'Scoring Settings'!$B$12),AND(ISNUMBER(M406),M406&lt;='Scoring Settings'!$B$13)),"High","Medium")))</f>
        <v>Easy</v>
      </c>
      <c r="AN406" s="5" t="s">
        <v>148</v>
      </c>
      <c r="AO406" s="7">
        <v>45230</v>
      </c>
      <c r="AP406" s="5" t="s">
        <v>98</v>
      </c>
      <c r="AQ406" s="29" t="s">
        <v>213</v>
      </c>
    </row>
    <row r="407" spans="1:43" ht="42.75" hidden="1">
      <c r="A407" s="28">
        <v>129999</v>
      </c>
      <c r="B407" s="5" t="s">
        <v>1182</v>
      </c>
      <c r="C407" s="5" t="s">
        <v>325</v>
      </c>
      <c r="D407" s="5" t="s">
        <v>139</v>
      </c>
      <c r="E407" s="5" t="s">
        <v>311</v>
      </c>
      <c r="F407" s="5" t="s">
        <v>157</v>
      </c>
      <c r="G407" s="5" t="s">
        <v>221</v>
      </c>
      <c r="H407" s="5" t="s">
        <v>118</v>
      </c>
      <c r="I407" s="6">
        <v>0</v>
      </c>
      <c r="J407" s="7">
        <v>44055</v>
      </c>
      <c r="K407" s="8" t="str">
        <f>IF(B407="","",IF(AND(I407="",J407=""),"Unknown",IF(OR(AND(ISNUMBER(I407),I407=0),AND(ISNUMBER(J407),J407&lt;=EDATE('Scoring Settings'!$B$4,-'Scoring Settings'!$B$5))),"Not in use",IF(AND(ISNUMBER(I407),I407&lt;'Scoring Settings'!$B$6),"Low use","Active"))))</f>
        <v>Not in use</v>
      </c>
      <c r="L407" s="5">
        <v>3</v>
      </c>
      <c r="M407" s="5">
        <v>2</v>
      </c>
      <c r="N407" s="5"/>
      <c r="O407" s="5" t="s">
        <v>73</v>
      </c>
      <c r="P407" s="5" t="s">
        <v>1183</v>
      </c>
      <c r="Q407" s="9">
        <v>7</v>
      </c>
      <c r="R407" s="5" t="s">
        <v>239</v>
      </c>
      <c r="S407" s="5" t="s">
        <v>240</v>
      </c>
      <c r="T407" s="5" t="s">
        <v>109</v>
      </c>
      <c r="U407" s="7">
        <v>44316</v>
      </c>
      <c r="V407" s="5" t="s">
        <v>135</v>
      </c>
      <c r="W407" s="6">
        <v>110</v>
      </c>
      <c r="X407" s="5" t="s">
        <v>79</v>
      </c>
      <c r="Y407" s="9">
        <v>7</v>
      </c>
      <c r="Z407" s="5" t="s">
        <v>79</v>
      </c>
      <c r="AA407" s="5" t="s">
        <v>110</v>
      </c>
      <c r="AB407" s="9">
        <v>12</v>
      </c>
      <c r="AC407" s="5" t="s">
        <v>82</v>
      </c>
      <c r="AD407" s="5" t="s">
        <v>82</v>
      </c>
      <c r="AE407" s="5" t="s">
        <v>80</v>
      </c>
      <c r="AF407" s="10">
        <v>130000</v>
      </c>
      <c r="AG407" s="7">
        <v>49674</v>
      </c>
      <c r="AH407" s="10">
        <v>195500</v>
      </c>
      <c r="AI407" s="10">
        <v>113500</v>
      </c>
      <c r="AJ407" s="11">
        <f t="shared" si="6"/>
        <v>20.669603524229075</v>
      </c>
      <c r="AK407" s="12">
        <f>IF(B407="","",OR(K407="Not in use",K407="Low use")+AND(N407&lt;&gt;"",N407&lt;&gt;"TBD")+AND(ISNUMBER(U407),U407&lt;=EDATE('Scoring Settings'!$B$4,'Scoring Settings'!$B$8))+AND(ISNUMBER(L407),L407&lt;='Scoring Settings'!$B$7))</f>
        <v>2</v>
      </c>
      <c r="AL407" s="5" t="s">
        <v>223</v>
      </c>
      <c r="AM407" s="8" t="str">
        <f>IF(B407="","",IF(Z407="N","Easy",IF(OR(AND(ISNUMBER(AB407),AB407&gt;'Scoring Settings'!$B$11),AND(ISNUMBER(W407),W407&gt;'Scoring Settings'!$B$12),AND(ISNUMBER(M407),M407&lt;='Scoring Settings'!$B$13)),"High","Medium")))</f>
        <v>Easy</v>
      </c>
      <c r="AN407" s="5" t="s">
        <v>148</v>
      </c>
      <c r="AO407" s="7">
        <v>45046</v>
      </c>
      <c r="AP407" s="5" t="s">
        <v>98</v>
      </c>
      <c r="AQ407" s="29" t="s">
        <v>364</v>
      </c>
    </row>
    <row r="408" spans="1:43" ht="42.75" hidden="1">
      <c r="A408" s="28">
        <v>164984</v>
      </c>
      <c r="B408" s="5" t="s">
        <v>1195</v>
      </c>
      <c r="C408" s="5" t="s">
        <v>287</v>
      </c>
      <c r="D408" s="5" t="s">
        <v>162</v>
      </c>
      <c r="E408" s="5" t="s">
        <v>68</v>
      </c>
      <c r="F408" s="5" t="s">
        <v>346</v>
      </c>
      <c r="G408" s="5" t="s">
        <v>226</v>
      </c>
      <c r="H408" s="5" t="s">
        <v>71</v>
      </c>
      <c r="I408" s="6">
        <v>274</v>
      </c>
      <c r="J408" s="7">
        <v>44299</v>
      </c>
      <c r="K408" s="8" t="str">
        <f>IF(B408="","",IF(AND(I408="",J408=""),"Unknown",IF(OR(AND(ISNUMBER(I408),I408=0),AND(ISNUMBER(J408),J408&lt;=EDATE('Scoring Settings'!$B$4,-'Scoring Settings'!$B$5))),"Not in use",IF(AND(ISNUMBER(I408),I408&lt;'Scoring Settings'!$B$6),"Low use","Active"))))</f>
        <v>Active</v>
      </c>
      <c r="L408" s="5">
        <v>4</v>
      </c>
      <c r="M408" s="5">
        <v>1</v>
      </c>
      <c r="N408" s="5" t="s">
        <v>289</v>
      </c>
      <c r="O408" s="5" t="s">
        <v>130</v>
      </c>
      <c r="P408" s="5" t="s">
        <v>1196</v>
      </c>
      <c r="Q408" s="9">
        <v>1</v>
      </c>
      <c r="R408" s="5" t="s">
        <v>358</v>
      </c>
      <c r="S408" s="5" t="s">
        <v>133</v>
      </c>
      <c r="T408" s="5" t="s">
        <v>168</v>
      </c>
      <c r="U408" s="7">
        <v>43555</v>
      </c>
      <c r="V408" s="5" t="s">
        <v>95</v>
      </c>
      <c r="W408" s="6">
        <v>170</v>
      </c>
      <c r="X408" s="5" t="s">
        <v>79</v>
      </c>
      <c r="Y408" s="9">
        <v>5</v>
      </c>
      <c r="Z408" s="5" t="s">
        <v>79</v>
      </c>
      <c r="AA408" s="5" t="s">
        <v>110</v>
      </c>
      <c r="AB408" s="9">
        <v>74</v>
      </c>
      <c r="AC408" s="5" t="s">
        <v>82</v>
      </c>
      <c r="AD408" s="5" t="s">
        <v>80</v>
      </c>
      <c r="AE408" s="5" t="s">
        <v>82</v>
      </c>
      <c r="AF408" s="10">
        <v>40000</v>
      </c>
      <c r="AG408" s="7">
        <v>47422</v>
      </c>
      <c r="AH408" s="10">
        <v>138000</v>
      </c>
      <c r="AI408" s="10">
        <v>26500</v>
      </c>
      <c r="AJ408" s="11">
        <f t="shared" si="6"/>
        <v>62.490566037735846</v>
      </c>
      <c r="AK408" s="12">
        <f>IF(B408="","",OR(K408="Not in use",K408="Low use")+AND(N408&lt;&gt;"",N408&lt;&gt;"TBD")+AND(ISNUMBER(U408),U408&lt;=EDATE('Scoring Settings'!$B$4,'Scoring Settings'!$B$8))+AND(ISNUMBER(L408),L408&lt;='Scoring Settings'!$B$7))</f>
        <v>2</v>
      </c>
      <c r="AL408" s="5" t="s">
        <v>2217</v>
      </c>
      <c r="AM408" s="8" t="str">
        <f>IF(B408="","",IF(Z408="N","Easy",IF(OR(AND(ISNUMBER(AB408),AB408&gt;'Scoring Settings'!$B$11),AND(ISNUMBER(W408),W408&gt;'Scoring Settings'!$B$12),AND(ISNUMBER(M408),M408&lt;='Scoring Settings'!$B$13)),"High","Medium")))</f>
        <v>Easy</v>
      </c>
      <c r="AN408" s="5" t="s">
        <v>148</v>
      </c>
      <c r="AO408" s="7">
        <v>45138</v>
      </c>
      <c r="AP408" s="5" t="s">
        <v>197</v>
      </c>
      <c r="AQ408" s="29" t="s">
        <v>1197</v>
      </c>
    </row>
    <row r="409" spans="1:43" hidden="1">
      <c r="A409" s="28">
        <v>135259</v>
      </c>
      <c r="B409" s="5" t="s">
        <v>1202</v>
      </c>
      <c r="C409" s="5" t="s">
        <v>409</v>
      </c>
      <c r="D409" s="5" t="s">
        <v>115</v>
      </c>
      <c r="E409" s="5" t="s">
        <v>68</v>
      </c>
      <c r="F409" s="5" t="s">
        <v>288</v>
      </c>
      <c r="G409" s="5" t="s">
        <v>210</v>
      </c>
      <c r="H409" s="5" t="s">
        <v>71</v>
      </c>
      <c r="I409" s="6">
        <v>0</v>
      </c>
      <c r="J409" s="7">
        <v>44187</v>
      </c>
      <c r="K409" s="8" t="str">
        <f>IF(B409="","",IF(AND(I409="",J409=""),"Unknown",IF(OR(AND(ISNUMBER(I409),I409=0),AND(ISNUMBER(J409),J409&lt;=EDATE('Scoring Settings'!$B$4,-'Scoring Settings'!$B$5))),"Not in use",IF(AND(ISNUMBER(I409),I409&lt;'Scoring Settings'!$B$6),"Low use","Active"))))</f>
        <v>Not in use</v>
      </c>
      <c r="L409" s="5">
        <v>1</v>
      </c>
      <c r="M409" s="5">
        <v>3</v>
      </c>
      <c r="N409" s="5"/>
      <c r="O409" s="5" t="s">
        <v>73</v>
      </c>
      <c r="P409" s="5" t="s">
        <v>1203</v>
      </c>
      <c r="Q409" s="9">
        <v>1</v>
      </c>
      <c r="R409" s="5" t="s">
        <v>182</v>
      </c>
      <c r="S409" s="5" t="s">
        <v>183</v>
      </c>
      <c r="T409" s="5" t="s">
        <v>109</v>
      </c>
      <c r="U409" s="7">
        <v>42855</v>
      </c>
      <c r="V409" s="5" t="s">
        <v>95</v>
      </c>
      <c r="W409" s="6">
        <v>150</v>
      </c>
      <c r="X409" s="5" t="s">
        <v>79</v>
      </c>
      <c r="Y409" s="9">
        <v>3</v>
      </c>
      <c r="Z409" s="5" t="s">
        <v>79</v>
      </c>
      <c r="AA409" s="5" t="s">
        <v>110</v>
      </c>
      <c r="AB409" s="9">
        <v>1</v>
      </c>
      <c r="AC409" s="5" t="s">
        <v>82</v>
      </c>
      <c r="AD409" s="5" t="s">
        <v>80</v>
      </c>
      <c r="AE409" s="5" t="s">
        <v>82</v>
      </c>
      <c r="AF409" s="10">
        <v>27000</v>
      </c>
      <c r="AG409" s="7">
        <v>49187</v>
      </c>
      <c r="AH409" s="10">
        <v>24500</v>
      </c>
      <c r="AI409" s="10">
        <v>22500</v>
      </c>
      <c r="AJ409" s="11">
        <f t="shared" si="6"/>
        <v>13.066666666666666</v>
      </c>
      <c r="AK409" s="12">
        <f>IF(B409="","",OR(K409="Not in use",K409="Low use")+AND(N409&lt;&gt;"",N409&lt;&gt;"TBD")+AND(ISNUMBER(U409),U409&lt;=EDATE('Scoring Settings'!$B$4,'Scoring Settings'!$B$8))+AND(ISNUMBER(L409),L409&lt;='Scoring Settings'!$B$7))</f>
        <v>3</v>
      </c>
      <c r="AL409" s="5" t="s">
        <v>223</v>
      </c>
      <c r="AM409" s="8" t="str">
        <f>IF(B409="","",IF(Z409="N","Easy",IF(OR(AND(ISNUMBER(AB409),AB409&gt;'Scoring Settings'!$B$11),AND(ISNUMBER(W409),W409&gt;'Scoring Settings'!$B$12),AND(ISNUMBER(M409),M409&lt;='Scoring Settings'!$B$13)),"High","Medium")))</f>
        <v>Easy</v>
      </c>
      <c r="AN409" s="5" t="s">
        <v>148</v>
      </c>
      <c r="AO409" s="7">
        <v>45046</v>
      </c>
      <c r="AP409" s="5" t="s">
        <v>98</v>
      </c>
      <c r="AQ409" s="29" t="s">
        <v>213</v>
      </c>
    </row>
    <row r="410" spans="1:43" ht="42.75" hidden="1">
      <c r="A410" s="28">
        <v>66679</v>
      </c>
      <c r="B410" s="5" t="s">
        <v>1214</v>
      </c>
      <c r="C410" s="5" t="s">
        <v>242</v>
      </c>
      <c r="D410" s="5" t="s">
        <v>115</v>
      </c>
      <c r="E410" s="5" t="s">
        <v>311</v>
      </c>
      <c r="F410" s="5" t="s">
        <v>396</v>
      </c>
      <c r="G410" s="5" t="s">
        <v>179</v>
      </c>
      <c r="H410" s="5" t="s">
        <v>118</v>
      </c>
      <c r="I410" s="6">
        <v>109</v>
      </c>
      <c r="J410" s="7">
        <v>44295</v>
      </c>
      <c r="K410" s="8" t="str">
        <f>IF(B410="","",IF(AND(I410="",J410=""),"Unknown",IF(OR(AND(ISNUMBER(I410),I410=0),AND(ISNUMBER(J410),J410&lt;=EDATE('Scoring Settings'!$B$4,-'Scoring Settings'!$B$5))),"Not in use",IF(AND(ISNUMBER(I410),I410&lt;'Scoring Settings'!$B$6),"Low use","Active"))))</f>
        <v>Active</v>
      </c>
      <c r="L410" s="5">
        <v>2</v>
      </c>
      <c r="M410" s="5">
        <v>3</v>
      </c>
      <c r="N410" s="5" t="s">
        <v>1008</v>
      </c>
      <c r="O410" s="5" t="s">
        <v>73</v>
      </c>
      <c r="P410" s="5" t="s">
        <v>1215</v>
      </c>
      <c r="Q410" s="9">
        <v>4</v>
      </c>
      <c r="R410" s="5" t="s">
        <v>478</v>
      </c>
      <c r="S410" s="5" t="s">
        <v>479</v>
      </c>
      <c r="T410" s="5" t="s">
        <v>77</v>
      </c>
      <c r="U410" s="7">
        <v>43844</v>
      </c>
      <c r="V410" s="5" t="s">
        <v>135</v>
      </c>
      <c r="W410" s="6">
        <v>34</v>
      </c>
      <c r="X410" s="5" t="s">
        <v>80</v>
      </c>
      <c r="Y410" s="9">
        <v>10</v>
      </c>
      <c r="Z410" s="5" t="s">
        <v>79</v>
      </c>
      <c r="AA410" s="5" t="s">
        <v>110</v>
      </c>
      <c r="AB410" s="9">
        <v>2</v>
      </c>
      <c r="AC410" s="5" t="s">
        <v>80</v>
      </c>
      <c r="AD410" s="5" t="s">
        <v>82</v>
      </c>
      <c r="AE410" s="5" t="s">
        <v>82</v>
      </c>
      <c r="AF410" s="10">
        <v>65000</v>
      </c>
      <c r="AG410" s="7">
        <v>45869</v>
      </c>
      <c r="AH410" s="10">
        <v>24000</v>
      </c>
      <c r="AI410" s="10">
        <v>54000</v>
      </c>
      <c r="AJ410" s="11">
        <f t="shared" si="6"/>
        <v>5.333333333333333</v>
      </c>
      <c r="AK410" s="12">
        <f>IF(B410="","",OR(K410="Not in use",K410="Low use")+AND(N410&lt;&gt;"",N410&lt;&gt;"TBD")+AND(ISNUMBER(U410),U410&lt;=EDATE('Scoring Settings'!$B$4,'Scoring Settings'!$B$8))+AND(ISNUMBER(L410),L410&lt;='Scoring Settings'!$B$7))</f>
        <v>3</v>
      </c>
      <c r="AL410" s="5" t="s">
        <v>2217</v>
      </c>
      <c r="AM410" s="8" t="str">
        <f>IF(B410="","",IF(Z410="N","Easy",IF(OR(AND(ISNUMBER(AB410),AB410&gt;'Scoring Settings'!$B$11),AND(ISNUMBER(W410),W410&gt;'Scoring Settings'!$B$12),AND(ISNUMBER(M410),M410&lt;='Scoring Settings'!$B$13)),"High","Medium")))</f>
        <v>Easy</v>
      </c>
      <c r="AN410" s="5" t="s">
        <v>148</v>
      </c>
      <c r="AO410" s="7">
        <v>44957</v>
      </c>
      <c r="AP410" s="5" t="s">
        <v>98</v>
      </c>
      <c r="AQ410" s="29" t="s">
        <v>1216</v>
      </c>
    </row>
    <row r="411" spans="1:43" hidden="1">
      <c r="A411" s="28">
        <v>184135</v>
      </c>
      <c r="B411" s="5" t="s">
        <v>1219</v>
      </c>
      <c r="C411" s="5" t="s">
        <v>772</v>
      </c>
      <c r="D411" s="5" t="s">
        <v>297</v>
      </c>
      <c r="E411" s="5" t="s">
        <v>298</v>
      </c>
      <c r="F411" s="5" t="s">
        <v>89</v>
      </c>
      <c r="G411" s="5" t="s">
        <v>90</v>
      </c>
      <c r="H411" s="5" t="s">
        <v>105</v>
      </c>
      <c r="I411" s="6">
        <v>22</v>
      </c>
      <c r="J411" s="7">
        <v>44222</v>
      </c>
      <c r="K411" s="8" t="str">
        <f>IF(B411="","",IF(AND(I411="",J411=""),"Unknown",IF(OR(AND(ISNUMBER(I411),I411=0),AND(ISNUMBER(J411),J411&lt;=EDATE('Scoring Settings'!$B$4,-'Scoring Settings'!$B$5))),"Not in use",IF(AND(ISNUMBER(I411),I411&lt;'Scoring Settings'!$B$6),"Low use","Active"))))</f>
        <v>Low use</v>
      </c>
      <c r="L411" s="5">
        <v>3</v>
      </c>
      <c r="M411" s="5">
        <v>4</v>
      </c>
      <c r="N411" s="5"/>
      <c r="O411" s="5" t="s">
        <v>73</v>
      </c>
      <c r="P411" s="5" t="s">
        <v>1220</v>
      </c>
      <c r="Q411" s="9">
        <v>2</v>
      </c>
      <c r="R411" s="5" t="s">
        <v>335</v>
      </c>
      <c r="S411" s="5" t="s">
        <v>336</v>
      </c>
      <c r="T411" s="5" t="s">
        <v>109</v>
      </c>
      <c r="U411" s="7">
        <v>45473</v>
      </c>
      <c r="V411" s="5" t="s">
        <v>95</v>
      </c>
      <c r="W411" s="6">
        <v>17</v>
      </c>
      <c r="X411" s="5" t="s">
        <v>80</v>
      </c>
      <c r="Y411" s="9">
        <v>10</v>
      </c>
      <c r="Z411" s="5" t="s">
        <v>79</v>
      </c>
      <c r="AA411" s="5" t="s">
        <v>110</v>
      </c>
      <c r="AB411" s="9">
        <v>1</v>
      </c>
      <c r="AC411" s="5" t="s">
        <v>82</v>
      </c>
      <c r="AD411" s="5" t="s">
        <v>80</v>
      </c>
      <c r="AE411" s="5" t="s">
        <v>82</v>
      </c>
      <c r="AF411" s="10">
        <v>22000</v>
      </c>
      <c r="AG411" s="7">
        <v>48213</v>
      </c>
      <c r="AH411" s="10">
        <v>26500</v>
      </c>
      <c r="AI411" s="10">
        <v>19000</v>
      </c>
      <c r="AJ411" s="11">
        <f t="shared" si="6"/>
        <v>16.736842105263158</v>
      </c>
      <c r="AK411" s="12">
        <f>IF(B411="","",OR(K411="Not in use",K411="Low use")+AND(N411&lt;&gt;"",N411&lt;&gt;"TBD")+AND(ISNUMBER(U411),U411&lt;=EDATE('Scoring Settings'!$B$4,'Scoring Settings'!$B$8))+AND(ISNUMBER(L411),L411&lt;='Scoring Settings'!$B$7))</f>
        <v>1</v>
      </c>
      <c r="AL411" s="5" t="s">
        <v>223</v>
      </c>
      <c r="AM411" s="8" t="str">
        <f>IF(B411="","",IF(Z411="N","Easy",IF(OR(AND(ISNUMBER(AB411),AB411&gt;'Scoring Settings'!$B$11),AND(ISNUMBER(W411),W411&gt;'Scoring Settings'!$B$12),AND(ISNUMBER(M411),M411&lt;='Scoring Settings'!$B$13)),"High","Medium")))</f>
        <v>Easy</v>
      </c>
      <c r="AN411" s="5" t="s">
        <v>148</v>
      </c>
      <c r="AO411" s="7">
        <v>45291</v>
      </c>
      <c r="AP411" s="5" t="s">
        <v>197</v>
      </c>
      <c r="AQ411" s="29" t="s">
        <v>499</v>
      </c>
    </row>
    <row r="412" spans="1:43" ht="42.75" hidden="1">
      <c r="A412" s="28">
        <v>22111</v>
      </c>
      <c r="B412" s="5" t="s">
        <v>1270</v>
      </c>
      <c r="C412" s="5" t="s">
        <v>114</v>
      </c>
      <c r="D412" s="5" t="s">
        <v>115</v>
      </c>
      <c r="E412" s="5" t="s">
        <v>298</v>
      </c>
      <c r="F412" s="5" t="s">
        <v>288</v>
      </c>
      <c r="G412" s="5" t="s">
        <v>278</v>
      </c>
      <c r="H412" s="5" t="s">
        <v>91</v>
      </c>
      <c r="I412" s="6">
        <v>15</v>
      </c>
      <c r="J412" s="7">
        <v>44247</v>
      </c>
      <c r="K412" s="8" t="str">
        <f>IF(B412="","",IF(AND(I412="",J412=""),"Unknown",IF(OR(AND(ISNUMBER(I412),I412=0),AND(ISNUMBER(J412),J412&lt;=EDATE('Scoring Settings'!$B$4,-'Scoring Settings'!$B$5))),"Not in use",IF(AND(ISNUMBER(I412),I412&lt;'Scoring Settings'!$B$6),"Low use","Active"))))</f>
        <v>Low use</v>
      </c>
      <c r="L412" s="5">
        <v>2</v>
      </c>
      <c r="M412" s="5">
        <v>4</v>
      </c>
      <c r="N412" s="5" t="s">
        <v>755</v>
      </c>
      <c r="O412" s="5" t="s">
        <v>191</v>
      </c>
      <c r="P412" s="5" t="s">
        <v>192</v>
      </c>
      <c r="Q412" s="9">
        <v>0</v>
      </c>
      <c r="R412" s="5" t="s">
        <v>193</v>
      </c>
      <c r="S412" s="5" t="s">
        <v>318</v>
      </c>
      <c r="T412" s="5" t="s">
        <v>195</v>
      </c>
      <c r="U412" s="7">
        <v>44742</v>
      </c>
      <c r="V412" s="5" t="s">
        <v>135</v>
      </c>
      <c r="W412" s="6">
        <v>34</v>
      </c>
      <c r="X412" s="5" t="s">
        <v>79</v>
      </c>
      <c r="Y412" s="9">
        <v>5</v>
      </c>
      <c r="Z412" s="5" t="s">
        <v>79</v>
      </c>
      <c r="AA412" s="5" t="s">
        <v>110</v>
      </c>
      <c r="AB412" s="9">
        <v>0</v>
      </c>
      <c r="AC412" s="5" t="s">
        <v>79</v>
      </c>
      <c r="AD412" s="5" t="s">
        <v>80</v>
      </c>
      <c r="AE412" s="5" t="s">
        <v>80</v>
      </c>
      <c r="AF412" s="10">
        <v>11000</v>
      </c>
      <c r="AG412" s="7">
        <v>46599</v>
      </c>
      <c r="AH412" s="10">
        <v>5500</v>
      </c>
      <c r="AI412" s="10">
        <v>10500</v>
      </c>
      <c r="AJ412" s="11">
        <f t="shared" si="6"/>
        <v>6.2857142857142865</v>
      </c>
      <c r="AK412" s="12">
        <f>IF(B412="","",OR(K412="Not in use",K412="Low use")+AND(N412&lt;&gt;"",N412&lt;&gt;"TBD")+AND(ISNUMBER(U412),U412&lt;=EDATE('Scoring Settings'!$B$4,'Scoring Settings'!$B$8))+AND(ISNUMBER(L412),L412&lt;='Scoring Settings'!$B$7))</f>
        <v>3</v>
      </c>
      <c r="AL412" s="5" t="s">
        <v>223</v>
      </c>
      <c r="AM412" s="8" t="str">
        <f>IF(B412="","",IF(Z412="N","Easy",IF(OR(AND(ISNUMBER(AB412),AB412&gt;'Scoring Settings'!$B$11),AND(ISNUMBER(W412),W412&gt;'Scoring Settings'!$B$12),AND(ISNUMBER(M412),M412&lt;='Scoring Settings'!$B$13)),"High","Medium")))</f>
        <v>Easy</v>
      </c>
      <c r="AN412" s="5" t="s">
        <v>148</v>
      </c>
      <c r="AO412" s="7">
        <v>45169</v>
      </c>
      <c r="AP412" s="5" t="s">
        <v>197</v>
      </c>
      <c r="AQ412" s="29" t="s">
        <v>1271</v>
      </c>
    </row>
    <row r="413" spans="1:43" hidden="1">
      <c r="A413" s="28">
        <v>148041</v>
      </c>
      <c r="B413" s="5" t="s">
        <v>1279</v>
      </c>
      <c r="C413" s="5" t="s">
        <v>483</v>
      </c>
      <c r="D413" s="5" t="s">
        <v>88</v>
      </c>
      <c r="E413" s="5" t="s">
        <v>298</v>
      </c>
      <c r="F413" s="5" t="s">
        <v>299</v>
      </c>
      <c r="G413" s="5" t="s">
        <v>153</v>
      </c>
      <c r="H413" s="5" t="s">
        <v>71</v>
      </c>
      <c r="I413" s="6">
        <v>357</v>
      </c>
      <c r="J413" s="7">
        <v>44271</v>
      </c>
      <c r="K413" s="8" t="str">
        <f>IF(B413="","",IF(AND(I413="",J413=""),"Unknown",IF(OR(AND(ISNUMBER(I413),I413=0),AND(ISNUMBER(J413),J413&lt;=EDATE('Scoring Settings'!$B$4,-'Scoring Settings'!$B$5))),"Not in use",IF(AND(ISNUMBER(I413),I413&lt;'Scoring Settings'!$B$6),"Low use","Active"))))</f>
        <v>Active</v>
      </c>
      <c r="L413" s="5">
        <v>2</v>
      </c>
      <c r="M413" s="5">
        <v>4</v>
      </c>
      <c r="N413" s="5"/>
      <c r="O413" s="5" t="s">
        <v>73</v>
      </c>
      <c r="P413" s="5" t="s">
        <v>1280</v>
      </c>
      <c r="Q413" s="9">
        <v>1</v>
      </c>
      <c r="R413" s="5" t="s">
        <v>132</v>
      </c>
      <c r="S413" s="5" t="s">
        <v>133</v>
      </c>
      <c r="T413" s="5" t="s">
        <v>184</v>
      </c>
      <c r="U413" s="7">
        <v>44227</v>
      </c>
      <c r="V413" s="5" t="s">
        <v>135</v>
      </c>
      <c r="W413" s="6">
        <v>110</v>
      </c>
      <c r="X413" s="5" t="s">
        <v>79</v>
      </c>
      <c r="Y413" s="9">
        <v>3</v>
      </c>
      <c r="Z413" s="5" t="s">
        <v>79</v>
      </c>
      <c r="AA413" s="5" t="s">
        <v>110</v>
      </c>
      <c r="AB413" s="9">
        <v>2</v>
      </c>
      <c r="AC413" s="5" t="s">
        <v>79</v>
      </c>
      <c r="AD413" s="5" t="s">
        <v>82</v>
      </c>
      <c r="AE413" s="5" t="s">
        <v>80</v>
      </c>
      <c r="AF413" s="10">
        <v>31000</v>
      </c>
      <c r="AG413" s="7">
        <v>46599</v>
      </c>
      <c r="AH413" s="10">
        <v>25000</v>
      </c>
      <c r="AI413" s="10">
        <v>30000</v>
      </c>
      <c r="AJ413" s="11">
        <f t="shared" si="6"/>
        <v>10</v>
      </c>
      <c r="AK413" s="12">
        <f>IF(B413="","",OR(K413="Not in use",K413="Low use")+AND(N413&lt;&gt;"",N413&lt;&gt;"TBD")+AND(ISNUMBER(U413),U413&lt;=EDATE('Scoring Settings'!$B$4,'Scoring Settings'!$B$8))+AND(ISNUMBER(L413),L413&lt;='Scoring Settings'!$B$7))</f>
        <v>2</v>
      </c>
      <c r="AL413" s="5" t="s">
        <v>223</v>
      </c>
      <c r="AM413" s="8" t="str">
        <f>IF(B413="","",IF(Z413="N","Easy",IF(OR(AND(ISNUMBER(AB413),AB413&gt;'Scoring Settings'!$B$11),AND(ISNUMBER(W413),W413&gt;'Scoring Settings'!$B$12),AND(ISNUMBER(M413),M413&lt;='Scoring Settings'!$B$13)),"High","Medium")))</f>
        <v>Easy</v>
      </c>
      <c r="AN413" s="5" t="s">
        <v>148</v>
      </c>
      <c r="AO413" s="7">
        <v>45016</v>
      </c>
      <c r="AP413" s="5" t="s">
        <v>98</v>
      </c>
      <c r="AQ413" s="29" t="s">
        <v>149</v>
      </c>
    </row>
    <row r="414" spans="1:43" ht="42.75" hidden="1">
      <c r="A414" s="28">
        <v>145356</v>
      </c>
      <c r="B414" s="5" t="s">
        <v>1281</v>
      </c>
      <c r="C414" s="5" t="s">
        <v>172</v>
      </c>
      <c r="D414" s="5" t="s">
        <v>162</v>
      </c>
      <c r="E414" s="5" t="s">
        <v>298</v>
      </c>
      <c r="F414" s="5" t="s">
        <v>103</v>
      </c>
      <c r="G414" s="5" t="s">
        <v>356</v>
      </c>
      <c r="H414" s="5" t="s">
        <v>142</v>
      </c>
      <c r="I414" s="6">
        <v>445</v>
      </c>
      <c r="J414" s="7">
        <v>44299</v>
      </c>
      <c r="K414" s="8" t="str">
        <f>IF(B414="","",IF(AND(I414="",J414=""),"Unknown",IF(OR(AND(ISNUMBER(I414),I414=0),AND(ISNUMBER(J414),J414&lt;=EDATE('Scoring Settings'!$B$4,-'Scoring Settings'!$B$5))),"Not in use",IF(AND(ISNUMBER(I414),I414&lt;'Scoring Settings'!$B$6),"Low use","Active"))))</f>
        <v>Active</v>
      </c>
      <c r="L414" s="5">
        <v>4</v>
      </c>
      <c r="M414" s="5">
        <v>2</v>
      </c>
      <c r="N414" s="5" t="s">
        <v>458</v>
      </c>
      <c r="O414" s="5" t="s">
        <v>143</v>
      </c>
      <c r="P414" s="5" t="s">
        <v>144</v>
      </c>
      <c r="Q414" s="9">
        <v>0</v>
      </c>
      <c r="R414" s="5" t="s">
        <v>145</v>
      </c>
      <c r="S414" s="5" t="s">
        <v>145</v>
      </c>
      <c r="T414" s="5" t="s">
        <v>146</v>
      </c>
      <c r="U414" s="7">
        <v>45199</v>
      </c>
      <c r="V414" s="5" t="s">
        <v>135</v>
      </c>
      <c r="W414" s="6">
        <v>35</v>
      </c>
      <c r="X414" s="5" t="s">
        <v>79</v>
      </c>
      <c r="Y414" s="9">
        <v>3</v>
      </c>
      <c r="Z414" s="5" t="s">
        <v>79</v>
      </c>
      <c r="AA414" s="5" t="s">
        <v>110</v>
      </c>
      <c r="AB414" s="9">
        <v>27</v>
      </c>
      <c r="AC414" s="5" t="s">
        <v>80</v>
      </c>
      <c r="AD414" s="5" t="s">
        <v>79</v>
      </c>
      <c r="AE414" s="5" t="s">
        <v>82</v>
      </c>
      <c r="AF414" s="10">
        <v>240000</v>
      </c>
      <c r="AG414" s="7">
        <v>48610</v>
      </c>
      <c r="AH414" s="10">
        <v>385500</v>
      </c>
      <c r="AI414" s="10">
        <v>121500</v>
      </c>
      <c r="AJ414" s="11">
        <f t="shared" si="6"/>
        <v>38.074074074074076</v>
      </c>
      <c r="AK414" s="12">
        <f>IF(B414="","",OR(K414="Not in use",K414="Low use")+AND(N414&lt;&gt;"",N414&lt;&gt;"TBD")+AND(ISNUMBER(U414),U414&lt;=EDATE('Scoring Settings'!$B$4,'Scoring Settings'!$B$8))+AND(ISNUMBER(L414),L414&lt;='Scoring Settings'!$B$7))</f>
        <v>1</v>
      </c>
      <c r="AL414" s="5" t="s">
        <v>2217</v>
      </c>
      <c r="AM414" s="8" t="str">
        <f>IF(B414="","",IF(Z414="N","Easy",IF(OR(AND(ISNUMBER(AB414),AB414&gt;'Scoring Settings'!$B$11),AND(ISNUMBER(W414),W414&gt;'Scoring Settings'!$B$12),AND(ISNUMBER(M414),M414&lt;='Scoring Settings'!$B$13)),"High","Medium")))</f>
        <v>Easy</v>
      </c>
      <c r="AN414" s="5" t="s">
        <v>148</v>
      </c>
      <c r="AO414" s="7">
        <v>44957</v>
      </c>
      <c r="AP414" s="5" t="s">
        <v>98</v>
      </c>
      <c r="AQ414" s="29" t="s">
        <v>692</v>
      </c>
    </row>
    <row r="415" spans="1:43" hidden="1">
      <c r="A415" s="28">
        <v>48374</v>
      </c>
      <c r="B415" s="5" t="s">
        <v>1294</v>
      </c>
      <c r="C415" s="5" t="s">
        <v>215</v>
      </c>
      <c r="D415" s="5" t="s">
        <v>139</v>
      </c>
      <c r="E415" s="5" t="s">
        <v>68</v>
      </c>
      <c r="F415" s="5" t="s">
        <v>299</v>
      </c>
      <c r="G415" s="5" t="s">
        <v>128</v>
      </c>
      <c r="H415" s="5" t="s">
        <v>105</v>
      </c>
      <c r="I415" s="6">
        <v>224</v>
      </c>
      <c r="J415" s="7">
        <v>44283</v>
      </c>
      <c r="K415" s="8" t="str">
        <f>IF(B415="","",IF(AND(I415="",J415=""),"Unknown",IF(OR(AND(ISNUMBER(I415),I415=0),AND(ISNUMBER(J415),J415&lt;=EDATE('Scoring Settings'!$B$4,-'Scoring Settings'!$B$5))),"Not in use",IF(AND(ISNUMBER(I415),I415&lt;'Scoring Settings'!$B$6),"Low use","Active"))))</f>
        <v>Active</v>
      </c>
      <c r="L415" s="5">
        <v>3</v>
      </c>
      <c r="M415" s="5">
        <v>4</v>
      </c>
      <c r="N415" s="5"/>
      <c r="O415" s="5" t="s">
        <v>191</v>
      </c>
      <c r="P415" s="5" t="s">
        <v>192</v>
      </c>
      <c r="Q415" s="9">
        <v>0</v>
      </c>
      <c r="R415" s="5" t="s">
        <v>193</v>
      </c>
      <c r="S415" s="5" t="s">
        <v>318</v>
      </c>
      <c r="T415" s="5" t="s">
        <v>195</v>
      </c>
      <c r="U415" s="7"/>
      <c r="V415" s="5" t="s">
        <v>78</v>
      </c>
      <c r="W415" s="6">
        <v>140</v>
      </c>
      <c r="X415" s="5" t="s">
        <v>79</v>
      </c>
      <c r="Y415" s="9">
        <v>5</v>
      </c>
      <c r="Z415" s="5" t="s">
        <v>80</v>
      </c>
      <c r="AA415" s="5" t="s">
        <v>205</v>
      </c>
      <c r="AB415" s="9">
        <v>3</v>
      </c>
      <c r="AC415" s="5" t="s">
        <v>82</v>
      </c>
      <c r="AD415" s="5" t="s">
        <v>79</v>
      </c>
      <c r="AE415" s="5" t="s">
        <v>79</v>
      </c>
      <c r="AF415" s="10">
        <v>9000</v>
      </c>
      <c r="AG415" s="7">
        <v>49674</v>
      </c>
      <c r="AH415" s="10">
        <v>6000</v>
      </c>
      <c r="AI415" s="10">
        <v>7000</v>
      </c>
      <c r="AJ415" s="11">
        <f t="shared" si="6"/>
        <v>10.285714285714285</v>
      </c>
      <c r="AK415" s="12">
        <f>IF(B415="","",OR(K415="Not in use",K415="Low use")+AND(N415&lt;&gt;"",N415&lt;&gt;"TBD")+AND(ISNUMBER(U415),U415&lt;=EDATE('Scoring Settings'!$B$4,'Scoring Settings'!$B$8))+AND(ISNUMBER(L415),L415&lt;='Scoring Settings'!$B$7))</f>
        <v>0</v>
      </c>
      <c r="AL415" s="5" t="s">
        <v>96</v>
      </c>
      <c r="AM415" s="8" t="str">
        <f>IF(B415="","",IF(Z415="N","Easy",IF(OR(AND(ISNUMBER(AB415),AB415&gt;'Scoring Settings'!$B$11),AND(ISNUMBER(W415),W415&gt;'Scoring Settings'!$B$12),AND(ISNUMBER(M415),M415&lt;='Scoring Settings'!$B$13)),"High","Medium")))</f>
        <v>Medium</v>
      </c>
      <c r="AN415" s="5" t="s">
        <v>148</v>
      </c>
      <c r="AO415" s="7">
        <v>45199</v>
      </c>
      <c r="AP415" s="5" t="s">
        <v>98</v>
      </c>
      <c r="AQ415" s="29" t="s">
        <v>136</v>
      </c>
    </row>
    <row r="416" spans="1:43" hidden="1">
      <c r="A416" s="28">
        <v>15298</v>
      </c>
      <c r="B416" s="5" t="s">
        <v>1297</v>
      </c>
      <c r="C416" s="5" t="s">
        <v>296</v>
      </c>
      <c r="D416" s="5" t="s">
        <v>297</v>
      </c>
      <c r="E416" s="5" t="s">
        <v>298</v>
      </c>
      <c r="F416" s="5" t="s">
        <v>152</v>
      </c>
      <c r="G416" s="5" t="s">
        <v>210</v>
      </c>
      <c r="H416" s="5" t="s">
        <v>189</v>
      </c>
      <c r="I416" s="6">
        <v>15</v>
      </c>
      <c r="J416" s="7">
        <v>44314</v>
      </c>
      <c r="K416" s="8" t="str">
        <f>IF(B416="","",IF(AND(I416="",J416=""),"Unknown",IF(OR(AND(ISNUMBER(I416),I416=0),AND(ISNUMBER(J416),J416&lt;=EDATE('Scoring Settings'!$B$4,-'Scoring Settings'!$B$5))),"Not in use",IF(AND(ISNUMBER(I416),I416&lt;'Scoring Settings'!$B$6),"Low use","Active"))))</f>
        <v>Low use</v>
      </c>
      <c r="L416" s="5">
        <v>2</v>
      </c>
      <c r="M416" s="5">
        <v>3</v>
      </c>
      <c r="N416" s="5"/>
      <c r="O416" s="5" t="s">
        <v>73</v>
      </c>
      <c r="P416" s="5" t="s">
        <v>1298</v>
      </c>
      <c r="Q416" s="9">
        <v>1</v>
      </c>
      <c r="R416" s="5" t="s">
        <v>251</v>
      </c>
      <c r="S416" s="5" t="s">
        <v>133</v>
      </c>
      <c r="T416" s="5" t="s">
        <v>184</v>
      </c>
      <c r="U416" s="7">
        <v>44165</v>
      </c>
      <c r="V416" s="5" t="s">
        <v>135</v>
      </c>
      <c r="W416" s="6">
        <v>310</v>
      </c>
      <c r="X416" s="5" t="s">
        <v>80</v>
      </c>
      <c r="Y416" s="9">
        <v>5</v>
      </c>
      <c r="Z416" s="5" t="s">
        <v>80</v>
      </c>
      <c r="AA416" s="5" t="s">
        <v>81</v>
      </c>
      <c r="AB416" s="9">
        <v>4</v>
      </c>
      <c r="AC416" s="5" t="s">
        <v>79</v>
      </c>
      <c r="AD416" s="5" t="s">
        <v>80</v>
      </c>
      <c r="AE416" s="5" t="s">
        <v>79</v>
      </c>
      <c r="AF416" s="10">
        <v>33000</v>
      </c>
      <c r="AG416" s="7">
        <v>48457</v>
      </c>
      <c r="AH416" s="10">
        <v>38500</v>
      </c>
      <c r="AI416" s="10">
        <v>22000</v>
      </c>
      <c r="AJ416" s="11">
        <f t="shared" si="6"/>
        <v>21</v>
      </c>
      <c r="AK416" s="12">
        <f>IF(B416="","",OR(K416="Not in use",K416="Low use")+AND(N416&lt;&gt;"",N416&lt;&gt;"TBD")+AND(ISNUMBER(U416),U416&lt;=EDATE('Scoring Settings'!$B$4,'Scoring Settings'!$B$8))+AND(ISNUMBER(L416),L416&lt;='Scoring Settings'!$B$7))</f>
        <v>3</v>
      </c>
      <c r="AL416" s="5" t="s">
        <v>96</v>
      </c>
      <c r="AM416" s="8" t="str">
        <f>IF(B416="","",IF(Z416="N","Easy",IF(OR(AND(ISNUMBER(AB416),AB416&gt;'Scoring Settings'!$B$11),AND(ISNUMBER(W416),W416&gt;'Scoring Settings'!$B$12),AND(ISNUMBER(M416),M416&lt;='Scoring Settings'!$B$13)),"High","Medium")))</f>
        <v>Medium</v>
      </c>
      <c r="AN416" s="5" t="s">
        <v>148</v>
      </c>
      <c r="AO416" s="7">
        <v>45016</v>
      </c>
      <c r="AP416" s="5" t="s">
        <v>98</v>
      </c>
      <c r="AQ416" s="29" t="s">
        <v>213</v>
      </c>
    </row>
    <row r="417" spans="1:43" hidden="1">
      <c r="A417" s="28">
        <v>142004</v>
      </c>
      <c r="B417" s="5" t="s">
        <v>1305</v>
      </c>
      <c r="C417" s="5" t="s">
        <v>316</v>
      </c>
      <c r="D417" s="5" t="s">
        <v>67</v>
      </c>
      <c r="E417" s="5" t="s">
        <v>68</v>
      </c>
      <c r="F417" s="5" t="s">
        <v>188</v>
      </c>
      <c r="G417" s="5" t="s">
        <v>267</v>
      </c>
      <c r="H417" s="5" t="s">
        <v>129</v>
      </c>
      <c r="I417" s="6">
        <v>0</v>
      </c>
      <c r="J417" s="7">
        <v>43796</v>
      </c>
      <c r="K417" s="8" t="str">
        <f>IF(B417="","",IF(AND(I417="",J417=""),"Unknown",IF(OR(AND(ISNUMBER(I417),I417=0),AND(ISNUMBER(J417),J417&lt;=EDATE('Scoring Settings'!$B$4,-'Scoring Settings'!$B$5))),"Not in use",IF(AND(ISNUMBER(I417),I417&lt;'Scoring Settings'!$B$6),"Low use","Active"))))</f>
        <v>Not in use</v>
      </c>
      <c r="L417" s="5">
        <v>1</v>
      </c>
      <c r="M417" s="5">
        <v>4</v>
      </c>
      <c r="N417" s="5"/>
      <c r="O417" s="5" t="s">
        <v>73</v>
      </c>
      <c r="P417" s="5" t="s">
        <v>1306</v>
      </c>
      <c r="Q417" s="9">
        <v>4</v>
      </c>
      <c r="R417" s="5" t="s">
        <v>251</v>
      </c>
      <c r="S417" s="5" t="s">
        <v>133</v>
      </c>
      <c r="T417" s="5" t="s">
        <v>77</v>
      </c>
      <c r="U417" s="7">
        <v>44165</v>
      </c>
      <c r="V417" s="5" t="s">
        <v>95</v>
      </c>
      <c r="W417" s="6">
        <v>11</v>
      </c>
      <c r="X417" s="5" t="s">
        <v>80</v>
      </c>
      <c r="Y417" s="9">
        <v>5</v>
      </c>
      <c r="Z417" s="5" t="s">
        <v>79</v>
      </c>
      <c r="AA417" s="5" t="s">
        <v>110</v>
      </c>
      <c r="AB417" s="9">
        <v>2</v>
      </c>
      <c r="AC417" s="5" t="s">
        <v>82</v>
      </c>
      <c r="AD417" s="5" t="s">
        <v>80</v>
      </c>
      <c r="AE417" s="5" t="s">
        <v>79</v>
      </c>
      <c r="AF417" s="10">
        <v>60000</v>
      </c>
      <c r="AG417" s="7">
        <v>46965</v>
      </c>
      <c r="AH417" s="10">
        <v>62500</v>
      </c>
      <c r="AI417" s="10">
        <v>50000</v>
      </c>
      <c r="AJ417" s="11">
        <f t="shared" si="6"/>
        <v>15</v>
      </c>
      <c r="AK417" s="12">
        <f>IF(B417="","",OR(K417="Not in use",K417="Low use")+AND(N417&lt;&gt;"",N417&lt;&gt;"TBD")+AND(ISNUMBER(U417),U417&lt;=EDATE('Scoring Settings'!$B$4,'Scoring Settings'!$B$8))+AND(ISNUMBER(L417),L417&lt;='Scoring Settings'!$B$7))</f>
        <v>3</v>
      </c>
      <c r="AL417" s="5" t="s">
        <v>223</v>
      </c>
      <c r="AM417" s="8" t="str">
        <f>IF(B417="","",IF(Z417="N","Easy",IF(OR(AND(ISNUMBER(AB417),AB417&gt;'Scoring Settings'!$B$11),AND(ISNUMBER(W417),W417&gt;'Scoring Settings'!$B$12),AND(ISNUMBER(M417),M417&lt;='Scoring Settings'!$B$13)),"High","Medium")))</f>
        <v>Easy</v>
      </c>
      <c r="AN417" s="5" t="s">
        <v>148</v>
      </c>
      <c r="AO417" s="7">
        <v>45260</v>
      </c>
      <c r="AP417" s="5" t="s">
        <v>197</v>
      </c>
      <c r="AQ417" s="29" t="s">
        <v>252</v>
      </c>
    </row>
    <row r="418" spans="1:43" hidden="1">
      <c r="A418" s="28">
        <v>28054</v>
      </c>
      <c r="B418" s="5" t="s">
        <v>1307</v>
      </c>
      <c r="C418" s="5" t="s">
        <v>467</v>
      </c>
      <c r="D418" s="5" t="s">
        <v>297</v>
      </c>
      <c r="E418" s="5" t="s">
        <v>68</v>
      </c>
      <c r="F418" s="5" t="s">
        <v>302</v>
      </c>
      <c r="G418" s="5" t="s">
        <v>117</v>
      </c>
      <c r="H418" s="5" t="s">
        <v>105</v>
      </c>
      <c r="I418" s="6">
        <v>15</v>
      </c>
      <c r="J418" s="7">
        <v>44242</v>
      </c>
      <c r="K418" s="8" t="str">
        <f>IF(B418="","",IF(AND(I418="",J418=""),"Unknown",IF(OR(AND(ISNUMBER(I418),I418=0),AND(ISNUMBER(J418),J418&lt;=EDATE('Scoring Settings'!$B$4,-'Scoring Settings'!$B$5))),"Not in use",IF(AND(ISNUMBER(I418),I418&lt;'Scoring Settings'!$B$6),"Low use","Active"))))</f>
        <v>Low use</v>
      </c>
      <c r="L418" s="5">
        <v>2</v>
      </c>
      <c r="M418" s="5">
        <v>4</v>
      </c>
      <c r="N418" s="5" t="s">
        <v>72</v>
      </c>
      <c r="O418" s="5" t="s">
        <v>73</v>
      </c>
      <c r="P418" s="5" t="s">
        <v>1308</v>
      </c>
      <c r="Q418" s="9">
        <v>1</v>
      </c>
      <c r="R418" s="5" t="s">
        <v>182</v>
      </c>
      <c r="S418" s="5" t="s">
        <v>183</v>
      </c>
      <c r="T418" s="5" t="s">
        <v>184</v>
      </c>
      <c r="U418" s="7">
        <v>42855</v>
      </c>
      <c r="V418" s="5" t="s">
        <v>95</v>
      </c>
      <c r="W418" s="6">
        <v>580</v>
      </c>
      <c r="X418" s="5" t="s">
        <v>80</v>
      </c>
      <c r="Y418" s="9">
        <v>10</v>
      </c>
      <c r="Z418" s="5" t="s">
        <v>80</v>
      </c>
      <c r="AA418" s="5" t="s">
        <v>81</v>
      </c>
      <c r="AB418" s="9">
        <v>1</v>
      </c>
      <c r="AC418" s="5" t="s">
        <v>82</v>
      </c>
      <c r="AD418" s="5" t="s">
        <v>79</v>
      </c>
      <c r="AE418" s="5" t="s">
        <v>79</v>
      </c>
      <c r="AF418" s="10">
        <v>34500</v>
      </c>
      <c r="AG418" s="7">
        <v>45747</v>
      </c>
      <c r="AH418" s="10">
        <v>38000</v>
      </c>
      <c r="AI418" s="10">
        <v>26500</v>
      </c>
      <c r="AJ418" s="11">
        <f t="shared" si="6"/>
        <v>17.20754716981132</v>
      </c>
      <c r="AK418" s="12">
        <f>IF(B418="","",OR(K418="Not in use",K418="Low use")+AND(N418&lt;&gt;"",N418&lt;&gt;"TBD")+AND(ISNUMBER(U418),U418&lt;=EDATE('Scoring Settings'!$B$4,'Scoring Settings'!$B$8))+AND(ISNUMBER(L418),L418&lt;='Scoring Settings'!$B$7))</f>
        <v>3</v>
      </c>
      <c r="AL418" s="5" t="s">
        <v>96</v>
      </c>
      <c r="AM418" s="8" t="str">
        <f>IF(B418="","",IF(Z418="N","Easy",IF(OR(AND(ISNUMBER(AB418),AB418&gt;'Scoring Settings'!$B$11),AND(ISNUMBER(W418),W418&gt;'Scoring Settings'!$B$12),AND(ISNUMBER(M418),M418&lt;='Scoring Settings'!$B$13)),"High","Medium")))</f>
        <v>Medium</v>
      </c>
      <c r="AN418" s="5" t="s">
        <v>148</v>
      </c>
      <c r="AO418" s="7">
        <v>45077</v>
      </c>
      <c r="AP418" s="5" t="s">
        <v>98</v>
      </c>
      <c r="AQ418" s="29" t="s">
        <v>149</v>
      </c>
    </row>
    <row r="419" spans="1:43" hidden="1">
      <c r="A419" s="28">
        <v>19171</v>
      </c>
      <c r="B419" s="5" t="s">
        <v>1321</v>
      </c>
      <c r="C419" s="5" t="s">
        <v>200</v>
      </c>
      <c r="D419" s="5" t="s">
        <v>115</v>
      </c>
      <c r="E419" s="5" t="s">
        <v>68</v>
      </c>
      <c r="F419" s="5" t="s">
        <v>188</v>
      </c>
      <c r="G419" s="5" t="s">
        <v>284</v>
      </c>
      <c r="H419" s="5" t="s">
        <v>105</v>
      </c>
      <c r="I419" s="6">
        <v>6</v>
      </c>
      <c r="J419" s="7">
        <v>44244</v>
      </c>
      <c r="K419" s="8" t="str">
        <f>IF(B419="","",IF(AND(I419="",J419=""),"Unknown",IF(OR(AND(ISNUMBER(I419),I419=0),AND(ISNUMBER(J419),J419&lt;=EDATE('Scoring Settings'!$B$4,-'Scoring Settings'!$B$5))),"Not in use",IF(AND(ISNUMBER(I419),I419&lt;'Scoring Settings'!$B$6),"Low use","Active"))))</f>
        <v>Low use</v>
      </c>
      <c r="L419" s="5">
        <v>4</v>
      </c>
      <c r="M419" s="5">
        <v>1</v>
      </c>
      <c r="N419" s="5" t="s">
        <v>549</v>
      </c>
      <c r="O419" s="5" t="s">
        <v>73</v>
      </c>
      <c r="P419" s="5" t="s">
        <v>1322</v>
      </c>
      <c r="Q419" s="9">
        <v>2</v>
      </c>
      <c r="R419" s="5" t="s">
        <v>358</v>
      </c>
      <c r="S419" s="5" t="s">
        <v>133</v>
      </c>
      <c r="T419" s="5" t="s">
        <v>109</v>
      </c>
      <c r="U419" s="7">
        <v>43555</v>
      </c>
      <c r="V419" s="5" t="s">
        <v>95</v>
      </c>
      <c r="W419" s="6">
        <v>17</v>
      </c>
      <c r="X419" s="5" t="s">
        <v>79</v>
      </c>
      <c r="Y419" s="9">
        <v>1</v>
      </c>
      <c r="Z419" s="5" t="s">
        <v>80</v>
      </c>
      <c r="AA419" s="5" t="s">
        <v>185</v>
      </c>
      <c r="AB419" s="9">
        <v>89</v>
      </c>
      <c r="AC419" s="5" t="s">
        <v>79</v>
      </c>
      <c r="AD419" s="5" t="s">
        <v>82</v>
      </c>
      <c r="AE419" s="5" t="s">
        <v>82</v>
      </c>
      <c r="AF419" s="10">
        <v>140000</v>
      </c>
      <c r="AG419" s="7">
        <v>48273</v>
      </c>
      <c r="AH419" s="10">
        <v>696000</v>
      </c>
      <c r="AI419" s="10">
        <v>115000</v>
      </c>
      <c r="AJ419" s="11">
        <f t="shared" si="6"/>
        <v>72.626086956521732</v>
      </c>
      <c r="AK419" s="12">
        <f>IF(B419="","",OR(K419="Not in use",K419="Low use")+AND(N419&lt;&gt;"",N419&lt;&gt;"TBD")+AND(ISNUMBER(U419),U419&lt;=EDATE('Scoring Settings'!$B$4,'Scoring Settings'!$B$8))+AND(ISNUMBER(L419),L419&lt;='Scoring Settings'!$B$7))</f>
        <v>3</v>
      </c>
      <c r="AL419" s="5" t="s">
        <v>2217</v>
      </c>
      <c r="AM419" s="8" t="str">
        <f>IF(B419="","",IF(Z419="N","Easy",IF(OR(AND(ISNUMBER(AB419),AB419&gt;'Scoring Settings'!$B$11),AND(ISNUMBER(W419),W419&gt;'Scoring Settings'!$B$12),AND(ISNUMBER(M419),M419&lt;='Scoring Settings'!$B$13)),"High","Medium")))</f>
        <v>High</v>
      </c>
      <c r="AN419" s="5" t="s">
        <v>148</v>
      </c>
      <c r="AO419" s="7">
        <v>44957</v>
      </c>
      <c r="AP419" s="5" t="s">
        <v>98</v>
      </c>
      <c r="AQ419" s="29" t="s">
        <v>136</v>
      </c>
    </row>
    <row r="420" spans="1:43" hidden="1">
      <c r="A420" s="28">
        <v>48542</v>
      </c>
      <c r="B420" s="5" t="s">
        <v>1323</v>
      </c>
      <c r="C420" s="5" t="s">
        <v>265</v>
      </c>
      <c r="D420" s="5" t="s">
        <v>102</v>
      </c>
      <c r="E420" s="5" t="s">
        <v>298</v>
      </c>
      <c r="F420" s="5" t="s">
        <v>288</v>
      </c>
      <c r="G420" s="5" t="s">
        <v>179</v>
      </c>
      <c r="H420" s="5" t="s">
        <v>142</v>
      </c>
      <c r="I420" s="6">
        <v>7</v>
      </c>
      <c r="J420" s="7">
        <v>44181</v>
      </c>
      <c r="K420" s="8" t="str">
        <f>IF(B420="","",IF(AND(I420="",J420=""),"Unknown",IF(OR(AND(ISNUMBER(I420),I420=0),AND(ISNUMBER(J420),J420&lt;=EDATE('Scoring Settings'!$B$4,-'Scoring Settings'!$B$5))),"Not in use",IF(AND(ISNUMBER(I420),I420&lt;'Scoring Settings'!$B$6),"Low use","Active"))))</f>
        <v>Low use</v>
      </c>
      <c r="L420" s="5">
        <v>2</v>
      </c>
      <c r="M420" s="5">
        <v>3</v>
      </c>
      <c r="N420" s="5"/>
      <c r="O420" s="5" t="s">
        <v>143</v>
      </c>
      <c r="P420" s="5" t="s">
        <v>144</v>
      </c>
      <c r="Q420" s="9">
        <v>0</v>
      </c>
      <c r="R420" s="5" t="s">
        <v>145</v>
      </c>
      <c r="S420" s="5" t="s">
        <v>145</v>
      </c>
      <c r="T420" s="5" t="s">
        <v>146</v>
      </c>
      <c r="U420" s="7"/>
      <c r="V420" s="5" t="s">
        <v>78</v>
      </c>
      <c r="W420" s="6">
        <v>99</v>
      </c>
      <c r="X420" s="5" t="s">
        <v>80</v>
      </c>
      <c r="Y420" s="9">
        <v>10</v>
      </c>
      <c r="Z420" s="5" t="s">
        <v>80</v>
      </c>
      <c r="AA420" s="5" t="s">
        <v>205</v>
      </c>
      <c r="AB420" s="9">
        <v>5</v>
      </c>
      <c r="AC420" s="5" t="s">
        <v>82</v>
      </c>
      <c r="AD420" s="5" t="s">
        <v>79</v>
      </c>
      <c r="AE420" s="5" t="s">
        <v>80</v>
      </c>
      <c r="AF420" s="10">
        <v>27000</v>
      </c>
      <c r="AG420" s="7">
        <v>48457</v>
      </c>
      <c r="AH420" s="10">
        <v>36500</v>
      </c>
      <c r="AI420" s="10">
        <v>12000</v>
      </c>
      <c r="AJ420" s="11">
        <f t="shared" si="6"/>
        <v>36.5</v>
      </c>
      <c r="AK420" s="12">
        <f>IF(B420="","",OR(K420="Not in use",K420="Low use")+AND(N420&lt;&gt;"",N420&lt;&gt;"TBD")+AND(ISNUMBER(U420),U420&lt;=EDATE('Scoring Settings'!$B$4,'Scoring Settings'!$B$8))+AND(ISNUMBER(L420),L420&lt;='Scoring Settings'!$B$7))</f>
        <v>2</v>
      </c>
      <c r="AL420" s="5" t="s">
        <v>96</v>
      </c>
      <c r="AM420" s="8" t="str">
        <f>IF(B420="","",IF(Z420="N","Easy",IF(OR(AND(ISNUMBER(AB420),AB420&gt;'Scoring Settings'!$B$11),AND(ISNUMBER(W420),W420&gt;'Scoring Settings'!$B$12),AND(ISNUMBER(M420),M420&lt;='Scoring Settings'!$B$13)),"High","Medium")))</f>
        <v>Medium</v>
      </c>
      <c r="AN420" s="5" t="s">
        <v>148</v>
      </c>
      <c r="AO420" s="7">
        <v>45046</v>
      </c>
      <c r="AP420" s="5" t="s">
        <v>197</v>
      </c>
      <c r="AQ420" s="29" t="s">
        <v>399</v>
      </c>
    </row>
    <row r="421" spans="1:43" hidden="1">
      <c r="A421" s="28">
        <v>18513</v>
      </c>
      <c r="B421" s="5" t="s">
        <v>1326</v>
      </c>
      <c r="C421" s="5" t="s">
        <v>423</v>
      </c>
      <c r="D421" s="5" t="s">
        <v>67</v>
      </c>
      <c r="E421" s="5" t="s">
        <v>68</v>
      </c>
      <c r="F421" s="5" t="s">
        <v>346</v>
      </c>
      <c r="G421" s="5" t="s">
        <v>271</v>
      </c>
      <c r="H421" s="5" t="s">
        <v>142</v>
      </c>
      <c r="I421" s="6">
        <v>19</v>
      </c>
      <c r="J421" s="7">
        <v>44227</v>
      </c>
      <c r="K421" s="8" t="str">
        <f>IF(B421="","",IF(AND(I421="",J421=""),"Unknown",IF(OR(AND(ISNUMBER(I421),I421=0),AND(ISNUMBER(J421),J421&lt;=EDATE('Scoring Settings'!$B$4,-'Scoring Settings'!$B$5))),"Not in use",IF(AND(ISNUMBER(I421),I421&lt;'Scoring Settings'!$B$6),"Low use","Active"))))</f>
        <v>Low use</v>
      </c>
      <c r="L421" s="5">
        <v>1</v>
      </c>
      <c r="M421" s="5">
        <v>4</v>
      </c>
      <c r="N421" s="5"/>
      <c r="O421" s="5" t="s">
        <v>143</v>
      </c>
      <c r="P421" s="5" t="s">
        <v>144</v>
      </c>
      <c r="Q421" s="9">
        <v>0</v>
      </c>
      <c r="R421" s="5" t="s">
        <v>145</v>
      </c>
      <c r="S421" s="5" t="s">
        <v>145</v>
      </c>
      <c r="T421" s="5" t="s">
        <v>146</v>
      </c>
      <c r="U421" s="7"/>
      <c r="V421" s="5" t="s">
        <v>78</v>
      </c>
      <c r="W421" s="6">
        <v>14</v>
      </c>
      <c r="X421" s="5" t="s">
        <v>79</v>
      </c>
      <c r="Y421" s="9">
        <v>1</v>
      </c>
      <c r="Z421" s="5" t="s">
        <v>79</v>
      </c>
      <c r="AA421" s="5" t="s">
        <v>110</v>
      </c>
      <c r="AB421" s="9">
        <v>2</v>
      </c>
      <c r="AC421" s="5" t="s">
        <v>79</v>
      </c>
      <c r="AD421" s="5" t="s">
        <v>79</v>
      </c>
      <c r="AE421" s="5" t="s">
        <v>80</v>
      </c>
      <c r="AF421" s="10">
        <v>21500</v>
      </c>
      <c r="AG421" s="7">
        <v>48244</v>
      </c>
      <c r="AH421" s="10">
        <v>13500</v>
      </c>
      <c r="AI421" s="10">
        <v>12500</v>
      </c>
      <c r="AJ421" s="11">
        <f t="shared" si="6"/>
        <v>12.96</v>
      </c>
      <c r="AK421" s="12">
        <f>IF(B421="","",OR(K421="Not in use",K421="Low use")+AND(N421&lt;&gt;"",N421&lt;&gt;"TBD")+AND(ISNUMBER(U421),U421&lt;=EDATE('Scoring Settings'!$B$4,'Scoring Settings'!$B$8))+AND(ISNUMBER(L421),L421&lt;='Scoring Settings'!$B$7))</f>
        <v>2</v>
      </c>
      <c r="AL421" s="5" t="s">
        <v>223</v>
      </c>
      <c r="AM421" s="8" t="str">
        <f>IF(B421="","",IF(Z421="N","Easy",IF(OR(AND(ISNUMBER(AB421),AB421&gt;'Scoring Settings'!$B$11),AND(ISNUMBER(W421),W421&gt;'Scoring Settings'!$B$12),AND(ISNUMBER(M421),M421&lt;='Scoring Settings'!$B$13)),"High","Medium")))</f>
        <v>Easy</v>
      </c>
      <c r="AN421" s="5" t="s">
        <v>148</v>
      </c>
      <c r="AO421" s="7">
        <v>45046</v>
      </c>
      <c r="AP421" s="5" t="s">
        <v>98</v>
      </c>
      <c r="AQ421" s="29" t="s">
        <v>213</v>
      </c>
    </row>
    <row r="422" spans="1:43" hidden="1">
      <c r="A422" s="28">
        <v>150329</v>
      </c>
      <c r="B422" s="5" t="s">
        <v>1328</v>
      </c>
      <c r="C422" s="5" t="s">
        <v>343</v>
      </c>
      <c r="D422" s="5" t="s">
        <v>102</v>
      </c>
      <c r="E422" s="5" t="s">
        <v>68</v>
      </c>
      <c r="F422" s="5" t="s">
        <v>419</v>
      </c>
      <c r="G422" s="5" t="s">
        <v>141</v>
      </c>
      <c r="H422" s="5" t="s">
        <v>118</v>
      </c>
      <c r="I422" s="6">
        <v>2193</v>
      </c>
      <c r="J422" s="7">
        <v>44294</v>
      </c>
      <c r="K422" s="8" t="str">
        <f>IF(B422="","",IF(AND(I422="",J422=""),"Unknown",IF(OR(AND(ISNUMBER(I422),I422=0),AND(ISNUMBER(J422),J422&lt;=EDATE('Scoring Settings'!$B$4,-'Scoring Settings'!$B$5))),"Not in use",IF(AND(ISNUMBER(I422),I422&lt;'Scoring Settings'!$B$6),"Low use","Active"))))</f>
        <v>Active</v>
      </c>
      <c r="L422" s="5">
        <v>3</v>
      </c>
      <c r="M422" s="5">
        <v>2</v>
      </c>
      <c r="N422" s="5" t="s">
        <v>381</v>
      </c>
      <c r="O422" s="5" t="s">
        <v>73</v>
      </c>
      <c r="P422" s="5" t="s">
        <v>1329</v>
      </c>
      <c r="Q422" s="9">
        <v>1</v>
      </c>
      <c r="R422" s="5" t="s">
        <v>239</v>
      </c>
      <c r="S422" s="5" t="s">
        <v>240</v>
      </c>
      <c r="T422" s="5" t="s">
        <v>72</v>
      </c>
      <c r="U422" s="7">
        <v>44316</v>
      </c>
      <c r="V422" s="5" t="s">
        <v>78</v>
      </c>
      <c r="W422" s="6">
        <v>1550</v>
      </c>
      <c r="X422" s="5" t="s">
        <v>80</v>
      </c>
      <c r="Y422" s="9">
        <v>10</v>
      </c>
      <c r="Z422" s="5" t="s">
        <v>80</v>
      </c>
      <c r="AA422" s="5" t="s">
        <v>185</v>
      </c>
      <c r="AB422" s="9">
        <v>13</v>
      </c>
      <c r="AC422" s="5" t="s">
        <v>79</v>
      </c>
      <c r="AD422" s="5" t="s">
        <v>80</v>
      </c>
      <c r="AE422" s="5" t="s">
        <v>79</v>
      </c>
      <c r="AF422" s="10">
        <v>46500</v>
      </c>
      <c r="AG422" s="7">
        <v>49034</v>
      </c>
      <c r="AH422" s="10">
        <v>110500</v>
      </c>
      <c r="AI422" s="10">
        <v>27000</v>
      </c>
      <c r="AJ422" s="11">
        <f t="shared" si="6"/>
        <v>49.111111111111114</v>
      </c>
      <c r="AK422" s="12">
        <f>IF(B422="","",OR(K422="Not in use",K422="Low use")+AND(N422&lt;&gt;"",N422&lt;&gt;"TBD")+AND(ISNUMBER(U422),U422&lt;=EDATE('Scoring Settings'!$B$4,'Scoring Settings'!$B$8))+AND(ISNUMBER(L422),L422&lt;='Scoring Settings'!$B$7))</f>
        <v>2</v>
      </c>
      <c r="AL422" s="5" t="s">
        <v>2217</v>
      </c>
      <c r="AM422" s="8" t="str">
        <f>IF(B422="","",IF(Z422="N","Easy",IF(OR(AND(ISNUMBER(AB422),AB422&gt;'Scoring Settings'!$B$11),AND(ISNUMBER(W422),W422&gt;'Scoring Settings'!$B$12),AND(ISNUMBER(M422),M422&lt;='Scoring Settings'!$B$13)),"High","Medium")))</f>
        <v>High</v>
      </c>
      <c r="AN422" s="5" t="s">
        <v>148</v>
      </c>
      <c r="AO422" s="7">
        <v>44957</v>
      </c>
      <c r="AP422" s="5" t="s">
        <v>197</v>
      </c>
      <c r="AQ422" s="29" t="s">
        <v>1330</v>
      </c>
    </row>
    <row r="423" spans="1:43" hidden="1">
      <c r="A423" s="28">
        <v>172400</v>
      </c>
      <c r="B423" s="5" t="s">
        <v>1339</v>
      </c>
      <c r="C423" s="5" t="s">
        <v>262</v>
      </c>
      <c r="D423" s="5" t="s">
        <v>67</v>
      </c>
      <c r="E423" s="5" t="s">
        <v>68</v>
      </c>
      <c r="F423" s="5" t="s">
        <v>243</v>
      </c>
      <c r="G423" s="5" t="s">
        <v>356</v>
      </c>
      <c r="H423" s="5" t="s">
        <v>189</v>
      </c>
      <c r="I423" s="6">
        <v>0</v>
      </c>
      <c r="J423" s="7">
        <v>44043</v>
      </c>
      <c r="K423" s="8" t="str">
        <f>IF(B423="","",IF(AND(I423="",J423=""),"Unknown",IF(OR(AND(ISNUMBER(I423),I423=0),AND(ISNUMBER(J423),J423&lt;=EDATE('Scoring Settings'!$B$4,-'Scoring Settings'!$B$5))),"Not in use",IF(AND(ISNUMBER(I423),I423&lt;'Scoring Settings'!$B$6),"Low use","Active"))))</f>
        <v>Not in use</v>
      </c>
      <c r="L423" s="5">
        <v>3</v>
      </c>
      <c r="M423" s="5">
        <v>3</v>
      </c>
      <c r="N423" s="5"/>
      <c r="O423" s="5" t="s">
        <v>73</v>
      </c>
      <c r="P423" s="5" t="s">
        <v>1340</v>
      </c>
      <c r="Q423" s="9">
        <v>1</v>
      </c>
      <c r="R423" s="5" t="s">
        <v>352</v>
      </c>
      <c r="S423" s="5" t="s">
        <v>353</v>
      </c>
      <c r="T423" s="5" t="s">
        <v>72</v>
      </c>
      <c r="U423" s="7">
        <v>47127</v>
      </c>
      <c r="V423" s="5" t="s">
        <v>95</v>
      </c>
      <c r="W423" s="6">
        <v>150</v>
      </c>
      <c r="X423" s="5" t="s">
        <v>79</v>
      </c>
      <c r="Y423" s="9">
        <v>7</v>
      </c>
      <c r="Z423" s="5" t="s">
        <v>79</v>
      </c>
      <c r="AA423" s="5" t="s">
        <v>110</v>
      </c>
      <c r="AB423" s="9">
        <v>3</v>
      </c>
      <c r="AC423" s="5" t="s">
        <v>80</v>
      </c>
      <c r="AD423" s="5" t="s">
        <v>79</v>
      </c>
      <c r="AE423" s="5" t="s">
        <v>82</v>
      </c>
      <c r="AF423" s="10">
        <v>28500</v>
      </c>
      <c r="AG423" s="7">
        <v>48638</v>
      </c>
      <c r="AH423" s="10">
        <v>36000</v>
      </c>
      <c r="AI423" s="10">
        <v>27000</v>
      </c>
      <c r="AJ423" s="11">
        <f t="shared" si="6"/>
        <v>16</v>
      </c>
      <c r="AK423" s="12">
        <f>IF(B423="","",OR(K423="Not in use",K423="Low use")+AND(N423&lt;&gt;"",N423&lt;&gt;"TBD")+AND(ISNUMBER(U423),U423&lt;=EDATE('Scoring Settings'!$B$4,'Scoring Settings'!$B$8))+AND(ISNUMBER(L423),L423&lt;='Scoring Settings'!$B$7))</f>
        <v>1</v>
      </c>
      <c r="AL423" s="5" t="s">
        <v>223</v>
      </c>
      <c r="AM423" s="8" t="str">
        <f>IF(B423="","",IF(Z423="N","Easy",IF(OR(AND(ISNUMBER(AB423),AB423&gt;'Scoring Settings'!$B$11),AND(ISNUMBER(W423),W423&gt;'Scoring Settings'!$B$12),AND(ISNUMBER(M423),M423&lt;='Scoring Settings'!$B$13)),"High","Medium")))</f>
        <v>Easy</v>
      </c>
      <c r="AN423" s="5" t="s">
        <v>148</v>
      </c>
      <c r="AO423" s="7">
        <v>45016</v>
      </c>
      <c r="AP423" s="5" t="s">
        <v>98</v>
      </c>
      <c r="AQ423" s="29" t="s">
        <v>136</v>
      </c>
    </row>
    <row r="424" spans="1:43" hidden="1">
      <c r="A424" s="28">
        <v>179148</v>
      </c>
      <c r="B424" s="5" t="s">
        <v>1342</v>
      </c>
      <c r="C424" s="5" t="s">
        <v>220</v>
      </c>
      <c r="D424" s="5" t="s">
        <v>139</v>
      </c>
      <c r="E424" s="5" t="s">
        <v>68</v>
      </c>
      <c r="F424" s="5" t="s">
        <v>178</v>
      </c>
      <c r="G424" s="5" t="s">
        <v>153</v>
      </c>
      <c r="H424" s="5" t="s">
        <v>105</v>
      </c>
      <c r="I424" s="6">
        <v>0</v>
      </c>
      <c r="J424" s="7">
        <v>44102</v>
      </c>
      <c r="K424" s="8" t="str">
        <f>IF(B424="","",IF(AND(I424="",J424=""),"Unknown",IF(OR(AND(ISNUMBER(I424),I424=0),AND(ISNUMBER(J424),J424&lt;=EDATE('Scoring Settings'!$B$4,-'Scoring Settings'!$B$5))),"Not in use",IF(AND(ISNUMBER(I424),I424&lt;'Scoring Settings'!$B$6),"Low use","Active"))))</f>
        <v>Not in use</v>
      </c>
      <c r="L424" s="5">
        <v>2</v>
      </c>
      <c r="M424" s="5">
        <v>3</v>
      </c>
      <c r="N424" s="5" t="s">
        <v>350</v>
      </c>
      <c r="O424" s="5" t="s">
        <v>73</v>
      </c>
      <c r="P424" s="5" t="s">
        <v>1343</v>
      </c>
      <c r="Q424" s="9">
        <v>2</v>
      </c>
      <c r="R424" s="5" t="s">
        <v>93</v>
      </c>
      <c r="S424" s="5" t="s">
        <v>94</v>
      </c>
      <c r="T424" s="5" t="s">
        <v>122</v>
      </c>
      <c r="U424" s="7">
        <v>44561</v>
      </c>
      <c r="V424" s="5" t="s">
        <v>95</v>
      </c>
      <c r="W424" s="6">
        <v>420</v>
      </c>
      <c r="X424" s="5" t="s">
        <v>80</v>
      </c>
      <c r="Y424" s="9">
        <v>7</v>
      </c>
      <c r="Z424" s="5" t="s">
        <v>79</v>
      </c>
      <c r="AA424" s="5" t="s">
        <v>110</v>
      </c>
      <c r="AB424" s="9">
        <v>5</v>
      </c>
      <c r="AC424" s="5" t="s">
        <v>79</v>
      </c>
      <c r="AD424" s="5" t="s">
        <v>79</v>
      </c>
      <c r="AE424" s="5" t="s">
        <v>82</v>
      </c>
      <c r="AF424" s="10">
        <v>31500</v>
      </c>
      <c r="AG424" s="7">
        <v>48883</v>
      </c>
      <c r="AH424" s="10">
        <v>24500</v>
      </c>
      <c r="AI424" s="10">
        <v>28000</v>
      </c>
      <c r="AJ424" s="11">
        <f t="shared" si="6"/>
        <v>10.5</v>
      </c>
      <c r="AK424" s="12">
        <f>IF(B424="","",OR(K424="Not in use",K424="Low use")+AND(N424&lt;&gt;"",N424&lt;&gt;"TBD")+AND(ISNUMBER(U424),U424&lt;=EDATE('Scoring Settings'!$B$4,'Scoring Settings'!$B$8))+AND(ISNUMBER(L424),L424&lt;='Scoring Settings'!$B$7))</f>
        <v>4</v>
      </c>
      <c r="AL424" s="5" t="s">
        <v>223</v>
      </c>
      <c r="AM424" s="8" t="str">
        <f>IF(B424="","",IF(Z424="N","Easy",IF(OR(AND(ISNUMBER(AB424),AB424&gt;'Scoring Settings'!$B$11),AND(ISNUMBER(W424),W424&gt;'Scoring Settings'!$B$12),AND(ISNUMBER(M424),M424&lt;='Scoring Settings'!$B$13)),"High","Medium")))</f>
        <v>Easy</v>
      </c>
      <c r="AN424" s="5" t="s">
        <v>148</v>
      </c>
      <c r="AO424" s="7">
        <v>45199</v>
      </c>
      <c r="AP424" s="5" t="s">
        <v>197</v>
      </c>
      <c r="AQ424" s="29" t="s">
        <v>252</v>
      </c>
    </row>
    <row r="425" spans="1:43" hidden="1">
      <c r="A425" s="28">
        <v>32448</v>
      </c>
      <c r="B425" s="5" t="s">
        <v>1352</v>
      </c>
      <c r="C425" s="5" t="s">
        <v>13</v>
      </c>
      <c r="D425" s="5" t="s">
        <v>162</v>
      </c>
      <c r="E425" s="5" t="s">
        <v>68</v>
      </c>
      <c r="F425" s="5" t="s">
        <v>69</v>
      </c>
      <c r="G425" s="5" t="s">
        <v>70</v>
      </c>
      <c r="H425" s="5" t="s">
        <v>91</v>
      </c>
      <c r="I425" s="6">
        <v>10</v>
      </c>
      <c r="J425" s="7">
        <v>44306</v>
      </c>
      <c r="K425" s="8" t="str">
        <f>IF(B425="","",IF(AND(I425="",J425=""),"Unknown",IF(OR(AND(ISNUMBER(I425),I425=0),AND(ISNUMBER(J425),J425&lt;=EDATE('Scoring Settings'!$B$4,-'Scoring Settings'!$B$5))),"Not in use",IF(AND(ISNUMBER(I425),I425&lt;'Scoring Settings'!$B$6),"Low use","Active"))))</f>
        <v>Low use</v>
      </c>
      <c r="L425" s="5">
        <v>3</v>
      </c>
      <c r="M425" s="5">
        <v>4</v>
      </c>
      <c r="N425" s="5"/>
      <c r="O425" s="5" t="s">
        <v>73</v>
      </c>
      <c r="P425" s="5" t="s">
        <v>1347</v>
      </c>
      <c r="Q425" s="9">
        <v>4</v>
      </c>
      <c r="R425" s="5" t="s">
        <v>75</v>
      </c>
      <c r="S425" s="5" t="s">
        <v>76</v>
      </c>
      <c r="T425" s="5" t="s">
        <v>184</v>
      </c>
      <c r="U425" s="7">
        <v>46399</v>
      </c>
      <c r="V425" s="5" t="s">
        <v>78</v>
      </c>
      <c r="W425" s="6">
        <v>1570</v>
      </c>
      <c r="X425" s="5" t="s">
        <v>79</v>
      </c>
      <c r="Y425" s="9">
        <v>3</v>
      </c>
      <c r="Z425" s="5" t="s">
        <v>79</v>
      </c>
      <c r="AA425" s="5" t="s">
        <v>110</v>
      </c>
      <c r="AB425" s="9">
        <v>3</v>
      </c>
      <c r="AC425" s="5" t="s">
        <v>79</v>
      </c>
      <c r="AD425" s="5" t="s">
        <v>79</v>
      </c>
      <c r="AE425" s="5" t="s">
        <v>80</v>
      </c>
      <c r="AF425" s="10">
        <v>75000</v>
      </c>
      <c r="AG425" s="7">
        <v>46295</v>
      </c>
      <c r="AH425" s="10">
        <v>108000</v>
      </c>
      <c r="AI425" s="10">
        <v>63500</v>
      </c>
      <c r="AJ425" s="11">
        <f t="shared" si="6"/>
        <v>20.409448818897637</v>
      </c>
      <c r="AK425" s="12">
        <f>IF(B425="","",OR(K425="Not in use",K425="Low use")+AND(N425&lt;&gt;"",N425&lt;&gt;"TBD")+AND(ISNUMBER(U425),U425&lt;=EDATE('Scoring Settings'!$B$4,'Scoring Settings'!$B$8))+AND(ISNUMBER(L425),L425&lt;='Scoring Settings'!$B$7))</f>
        <v>1</v>
      </c>
      <c r="AL425" s="5" t="s">
        <v>223</v>
      </c>
      <c r="AM425" s="8" t="str">
        <f>IF(B425="","",IF(Z425="N","Easy",IF(OR(AND(ISNUMBER(AB425),AB425&gt;'Scoring Settings'!$B$11),AND(ISNUMBER(W425),W425&gt;'Scoring Settings'!$B$12),AND(ISNUMBER(M425),M425&lt;='Scoring Settings'!$B$13)),"High","Medium")))</f>
        <v>Easy</v>
      </c>
      <c r="AN425" s="5" t="s">
        <v>148</v>
      </c>
      <c r="AO425" s="7">
        <v>45138</v>
      </c>
      <c r="AP425" s="5" t="s">
        <v>98</v>
      </c>
      <c r="AQ425" s="29" t="s">
        <v>136</v>
      </c>
    </row>
    <row r="426" spans="1:43" hidden="1">
      <c r="A426" s="28">
        <v>20778</v>
      </c>
      <c r="B426" s="5" t="s">
        <v>1353</v>
      </c>
      <c r="C426" s="5" t="s">
        <v>301</v>
      </c>
      <c r="D426" s="5" t="s">
        <v>162</v>
      </c>
      <c r="E426" s="5" t="s">
        <v>68</v>
      </c>
      <c r="F426" s="5" t="s">
        <v>178</v>
      </c>
      <c r="G426" s="5" t="s">
        <v>221</v>
      </c>
      <c r="H426" s="5" t="s">
        <v>118</v>
      </c>
      <c r="I426" s="6">
        <v>59</v>
      </c>
      <c r="J426" s="7">
        <v>44306</v>
      </c>
      <c r="K426" s="8" t="str">
        <f>IF(B426="","",IF(AND(I426="",J426=""),"Unknown",IF(OR(AND(ISNUMBER(I426),I426=0),AND(ISNUMBER(J426),J426&lt;=EDATE('Scoring Settings'!$B$4,-'Scoring Settings'!$B$5))),"Not in use",IF(AND(ISNUMBER(I426),I426&lt;'Scoring Settings'!$B$6),"Low use","Active"))))</f>
        <v>Active</v>
      </c>
      <c r="L426" s="5">
        <v>3</v>
      </c>
      <c r="M426" s="5">
        <v>4</v>
      </c>
      <c r="N426" s="5" t="s">
        <v>711</v>
      </c>
      <c r="O426" s="5" t="s">
        <v>191</v>
      </c>
      <c r="P426" s="5" t="s">
        <v>192</v>
      </c>
      <c r="Q426" s="9">
        <v>0</v>
      </c>
      <c r="R426" s="5" t="s">
        <v>193</v>
      </c>
      <c r="S426" s="5" t="s">
        <v>194</v>
      </c>
      <c r="T426" s="5" t="s">
        <v>195</v>
      </c>
      <c r="U426" s="7"/>
      <c r="V426" s="5" t="s">
        <v>135</v>
      </c>
      <c r="W426" s="6">
        <v>26</v>
      </c>
      <c r="X426" s="5" t="s">
        <v>79</v>
      </c>
      <c r="Y426" s="9">
        <v>5</v>
      </c>
      <c r="Z426" s="5" t="s">
        <v>80</v>
      </c>
      <c r="AA426" s="5" t="s">
        <v>205</v>
      </c>
      <c r="AB426" s="9">
        <v>0</v>
      </c>
      <c r="AC426" s="5" t="s">
        <v>82</v>
      </c>
      <c r="AD426" s="5" t="s">
        <v>79</v>
      </c>
      <c r="AE426" s="5" t="s">
        <v>82</v>
      </c>
      <c r="AF426" s="10">
        <v>21500</v>
      </c>
      <c r="AG426" s="7">
        <v>47968</v>
      </c>
      <c r="AH426" s="10">
        <v>11000</v>
      </c>
      <c r="AI426" s="10">
        <v>12000</v>
      </c>
      <c r="AJ426" s="11">
        <f t="shared" si="6"/>
        <v>11</v>
      </c>
      <c r="AK426" s="12">
        <f>IF(B426="","",OR(K426="Not in use",K426="Low use")+AND(N426&lt;&gt;"",N426&lt;&gt;"TBD")+AND(ISNUMBER(U426),U426&lt;=EDATE('Scoring Settings'!$B$4,'Scoring Settings'!$B$8))+AND(ISNUMBER(L426),L426&lt;='Scoring Settings'!$B$7))</f>
        <v>1</v>
      </c>
      <c r="AL426" s="5" t="s">
        <v>2217</v>
      </c>
      <c r="AM426" s="8" t="str">
        <f>IF(B426="","",IF(Z426="N","Easy",IF(OR(AND(ISNUMBER(AB426),AB426&gt;'Scoring Settings'!$B$11),AND(ISNUMBER(W426),W426&gt;'Scoring Settings'!$B$12),AND(ISNUMBER(M426),M426&lt;='Scoring Settings'!$B$13)),"High","Medium")))</f>
        <v>Medium</v>
      </c>
      <c r="AN426" s="5" t="s">
        <v>148</v>
      </c>
      <c r="AO426" s="7">
        <v>44957</v>
      </c>
      <c r="AP426" s="5" t="s">
        <v>197</v>
      </c>
      <c r="AQ426" s="29" t="s">
        <v>1354</v>
      </c>
    </row>
    <row r="427" spans="1:43" hidden="1">
      <c r="A427" s="28">
        <v>137926</v>
      </c>
      <c r="B427" s="5" t="s">
        <v>1364</v>
      </c>
      <c r="C427" s="5" t="s">
        <v>208</v>
      </c>
      <c r="D427" s="5" t="s">
        <v>67</v>
      </c>
      <c r="E427" s="5" t="s">
        <v>68</v>
      </c>
      <c r="F427" s="5" t="s">
        <v>236</v>
      </c>
      <c r="G427" s="5" t="s">
        <v>210</v>
      </c>
      <c r="H427" s="5" t="s">
        <v>142</v>
      </c>
      <c r="I427" s="6">
        <v>470</v>
      </c>
      <c r="J427" s="7">
        <v>44308</v>
      </c>
      <c r="K427" s="8" t="str">
        <f>IF(B427="","",IF(AND(I427="",J427=""),"Unknown",IF(OR(AND(ISNUMBER(I427),I427=0),AND(ISNUMBER(J427),J427&lt;=EDATE('Scoring Settings'!$B$4,-'Scoring Settings'!$B$5))),"Not in use",IF(AND(ISNUMBER(I427),I427&lt;'Scoring Settings'!$B$6),"Low use","Active"))))</f>
        <v>Active</v>
      </c>
      <c r="L427" s="5">
        <v>4</v>
      </c>
      <c r="M427" s="5">
        <v>1</v>
      </c>
      <c r="N427" s="5" t="s">
        <v>227</v>
      </c>
      <c r="O427" s="5" t="s">
        <v>143</v>
      </c>
      <c r="P427" s="5" t="s">
        <v>144</v>
      </c>
      <c r="Q427" s="9">
        <v>0</v>
      </c>
      <c r="R427" s="5" t="s">
        <v>145</v>
      </c>
      <c r="S427" s="5" t="s">
        <v>145</v>
      </c>
      <c r="T427" s="5" t="s">
        <v>146</v>
      </c>
      <c r="U427" s="7"/>
      <c r="V427" s="5" t="s">
        <v>95</v>
      </c>
      <c r="W427" s="6">
        <v>1540</v>
      </c>
      <c r="X427" s="5" t="s">
        <v>80</v>
      </c>
      <c r="Y427" s="9">
        <v>5</v>
      </c>
      <c r="Z427" s="5" t="s">
        <v>80</v>
      </c>
      <c r="AA427" s="5" t="s">
        <v>81</v>
      </c>
      <c r="AB427" s="9">
        <v>43</v>
      </c>
      <c r="AC427" s="5" t="s">
        <v>82</v>
      </c>
      <c r="AD427" s="5" t="s">
        <v>82</v>
      </c>
      <c r="AE427" s="5" t="s">
        <v>79</v>
      </c>
      <c r="AF427" s="10">
        <v>12500</v>
      </c>
      <c r="AG427" s="7">
        <v>46022</v>
      </c>
      <c r="AH427" s="10">
        <v>28500</v>
      </c>
      <c r="AI427" s="10">
        <v>7500</v>
      </c>
      <c r="AJ427" s="11">
        <f t="shared" si="6"/>
        <v>45.599999999999994</v>
      </c>
      <c r="AK427" s="12">
        <f>IF(B427="","",OR(K427="Not in use",K427="Low use")+AND(N427&lt;&gt;"",N427&lt;&gt;"TBD")+AND(ISNUMBER(U427),U427&lt;=EDATE('Scoring Settings'!$B$4,'Scoring Settings'!$B$8))+AND(ISNUMBER(L427),L427&lt;='Scoring Settings'!$B$7))</f>
        <v>1</v>
      </c>
      <c r="AL427" s="5" t="s">
        <v>96</v>
      </c>
      <c r="AM427" s="8" t="str">
        <f>IF(B427="","",IF(Z427="N","Easy",IF(OR(AND(ISNUMBER(AB427),AB427&gt;'Scoring Settings'!$B$11),AND(ISNUMBER(W427),W427&gt;'Scoring Settings'!$B$12),AND(ISNUMBER(M427),M427&lt;='Scoring Settings'!$B$13)),"High","Medium")))</f>
        <v>High</v>
      </c>
      <c r="AN427" s="5" t="s">
        <v>148</v>
      </c>
      <c r="AO427" s="7">
        <v>45291</v>
      </c>
      <c r="AP427" s="5" t="s">
        <v>98</v>
      </c>
      <c r="AQ427" s="29" t="s">
        <v>170</v>
      </c>
    </row>
    <row r="428" spans="1:43" hidden="1">
      <c r="A428" s="28">
        <v>165193</v>
      </c>
      <c r="B428" s="5" t="s">
        <v>1389</v>
      </c>
      <c r="C428" s="5" t="s">
        <v>172</v>
      </c>
      <c r="D428" s="5" t="s">
        <v>162</v>
      </c>
      <c r="E428" s="5" t="s">
        <v>68</v>
      </c>
      <c r="F428" s="5" t="s">
        <v>387</v>
      </c>
      <c r="G428" s="5" t="s">
        <v>226</v>
      </c>
      <c r="H428" s="5" t="s">
        <v>129</v>
      </c>
      <c r="I428" s="6">
        <v>16</v>
      </c>
      <c r="J428" s="7">
        <v>44224</v>
      </c>
      <c r="K428" s="8" t="str">
        <f>IF(B428="","",IF(AND(I428="",J428=""),"Unknown",IF(OR(AND(ISNUMBER(I428),I428=0),AND(ISNUMBER(J428),J428&lt;=EDATE('Scoring Settings'!$B$4,-'Scoring Settings'!$B$5))),"Not in use",IF(AND(ISNUMBER(I428),I428&lt;'Scoring Settings'!$B$6),"Low use","Active"))))</f>
        <v>Low use</v>
      </c>
      <c r="L428" s="5">
        <v>2</v>
      </c>
      <c r="M428" s="5">
        <v>4</v>
      </c>
      <c r="N428" s="5" t="s">
        <v>458</v>
      </c>
      <c r="O428" s="5" t="s">
        <v>73</v>
      </c>
      <c r="P428" s="5" t="s">
        <v>1390</v>
      </c>
      <c r="Q428" s="9">
        <v>4</v>
      </c>
      <c r="R428" s="5" t="s">
        <v>93</v>
      </c>
      <c r="S428" s="5" t="s">
        <v>94</v>
      </c>
      <c r="T428" s="5" t="s">
        <v>122</v>
      </c>
      <c r="U428" s="7">
        <v>44561</v>
      </c>
      <c r="V428" s="5" t="s">
        <v>78</v>
      </c>
      <c r="W428" s="6">
        <v>240</v>
      </c>
      <c r="X428" s="5" t="s">
        <v>79</v>
      </c>
      <c r="Y428" s="9">
        <v>3</v>
      </c>
      <c r="Z428" s="5" t="s">
        <v>80</v>
      </c>
      <c r="AA428" s="5" t="s">
        <v>185</v>
      </c>
      <c r="AB428" s="9">
        <v>0</v>
      </c>
      <c r="AC428" s="5" t="s">
        <v>79</v>
      </c>
      <c r="AD428" s="5" t="s">
        <v>82</v>
      </c>
      <c r="AE428" s="5" t="s">
        <v>82</v>
      </c>
      <c r="AF428" s="10">
        <v>60000</v>
      </c>
      <c r="AG428" s="7">
        <v>48699</v>
      </c>
      <c r="AH428" s="10">
        <v>77500</v>
      </c>
      <c r="AI428" s="10">
        <v>37500</v>
      </c>
      <c r="AJ428" s="11">
        <f t="shared" si="6"/>
        <v>24.800000000000004</v>
      </c>
      <c r="AK428" s="12">
        <f>IF(B428="","",OR(K428="Not in use",K428="Low use")+AND(N428&lt;&gt;"",N428&lt;&gt;"TBD")+AND(ISNUMBER(U428),U428&lt;=EDATE('Scoring Settings'!$B$4,'Scoring Settings'!$B$8))+AND(ISNUMBER(L428),L428&lt;='Scoring Settings'!$B$7))</f>
        <v>4</v>
      </c>
      <c r="AL428" s="5" t="s">
        <v>96</v>
      </c>
      <c r="AM428" s="8" t="str">
        <f>IF(B428="","",IF(Z428="N","Easy",IF(OR(AND(ISNUMBER(AB428),AB428&gt;'Scoring Settings'!$B$11),AND(ISNUMBER(W428),W428&gt;'Scoring Settings'!$B$12),AND(ISNUMBER(M428),M428&lt;='Scoring Settings'!$B$13)),"High","Medium")))</f>
        <v>Medium</v>
      </c>
      <c r="AN428" s="5" t="s">
        <v>148</v>
      </c>
      <c r="AO428" s="7">
        <v>45107</v>
      </c>
      <c r="AP428" s="5" t="s">
        <v>98</v>
      </c>
      <c r="AQ428" s="29" t="s">
        <v>213</v>
      </c>
    </row>
    <row r="429" spans="1:43" ht="42.75" hidden="1">
      <c r="A429" s="28">
        <v>75600</v>
      </c>
      <c r="B429" s="5" t="s">
        <v>1394</v>
      </c>
      <c r="C429" s="5" t="s">
        <v>200</v>
      </c>
      <c r="D429" s="5" t="s">
        <v>115</v>
      </c>
      <c r="E429" s="5" t="s">
        <v>68</v>
      </c>
      <c r="F429" s="5" t="s">
        <v>476</v>
      </c>
      <c r="G429" s="5" t="s">
        <v>104</v>
      </c>
      <c r="H429" s="5" t="s">
        <v>189</v>
      </c>
      <c r="I429" s="6">
        <v>1</v>
      </c>
      <c r="J429" s="7">
        <v>43789</v>
      </c>
      <c r="K429" s="8" t="str">
        <f>IF(B429="","",IF(AND(I429="",J429=""),"Unknown",IF(OR(AND(ISNUMBER(I429),I429=0),AND(ISNUMBER(J429),J429&lt;=EDATE('Scoring Settings'!$B$4,-'Scoring Settings'!$B$5))),"Not in use",IF(AND(ISNUMBER(I429),I429&lt;'Scoring Settings'!$B$6),"Low use","Active"))))</f>
        <v>Not in use</v>
      </c>
      <c r="L429" s="5">
        <v>1</v>
      </c>
      <c r="M429" s="5">
        <v>4</v>
      </c>
      <c r="N429" s="5"/>
      <c r="O429" s="5" t="s">
        <v>191</v>
      </c>
      <c r="P429" s="5" t="s">
        <v>192</v>
      </c>
      <c r="Q429" s="9">
        <v>0</v>
      </c>
      <c r="R429" s="5" t="s">
        <v>193</v>
      </c>
      <c r="S429" s="5" t="s">
        <v>194</v>
      </c>
      <c r="T429" s="5" t="s">
        <v>195</v>
      </c>
      <c r="U429" s="7"/>
      <c r="V429" s="5" t="s">
        <v>95</v>
      </c>
      <c r="W429" s="6">
        <v>30</v>
      </c>
      <c r="X429" s="5" t="s">
        <v>80</v>
      </c>
      <c r="Y429" s="9">
        <v>10</v>
      </c>
      <c r="Z429" s="5" t="s">
        <v>79</v>
      </c>
      <c r="AA429" s="5" t="s">
        <v>110</v>
      </c>
      <c r="AB429" s="9">
        <v>2</v>
      </c>
      <c r="AC429" s="5" t="s">
        <v>82</v>
      </c>
      <c r="AD429" s="5" t="s">
        <v>82</v>
      </c>
      <c r="AE429" s="5" t="s">
        <v>82</v>
      </c>
      <c r="AF429" s="10">
        <v>21500</v>
      </c>
      <c r="AG429" s="7">
        <v>48121</v>
      </c>
      <c r="AH429" s="10">
        <v>8500</v>
      </c>
      <c r="AI429" s="10">
        <v>21500</v>
      </c>
      <c r="AJ429" s="11">
        <f t="shared" si="6"/>
        <v>4.7441860465116275</v>
      </c>
      <c r="AK429" s="12">
        <f>IF(B429="","",OR(K429="Not in use",K429="Low use")+AND(N429&lt;&gt;"",N429&lt;&gt;"TBD")+AND(ISNUMBER(U429),U429&lt;=EDATE('Scoring Settings'!$B$4,'Scoring Settings'!$B$8))+AND(ISNUMBER(L429),L429&lt;='Scoring Settings'!$B$7))</f>
        <v>2</v>
      </c>
      <c r="AL429" s="5" t="s">
        <v>223</v>
      </c>
      <c r="AM429" s="8" t="str">
        <f>IF(B429="","",IF(Z429="N","Easy",IF(OR(AND(ISNUMBER(AB429),AB429&gt;'Scoring Settings'!$B$11),AND(ISNUMBER(W429),W429&gt;'Scoring Settings'!$B$12),AND(ISNUMBER(M429),M429&lt;='Scoring Settings'!$B$13)),"High","Medium")))</f>
        <v>Easy</v>
      </c>
      <c r="AN429" s="5" t="s">
        <v>148</v>
      </c>
      <c r="AO429" s="7">
        <v>45291</v>
      </c>
      <c r="AP429" s="5" t="s">
        <v>98</v>
      </c>
      <c r="AQ429" s="29" t="s">
        <v>622</v>
      </c>
    </row>
    <row r="430" spans="1:43" ht="42.75" hidden="1">
      <c r="A430" s="28">
        <v>129000</v>
      </c>
      <c r="B430" s="5" t="s">
        <v>1400</v>
      </c>
      <c r="C430" s="5" t="s">
        <v>467</v>
      </c>
      <c r="D430" s="5" t="s">
        <v>297</v>
      </c>
      <c r="E430" s="5" t="s">
        <v>68</v>
      </c>
      <c r="F430" s="5" t="s">
        <v>476</v>
      </c>
      <c r="G430" s="5" t="s">
        <v>278</v>
      </c>
      <c r="H430" s="5" t="s">
        <v>129</v>
      </c>
      <c r="I430" s="6">
        <v>387</v>
      </c>
      <c r="J430" s="7">
        <v>44279</v>
      </c>
      <c r="K430" s="8" t="str">
        <f>IF(B430="","",IF(AND(I430="",J430=""),"Unknown",IF(OR(AND(ISNUMBER(I430),I430=0),AND(ISNUMBER(J430),J430&lt;=EDATE('Scoring Settings'!$B$4,-'Scoring Settings'!$B$5))),"Not in use",IF(AND(ISNUMBER(I430),I430&lt;'Scoring Settings'!$B$6),"Low use","Active"))))</f>
        <v>Active</v>
      </c>
      <c r="L430" s="5">
        <v>2</v>
      </c>
      <c r="M430" s="5">
        <v>3</v>
      </c>
      <c r="N430" s="5"/>
      <c r="O430" s="5" t="s">
        <v>73</v>
      </c>
      <c r="P430" s="5" t="s">
        <v>1401</v>
      </c>
      <c r="Q430" s="9">
        <v>3</v>
      </c>
      <c r="R430" s="5" t="s">
        <v>166</v>
      </c>
      <c r="S430" s="5" t="s">
        <v>564</v>
      </c>
      <c r="T430" s="5" t="s">
        <v>184</v>
      </c>
      <c r="U430" s="7">
        <v>44754</v>
      </c>
      <c r="V430" s="5" t="s">
        <v>135</v>
      </c>
      <c r="W430" s="6">
        <v>280</v>
      </c>
      <c r="X430" s="5" t="s">
        <v>80</v>
      </c>
      <c r="Y430" s="9">
        <v>7</v>
      </c>
      <c r="Z430" s="5" t="s">
        <v>80</v>
      </c>
      <c r="AA430" s="5" t="s">
        <v>205</v>
      </c>
      <c r="AB430" s="9">
        <v>3</v>
      </c>
      <c r="AC430" s="5" t="s">
        <v>79</v>
      </c>
      <c r="AD430" s="5" t="s">
        <v>82</v>
      </c>
      <c r="AE430" s="5" t="s">
        <v>79</v>
      </c>
      <c r="AF430" s="10">
        <v>47500</v>
      </c>
      <c r="AG430" s="7">
        <v>47999</v>
      </c>
      <c r="AH430" s="10">
        <v>40000</v>
      </c>
      <c r="AI430" s="10">
        <v>28000</v>
      </c>
      <c r="AJ430" s="11">
        <f t="shared" si="6"/>
        <v>17.142857142857142</v>
      </c>
      <c r="AK430" s="12">
        <f>IF(B430="","",OR(K430="Not in use",K430="Low use")+AND(N430&lt;&gt;"",N430&lt;&gt;"TBD")+AND(ISNUMBER(U430),U430&lt;=EDATE('Scoring Settings'!$B$4,'Scoring Settings'!$B$8))+AND(ISNUMBER(L430),L430&lt;='Scoring Settings'!$B$7))</f>
        <v>1</v>
      </c>
      <c r="AL430" s="5" t="s">
        <v>96</v>
      </c>
      <c r="AM430" s="8" t="str">
        <f>IF(B430="","",IF(Z430="N","Easy",IF(OR(AND(ISNUMBER(AB430),AB430&gt;'Scoring Settings'!$B$11),AND(ISNUMBER(W430),W430&gt;'Scoring Settings'!$B$12),AND(ISNUMBER(M430),M430&lt;='Scoring Settings'!$B$13)),"High","Medium")))</f>
        <v>Medium</v>
      </c>
      <c r="AN430" s="5" t="s">
        <v>148</v>
      </c>
      <c r="AO430" s="7">
        <v>45138</v>
      </c>
      <c r="AP430" s="5" t="s">
        <v>197</v>
      </c>
      <c r="AQ430" s="29" t="s">
        <v>1061</v>
      </c>
    </row>
    <row r="431" spans="1:43" hidden="1">
      <c r="A431" s="28">
        <v>108221</v>
      </c>
      <c r="B431" s="5" t="s">
        <v>1411</v>
      </c>
      <c r="C431" s="5" t="s">
        <v>333</v>
      </c>
      <c r="D431" s="5" t="s">
        <v>115</v>
      </c>
      <c r="E431" s="5" t="s">
        <v>68</v>
      </c>
      <c r="F431" s="5" t="s">
        <v>188</v>
      </c>
      <c r="G431" s="5" t="s">
        <v>356</v>
      </c>
      <c r="H431" s="5" t="s">
        <v>142</v>
      </c>
      <c r="I431" s="6">
        <v>1386</v>
      </c>
      <c r="J431" s="7">
        <v>44297</v>
      </c>
      <c r="K431" s="8" t="str">
        <f>IF(B431="","",IF(AND(I431="",J431=""),"Unknown",IF(OR(AND(ISNUMBER(I431),I431=0),AND(ISNUMBER(J431),J431&lt;=EDATE('Scoring Settings'!$B$4,-'Scoring Settings'!$B$5))),"Not in use",IF(AND(ISNUMBER(I431),I431&lt;'Scoring Settings'!$B$6),"Low use","Active"))))</f>
        <v>Active</v>
      </c>
      <c r="L431" s="5">
        <v>2</v>
      </c>
      <c r="M431" s="5">
        <v>4</v>
      </c>
      <c r="N431" s="5" t="s">
        <v>930</v>
      </c>
      <c r="O431" s="5" t="s">
        <v>143</v>
      </c>
      <c r="P431" s="5" t="s">
        <v>144</v>
      </c>
      <c r="Q431" s="9">
        <v>0</v>
      </c>
      <c r="R431" s="5" t="s">
        <v>145</v>
      </c>
      <c r="S431" s="5" t="s">
        <v>145</v>
      </c>
      <c r="T431" s="5" t="s">
        <v>146</v>
      </c>
      <c r="U431" s="7"/>
      <c r="V431" s="5" t="s">
        <v>95</v>
      </c>
      <c r="W431" s="6">
        <v>420</v>
      </c>
      <c r="X431" s="5" t="s">
        <v>80</v>
      </c>
      <c r="Y431" s="9">
        <v>10</v>
      </c>
      <c r="Z431" s="5" t="s">
        <v>80</v>
      </c>
      <c r="AA431" s="5" t="s">
        <v>81</v>
      </c>
      <c r="AB431" s="9">
        <v>1</v>
      </c>
      <c r="AC431" s="5" t="s">
        <v>82</v>
      </c>
      <c r="AD431" s="5" t="s">
        <v>80</v>
      </c>
      <c r="AE431" s="5" t="s">
        <v>79</v>
      </c>
      <c r="AF431" s="10">
        <v>110000</v>
      </c>
      <c r="AG431" s="7">
        <v>47968</v>
      </c>
      <c r="AH431" s="10">
        <v>80500</v>
      </c>
      <c r="AI431" s="10">
        <v>48500</v>
      </c>
      <c r="AJ431" s="11">
        <f t="shared" si="6"/>
        <v>19.917525773195877</v>
      </c>
      <c r="AK431" s="12">
        <f>IF(B431="","",OR(K431="Not in use",K431="Low use")+AND(N431&lt;&gt;"",N431&lt;&gt;"TBD")+AND(ISNUMBER(U431),U431&lt;=EDATE('Scoring Settings'!$B$4,'Scoring Settings'!$B$8))+AND(ISNUMBER(L431),L431&lt;='Scoring Settings'!$B$7))</f>
        <v>2</v>
      </c>
      <c r="AL431" s="5" t="s">
        <v>2217</v>
      </c>
      <c r="AM431" s="8" t="str">
        <f>IF(B431="","",IF(Z431="N","Easy",IF(OR(AND(ISNUMBER(AB431),AB431&gt;'Scoring Settings'!$B$11),AND(ISNUMBER(W431),W431&gt;'Scoring Settings'!$B$12),AND(ISNUMBER(M431),M431&lt;='Scoring Settings'!$B$13)),"High","Medium")))</f>
        <v>Medium</v>
      </c>
      <c r="AN431" s="5" t="s">
        <v>148</v>
      </c>
      <c r="AO431" s="7">
        <v>44985</v>
      </c>
      <c r="AP431" s="5" t="s">
        <v>98</v>
      </c>
      <c r="AQ431" s="29" t="s">
        <v>149</v>
      </c>
    </row>
    <row r="432" spans="1:43" hidden="1">
      <c r="A432" s="28">
        <v>142937</v>
      </c>
      <c r="B432" s="5" t="s">
        <v>1413</v>
      </c>
      <c r="C432" s="5" t="s">
        <v>464</v>
      </c>
      <c r="D432" s="5" t="s">
        <v>88</v>
      </c>
      <c r="E432" s="5" t="s">
        <v>68</v>
      </c>
      <c r="F432" s="5" t="s">
        <v>288</v>
      </c>
      <c r="G432" s="5" t="s">
        <v>104</v>
      </c>
      <c r="H432" s="5" t="s">
        <v>142</v>
      </c>
      <c r="I432" s="6">
        <v>327</v>
      </c>
      <c r="J432" s="7">
        <v>44308</v>
      </c>
      <c r="K432" s="8" t="str">
        <f>IF(B432="","",IF(AND(I432="",J432=""),"Unknown",IF(OR(AND(ISNUMBER(I432),I432=0),AND(ISNUMBER(J432),J432&lt;=EDATE('Scoring Settings'!$B$4,-'Scoring Settings'!$B$5))),"Not in use",IF(AND(ISNUMBER(I432),I432&lt;'Scoring Settings'!$B$6),"Low use","Active"))))</f>
        <v>Active</v>
      </c>
      <c r="L432" s="5">
        <v>5</v>
      </c>
      <c r="M432" s="5">
        <v>2</v>
      </c>
      <c r="N432" s="5" t="s">
        <v>180</v>
      </c>
      <c r="O432" s="5" t="s">
        <v>143</v>
      </c>
      <c r="P432" s="5" t="s">
        <v>144</v>
      </c>
      <c r="Q432" s="9">
        <v>0</v>
      </c>
      <c r="R432" s="5" t="s">
        <v>145</v>
      </c>
      <c r="S432" s="5" t="s">
        <v>145</v>
      </c>
      <c r="T432" s="5" t="s">
        <v>146</v>
      </c>
      <c r="U432" s="7"/>
      <c r="V432" s="5" t="s">
        <v>95</v>
      </c>
      <c r="W432" s="6">
        <v>570</v>
      </c>
      <c r="X432" s="5" t="s">
        <v>80</v>
      </c>
      <c r="Y432" s="9">
        <v>7</v>
      </c>
      <c r="Z432" s="5" t="s">
        <v>80</v>
      </c>
      <c r="AA432" s="5" t="s">
        <v>205</v>
      </c>
      <c r="AB432" s="9">
        <v>22</v>
      </c>
      <c r="AC432" s="5" t="s">
        <v>80</v>
      </c>
      <c r="AD432" s="5" t="s">
        <v>79</v>
      </c>
      <c r="AE432" s="5" t="s">
        <v>79</v>
      </c>
      <c r="AF432" s="10">
        <v>39500</v>
      </c>
      <c r="AG432" s="7">
        <v>47177</v>
      </c>
      <c r="AH432" s="10">
        <v>105500</v>
      </c>
      <c r="AI432" s="10">
        <v>20500</v>
      </c>
      <c r="AJ432" s="11">
        <f t="shared" si="6"/>
        <v>61.756097560975611</v>
      </c>
      <c r="AK432" s="12">
        <f>IF(B432="","",OR(K432="Not in use",K432="Low use")+AND(N432&lt;&gt;"",N432&lt;&gt;"TBD")+AND(ISNUMBER(U432),U432&lt;=EDATE('Scoring Settings'!$B$4,'Scoring Settings'!$B$8))+AND(ISNUMBER(L432),L432&lt;='Scoring Settings'!$B$7))</f>
        <v>1</v>
      </c>
      <c r="AL432" s="5" t="s">
        <v>2217</v>
      </c>
      <c r="AM432" s="8" t="str">
        <f>IF(B432="","",IF(Z432="N","Easy",IF(OR(AND(ISNUMBER(AB432),AB432&gt;'Scoring Settings'!$B$11),AND(ISNUMBER(W432),W432&gt;'Scoring Settings'!$B$12),AND(ISNUMBER(M432),M432&lt;='Scoring Settings'!$B$13)),"High","Medium")))</f>
        <v>High</v>
      </c>
      <c r="AN432" s="5" t="s">
        <v>148</v>
      </c>
      <c r="AO432" s="7">
        <v>45077</v>
      </c>
      <c r="AP432" s="5" t="s">
        <v>98</v>
      </c>
      <c r="AQ432" s="29" t="s">
        <v>136</v>
      </c>
    </row>
    <row r="433" spans="1:43" hidden="1">
      <c r="A433" s="28">
        <v>118596</v>
      </c>
      <c r="B433" s="5" t="s">
        <v>1437</v>
      </c>
      <c r="C433" s="5" t="s">
        <v>220</v>
      </c>
      <c r="D433" s="5" t="s">
        <v>139</v>
      </c>
      <c r="E433" s="5" t="s">
        <v>68</v>
      </c>
      <c r="F433" s="5" t="s">
        <v>188</v>
      </c>
      <c r="G433" s="5" t="s">
        <v>117</v>
      </c>
      <c r="H433" s="5" t="s">
        <v>142</v>
      </c>
      <c r="I433" s="6">
        <v>2</v>
      </c>
      <c r="J433" s="7">
        <v>43732</v>
      </c>
      <c r="K433" s="8" t="str">
        <f>IF(B433="","",IF(AND(I433="",J433=""),"Unknown",IF(OR(AND(ISNUMBER(I433),I433=0),AND(ISNUMBER(J433),J433&lt;=EDATE('Scoring Settings'!$B$4,-'Scoring Settings'!$B$5))),"Not in use",IF(AND(ISNUMBER(I433),I433&lt;'Scoring Settings'!$B$6),"Low use","Active"))))</f>
        <v>Not in use</v>
      </c>
      <c r="L433" s="5">
        <v>3</v>
      </c>
      <c r="M433" s="5">
        <v>3</v>
      </c>
      <c r="N433" s="5"/>
      <c r="O433" s="5" t="s">
        <v>143</v>
      </c>
      <c r="P433" s="5" t="s">
        <v>144</v>
      </c>
      <c r="Q433" s="9">
        <v>0</v>
      </c>
      <c r="R433" s="5" t="s">
        <v>145</v>
      </c>
      <c r="S433" s="5" t="s">
        <v>145</v>
      </c>
      <c r="T433" s="5" t="s">
        <v>146</v>
      </c>
      <c r="U433" s="7"/>
      <c r="V433" s="5" t="s">
        <v>135</v>
      </c>
      <c r="W433" s="6">
        <v>220</v>
      </c>
      <c r="X433" s="5" t="s">
        <v>79</v>
      </c>
      <c r="Y433" s="9">
        <v>2</v>
      </c>
      <c r="Z433" s="5" t="s">
        <v>79</v>
      </c>
      <c r="AA433" s="5" t="s">
        <v>110</v>
      </c>
      <c r="AB433" s="9">
        <v>5</v>
      </c>
      <c r="AC433" s="5" t="s">
        <v>82</v>
      </c>
      <c r="AD433" s="5" t="s">
        <v>79</v>
      </c>
      <c r="AE433" s="5" t="s">
        <v>79</v>
      </c>
      <c r="AF433" s="10">
        <v>60000</v>
      </c>
      <c r="AG433" s="7">
        <v>49460</v>
      </c>
      <c r="AH433" s="10">
        <v>30000</v>
      </c>
      <c r="AI433" s="10">
        <v>37500</v>
      </c>
      <c r="AJ433" s="11">
        <f t="shared" si="6"/>
        <v>9.6000000000000014</v>
      </c>
      <c r="AK433" s="12">
        <f>IF(B433="","",OR(K433="Not in use",K433="Low use")+AND(N433&lt;&gt;"",N433&lt;&gt;"TBD")+AND(ISNUMBER(U433),U433&lt;=EDATE('Scoring Settings'!$B$4,'Scoring Settings'!$B$8))+AND(ISNUMBER(L433),L433&lt;='Scoring Settings'!$B$7))</f>
        <v>1</v>
      </c>
      <c r="AL433" s="5" t="s">
        <v>223</v>
      </c>
      <c r="AM433" s="8" t="str">
        <f>IF(B433="","",IF(Z433="N","Easy",IF(OR(AND(ISNUMBER(AB433),AB433&gt;'Scoring Settings'!$B$11),AND(ISNUMBER(W433),W433&gt;'Scoring Settings'!$B$12),AND(ISNUMBER(M433),M433&lt;='Scoring Settings'!$B$13)),"High","Medium")))</f>
        <v>Easy</v>
      </c>
      <c r="AN433" s="5" t="s">
        <v>148</v>
      </c>
      <c r="AO433" s="7">
        <v>45107</v>
      </c>
      <c r="AP433" s="5" t="s">
        <v>98</v>
      </c>
      <c r="AQ433" s="29" t="s">
        <v>170</v>
      </c>
    </row>
    <row r="434" spans="1:43" hidden="1">
      <c r="A434" s="28">
        <v>36326</v>
      </c>
      <c r="B434" s="5" t="s">
        <v>1440</v>
      </c>
      <c r="C434" s="5" t="s">
        <v>270</v>
      </c>
      <c r="D434" s="5" t="s">
        <v>139</v>
      </c>
      <c r="E434" s="5" t="s">
        <v>298</v>
      </c>
      <c r="F434" s="5" t="s">
        <v>419</v>
      </c>
      <c r="G434" s="5" t="s">
        <v>128</v>
      </c>
      <c r="H434" s="5" t="s">
        <v>105</v>
      </c>
      <c r="I434" s="6">
        <v>100</v>
      </c>
      <c r="J434" s="7">
        <v>44275</v>
      </c>
      <c r="K434" s="8" t="str">
        <f>IF(B434="","",IF(AND(I434="",J434=""),"Unknown",IF(OR(AND(ISNUMBER(I434),I434=0),AND(ISNUMBER(J434),J434&lt;=EDATE('Scoring Settings'!$B$4,-'Scoring Settings'!$B$5))),"Not in use",IF(AND(ISNUMBER(I434),I434&lt;'Scoring Settings'!$B$6),"Low use","Active"))))</f>
        <v>Active</v>
      </c>
      <c r="L434" s="5">
        <v>3</v>
      </c>
      <c r="M434" s="5">
        <v>3</v>
      </c>
      <c r="N434" s="5" t="s">
        <v>405</v>
      </c>
      <c r="O434" s="5" t="s">
        <v>73</v>
      </c>
      <c r="P434" s="5" t="s">
        <v>1441</v>
      </c>
      <c r="Q434" s="9">
        <v>3</v>
      </c>
      <c r="R434" s="5" t="s">
        <v>182</v>
      </c>
      <c r="S434" s="5" t="s">
        <v>183</v>
      </c>
      <c r="T434" s="5" t="s">
        <v>77</v>
      </c>
      <c r="U434" s="7" t="s">
        <v>72</v>
      </c>
      <c r="V434" s="5" t="s">
        <v>135</v>
      </c>
      <c r="W434" s="6">
        <v>58</v>
      </c>
      <c r="X434" s="5" t="s">
        <v>79</v>
      </c>
      <c r="Y434" s="9">
        <v>5</v>
      </c>
      <c r="Z434" s="5" t="s">
        <v>79</v>
      </c>
      <c r="AA434" s="5" t="s">
        <v>110</v>
      </c>
      <c r="AB434" s="9">
        <v>4</v>
      </c>
      <c r="AC434" s="5" t="s">
        <v>82</v>
      </c>
      <c r="AD434" s="5" t="s">
        <v>82</v>
      </c>
      <c r="AE434" s="5" t="s">
        <v>82</v>
      </c>
      <c r="AF434" s="10">
        <v>36000</v>
      </c>
      <c r="AG434" s="7">
        <v>45869</v>
      </c>
      <c r="AH434" s="10">
        <v>49000</v>
      </c>
      <c r="AI434" s="10">
        <v>27000</v>
      </c>
      <c r="AJ434" s="11">
        <f t="shared" si="6"/>
        <v>21.777777777777779</v>
      </c>
      <c r="AK434" s="12">
        <f>IF(B434="","",OR(K434="Not in use",K434="Low use")+AND(N434&lt;&gt;"",N434&lt;&gt;"TBD")+AND(ISNUMBER(U434),U434&lt;=EDATE('Scoring Settings'!$B$4,'Scoring Settings'!$B$8))+AND(ISNUMBER(L434),L434&lt;='Scoring Settings'!$B$7))</f>
        <v>1</v>
      </c>
      <c r="AL434" s="5" t="s">
        <v>2217</v>
      </c>
      <c r="AM434" s="8" t="str">
        <f>IF(B434="","",IF(Z434="N","Easy",IF(OR(AND(ISNUMBER(AB434),AB434&gt;'Scoring Settings'!$B$11),AND(ISNUMBER(W434),W434&gt;'Scoring Settings'!$B$12),AND(ISNUMBER(M434),M434&lt;='Scoring Settings'!$B$13)),"High","Medium")))</f>
        <v>Easy</v>
      </c>
      <c r="AN434" s="5" t="s">
        <v>148</v>
      </c>
      <c r="AO434" s="7">
        <v>45230</v>
      </c>
      <c r="AP434" s="5" t="s">
        <v>98</v>
      </c>
      <c r="AQ434" s="29" t="s">
        <v>149</v>
      </c>
    </row>
    <row r="435" spans="1:43" ht="42.75" hidden="1">
      <c r="A435" s="28">
        <v>21058</v>
      </c>
      <c r="B435" s="5" t="s">
        <v>1442</v>
      </c>
      <c r="C435" s="5" t="s">
        <v>87</v>
      </c>
      <c r="D435" s="5" t="s">
        <v>88</v>
      </c>
      <c r="E435" s="5" t="s">
        <v>68</v>
      </c>
      <c r="F435" s="5" t="s">
        <v>326</v>
      </c>
      <c r="G435" s="5" t="s">
        <v>153</v>
      </c>
      <c r="H435" s="5" t="s">
        <v>142</v>
      </c>
      <c r="I435" s="6">
        <v>251</v>
      </c>
      <c r="J435" s="7">
        <v>44312</v>
      </c>
      <c r="K435" s="8" t="str">
        <f>IF(B435="","",IF(AND(I435="",J435=""),"Unknown",IF(OR(AND(ISNUMBER(I435),I435=0),AND(ISNUMBER(J435),J435&lt;=EDATE('Scoring Settings'!$B$4,-'Scoring Settings'!$B$5))),"Not in use",IF(AND(ISNUMBER(I435),I435&lt;'Scoring Settings'!$B$6),"Low use","Active"))))</f>
        <v>Active</v>
      </c>
      <c r="L435" s="5">
        <v>2</v>
      </c>
      <c r="M435" s="5">
        <v>4</v>
      </c>
      <c r="N435" s="5"/>
      <c r="O435" s="5" t="s">
        <v>143</v>
      </c>
      <c r="P435" s="5" t="s">
        <v>144</v>
      </c>
      <c r="Q435" s="9">
        <v>0</v>
      </c>
      <c r="R435" s="5" t="s">
        <v>145</v>
      </c>
      <c r="S435" s="5" t="s">
        <v>145</v>
      </c>
      <c r="T435" s="5" t="s">
        <v>146</v>
      </c>
      <c r="U435" s="7"/>
      <c r="V435" s="5" t="s">
        <v>78</v>
      </c>
      <c r="W435" s="6">
        <v>28</v>
      </c>
      <c r="X435" s="5" t="s">
        <v>79</v>
      </c>
      <c r="Y435" s="9">
        <v>3</v>
      </c>
      <c r="Z435" s="5" t="s">
        <v>79</v>
      </c>
      <c r="AA435" s="5" t="s">
        <v>110</v>
      </c>
      <c r="AB435" s="9">
        <v>3</v>
      </c>
      <c r="AC435" s="5" t="s">
        <v>80</v>
      </c>
      <c r="AD435" s="5" t="s">
        <v>82</v>
      </c>
      <c r="AE435" s="5" t="s">
        <v>79</v>
      </c>
      <c r="AF435" s="10">
        <v>70000</v>
      </c>
      <c r="AG435" s="7">
        <v>46752</v>
      </c>
      <c r="AH435" s="10">
        <v>73500</v>
      </c>
      <c r="AI435" s="10">
        <v>48000</v>
      </c>
      <c r="AJ435" s="11">
        <f t="shared" si="6"/>
        <v>18.375</v>
      </c>
      <c r="AK435" s="12">
        <f>IF(B435="","",OR(K435="Not in use",K435="Low use")+AND(N435&lt;&gt;"",N435&lt;&gt;"TBD")+AND(ISNUMBER(U435),U435&lt;=EDATE('Scoring Settings'!$B$4,'Scoring Settings'!$B$8))+AND(ISNUMBER(L435),L435&lt;='Scoring Settings'!$B$7))</f>
        <v>1</v>
      </c>
      <c r="AL435" s="5" t="s">
        <v>223</v>
      </c>
      <c r="AM435" s="8" t="str">
        <f>IF(B435="","",IF(Z435="N","Easy",IF(OR(AND(ISNUMBER(AB435),AB435&gt;'Scoring Settings'!$B$11),AND(ISNUMBER(W435),W435&gt;'Scoring Settings'!$B$12),AND(ISNUMBER(M435),M435&lt;='Scoring Settings'!$B$13)),"High","Medium")))</f>
        <v>Easy</v>
      </c>
      <c r="AN435" s="5" t="s">
        <v>148</v>
      </c>
      <c r="AO435" s="7">
        <v>45291</v>
      </c>
      <c r="AP435" s="5" t="s">
        <v>98</v>
      </c>
      <c r="AQ435" s="29" t="s">
        <v>860</v>
      </c>
    </row>
    <row r="436" spans="1:43" hidden="1">
      <c r="A436" s="28">
        <v>91147</v>
      </c>
      <c r="B436" s="5" t="s">
        <v>1448</v>
      </c>
      <c r="C436" s="5" t="s">
        <v>138</v>
      </c>
      <c r="D436" s="5" t="s">
        <v>139</v>
      </c>
      <c r="E436" s="5" t="s">
        <v>68</v>
      </c>
      <c r="F436" s="5" t="s">
        <v>476</v>
      </c>
      <c r="G436" s="5" t="s">
        <v>90</v>
      </c>
      <c r="H436" s="5" t="s">
        <v>142</v>
      </c>
      <c r="I436" s="6">
        <v>232</v>
      </c>
      <c r="J436" s="7">
        <v>44310</v>
      </c>
      <c r="K436" s="8" t="str">
        <f>IF(B436="","",IF(AND(I436="",J436=""),"Unknown",IF(OR(AND(ISNUMBER(I436),I436=0),AND(ISNUMBER(J436),J436&lt;=EDATE('Scoring Settings'!$B$4,-'Scoring Settings'!$B$5))),"Not in use",IF(AND(ISNUMBER(I436),I436&lt;'Scoring Settings'!$B$6),"Low use","Active"))))</f>
        <v>Active</v>
      </c>
      <c r="L436" s="5">
        <v>1</v>
      </c>
      <c r="M436" s="5">
        <v>4</v>
      </c>
      <c r="N436" s="5" t="s">
        <v>377</v>
      </c>
      <c r="O436" s="5" t="s">
        <v>143</v>
      </c>
      <c r="P436" s="5" t="s">
        <v>144</v>
      </c>
      <c r="Q436" s="9">
        <v>0</v>
      </c>
      <c r="R436" s="5" t="s">
        <v>145</v>
      </c>
      <c r="S436" s="5" t="s">
        <v>145</v>
      </c>
      <c r="T436" s="5" t="s">
        <v>146</v>
      </c>
      <c r="U436" s="7">
        <v>45291</v>
      </c>
      <c r="V436" s="5" t="s">
        <v>135</v>
      </c>
      <c r="W436" s="6">
        <v>13</v>
      </c>
      <c r="X436" s="5" t="s">
        <v>79</v>
      </c>
      <c r="Y436" s="9">
        <v>1</v>
      </c>
      <c r="Z436" s="5" t="s">
        <v>80</v>
      </c>
      <c r="AA436" s="5" t="s">
        <v>205</v>
      </c>
      <c r="AB436" s="9">
        <v>1</v>
      </c>
      <c r="AC436" s="5" t="s">
        <v>79</v>
      </c>
      <c r="AD436" s="5" t="s">
        <v>79</v>
      </c>
      <c r="AE436" s="5" t="s">
        <v>80</v>
      </c>
      <c r="AF436" s="10">
        <v>105000</v>
      </c>
      <c r="AG436" s="7">
        <v>46904</v>
      </c>
      <c r="AH436" s="10">
        <v>117500</v>
      </c>
      <c r="AI436" s="10">
        <v>58500</v>
      </c>
      <c r="AJ436" s="11">
        <f t="shared" si="6"/>
        <v>24.102564102564102</v>
      </c>
      <c r="AK436" s="12">
        <f>IF(B436="","",OR(K436="Not in use",K436="Low use")+AND(N436&lt;&gt;"",N436&lt;&gt;"TBD")+AND(ISNUMBER(U436),U436&lt;=EDATE('Scoring Settings'!$B$4,'Scoring Settings'!$B$8))+AND(ISNUMBER(L436),L436&lt;='Scoring Settings'!$B$7))</f>
        <v>2</v>
      </c>
      <c r="AL436" s="5" t="s">
        <v>2217</v>
      </c>
      <c r="AM436" s="8" t="str">
        <f>IF(B436="","",IF(Z436="N","Easy",IF(OR(AND(ISNUMBER(AB436),AB436&gt;'Scoring Settings'!$B$11),AND(ISNUMBER(W436),W436&gt;'Scoring Settings'!$B$12),AND(ISNUMBER(M436),M436&lt;='Scoring Settings'!$B$13)),"High","Medium")))</f>
        <v>Medium</v>
      </c>
      <c r="AN436" s="5" t="s">
        <v>148</v>
      </c>
      <c r="AO436" s="7">
        <v>45077</v>
      </c>
      <c r="AP436" s="5" t="s">
        <v>98</v>
      </c>
      <c r="AQ436" s="29" t="s">
        <v>149</v>
      </c>
    </row>
    <row r="437" spans="1:43" hidden="1">
      <c r="A437" s="28">
        <v>156987</v>
      </c>
      <c r="B437" s="5" t="s">
        <v>1449</v>
      </c>
      <c r="C437" s="5" t="s">
        <v>371</v>
      </c>
      <c r="D437" s="5" t="s">
        <v>162</v>
      </c>
      <c r="E437" s="5" t="s">
        <v>311</v>
      </c>
      <c r="F437" s="5" t="s">
        <v>209</v>
      </c>
      <c r="G437" s="5" t="s">
        <v>356</v>
      </c>
      <c r="H437" s="5" t="s">
        <v>142</v>
      </c>
      <c r="I437" s="6">
        <v>24</v>
      </c>
      <c r="J437" s="7">
        <v>44179</v>
      </c>
      <c r="K437" s="8" t="str">
        <f>IF(B437="","",IF(AND(I437="",J437=""),"Unknown",IF(OR(AND(ISNUMBER(I437),I437=0),AND(ISNUMBER(J437),J437&lt;=EDATE('Scoring Settings'!$B$4,-'Scoring Settings'!$B$5))),"Not in use",IF(AND(ISNUMBER(I437),I437&lt;'Scoring Settings'!$B$6),"Low use","Active"))))</f>
        <v>Low use</v>
      </c>
      <c r="L437" s="5">
        <v>3</v>
      </c>
      <c r="M437" s="5">
        <v>3</v>
      </c>
      <c r="N437" s="5" t="s">
        <v>164</v>
      </c>
      <c r="O437" s="5" t="s">
        <v>143</v>
      </c>
      <c r="P437" s="5" t="s">
        <v>144</v>
      </c>
      <c r="Q437" s="9">
        <v>0</v>
      </c>
      <c r="R437" s="5" t="s">
        <v>145</v>
      </c>
      <c r="S437" s="5" t="s">
        <v>145</v>
      </c>
      <c r="T437" s="5" t="s">
        <v>146</v>
      </c>
      <c r="U437" s="7">
        <v>45900</v>
      </c>
      <c r="V437" s="5" t="s">
        <v>135</v>
      </c>
      <c r="W437" s="6">
        <v>860</v>
      </c>
      <c r="X437" s="5" t="s">
        <v>79</v>
      </c>
      <c r="Y437" s="9">
        <v>1</v>
      </c>
      <c r="Z437" s="5" t="s">
        <v>79</v>
      </c>
      <c r="AA437" s="5" t="s">
        <v>110</v>
      </c>
      <c r="AB437" s="9">
        <v>3</v>
      </c>
      <c r="AC437" s="5" t="s">
        <v>82</v>
      </c>
      <c r="AD437" s="5" t="s">
        <v>82</v>
      </c>
      <c r="AE437" s="5" t="s">
        <v>82</v>
      </c>
      <c r="AF437" s="10">
        <v>37000</v>
      </c>
      <c r="AG437" s="7">
        <v>49278</v>
      </c>
      <c r="AH437" s="10">
        <v>60000</v>
      </c>
      <c r="AI437" s="10">
        <v>23000</v>
      </c>
      <c r="AJ437" s="11">
        <f t="shared" si="6"/>
        <v>31.304347826086957</v>
      </c>
      <c r="AK437" s="12">
        <f>IF(B437="","",OR(K437="Not in use",K437="Low use")+AND(N437&lt;&gt;"",N437&lt;&gt;"TBD")+AND(ISNUMBER(U437),U437&lt;=EDATE('Scoring Settings'!$B$4,'Scoring Settings'!$B$8))+AND(ISNUMBER(L437),L437&lt;='Scoring Settings'!$B$7))</f>
        <v>2</v>
      </c>
      <c r="AL437" s="5" t="s">
        <v>2217</v>
      </c>
      <c r="AM437" s="8" t="str">
        <f>IF(B437="","",IF(Z437="N","Easy",IF(OR(AND(ISNUMBER(AB437),AB437&gt;'Scoring Settings'!$B$11),AND(ISNUMBER(W437),W437&gt;'Scoring Settings'!$B$12),AND(ISNUMBER(M437),M437&lt;='Scoring Settings'!$B$13)),"High","Medium")))</f>
        <v>Easy</v>
      </c>
      <c r="AN437" s="5" t="s">
        <v>148</v>
      </c>
      <c r="AO437" s="7">
        <v>45046</v>
      </c>
      <c r="AP437" s="5" t="s">
        <v>98</v>
      </c>
      <c r="AQ437" s="29" t="s">
        <v>213</v>
      </c>
    </row>
    <row r="438" spans="1:43" ht="57" hidden="1">
      <c r="A438" s="28">
        <v>17264</v>
      </c>
      <c r="B438" s="5" t="s">
        <v>1466</v>
      </c>
      <c r="C438" s="5" t="s">
        <v>483</v>
      </c>
      <c r="D438" s="5" t="s">
        <v>88</v>
      </c>
      <c r="E438" s="5" t="s">
        <v>68</v>
      </c>
      <c r="F438" s="5" t="s">
        <v>152</v>
      </c>
      <c r="G438" s="5" t="s">
        <v>267</v>
      </c>
      <c r="H438" s="5" t="s">
        <v>91</v>
      </c>
      <c r="I438" s="6">
        <v>130</v>
      </c>
      <c r="J438" s="7">
        <v>44283</v>
      </c>
      <c r="K438" s="8" t="str">
        <f>IF(B438="","",IF(AND(I438="",J438=""),"Unknown",IF(OR(AND(ISNUMBER(I438),I438=0),AND(ISNUMBER(J438),J438&lt;=EDATE('Scoring Settings'!$B$4,-'Scoring Settings'!$B$5))),"Not in use",IF(AND(ISNUMBER(I438),I438&lt;'Scoring Settings'!$B$6),"Low use","Active"))))</f>
        <v>Active</v>
      </c>
      <c r="L438" s="5">
        <v>3</v>
      </c>
      <c r="M438" s="5">
        <v>3</v>
      </c>
      <c r="N438" s="5" t="s">
        <v>865</v>
      </c>
      <c r="O438" s="5" t="s">
        <v>73</v>
      </c>
      <c r="P438" s="5" t="s">
        <v>1467</v>
      </c>
      <c r="Q438" s="9">
        <v>1</v>
      </c>
      <c r="R438" s="5" t="s">
        <v>478</v>
      </c>
      <c r="S438" s="5" t="s">
        <v>72</v>
      </c>
      <c r="T438" s="5" t="s">
        <v>122</v>
      </c>
      <c r="U438" s="7">
        <v>43844</v>
      </c>
      <c r="V438" s="5" t="s">
        <v>135</v>
      </c>
      <c r="W438" s="6">
        <v>43</v>
      </c>
      <c r="X438" s="5" t="s">
        <v>79</v>
      </c>
      <c r="Y438" s="9">
        <v>2</v>
      </c>
      <c r="Z438" s="5" t="s">
        <v>79</v>
      </c>
      <c r="AA438" s="5" t="s">
        <v>110</v>
      </c>
      <c r="AB438" s="9">
        <v>4</v>
      </c>
      <c r="AC438" s="5" t="s">
        <v>79</v>
      </c>
      <c r="AD438" s="5" t="s">
        <v>79</v>
      </c>
      <c r="AE438" s="5" t="s">
        <v>82</v>
      </c>
      <c r="AF438" s="10">
        <v>31500</v>
      </c>
      <c r="AG438" s="7">
        <v>46873</v>
      </c>
      <c r="AH438" s="10">
        <v>30500</v>
      </c>
      <c r="AI438" s="10">
        <v>25000</v>
      </c>
      <c r="AJ438" s="11">
        <f t="shared" si="6"/>
        <v>14.64</v>
      </c>
      <c r="AK438" s="12">
        <f>IF(B438="","",OR(K438="Not in use",K438="Low use")+AND(N438&lt;&gt;"",N438&lt;&gt;"TBD")+AND(ISNUMBER(U438),U438&lt;=EDATE('Scoring Settings'!$B$4,'Scoring Settings'!$B$8))+AND(ISNUMBER(L438),L438&lt;='Scoring Settings'!$B$7))</f>
        <v>2</v>
      </c>
      <c r="AL438" s="5" t="s">
        <v>2217</v>
      </c>
      <c r="AM438" s="8" t="str">
        <f>IF(B438="","",IF(Z438="N","Easy",IF(OR(AND(ISNUMBER(AB438),AB438&gt;'Scoring Settings'!$B$11),AND(ISNUMBER(W438),W438&gt;'Scoring Settings'!$B$12),AND(ISNUMBER(M438),M438&lt;='Scoring Settings'!$B$13)),"High","Medium")))</f>
        <v>Easy</v>
      </c>
      <c r="AN438" s="5" t="s">
        <v>148</v>
      </c>
      <c r="AO438" s="7">
        <v>45077</v>
      </c>
      <c r="AP438" s="5" t="s">
        <v>98</v>
      </c>
      <c r="AQ438" s="29" t="s">
        <v>1468</v>
      </c>
    </row>
    <row r="439" spans="1:43" ht="57" hidden="1">
      <c r="A439" s="28">
        <v>103752</v>
      </c>
      <c r="B439" s="5" t="s">
        <v>1475</v>
      </c>
      <c r="C439" s="5" t="s">
        <v>215</v>
      </c>
      <c r="D439" s="5" t="s">
        <v>139</v>
      </c>
      <c r="E439" s="5" t="s">
        <v>298</v>
      </c>
      <c r="F439" s="5" t="s">
        <v>163</v>
      </c>
      <c r="G439" s="5" t="s">
        <v>356</v>
      </c>
      <c r="H439" s="5" t="s">
        <v>71</v>
      </c>
      <c r="I439" s="6">
        <v>15</v>
      </c>
      <c r="J439" s="7">
        <v>44235</v>
      </c>
      <c r="K439" s="8" t="str">
        <f>IF(B439="","",IF(AND(I439="",J439=""),"Unknown",IF(OR(AND(ISNUMBER(I439),I439=0),AND(ISNUMBER(J439),J439&lt;=EDATE('Scoring Settings'!$B$4,-'Scoring Settings'!$B$5))),"Not in use",IF(AND(ISNUMBER(I439),I439&lt;'Scoring Settings'!$B$6),"Low use","Active"))))</f>
        <v>Low use</v>
      </c>
      <c r="L439" s="5">
        <v>2</v>
      </c>
      <c r="M439" s="5">
        <v>4</v>
      </c>
      <c r="N439" s="5"/>
      <c r="O439" s="5" t="s">
        <v>130</v>
      </c>
      <c r="P439" s="5" t="s">
        <v>1476</v>
      </c>
      <c r="Q439" s="9">
        <v>1</v>
      </c>
      <c r="R439" s="5" t="s">
        <v>93</v>
      </c>
      <c r="S439" s="5" t="s">
        <v>94</v>
      </c>
      <c r="T439" s="5" t="s">
        <v>195</v>
      </c>
      <c r="U439" s="7">
        <v>44561</v>
      </c>
      <c r="V439" s="5" t="s">
        <v>135</v>
      </c>
      <c r="W439" s="6">
        <v>710</v>
      </c>
      <c r="X439" s="5" t="s">
        <v>79</v>
      </c>
      <c r="Y439" s="9">
        <v>3</v>
      </c>
      <c r="Z439" s="5" t="s">
        <v>79</v>
      </c>
      <c r="AA439" s="5" t="s">
        <v>110</v>
      </c>
      <c r="AB439" s="9">
        <v>0</v>
      </c>
      <c r="AC439" s="5" t="s">
        <v>80</v>
      </c>
      <c r="AD439" s="5" t="s">
        <v>79</v>
      </c>
      <c r="AE439" s="5" t="s">
        <v>80</v>
      </c>
      <c r="AF439" s="10">
        <v>12000</v>
      </c>
      <c r="AG439" s="7">
        <v>48457</v>
      </c>
      <c r="AH439" s="10">
        <v>12000</v>
      </c>
      <c r="AI439" s="10">
        <v>12000</v>
      </c>
      <c r="AJ439" s="11">
        <f t="shared" si="6"/>
        <v>12</v>
      </c>
      <c r="AK439" s="12">
        <f>IF(B439="","",OR(K439="Not in use",K439="Low use")+AND(N439&lt;&gt;"",N439&lt;&gt;"TBD")+AND(ISNUMBER(U439),U439&lt;=EDATE('Scoring Settings'!$B$4,'Scoring Settings'!$B$8))+AND(ISNUMBER(L439),L439&lt;='Scoring Settings'!$B$7))</f>
        <v>3</v>
      </c>
      <c r="AL439" s="5" t="s">
        <v>223</v>
      </c>
      <c r="AM439" s="8" t="str">
        <f>IF(B439="","",IF(Z439="N","Easy",IF(OR(AND(ISNUMBER(AB439),AB439&gt;'Scoring Settings'!$B$11),AND(ISNUMBER(W439),W439&gt;'Scoring Settings'!$B$12),AND(ISNUMBER(M439),M439&lt;='Scoring Settings'!$B$13)),"High","Medium")))</f>
        <v>Easy</v>
      </c>
      <c r="AN439" s="5" t="s">
        <v>148</v>
      </c>
      <c r="AO439" s="7">
        <v>44957</v>
      </c>
      <c r="AP439" s="5" t="s">
        <v>98</v>
      </c>
      <c r="AQ439" s="29" t="s">
        <v>1477</v>
      </c>
    </row>
    <row r="440" spans="1:43" hidden="1">
      <c r="A440" s="28">
        <v>13744</v>
      </c>
      <c r="B440" s="5" t="s">
        <v>1478</v>
      </c>
      <c r="C440" s="5" t="s">
        <v>423</v>
      </c>
      <c r="D440" s="5" t="s">
        <v>67</v>
      </c>
      <c r="E440" s="5" t="s">
        <v>311</v>
      </c>
      <c r="F440" s="5" t="s">
        <v>209</v>
      </c>
      <c r="G440" s="5" t="s">
        <v>267</v>
      </c>
      <c r="H440" s="5" t="s">
        <v>71</v>
      </c>
      <c r="I440" s="6">
        <v>280</v>
      </c>
      <c r="J440" s="7">
        <v>44301</v>
      </c>
      <c r="K440" s="8" t="str">
        <f>IF(B440="","",IF(AND(I440="",J440=""),"Unknown",IF(OR(AND(ISNUMBER(I440),I440=0),AND(ISNUMBER(J440),J440&lt;=EDATE('Scoring Settings'!$B$4,-'Scoring Settings'!$B$5))),"Not in use",IF(AND(ISNUMBER(I440),I440&lt;'Scoring Settings'!$B$6),"Low use","Active"))))</f>
        <v>Active</v>
      </c>
      <c r="L440" s="5">
        <v>2</v>
      </c>
      <c r="M440" s="5">
        <v>4</v>
      </c>
      <c r="N440" s="5" t="s">
        <v>190</v>
      </c>
      <c r="O440" s="5" t="s">
        <v>73</v>
      </c>
      <c r="P440" s="5" t="s">
        <v>581</v>
      </c>
      <c r="Q440" s="9">
        <v>1</v>
      </c>
      <c r="R440" s="5" t="s">
        <v>358</v>
      </c>
      <c r="S440" s="5" t="s">
        <v>133</v>
      </c>
      <c r="T440" s="5" t="s">
        <v>109</v>
      </c>
      <c r="U440" s="7">
        <v>43555</v>
      </c>
      <c r="V440" s="5" t="s">
        <v>78</v>
      </c>
      <c r="W440" s="6">
        <v>13</v>
      </c>
      <c r="X440" s="5" t="s">
        <v>80</v>
      </c>
      <c r="Y440" s="9">
        <v>7</v>
      </c>
      <c r="Z440" s="5" t="s">
        <v>79</v>
      </c>
      <c r="AA440" s="5" t="s">
        <v>110</v>
      </c>
      <c r="AB440" s="9">
        <v>1</v>
      </c>
      <c r="AC440" s="5" t="s">
        <v>82</v>
      </c>
      <c r="AD440" s="5" t="s">
        <v>80</v>
      </c>
      <c r="AE440" s="5" t="s">
        <v>79</v>
      </c>
      <c r="AF440" s="10">
        <v>9000</v>
      </c>
      <c r="AG440" s="7">
        <v>49217</v>
      </c>
      <c r="AH440" s="10">
        <v>5500</v>
      </c>
      <c r="AI440" s="10">
        <v>8500</v>
      </c>
      <c r="AJ440" s="11">
        <f t="shared" si="6"/>
        <v>7.764705882352942</v>
      </c>
      <c r="AK440" s="12">
        <f>IF(B440="","",OR(K440="Not in use",K440="Low use")+AND(N440&lt;&gt;"",N440&lt;&gt;"TBD")+AND(ISNUMBER(U440),U440&lt;=EDATE('Scoring Settings'!$B$4,'Scoring Settings'!$B$8))+AND(ISNUMBER(L440),L440&lt;='Scoring Settings'!$B$7))</f>
        <v>3</v>
      </c>
      <c r="AL440" s="5" t="s">
        <v>223</v>
      </c>
      <c r="AM440" s="8" t="str">
        <f>IF(B440="","",IF(Z440="N","Easy",IF(OR(AND(ISNUMBER(AB440),AB440&gt;'Scoring Settings'!$B$11),AND(ISNUMBER(W440),W440&gt;'Scoring Settings'!$B$12),AND(ISNUMBER(M440),M440&lt;='Scoring Settings'!$B$13)),"High","Medium")))</f>
        <v>Easy</v>
      </c>
      <c r="AN440" s="5" t="s">
        <v>148</v>
      </c>
      <c r="AO440" s="7">
        <v>45016</v>
      </c>
      <c r="AP440" s="5" t="s">
        <v>98</v>
      </c>
      <c r="AQ440" s="29" t="s">
        <v>149</v>
      </c>
    </row>
    <row r="441" spans="1:43" ht="42.75" hidden="1">
      <c r="A441" s="28">
        <v>162363</v>
      </c>
      <c r="B441" s="5" t="s">
        <v>1484</v>
      </c>
      <c r="C441" s="5" t="s">
        <v>208</v>
      </c>
      <c r="D441" s="5" t="s">
        <v>67</v>
      </c>
      <c r="E441" s="5" t="s">
        <v>68</v>
      </c>
      <c r="F441" s="5" t="s">
        <v>89</v>
      </c>
      <c r="G441" s="5" t="s">
        <v>70</v>
      </c>
      <c r="H441" s="5" t="s">
        <v>174</v>
      </c>
      <c r="I441" s="6">
        <v>4</v>
      </c>
      <c r="J441" s="7">
        <v>44287</v>
      </c>
      <c r="K441" s="8" t="str">
        <f>IF(B441="","",IF(AND(I441="",J441=""),"Unknown",IF(OR(AND(ISNUMBER(I441),I441=0),AND(ISNUMBER(J441),J441&lt;=EDATE('Scoring Settings'!$B$4,-'Scoring Settings'!$B$5))),"Not in use",IF(AND(ISNUMBER(I441),I441&lt;'Scoring Settings'!$B$6),"Low use","Active"))))</f>
        <v>Low use</v>
      </c>
      <c r="L441" s="5">
        <v>4</v>
      </c>
      <c r="M441" s="5">
        <v>2</v>
      </c>
      <c r="N441" s="5" t="s">
        <v>211</v>
      </c>
      <c r="O441" s="5" t="s">
        <v>73</v>
      </c>
      <c r="P441" s="5" t="s">
        <v>1485</v>
      </c>
      <c r="Q441" s="9">
        <v>2</v>
      </c>
      <c r="R441" s="5" t="s">
        <v>358</v>
      </c>
      <c r="S441" s="5" t="s">
        <v>133</v>
      </c>
      <c r="T441" s="5" t="s">
        <v>72</v>
      </c>
      <c r="U441" s="7">
        <v>43555</v>
      </c>
      <c r="V441" s="5" t="s">
        <v>95</v>
      </c>
      <c r="W441" s="6">
        <v>490</v>
      </c>
      <c r="X441" s="5" t="s">
        <v>80</v>
      </c>
      <c r="Y441" s="9">
        <v>5</v>
      </c>
      <c r="Z441" s="5" t="s">
        <v>80</v>
      </c>
      <c r="AA441" s="5" t="s">
        <v>185</v>
      </c>
      <c r="AB441" s="9">
        <v>14</v>
      </c>
      <c r="AC441" s="5" t="s">
        <v>82</v>
      </c>
      <c r="AD441" s="5" t="s">
        <v>79</v>
      </c>
      <c r="AE441" s="5" t="s">
        <v>79</v>
      </c>
      <c r="AF441" s="10">
        <v>60000</v>
      </c>
      <c r="AG441" s="7">
        <v>47938</v>
      </c>
      <c r="AH441" s="10">
        <v>52000</v>
      </c>
      <c r="AI441" s="10">
        <v>47500</v>
      </c>
      <c r="AJ441" s="11">
        <f t="shared" si="6"/>
        <v>13.13684210526316</v>
      </c>
      <c r="AK441" s="12">
        <f>IF(B441="","",OR(K441="Not in use",K441="Low use")+AND(N441&lt;&gt;"",N441&lt;&gt;"TBD")+AND(ISNUMBER(U441),U441&lt;=EDATE('Scoring Settings'!$B$4,'Scoring Settings'!$B$8))+AND(ISNUMBER(L441),L441&lt;='Scoring Settings'!$B$7))</f>
        <v>3</v>
      </c>
      <c r="AL441" s="5" t="s">
        <v>2217</v>
      </c>
      <c r="AM441" s="8" t="str">
        <f>IF(B441="","",IF(Z441="N","Easy",IF(OR(AND(ISNUMBER(AB441),AB441&gt;'Scoring Settings'!$B$11),AND(ISNUMBER(W441),W441&gt;'Scoring Settings'!$B$12),AND(ISNUMBER(M441),M441&lt;='Scoring Settings'!$B$13)),"High","Medium")))</f>
        <v>High</v>
      </c>
      <c r="AN441" s="5" t="s">
        <v>148</v>
      </c>
      <c r="AO441" s="7">
        <v>45138</v>
      </c>
      <c r="AP441" s="5" t="s">
        <v>98</v>
      </c>
      <c r="AQ441" s="29" t="s">
        <v>991</v>
      </c>
    </row>
    <row r="442" spans="1:43" hidden="1">
      <c r="A442" s="28">
        <v>116616</v>
      </c>
      <c r="B442" s="5" t="s">
        <v>1490</v>
      </c>
      <c r="C442" s="5" t="s">
        <v>230</v>
      </c>
      <c r="D442" s="5" t="s">
        <v>115</v>
      </c>
      <c r="E442" s="5" t="s">
        <v>68</v>
      </c>
      <c r="F442" s="5" t="s">
        <v>157</v>
      </c>
      <c r="G442" s="5" t="s">
        <v>237</v>
      </c>
      <c r="H442" s="5" t="s">
        <v>142</v>
      </c>
      <c r="I442" s="6">
        <v>554</v>
      </c>
      <c r="J442" s="7">
        <v>44291</v>
      </c>
      <c r="K442" s="8" t="str">
        <f>IF(B442="","",IF(AND(I442="",J442=""),"Unknown",IF(OR(AND(ISNUMBER(I442),I442=0),AND(ISNUMBER(J442),J442&lt;=EDATE('Scoring Settings'!$B$4,-'Scoring Settings'!$B$5))),"Not in use",IF(AND(ISNUMBER(I442),I442&lt;'Scoring Settings'!$B$6),"Low use","Active"))))</f>
        <v>Active</v>
      </c>
      <c r="L442" s="5">
        <v>3</v>
      </c>
      <c r="M442" s="5">
        <v>2</v>
      </c>
      <c r="N442" s="5" t="s">
        <v>1008</v>
      </c>
      <c r="O442" s="5" t="s">
        <v>143</v>
      </c>
      <c r="P442" s="5" t="s">
        <v>144</v>
      </c>
      <c r="Q442" s="9">
        <v>0</v>
      </c>
      <c r="R442" s="5" t="s">
        <v>145</v>
      </c>
      <c r="S442" s="5" t="s">
        <v>145</v>
      </c>
      <c r="T442" s="5" t="s">
        <v>146</v>
      </c>
      <c r="U442" s="7"/>
      <c r="V442" s="5" t="s">
        <v>135</v>
      </c>
      <c r="W442" s="6">
        <v>8840</v>
      </c>
      <c r="X442" s="5" t="s">
        <v>80</v>
      </c>
      <c r="Y442" s="9">
        <v>5</v>
      </c>
      <c r="Z442" s="5" t="s">
        <v>79</v>
      </c>
      <c r="AA442" s="5" t="s">
        <v>110</v>
      </c>
      <c r="AB442" s="9">
        <v>13</v>
      </c>
      <c r="AC442" s="5" t="s">
        <v>82</v>
      </c>
      <c r="AD442" s="5" t="s">
        <v>79</v>
      </c>
      <c r="AE442" s="5" t="s">
        <v>82</v>
      </c>
      <c r="AF442" s="10">
        <v>60000</v>
      </c>
      <c r="AG442" s="7">
        <v>48669</v>
      </c>
      <c r="AH442" s="10">
        <v>107500</v>
      </c>
      <c r="AI442" s="10">
        <v>36000</v>
      </c>
      <c r="AJ442" s="11">
        <f t="shared" si="6"/>
        <v>35.833333333333336</v>
      </c>
      <c r="AK442" s="12">
        <f>IF(B442="","",OR(K442="Not in use",K442="Low use")+AND(N442&lt;&gt;"",N442&lt;&gt;"TBD")+AND(ISNUMBER(U442),U442&lt;=EDATE('Scoring Settings'!$B$4,'Scoring Settings'!$B$8))+AND(ISNUMBER(L442),L442&lt;='Scoring Settings'!$B$7))</f>
        <v>1</v>
      </c>
      <c r="AL442" s="5" t="s">
        <v>2217</v>
      </c>
      <c r="AM442" s="8" t="str">
        <f>IF(B442="","",IF(Z442="N","Easy",IF(OR(AND(ISNUMBER(AB442),AB442&gt;'Scoring Settings'!$B$11),AND(ISNUMBER(W442),W442&gt;'Scoring Settings'!$B$12),AND(ISNUMBER(M442),M442&lt;='Scoring Settings'!$B$13)),"High","Medium")))</f>
        <v>Easy</v>
      </c>
      <c r="AN442" s="5" t="s">
        <v>148</v>
      </c>
      <c r="AO442" s="7">
        <v>45077</v>
      </c>
      <c r="AP442" s="5" t="s">
        <v>98</v>
      </c>
      <c r="AQ442" s="29" t="s">
        <v>149</v>
      </c>
    </row>
    <row r="443" spans="1:43" hidden="1">
      <c r="A443" s="28">
        <v>171674</v>
      </c>
      <c r="B443" s="5" t="s">
        <v>1491</v>
      </c>
      <c r="C443" s="5" t="s">
        <v>699</v>
      </c>
      <c r="D443" s="5" t="s">
        <v>297</v>
      </c>
      <c r="E443" s="5" t="s">
        <v>68</v>
      </c>
      <c r="F443" s="5" t="s">
        <v>163</v>
      </c>
      <c r="G443" s="5" t="s">
        <v>104</v>
      </c>
      <c r="H443" s="5" t="s">
        <v>71</v>
      </c>
      <c r="I443" s="6">
        <v>0</v>
      </c>
      <c r="J443" s="7">
        <v>43818</v>
      </c>
      <c r="K443" s="8" t="str">
        <f>IF(B443="","",IF(AND(I443="",J443=""),"Unknown",IF(OR(AND(ISNUMBER(I443),I443=0),AND(ISNUMBER(J443),J443&lt;=EDATE('Scoring Settings'!$B$4,-'Scoring Settings'!$B$5))),"Not in use",IF(AND(ISNUMBER(I443),I443&lt;'Scoring Settings'!$B$6),"Low use","Active"))))</f>
        <v>Not in use</v>
      </c>
      <c r="L443" s="5">
        <v>2</v>
      </c>
      <c r="M443" s="5">
        <v>3</v>
      </c>
      <c r="N443" s="5" t="s">
        <v>617</v>
      </c>
      <c r="O443" s="5" t="s">
        <v>73</v>
      </c>
      <c r="P443" s="5" t="s">
        <v>1259</v>
      </c>
      <c r="Q443" s="9">
        <v>2</v>
      </c>
      <c r="R443" s="5" t="s">
        <v>132</v>
      </c>
      <c r="S443" s="5" t="s">
        <v>133</v>
      </c>
      <c r="T443" s="5" t="s">
        <v>184</v>
      </c>
      <c r="U443" s="7">
        <v>44227</v>
      </c>
      <c r="V443" s="5" t="s">
        <v>135</v>
      </c>
      <c r="W443" s="6">
        <v>52</v>
      </c>
      <c r="X443" s="5" t="s">
        <v>80</v>
      </c>
      <c r="Y443" s="9">
        <v>5</v>
      </c>
      <c r="Z443" s="5" t="s">
        <v>80</v>
      </c>
      <c r="AA443" s="5" t="s">
        <v>205</v>
      </c>
      <c r="AB443" s="9">
        <v>5</v>
      </c>
      <c r="AC443" s="5" t="s">
        <v>82</v>
      </c>
      <c r="AD443" s="5" t="s">
        <v>82</v>
      </c>
      <c r="AE443" s="5" t="s">
        <v>79</v>
      </c>
      <c r="AF443" s="10">
        <v>29500</v>
      </c>
      <c r="AG443" s="7">
        <v>47391</v>
      </c>
      <c r="AH443" s="10">
        <v>26000</v>
      </c>
      <c r="AI443" s="10">
        <v>25500</v>
      </c>
      <c r="AJ443" s="11">
        <f t="shared" si="6"/>
        <v>12.235294117647058</v>
      </c>
      <c r="AK443" s="12">
        <f>IF(B443="","",OR(K443="Not in use",K443="Low use")+AND(N443&lt;&gt;"",N443&lt;&gt;"TBD")+AND(ISNUMBER(U443),U443&lt;=EDATE('Scoring Settings'!$B$4,'Scoring Settings'!$B$8))+AND(ISNUMBER(L443),L443&lt;='Scoring Settings'!$B$7))</f>
        <v>4</v>
      </c>
      <c r="AL443" s="5" t="s">
        <v>2217</v>
      </c>
      <c r="AM443" s="8" t="str">
        <f>IF(B443="","",IF(Z443="N","Easy",IF(OR(AND(ISNUMBER(AB443),AB443&gt;'Scoring Settings'!$B$11),AND(ISNUMBER(W443),W443&gt;'Scoring Settings'!$B$12),AND(ISNUMBER(M443),M443&lt;='Scoring Settings'!$B$13)),"High","Medium")))</f>
        <v>Medium</v>
      </c>
      <c r="AN443" s="5" t="s">
        <v>148</v>
      </c>
      <c r="AO443" s="7">
        <v>45077</v>
      </c>
      <c r="AP443" s="5" t="s">
        <v>98</v>
      </c>
      <c r="AQ443" s="29" t="s">
        <v>136</v>
      </c>
    </row>
    <row r="444" spans="1:43" hidden="1">
      <c r="A444" s="28">
        <v>11448</v>
      </c>
      <c r="B444" s="5" t="s">
        <v>1497</v>
      </c>
      <c r="C444" s="5" t="s">
        <v>234</v>
      </c>
      <c r="D444" s="5" t="s">
        <v>102</v>
      </c>
      <c r="E444" s="5" t="s">
        <v>68</v>
      </c>
      <c r="F444" s="5" t="s">
        <v>103</v>
      </c>
      <c r="G444" s="5" t="s">
        <v>278</v>
      </c>
      <c r="H444" s="5" t="s">
        <v>71</v>
      </c>
      <c r="I444" s="6">
        <v>0</v>
      </c>
      <c r="J444" s="7">
        <v>44175</v>
      </c>
      <c r="K444" s="8" t="str">
        <f>IF(B444="","",IF(AND(I444="",J444=""),"Unknown",IF(OR(AND(ISNUMBER(I444),I444=0),AND(ISNUMBER(J444),J444&lt;=EDATE('Scoring Settings'!$B$4,-'Scoring Settings'!$B$5))),"Not in use",IF(AND(ISNUMBER(I444),I444&lt;'Scoring Settings'!$B$6),"Low use","Active"))))</f>
        <v>Not in use</v>
      </c>
      <c r="L444" s="5">
        <v>3</v>
      </c>
      <c r="M444" s="5">
        <v>2</v>
      </c>
      <c r="N444" s="5"/>
      <c r="O444" s="5" t="s">
        <v>73</v>
      </c>
      <c r="P444" s="5" t="s">
        <v>1498</v>
      </c>
      <c r="Q444" s="9">
        <v>2</v>
      </c>
      <c r="R444" s="5" t="s">
        <v>166</v>
      </c>
      <c r="S444" s="5" t="s">
        <v>564</v>
      </c>
      <c r="T444" s="5" t="s">
        <v>72</v>
      </c>
      <c r="U444" s="7">
        <v>44754</v>
      </c>
      <c r="V444" s="5" t="s">
        <v>135</v>
      </c>
      <c r="W444" s="6">
        <v>430</v>
      </c>
      <c r="X444" s="5" t="s">
        <v>80</v>
      </c>
      <c r="Y444" s="9">
        <v>10</v>
      </c>
      <c r="Z444" s="5" t="s">
        <v>80</v>
      </c>
      <c r="AA444" s="5" t="s">
        <v>205</v>
      </c>
      <c r="AB444" s="9">
        <v>10</v>
      </c>
      <c r="AC444" s="5" t="s">
        <v>82</v>
      </c>
      <c r="AD444" s="5" t="s">
        <v>80</v>
      </c>
      <c r="AE444" s="5" t="s">
        <v>80</v>
      </c>
      <c r="AF444" s="10">
        <v>50000</v>
      </c>
      <c r="AG444" s="7">
        <v>46965</v>
      </c>
      <c r="AH444" s="10">
        <v>91000</v>
      </c>
      <c r="AI444" s="10">
        <v>26000</v>
      </c>
      <c r="AJ444" s="11">
        <f t="shared" si="6"/>
        <v>42</v>
      </c>
      <c r="AK444" s="12">
        <f>IF(B444="","",OR(K444="Not in use",K444="Low use")+AND(N444&lt;&gt;"",N444&lt;&gt;"TBD")+AND(ISNUMBER(U444),U444&lt;=EDATE('Scoring Settings'!$B$4,'Scoring Settings'!$B$8))+AND(ISNUMBER(L444),L444&lt;='Scoring Settings'!$B$7))</f>
        <v>1</v>
      </c>
      <c r="AL444" s="5" t="s">
        <v>96</v>
      </c>
      <c r="AM444" s="8" t="str">
        <f>IF(B444="","",IF(Z444="N","Easy",IF(OR(AND(ISNUMBER(AB444),AB444&gt;'Scoring Settings'!$B$11),AND(ISNUMBER(W444),W444&gt;'Scoring Settings'!$B$12),AND(ISNUMBER(M444),M444&lt;='Scoring Settings'!$B$13)),"High","Medium")))</f>
        <v>High</v>
      </c>
      <c r="AN444" s="5" t="s">
        <v>148</v>
      </c>
      <c r="AO444" s="7">
        <v>45016</v>
      </c>
      <c r="AP444" s="5" t="s">
        <v>197</v>
      </c>
      <c r="AQ444" s="29" t="s">
        <v>276</v>
      </c>
    </row>
    <row r="445" spans="1:43" ht="42.75" hidden="1">
      <c r="A445" s="28">
        <v>184649</v>
      </c>
      <c r="B445" s="5" t="s">
        <v>1499</v>
      </c>
      <c r="C445" s="5" t="s">
        <v>126</v>
      </c>
      <c r="D445" s="5" t="s">
        <v>88</v>
      </c>
      <c r="E445" s="5" t="s">
        <v>68</v>
      </c>
      <c r="F445" s="5" t="s">
        <v>263</v>
      </c>
      <c r="G445" s="5" t="s">
        <v>237</v>
      </c>
      <c r="H445" s="5" t="s">
        <v>105</v>
      </c>
      <c r="I445" s="6">
        <v>183</v>
      </c>
      <c r="J445" s="7">
        <v>44275</v>
      </c>
      <c r="K445" s="8" t="str">
        <f>IF(B445="","",IF(AND(I445="",J445=""),"Unknown",IF(OR(AND(ISNUMBER(I445),I445=0),AND(ISNUMBER(J445),J445&lt;=EDATE('Scoring Settings'!$B$4,-'Scoring Settings'!$B$5))),"Not in use",IF(AND(ISNUMBER(I445),I445&lt;'Scoring Settings'!$B$6),"Low use","Active"))))</f>
        <v>Active</v>
      </c>
      <c r="L445" s="5">
        <v>1</v>
      </c>
      <c r="M445" s="5">
        <v>3</v>
      </c>
      <c r="N445" s="5"/>
      <c r="O445" s="5" t="s">
        <v>73</v>
      </c>
      <c r="P445" s="5" t="s">
        <v>1500</v>
      </c>
      <c r="Q445" s="9">
        <v>4</v>
      </c>
      <c r="R445" s="5" t="s">
        <v>132</v>
      </c>
      <c r="S445" s="5" t="s">
        <v>133</v>
      </c>
      <c r="T445" s="5" t="s">
        <v>109</v>
      </c>
      <c r="U445" s="7">
        <v>44227</v>
      </c>
      <c r="V445" s="5" t="s">
        <v>135</v>
      </c>
      <c r="W445" s="6">
        <v>120</v>
      </c>
      <c r="X445" s="5" t="s">
        <v>79</v>
      </c>
      <c r="Y445" s="9">
        <v>5</v>
      </c>
      <c r="Z445" s="5" t="s">
        <v>80</v>
      </c>
      <c r="AA445" s="5" t="s">
        <v>205</v>
      </c>
      <c r="AB445" s="9">
        <v>6</v>
      </c>
      <c r="AC445" s="5" t="s">
        <v>82</v>
      </c>
      <c r="AD445" s="5" t="s">
        <v>79</v>
      </c>
      <c r="AE445" s="5" t="s">
        <v>79</v>
      </c>
      <c r="AF445" s="10">
        <v>80000</v>
      </c>
      <c r="AG445" s="7">
        <v>46904</v>
      </c>
      <c r="AH445" s="10">
        <v>74500</v>
      </c>
      <c r="AI445" s="10">
        <v>59500</v>
      </c>
      <c r="AJ445" s="11">
        <f t="shared" si="6"/>
        <v>15.025210084033613</v>
      </c>
      <c r="AK445" s="12">
        <f>IF(B445="","",OR(K445="Not in use",K445="Low use")+AND(N445&lt;&gt;"",N445&lt;&gt;"TBD")+AND(ISNUMBER(U445),U445&lt;=EDATE('Scoring Settings'!$B$4,'Scoring Settings'!$B$8))+AND(ISNUMBER(L445),L445&lt;='Scoring Settings'!$B$7))</f>
        <v>2</v>
      </c>
      <c r="AL445" s="5" t="s">
        <v>96</v>
      </c>
      <c r="AM445" s="8" t="str">
        <f>IF(B445="","",IF(Z445="N","Easy",IF(OR(AND(ISNUMBER(AB445),AB445&gt;'Scoring Settings'!$B$11),AND(ISNUMBER(W445),W445&gt;'Scoring Settings'!$B$12),AND(ISNUMBER(M445),M445&lt;='Scoring Settings'!$B$13)),"High","Medium")))</f>
        <v>High</v>
      </c>
      <c r="AN445" s="5" t="s">
        <v>148</v>
      </c>
      <c r="AO445" s="7">
        <v>45260</v>
      </c>
      <c r="AP445" s="5" t="s">
        <v>98</v>
      </c>
      <c r="AQ445" s="29" t="s">
        <v>622</v>
      </c>
    </row>
    <row r="446" spans="1:43" hidden="1">
      <c r="A446" s="28">
        <v>169487</v>
      </c>
      <c r="B446" s="5" t="s">
        <v>1507</v>
      </c>
      <c r="C446" s="5" t="s">
        <v>371</v>
      </c>
      <c r="D446" s="5" t="s">
        <v>162</v>
      </c>
      <c r="E446" s="5" t="s">
        <v>298</v>
      </c>
      <c r="F446" s="5" t="s">
        <v>89</v>
      </c>
      <c r="G446" s="5" t="s">
        <v>70</v>
      </c>
      <c r="H446" s="5" t="s">
        <v>189</v>
      </c>
      <c r="I446" s="6">
        <v>4482</v>
      </c>
      <c r="J446" s="7">
        <v>44271</v>
      </c>
      <c r="K446" s="8" t="str">
        <f>IF(B446="","",IF(AND(I446="",J446=""),"Unknown",IF(OR(AND(ISNUMBER(I446),I446=0),AND(ISNUMBER(J446),J446&lt;=EDATE('Scoring Settings'!$B$4,-'Scoring Settings'!$B$5))),"Not in use",IF(AND(ISNUMBER(I446),I446&lt;'Scoring Settings'!$B$6),"Low use","Active"))))</f>
        <v>Active</v>
      </c>
      <c r="L446" s="5">
        <v>3</v>
      </c>
      <c r="M446" s="5">
        <v>3</v>
      </c>
      <c r="N446" s="5"/>
      <c r="O446" s="5" t="s">
        <v>73</v>
      </c>
      <c r="P446" s="5" t="s">
        <v>1508</v>
      </c>
      <c r="Q446" s="9">
        <v>1</v>
      </c>
      <c r="R446" s="5" t="s">
        <v>358</v>
      </c>
      <c r="S446" s="5" t="s">
        <v>133</v>
      </c>
      <c r="T446" s="5" t="s">
        <v>109</v>
      </c>
      <c r="U446" s="7">
        <v>43555</v>
      </c>
      <c r="V446" s="5" t="s">
        <v>135</v>
      </c>
      <c r="W446" s="6">
        <v>210</v>
      </c>
      <c r="X446" s="5" t="s">
        <v>80</v>
      </c>
      <c r="Y446" s="9">
        <v>10</v>
      </c>
      <c r="Z446" s="5" t="s">
        <v>80</v>
      </c>
      <c r="AA446" s="5" t="s">
        <v>205</v>
      </c>
      <c r="AB446" s="9">
        <v>6</v>
      </c>
      <c r="AC446" s="5" t="s">
        <v>82</v>
      </c>
      <c r="AD446" s="5" t="s">
        <v>79</v>
      </c>
      <c r="AE446" s="5" t="s">
        <v>79</v>
      </c>
      <c r="AF446" s="10">
        <v>34500</v>
      </c>
      <c r="AG446" s="7">
        <v>47299</v>
      </c>
      <c r="AH446" s="10">
        <v>30500</v>
      </c>
      <c r="AI446" s="10">
        <v>22500</v>
      </c>
      <c r="AJ446" s="11">
        <f t="shared" si="6"/>
        <v>16.266666666666666</v>
      </c>
      <c r="AK446" s="12">
        <f>IF(B446="","",OR(K446="Not in use",K446="Low use")+AND(N446&lt;&gt;"",N446&lt;&gt;"TBD")+AND(ISNUMBER(U446),U446&lt;=EDATE('Scoring Settings'!$B$4,'Scoring Settings'!$B$8))+AND(ISNUMBER(L446),L446&lt;='Scoring Settings'!$B$7))</f>
        <v>1</v>
      </c>
      <c r="AL446" s="5" t="s">
        <v>96</v>
      </c>
      <c r="AM446" s="8" t="str">
        <f>IF(B446="","",IF(Z446="N","Easy",IF(OR(AND(ISNUMBER(AB446),AB446&gt;'Scoring Settings'!$B$11),AND(ISNUMBER(W446),W446&gt;'Scoring Settings'!$B$12),AND(ISNUMBER(M446),M446&lt;='Scoring Settings'!$B$13)),"High","Medium")))</f>
        <v>High</v>
      </c>
      <c r="AN446" s="5" t="s">
        <v>148</v>
      </c>
      <c r="AO446" s="7">
        <v>45016</v>
      </c>
      <c r="AP446" s="5" t="s">
        <v>98</v>
      </c>
      <c r="AQ446" s="29" t="s">
        <v>213</v>
      </c>
    </row>
    <row r="447" spans="1:43" hidden="1">
      <c r="A447" s="28">
        <v>115441</v>
      </c>
      <c r="B447" s="5" t="s">
        <v>1512</v>
      </c>
      <c r="C447" s="5" t="s">
        <v>270</v>
      </c>
      <c r="D447" s="5" t="s">
        <v>139</v>
      </c>
      <c r="E447" s="5" t="s">
        <v>311</v>
      </c>
      <c r="F447" s="5" t="s">
        <v>116</v>
      </c>
      <c r="G447" s="5" t="s">
        <v>237</v>
      </c>
      <c r="H447" s="5" t="s">
        <v>189</v>
      </c>
      <c r="I447" s="6">
        <v>738</v>
      </c>
      <c r="J447" s="7">
        <v>44274</v>
      </c>
      <c r="K447" s="8" t="str">
        <f>IF(B447="","",IF(AND(I447="",J447=""),"Unknown",IF(OR(AND(ISNUMBER(I447),I447=0),AND(ISNUMBER(J447),J447&lt;=EDATE('Scoring Settings'!$B$4,-'Scoring Settings'!$B$5))),"Not in use",IF(AND(ISNUMBER(I447),I447&lt;'Scoring Settings'!$B$6),"Low use","Active"))))</f>
        <v>Active</v>
      </c>
      <c r="L447" s="5">
        <v>5</v>
      </c>
      <c r="M447" s="5">
        <v>2</v>
      </c>
      <c r="N447" s="5" t="s">
        <v>401</v>
      </c>
      <c r="O447" s="5" t="s">
        <v>73</v>
      </c>
      <c r="P447" s="5" t="s">
        <v>1513</v>
      </c>
      <c r="Q447" s="9">
        <v>8</v>
      </c>
      <c r="R447" s="5" t="s">
        <v>93</v>
      </c>
      <c r="S447" s="5" t="s">
        <v>94</v>
      </c>
      <c r="T447" s="5" t="s">
        <v>109</v>
      </c>
      <c r="U447" s="7">
        <v>44561</v>
      </c>
      <c r="V447" s="5" t="s">
        <v>135</v>
      </c>
      <c r="W447" s="6">
        <v>360</v>
      </c>
      <c r="X447" s="5" t="s">
        <v>79</v>
      </c>
      <c r="Y447" s="9">
        <v>1</v>
      </c>
      <c r="Z447" s="5" t="s">
        <v>79</v>
      </c>
      <c r="AA447" s="5" t="s">
        <v>110</v>
      </c>
      <c r="AB447" s="9">
        <v>22</v>
      </c>
      <c r="AC447" s="5" t="s">
        <v>79</v>
      </c>
      <c r="AD447" s="5" t="s">
        <v>82</v>
      </c>
      <c r="AE447" s="5" t="s">
        <v>79</v>
      </c>
      <c r="AF447" s="10">
        <v>125000</v>
      </c>
      <c r="AG447" s="7">
        <v>49217</v>
      </c>
      <c r="AH447" s="10">
        <v>76000</v>
      </c>
      <c r="AI447" s="10">
        <v>103500</v>
      </c>
      <c r="AJ447" s="11">
        <f t="shared" si="6"/>
        <v>8.8115942028985508</v>
      </c>
      <c r="AK447" s="12">
        <f>IF(B447="","",OR(K447="Not in use",K447="Low use")+AND(N447&lt;&gt;"",N447&lt;&gt;"TBD")+AND(ISNUMBER(U447),U447&lt;=EDATE('Scoring Settings'!$B$4,'Scoring Settings'!$B$8))+AND(ISNUMBER(L447),L447&lt;='Scoring Settings'!$B$7))</f>
        <v>2</v>
      </c>
      <c r="AL447" s="5" t="s">
        <v>2217</v>
      </c>
      <c r="AM447" s="8" t="str">
        <f>IF(B447="","",IF(Z447="N","Easy",IF(OR(AND(ISNUMBER(AB447),AB447&gt;'Scoring Settings'!$B$11),AND(ISNUMBER(W447),W447&gt;'Scoring Settings'!$B$12),AND(ISNUMBER(M447),M447&lt;='Scoring Settings'!$B$13)),"High","Medium")))</f>
        <v>Easy</v>
      </c>
      <c r="AN447" s="5" t="s">
        <v>148</v>
      </c>
      <c r="AO447" s="7">
        <v>45046</v>
      </c>
      <c r="AP447" s="5" t="s">
        <v>98</v>
      </c>
      <c r="AQ447" s="29" t="s">
        <v>170</v>
      </c>
    </row>
    <row r="448" spans="1:43" hidden="1">
      <c r="A448" s="28">
        <v>146643</v>
      </c>
      <c r="B448" s="5" t="s">
        <v>1517</v>
      </c>
      <c r="C448" s="5" t="s">
        <v>495</v>
      </c>
      <c r="D448" s="5" t="s">
        <v>162</v>
      </c>
      <c r="E448" s="5" t="s">
        <v>68</v>
      </c>
      <c r="F448" s="5" t="s">
        <v>236</v>
      </c>
      <c r="G448" s="5" t="s">
        <v>278</v>
      </c>
      <c r="H448" s="5" t="s">
        <v>142</v>
      </c>
      <c r="I448" s="6">
        <v>5</v>
      </c>
      <c r="J448" s="7">
        <v>44242</v>
      </c>
      <c r="K448" s="8" t="str">
        <f>IF(B448="","",IF(AND(I448="",J448=""),"Unknown",IF(OR(AND(ISNUMBER(I448),I448=0),AND(ISNUMBER(J448),J448&lt;=EDATE('Scoring Settings'!$B$4,-'Scoring Settings'!$B$5))),"Not in use",IF(AND(ISNUMBER(I448),I448&lt;'Scoring Settings'!$B$6),"Low use","Active"))))</f>
        <v>Low use</v>
      </c>
      <c r="L448" s="5">
        <v>3</v>
      </c>
      <c r="M448" s="5">
        <v>2</v>
      </c>
      <c r="N448" s="5"/>
      <c r="O448" s="5" t="s">
        <v>143</v>
      </c>
      <c r="P448" s="5" t="s">
        <v>144</v>
      </c>
      <c r="Q448" s="9">
        <v>0</v>
      </c>
      <c r="R448" s="5" t="s">
        <v>145</v>
      </c>
      <c r="S448" s="5" t="s">
        <v>145</v>
      </c>
      <c r="T448" s="5" t="s">
        <v>146</v>
      </c>
      <c r="U448" s="7"/>
      <c r="V448" s="5" t="s">
        <v>135</v>
      </c>
      <c r="W448" s="6">
        <v>39</v>
      </c>
      <c r="X448" s="5" t="s">
        <v>80</v>
      </c>
      <c r="Y448" s="9">
        <v>10</v>
      </c>
      <c r="Z448" s="5" t="s">
        <v>80</v>
      </c>
      <c r="AA448" s="5" t="s">
        <v>205</v>
      </c>
      <c r="AB448" s="9">
        <v>23</v>
      </c>
      <c r="AC448" s="5" t="s">
        <v>82</v>
      </c>
      <c r="AD448" s="5" t="s">
        <v>79</v>
      </c>
      <c r="AE448" s="5" t="s">
        <v>82</v>
      </c>
      <c r="AF448" s="10">
        <v>110000</v>
      </c>
      <c r="AG448" s="7">
        <v>49278</v>
      </c>
      <c r="AH448" s="10">
        <v>284000</v>
      </c>
      <c r="AI448" s="10">
        <v>60000</v>
      </c>
      <c r="AJ448" s="11">
        <f t="shared" si="6"/>
        <v>56.8</v>
      </c>
      <c r="AK448" s="12">
        <f>IF(B448="","",OR(K448="Not in use",K448="Low use")+AND(N448&lt;&gt;"",N448&lt;&gt;"TBD")+AND(ISNUMBER(U448),U448&lt;=EDATE('Scoring Settings'!$B$4,'Scoring Settings'!$B$8))+AND(ISNUMBER(L448),L448&lt;='Scoring Settings'!$B$7))</f>
        <v>1</v>
      </c>
      <c r="AL448" s="5" t="s">
        <v>96</v>
      </c>
      <c r="AM448" s="8" t="str">
        <f>IF(B448="","",IF(Z448="N","Easy",IF(OR(AND(ISNUMBER(AB448),AB448&gt;'Scoring Settings'!$B$11),AND(ISNUMBER(W448),W448&gt;'Scoring Settings'!$B$12),AND(ISNUMBER(M448),M448&lt;='Scoring Settings'!$B$13)),"High","Medium")))</f>
        <v>High</v>
      </c>
      <c r="AN448" s="5" t="s">
        <v>148</v>
      </c>
      <c r="AO448" s="7">
        <v>45230</v>
      </c>
      <c r="AP448" s="5" t="s">
        <v>197</v>
      </c>
      <c r="AQ448" s="29" t="s">
        <v>669</v>
      </c>
    </row>
    <row r="449" spans="1:43" hidden="1">
      <c r="A449" s="28">
        <v>164311</v>
      </c>
      <c r="B449" s="5" t="s">
        <v>1520</v>
      </c>
      <c r="C449" s="5" t="s">
        <v>262</v>
      </c>
      <c r="D449" s="5" t="s">
        <v>67</v>
      </c>
      <c r="E449" s="5" t="s">
        <v>298</v>
      </c>
      <c r="F449" s="5" t="s">
        <v>140</v>
      </c>
      <c r="G449" s="5" t="s">
        <v>141</v>
      </c>
      <c r="H449" s="5" t="s">
        <v>118</v>
      </c>
      <c r="I449" s="6">
        <v>55</v>
      </c>
      <c r="J449" s="7">
        <v>44307</v>
      </c>
      <c r="K449" s="8" t="str">
        <f>IF(B449="","",IF(AND(I449="",J449=""),"Unknown",IF(OR(AND(ISNUMBER(I449),I449=0),AND(ISNUMBER(J449),J449&lt;=EDATE('Scoring Settings'!$B$4,-'Scoring Settings'!$B$5))),"Not in use",IF(AND(ISNUMBER(I449),I449&lt;'Scoring Settings'!$B$6),"Low use","Active"))))</f>
        <v>Active</v>
      </c>
      <c r="L449" s="5">
        <v>2</v>
      </c>
      <c r="M449" s="5">
        <v>4</v>
      </c>
      <c r="N449" s="5" t="s">
        <v>227</v>
      </c>
      <c r="O449" s="5" t="s">
        <v>130</v>
      </c>
      <c r="P449" s="5" t="s">
        <v>1521</v>
      </c>
      <c r="Q449" s="9">
        <v>2</v>
      </c>
      <c r="R449" s="5" t="s">
        <v>182</v>
      </c>
      <c r="S449" s="5" t="s">
        <v>183</v>
      </c>
      <c r="T449" s="5" t="s">
        <v>168</v>
      </c>
      <c r="U449" s="7">
        <v>42855</v>
      </c>
      <c r="V449" s="5" t="s">
        <v>95</v>
      </c>
      <c r="W449" s="6">
        <v>120</v>
      </c>
      <c r="X449" s="5" t="s">
        <v>80</v>
      </c>
      <c r="Y449" s="9">
        <v>7</v>
      </c>
      <c r="Z449" s="5" t="s">
        <v>80</v>
      </c>
      <c r="AA449" s="5" t="s">
        <v>205</v>
      </c>
      <c r="AB449" s="9">
        <v>0</v>
      </c>
      <c r="AC449" s="5" t="s">
        <v>82</v>
      </c>
      <c r="AD449" s="5" t="s">
        <v>82</v>
      </c>
      <c r="AE449" s="5" t="s">
        <v>82</v>
      </c>
      <c r="AF449" s="10">
        <v>22500</v>
      </c>
      <c r="AG449" s="7">
        <v>46812</v>
      </c>
      <c r="AH449" s="10">
        <v>33000</v>
      </c>
      <c r="AI449" s="10">
        <v>15500</v>
      </c>
      <c r="AJ449" s="11">
        <f t="shared" si="6"/>
        <v>25.548387096774192</v>
      </c>
      <c r="AK449" s="12">
        <f>IF(B449="","",OR(K449="Not in use",K449="Low use")+AND(N449&lt;&gt;"",N449&lt;&gt;"TBD")+AND(ISNUMBER(U449),U449&lt;=EDATE('Scoring Settings'!$B$4,'Scoring Settings'!$B$8))+AND(ISNUMBER(L449),L449&lt;='Scoring Settings'!$B$7))</f>
        <v>3</v>
      </c>
      <c r="AL449" s="5" t="s">
        <v>96</v>
      </c>
      <c r="AM449" s="8" t="str">
        <f>IF(B449="","",IF(Z449="N","Easy",IF(OR(AND(ISNUMBER(AB449),AB449&gt;'Scoring Settings'!$B$11),AND(ISNUMBER(W449),W449&gt;'Scoring Settings'!$B$12),AND(ISNUMBER(M449),M449&lt;='Scoring Settings'!$B$13)),"High","Medium")))</f>
        <v>Medium</v>
      </c>
      <c r="AN449" s="5" t="s">
        <v>148</v>
      </c>
      <c r="AO449" s="7">
        <v>45230</v>
      </c>
      <c r="AP449" s="5" t="s">
        <v>98</v>
      </c>
      <c r="AQ449" s="29" t="s">
        <v>149</v>
      </c>
    </row>
    <row r="450" spans="1:43" hidden="1">
      <c r="A450" s="28">
        <v>135747</v>
      </c>
      <c r="B450" s="5" t="s">
        <v>1534</v>
      </c>
      <c r="C450" s="5" t="s">
        <v>242</v>
      </c>
      <c r="D450" s="5" t="s">
        <v>115</v>
      </c>
      <c r="E450" s="5" t="s">
        <v>68</v>
      </c>
      <c r="F450" s="5" t="s">
        <v>396</v>
      </c>
      <c r="G450" s="5" t="s">
        <v>90</v>
      </c>
      <c r="H450" s="5" t="s">
        <v>129</v>
      </c>
      <c r="I450" s="6">
        <v>0</v>
      </c>
      <c r="J450" s="7">
        <v>43758</v>
      </c>
      <c r="K450" s="8" t="str">
        <f>IF(B450="","",IF(AND(I450="",J450=""),"Unknown",IF(OR(AND(ISNUMBER(I450),I450=0),AND(ISNUMBER(J450),J450&lt;=EDATE('Scoring Settings'!$B$4,-'Scoring Settings'!$B$5))),"Not in use",IF(AND(ISNUMBER(I450),I450&lt;'Scoring Settings'!$B$6),"Low use","Active"))))</f>
        <v>Not in use</v>
      </c>
      <c r="L450" s="5">
        <v>3</v>
      </c>
      <c r="M450" s="5">
        <v>4</v>
      </c>
      <c r="N450" s="5"/>
      <c r="O450" s="5" t="s">
        <v>73</v>
      </c>
      <c r="P450" s="5" t="s">
        <v>1535</v>
      </c>
      <c r="Q450" s="9">
        <v>2</v>
      </c>
      <c r="R450" s="5" t="s">
        <v>358</v>
      </c>
      <c r="S450" s="5" t="s">
        <v>133</v>
      </c>
      <c r="T450" s="5" t="s">
        <v>109</v>
      </c>
      <c r="U450" s="7">
        <v>43555</v>
      </c>
      <c r="V450" s="5" t="s">
        <v>135</v>
      </c>
      <c r="W450" s="6">
        <v>1590</v>
      </c>
      <c r="X450" s="5" t="s">
        <v>79</v>
      </c>
      <c r="Y450" s="9">
        <v>3</v>
      </c>
      <c r="Z450" s="5" t="s">
        <v>79</v>
      </c>
      <c r="AA450" s="5" t="s">
        <v>110</v>
      </c>
      <c r="AB450" s="9">
        <v>2</v>
      </c>
      <c r="AC450" s="5" t="s">
        <v>82</v>
      </c>
      <c r="AD450" s="5" t="s">
        <v>82</v>
      </c>
      <c r="AE450" s="5" t="s">
        <v>79</v>
      </c>
      <c r="AF450" s="10">
        <v>48000</v>
      </c>
      <c r="AG450" s="7">
        <v>46783</v>
      </c>
      <c r="AH450" s="10">
        <v>32000</v>
      </c>
      <c r="AI450" s="10">
        <v>46500</v>
      </c>
      <c r="AJ450" s="11">
        <f t="shared" si="6"/>
        <v>8.258064516129032</v>
      </c>
      <c r="AK450" s="12">
        <f>IF(B450="","",OR(K450="Not in use",K450="Low use")+AND(N450&lt;&gt;"",N450&lt;&gt;"TBD")+AND(ISNUMBER(U450),U450&lt;=EDATE('Scoring Settings'!$B$4,'Scoring Settings'!$B$8))+AND(ISNUMBER(L450),L450&lt;='Scoring Settings'!$B$7))</f>
        <v>2</v>
      </c>
      <c r="AL450" s="5" t="s">
        <v>223</v>
      </c>
      <c r="AM450" s="8" t="str">
        <f>IF(B450="","",IF(Z450="N","Easy",IF(OR(AND(ISNUMBER(AB450),AB450&gt;'Scoring Settings'!$B$11),AND(ISNUMBER(W450),W450&gt;'Scoring Settings'!$B$12),AND(ISNUMBER(M450),M450&lt;='Scoring Settings'!$B$13)),"High","Medium")))</f>
        <v>Easy</v>
      </c>
      <c r="AN450" s="5" t="s">
        <v>148</v>
      </c>
      <c r="AO450" s="7">
        <v>45260</v>
      </c>
      <c r="AP450" s="5" t="s">
        <v>98</v>
      </c>
      <c r="AQ450" s="29" t="s">
        <v>149</v>
      </c>
    </row>
    <row r="451" spans="1:43" hidden="1">
      <c r="A451" s="28">
        <v>10949</v>
      </c>
      <c r="B451" s="5" t="s">
        <v>1541</v>
      </c>
      <c r="C451" s="5" t="s">
        <v>464</v>
      </c>
      <c r="D451" s="5" t="s">
        <v>88</v>
      </c>
      <c r="E451" s="5" t="s">
        <v>68</v>
      </c>
      <c r="F451" s="5" t="s">
        <v>157</v>
      </c>
      <c r="G451" s="5" t="s">
        <v>141</v>
      </c>
      <c r="H451" s="5" t="s">
        <v>142</v>
      </c>
      <c r="I451" s="6">
        <v>323</v>
      </c>
      <c r="J451" s="7">
        <v>44274</v>
      </c>
      <c r="K451" s="8" t="str">
        <f>IF(B451="","",IF(AND(I451="",J451=""),"Unknown",IF(OR(AND(ISNUMBER(I451),I451=0),AND(ISNUMBER(J451),J451&lt;=EDATE('Scoring Settings'!$B$4,-'Scoring Settings'!$B$5))),"Not in use",IF(AND(ISNUMBER(I451),I451&lt;'Scoring Settings'!$B$6),"Low use","Active"))))</f>
        <v>Active</v>
      </c>
      <c r="L451" s="5">
        <v>3</v>
      </c>
      <c r="M451" s="5">
        <v>4</v>
      </c>
      <c r="N451" s="5" t="s">
        <v>543</v>
      </c>
      <c r="O451" s="5" t="s">
        <v>143</v>
      </c>
      <c r="P451" s="5" t="s">
        <v>144</v>
      </c>
      <c r="Q451" s="9">
        <v>0</v>
      </c>
      <c r="R451" s="5" t="s">
        <v>145</v>
      </c>
      <c r="S451" s="5" t="s">
        <v>145</v>
      </c>
      <c r="T451" s="5" t="s">
        <v>146</v>
      </c>
      <c r="U451" s="7">
        <v>46053</v>
      </c>
      <c r="V451" s="5" t="s">
        <v>78</v>
      </c>
      <c r="W451" s="6">
        <v>700</v>
      </c>
      <c r="X451" s="5" t="s">
        <v>79</v>
      </c>
      <c r="Y451" s="9">
        <v>5</v>
      </c>
      <c r="Z451" s="5" t="s">
        <v>80</v>
      </c>
      <c r="AA451" s="5" t="s">
        <v>81</v>
      </c>
      <c r="AB451" s="9">
        <v>3</v>
      </c>
      <c r="AC451" s="5" t="s">
        <v>82</v>
      </c>
      <c r="AD451" s="5" t="s">
        <v>79</v>
      </c>
      <c r="AE451" s="5" t="s">
        <v>82</v>
      </c>
      <c r="AF451" s="10">
        <v>7000</v>
      </c>
      <c r="AG451" s="7">
        <v>47330</v>
      </c>
      <c r="AH451" s="10">
        <v>10500</v>
      </c>
      <c r="AI451" s="10">
        <v>3500</v>
      </c>
      <c r="AJ451" s="11">
        <f t="shared" si="6"/>
        <v>36</v>
      </c>
      <c r="AK451" s="12">
        <f>IF(B451="","",OR(K451="Not in use",K451="Low use")+AND(N451&lt;&gt;"",N451&lt;&gt;"TBD")+AND(ISNUMBER(U451),U451&lt;=EDATE('Scoring Settings'!$B$4,'Scoring Settings'!$B$8))+AND(ISNUMBER(L451),L451&lt;='Scoring Settings'!$B$7))</f>
        <v>1</v>
      </c>
      <c r="AL451" s="5" t="s">
        <v>2217</v>
      </c>
      <c r="AM451" s="8" t="str">
        <f>IF(B451="","",IF(Z451="N","Easy",IF(OR(AND(ISNUMBER(AB451),AB451&gt;'Scoring Settings'!$B$11),AND(ISNUMBER(W451),W451&gt;'Scoring Settings'!$B$12),AND(ISNUMBER(M451),M451&lt;='Scoring Settings'!$B$13)),"High","Medium")))</f>
        <v>Medium</v>
      </c>
      <c r="AN451" s="5" t="s">
        <v>148</v>
      </c>
      <c r="AO451" s="7">
        <v>45169</v>
      </c>
      <c r="AP451" s="5" t="s">
        <v>197</v>
      </c>
      <c r="AQ451" s="29" t="s">
        <v>1542</v>
      </c>
    </row>
    <row r="452" spans="1:43" hidden="1">
      <c r="A452" s="28">
        <v>65417</v>
      </c>
      <c r="B452" s="5" t="s">
        <v>1552</v>
      </c>
      <c r="C452" s="5" t="s">
        <v>220</v>
      </c>
      <c r="D452" s="5" t="s">
        <v>139</v>
      </c>
      <c r="E452" s="5" t="s">
        <v>68</v>
      </c>
      <c r="F452" s="5" t="s">
        <v>209</v>
      </c>
      <c r="G452" s="5" t="s">
        <v>284</v>
      </c>
      <c r="H452" s="5" t="s">
        <v>71</v>
      </c>
      <c r="I452" s="6">
        <v>17</v>
      </c>
      <c r="J452" s="7">
        <v>44259</v>
      </c>
      <c r="K452" s="8" t="str">
        <f>IF(B452="","",IF(AND(I452="",J452=""),"Unknown",IF(OR(AND(ISNUMBER(I452),I452=0),AND(ISNUMBER(J452),J452&lt;=EDATE('Scoring Settings'!$B$4,-'Scoring Settings'!$B$5))),"Not in use",IF(AND(ISNUMBER(I452),I452&lt;'Scoring Settings'!$B$6),"Low use","Active"))))</f>
        <v>Low use</v>
      </c>
      <c r="L452" s="5">
        <v>2</v>
      </c>
      <c r="M452" s="5">
        <v>4</v>
      </c>
      <c r="N452" s="5" t="s">
        <v>72</v>
      </c>
      <c r="O452" s="5" t="s">
        <v>73</v>
      </c>
      <c r="P452" s="5" t="s">
        <v>1343</v>
      </c>
      <c r="Q452" s="9">
        <v>2</v>
      </c>
      <c r="R452" s="5" t="s">
        <v>75</v>
      </c>
      <c r="S452" s="5" t="s">
        <v>121</v>
      </c>
      <c r="T452" s="5" t="s">
        <v>109</v>
      </c>
      <c r="U452" s="7">
        <v>46217</v>
      </c>
      <c r="V452" s="5" t="s">
        <v>135</v>
      </c>
      <c r="W452" s="6">
        <v>1430</v>
      </c>
      <c r="X452" s="5" t="s">
        <v>79</v>
      </c>
      <c r="Y452" s="9">
        <v>3</v>
      </c>
      <c r="Z452" s="5" t="s">
        <v>80</v>
      </c>
      <c r="AA452" s="5" t="s">
        <v>205</v>
      </c>
      <c r="AB452" s="9">
        <v>3</v>
      </c>
      <c r="AC452" s="5" t="s">
        <v>79</v>
      </c>
      <c r="AD452" s="5" t="s">
        <v>82</v>
      </c>
      <c r="AE452" s="5" t="s">
        <v>82</v>
      </c>
      <c r="AF452" s="10">
        <v>42000</v>
      </c>
      <c r="AG452" s="7">
        <v>48518</v>
      </c>
      <c r="AH452" s="10">
        <v>59500</v>
      </c>
      <c r="AI452" s="10">
        <v>28000</v>
      </c>
      <c r="AJ452" s="11">
        <f t="shared" si="6"/>
        <v>25.5</v>
      </c>
      <c r="AK452" s="12">
        <f>IF(B452="","",OR(K452="Not in use",K452="Low use")+AND(N452&lt;&gt;"",N452&lt;&gt;"TBD")+AND(ISNUMBER(U452),U452&lt;=EDATE('Scoring Settings'!$B$4,'Scoring Settings'!$B$8))+AND(ISNUMBER(L452),L452&lt;='Scoring Settings'!$B$7))</f>
        <v>2</v>
      </c>
      <c r="AL452" s="5" t="s">
        <v>96</v>
      </c>
      <c r="AM452" s="8" t="str">
        <f>IF(B452="","",IF(Z452="N","Easy",IF(OR(AND(ISNUMBER(AB452),AB452&gt;'Scoring Settings'!$B$11),AND(ISNUMBER(W452),W452&gt;'Scoring Settings'!$B$12),AND(ISNUMBER(M452),M452&lt;='Scoring Settings'!$B$13)),"High","Medium")))</f>
        <v>High</v>
      </c>
      <c r="AN452" s="5" t="s">
        <v>148</v>
      </c>
      <c r="AO452" s="7">
        <v>45077</v>
      </c>
      <c r="AP452" s="5" t="s">
        <v>98</v>
      </c>
      <c r="AQ452" s="29" t="s">
        <v>136</v>
      </c>
    </row>
    <row r="453" spans="1:43" hidden="1">
      <c r="A453" s="28">
        <v>26151</v>
      </c>
      <c r="B453" s="5" t="s">
        <v>1555</v>
      </c>
      <c r="C453" s="5" t="s">
        <v>230</v>
      </c>
      <c r="D453" s="5" t="s">
        <v>115</v>
      </c>
      <c r="E453" s="5" t="s">
        <v>311</v>
      </c>
      <c r="F453" s="5" t="s">
        <v>173</v>
      </c>
      <c r="G453" s="5" t="s">
        <v>221</v>
      </c>
      <c r="H453" s="5" t="s">
        <v>174</v>
      </c>
      <c r="I453" s="6">
        <v>7</v>
      </c>
      <c r="J453" s="7">
        <v>44193</v>
      </c>
      <c r="K453" s="8" t="str">
        <f>IF(B453="","",IF(AND(I453="",J453=""),"Unknown",IF(OR(AND(ISNUMBER(I453),I453=0),AND(ISNUMBER(J453),J453&lt;=EDATE('Scoring Settings'!$B$4,-'Scoring Settings'!$B$5))),"Not in use",IF(AND(ISNUMBER(I453),I453&lt;'Scoring Settings'!$B$6),"Low use","Active"))))</f>
        <v>Low use</v>
      </c>
      <c r="L453" s="5">
        <v>2</v>
      </c>
      <c r="M453" s="5">
        <v>4</v>
      </c>
      <c r="N453" s="5"/>
      <c r="O453" s="5" t="s">
        <v>73</v>
      </c>
      <c r="P453" s="5" t="s">
        <v>1556</v>
      </c>
      <c r="Q453" s="9">
        <v>2</v>
      </c>
      <c r="R453" s="5" t="s">
        <v>478</v>
      </c>
      <c r="S453" s="5" t="s">
        <v>479</v>
      </c>
      <c r="T453" s="5" t="s">
        <v>77</v>
      </c>
      <c r="U453" s="7">
        <v>43844</v>
      </c>
      <c r="V453" s="5" t="s">
        <v>135</v>
      </c>
      <c r="W453" s="6">
        <v>5</v>
      </c>
      <c r="X453" s="5" t="s">
        <v>80</v>
      </c>
      <c r="Y453" s="9">
        <v>7</v>
      </c>
      <c r="Z453" s="5" t="s">
        <v>79</v>
      </c>
      <c r="AA453" s="5" t="s">
        <v>110</v>
      </c>
      <c r="AB453" s="9">
        <v>1</v>
      </c>
      <c r="AC453" s="5" t="s">
        <v>80</v>
      </c>
      <c r="AD453" s="5" t="s">
        <v>82</v>
      </c>
      <c r="AE453" s="5" t="s">
        <v>80</v>
      </c>
      <c r="AF453" s="10">
        <v>50000</v>
      </c>
      <c r="AG453" s="7">
        <v>46022</v>
      </c>
      <c r="AH453" s="10">
        <v>30000</v>
      </c>
      <c r="AI453" s="10">
        <v>46000</v>
      </c>
      <c r="AJ453" s="11">
        <f t="shared" ref="AJ453:AJ516" si="7">IF(AND(ISNUMBER(AH453),ISNUMBER(AI453),N(AI453)&gt;0),AH453/AI453*12,"")</f>
        <v>7.8260869565217392</v>
      </c>
      <c r="AK453" s="12">
        <f>IF(B453="","",OR(K453="Not in use",K453="Low use")+AND(N453&lt;&gt;"",N453&lt;&gt;"TBD")+AND(ISNUMBER(U453),U453&lt;=EDATE('Scoring Settings'!$B$4,'Scoring Settings'!$B$8))+AND(ISNUMBER(L453),L453&lt;='Scoring Settings'!$B$7))</f>
        <v>3</v>
      </c>
      <c r="AL453" s="5" t="s">
        <v>223</v>
      </c>
      <c r="AM453" s="8" t="str">
        <f>IF(B453="","",IF(Z453="N","Easy",IF(OR(AND(ISNUMBER(AB453),AB453&gt;'Scoring Settings'!$B$11),AND(ISNUMBER(W453),W453&gt;'Scoring Settings'!$B$12),AND(ISNUMBER(M453),M453&lt;='Scoring Settings'!$B$13)),"High","Medium")))</f>
        <v>Easy</v>
      </c>
      <c r="AN453" s="5" t="s">
        <v>148</v>
      </c>
      <c r="AO453" s="7">
        <v>45138</v>
      </c>
      <c r="AP453" s="5" t="s">
        <v>197</v>
      </c>
      <c r="AQ453" s="29" t="s">
        <v>688</v>
      </c>
    </row>
    <row r="454" spans="1:43" hidden="1">
      <c r="A454" s="28">
        <v>45270</v>
      </c>
      <c r="B454" s="5" t="s">
        <v>1557</v>
      </c>
      <c r="C454" s="5" t="s">
        <v>151</v>
      </c>
      <c r="D454" s="5" t="s">
        <v>102</v>
      </c>
      <c r="E454" s="5" t="s">
        <v>311</v>
      </c>
      <c r="F454" s="5" t="s">
        <v>346</v>
      </c>
      <c r="G454" s="5" t="s">
        <v>221</v>
      </c>
      <c r="H454" s="5" t="s">
        <v>71</v>
      </c>
      <c r="I454" s="6">
        <v>268</v>
      </c>
      <c r="J454" s="7">
        <v>44294</v>
      </c>
      <c r="K454" s="8" t="str">
        <f>IF(B454="","",IF(AND(I454="",J454=""),"Unknown",IF(OR(AND(ISNUMBER(I454),I454=0),AND(ISNUMBER(J454),J454&lt;=EDATE('Scoring Settings'!$B$4,-'Scoring Settings'!$B$5))),"Not in use",IF(AND(ISNUMBER(I454),I454&lt;'Scoring Settings'!$B$6),"Low use","Active"))))</f>
        <v>Active</v>
      </c>
      <c r="L454" s="5">
        <v>2</v>
      </c>
      <c r="M454" s="5">
        <v>3</v>
      </c>
      <c r="N454" s="5" t="s">
        <v>381</v>
      </c>
      <c r="O454" s="5" t="s">
        <v>73</v>
      </c>
      <c r="P454" s="5" t="s">
        <v>1494</v>
      </c>
      <c r="Q454" s="9">
        <v>1</v>
      </c>
      <c r="R454" s="5" t="s">
        <v>166</v>
      </c>
      <c r="S454" s="5" t="s">
        <v>308</v>
      </c>
      <c r="T454" s="5" t="s">
        <v>122</v>
      </c>
      <c r="U454" s="7">
        <v>45209</v>
      </c>
      <c r="V454" s="5" t="s">
        <v>135</v>
      </c>
      <c r="W454" s="6">
        <v>140</v>
      </c>
      <c r="X454" s="5" t="s">
        <v>80</v>
      </c>
      <c r="Y454" s="9">
        <v>7</v>
      </c>
      <c r="Z454" s="5" t="s">
        <v>79</v>
      </c>
      <c r="AA454" s="5" t="s">
        <v>110</v>
      </c>
      <c r="AB454" s="9">
        <v>7</v>
      </c>
      <c r="AC454" s="5" t="s">
        <v>82</v>
      </c>
      <c r="AD454" s="5" t="s">
        <v>80</v>
      </c>
      <c r="AE454" s="5" t="s">
        <v>82</v>
      </c>
      <c r="AF454" s="10">
        <v>38500</v>
      </c>
      <c r="AG454" s="7">
        <v>48548</v>
      </c>
      <c r="AH454" s="10">
        <v>39000</v>
      </c>
      <c r="AI454" s="10">
        <v>26000</v>
      </c>
      <c r="AJ454" s="11">
        <f t="shared" si="7"/>
        <v>18</v>
      </c>
      <c r="AK454" s="12">
        <f>IF(B454="","",OR(K454="Not in use",K454="Low use")+AND(N454&lt;&gt;"",N454&lt;&gt;"TBD")+AND(ISNUMBER(U454),U454&lt;=EDATE('Scoring Settings'!$B$4,'Scoring Settings'!$B$8))+AND(ISNUMBER(L454),L454&lt;='Scoring Settings'!$B$7))</f>
        <v>2</v>
      </c>
      <c r="AL454" s="5" t="s">
        <v>2217</v>
      </c>
      <c r="AM454" s="8" t="str">
        <f>IF(B454="","",IF(Z454="N","Easy",IF(OR(AND(ISNUMBER(AB454),AB454&gt;'Scoring Settings'!$B$11),AND(ISNUMBER(W454),W454&gt;'Scoring Settings'!$B$12),AND(ISNUMBER(M454),M454&lt;='Scoring Settings'!$B$13)),"High","Medium")))</f>
        <v>Easy</v>
      </c>
      <c r="AN454" s="5" t="s">
        <v>148</v>
      </c>
      <c r="AO454" s="7">
        <v>45199</v>
      </c>
      <c r="AP454" s="5" t="s">
        <v>98</v>
      </c>
      <c r="AQ454" s="29" t="s">
        <v>170</v>
      </c>
    </row>
    <row r="455" spans="1:43" hidden="1">
      <c r="A455" s="28">
        <v>150446</v>
      </c>
      <c r="B455" s="5" t="s">
        <v>1587</v>
      </c>
      <c r="C455" s="5" t="s">
        <v>234</v>
      </c>
      <c r="D455" s="5" t="s">
        <v>102</v>
      </c>
      <c r="E455" s="5" t="s">
        <v>68</v>
      </c>
      <c r="F455" s="5" t="s">
        <v>476</v>
      </c>
      <c r="G455" s="5" t="s">
        <v>117</v>
      </c>
      <c r="H455" s="5" t="s">
        <v>118</v>
      </c>
      <c r="I455" s="6">
        <v>14</v>
      </c>
      <c r="J455" s="7">
        <v>44212</v>
      </c>
      <c r="K455" s="8" t="str">
        <f>IF(B455="","",IF(AND(I455="",J455=""),"Unknown",IF(OR(AND(ISNUMBER(I455),I455=0),AND(ISNUMBER(J455),J455&lt;=EDATE('Scoring Settings'!$B$4,-'Scoring Settings'!$B$5))),"Not in use",IF(AND(ISNUMBER(I455),I455&lt;'Scoring Settings'!$B$6),"Low use","Active"))))</f>
        <v>Low use</v>
      </c>
      <c r="L455" s="5">
        <v>1</v>
      </c>
      <c r="M455" s="5">
        <v>3</v>
      </c>
      <c r="N455" s="5"/>
      <c r="O455" s="5" t="s">
        <v>73</v>
      </c>
      <c r="P455" s="5" t="s">
        <v>1588</v>
      </c>
      <c r="Q455" s="9">
        <v>2</v>
      </c>
      <c r="R455" s="5" t="s">
        <v>251</v>
      </c>
      <c r="S455" s="5" t="s">
        <v>133</v>
      </c>
      <c r="T455" s="5" t="s">
        <v>184</v>
      </c>
      <c r="U455" s="7">
        <v>44165</v>
      </c>
      <c r="V455" s="5" t="s">
        <v>135</v>
      </c>
      <c r="W455" s="6">
        <v>36</v>
      </c>
      <c r="X455" s="5" t="s">
        <v>80</v>
      </c>
      <c r="Y455" s="9">
        <v>10</v>
      </c>
      <c r="Z455" s="5" t="s">
        <v>79</v>
      </c>
      <c r="AA455" s="5" t="s">
        <v>110</v>
      </c>
      <c r="AB455" s="9">
        <v>1</v>
      </c>
      <c r="AC455" s="5" t="s">
        <v>80</v>
      </c>
      <c r="AD455" s="5" t="s">
        <v>79</v>
      </c>
      <c r="AE455" s="5" t="s">
        <v>80</v>
      </c>
      <c r="AF455" s="10">
        <v>33000</v>
      </c>
      <c r="AG455" s="7">
        <v>46053</v>
      </c>
      <c r="AH455" s="10">
        <v>19500</v>
      </c>
      <c r="AI455" s="10">
        <v>29000</v>
      </c>
      <c r="AJ455" s="11">
        <f t="shared" si="7"/>
        <v>8.068965517241379</v>
      </c>
      <c r="AK455" s="12">
        <f>IF(B455="","",OR(K455="Not in use",K455="Low use")+AND(N455&lt;&gt;"",N455&lt;&gt;"TBD")+AND(ISNUMBER(U455),U455&lt;=EDATE('Scoring Settings'!$B$4,'Scoring Settings'!$B$8))+AND(ISNUMBER(L455),L455&lt;='Scoring Settings'!$B$7))</f>
        <v>3</v>
      </c>
      <c r="AL455" s="5" t="s">
        <v>223</v>
      </c>
      <c r="AM455" s="8" t="str">
        <f>IF(B455="","",IF(Z455="N","Easy",IF(OR(AND(ISNUMBER(AB455),AB455&gt;'Scoring Settings'!$B$11),AND(ISNUMBER(W455),W455&gt;'Scoring Settings'!$B$12),AND(ISNUMBER(M455),M455&lt;='Scoring Settings'!$B$13)),"High","Medium")))</f>
        <v>Easy</v>
      </c>
      <c r="AN455" s="5" t="s">
        <v>148</v>
      </c>
      <c r="AO455" s="7">
        <v>45077</v>
      </c>
      <c r="AP455" s="5" t="s">
        <v>98</v>
      </c>
      <c r="AQ455" s="29" t="s">
        <v>136</v>
      </c>
    </row>
    <row r="456" spans="1:43" hidden="1">
      <c r="A456" s="28">
        <v>54545</v>
      </c>
      <c r="B456" s="5" t="s">
        <v>1589</v>
      </c>
      <c r="C456" s="5" t="s">
        <v>287</v>
      </c>
      <c r="D456" s="5" t="s">
        <v>162</v>
      </c>
      <c r="E456" s="5" t="s">
        <v>68</v>
      </c>
      <c r="F456" s="5" t="s">
        <v>188</v>
      </c>
      <c r="G456" s="5" t="s">
        <v>141</v>
      </c>
      <c r="H456" s="5" t="s">
        <v>91</v>
      </c>
      <c r="I456" s="6">
        <v>123</v>
      </c>
      <c r="J456" s="7">
        <v>44288</v>
      </c>
      <c r="K456" s="8" t="str">
        <f>IF(B456="","",IF(AND(I456="",J456=""),"Unknown",IF(OR(AND(ISNUMBER(I456),I456=0),AND(ISNUMBER(J456),J456&lt;=EDATE('Scoring Settings'!$B$4,-'Scoring Settings'!$B$5))),"Not in use",IF(AND(ISNUMBER(I456),I456&lt;'Scoring Settings'!$B$6),"Low use","Active"))))</f>
        <v>Active</v>
      </c>
      <c r="L456" s="5">
        <v>1</v>
      </c>
      <c r="M456" s="5">
        <v>4</v>
      </c>
      <c r="N456" s="5" t="s">
        <v>416</v>
      </c>
      <c r="O456" s="5" t="s">
        <v>73</v>
      </c>
      <c r="P456" s="5" t="s">
        <v>357</v>
      </c>
      <c r="Q456" s="9">
        <v>2</v>
      </c>
      <c r="R456" s="5" t="s">
        <v>239</v>
      </c>
      <c r="S456" s="5" t="s">
        <v>240</v>
      </c>
      <c r="T456" s="5" t="s">
        <v>77</v>
      </c>
      <c r="U456" s="7">
        <v>44316</v>
      </c>
      <c r="V456" s="5" t="s">
        <v>135</v>
      </c>
      <c r="W456" s="6">
        <v>330</v>
      </c>
      <c r="X456" s="5" t="s">
        <v>79</v>
      </c>
      <c r="Y456" s="9">
        <v>2</v>
      </c>
      <c r="Z456" s="5" t="s">
        <v>80</v>
      </c>
      <c r="AA456" s="5" t="s">
        <v>123</v>
      </c>
      <c r="AB456" s="9">
        <v>3</v>
      </c>
      <c r="AC456" s="5" t="s">
        <v>82</v>
      </c>
      <c r="AD456" s="5" t="s">
        <v>82</v>
      </c>
      <c r="AE456" s="5" t="s">
        <v>79</v>
      </c>
      <c r="AF456" s="10">
        <v>47500</v>
      </c>
      <c r="AG456" s="7">
        <v>45991</v>
      </c>
      <c r="AH456" s="10">
        <v>57500</v>
      </c>
      <c r="AI456" s="10">
        <v>28500</v>
      </c>
      <c r="AJ456" s="11">
        <f t="shared" si="7"/>
        <v>24.210526315789473</v>
      </c>
      <c r="AK456" s="12">
        <f>IF(B456="","",OR(K456="Not in use",K456="Low use")+AND(N456&lt;&gt;"",N456&lt;&gt;"TBD")+AND(ISNUMBER(U456),U456&lt;=EDATE('Scoring Settings'!$B$4,'Scoring Settings'!$B$8))+AND(ISNUMBER(L456),L456&lt;='Scoring Settings'!$B$7))</f>
        <v>3</v>
      </c>
      <c r="AL456" s="5" t="s">
        <v>2217</v>
      </c>
      <c r="AM456" s="8" t="str">
        <f>IF(B456="","",IF(Z456="N","Easy",IF(OR(AND(ISNUMBER(AB456),AB456&gt;'Scoring Settings'!$B$11),AND(ISNUMBER(W456),W456&gt;'Scoring Settings'!$B$12),AND(ISNUMBER(M456),M456&lt;='Scoring Settings'!$B$13)),"High","Medium")))</f>
        <v>Medium</v>
      </c>
      <c r="AN456" s="5" t="s">
        <v>148</v>
      </c>
      <c r="AO456" s="7">
        <v>45169</v>
      </c>
      <c r="AP456" s="5" t="s">
        <v>197</v>
      </c>
      <c r="AQ456" s="29" t="s">
        <v>1590</v>
      </c>
    </row>
    <row r="457" spans="1:43" ht="57" hidden="1">
      <c r="A457" s="28">
        <v>146242</v>
      </c>
      <c r="B457" s="5" t="s">
        <v>1611</v>
      </c>
      <c r="C457" s="5" t="s">
        <v>470</v>
      </c>
      <c r="D457" s="5" t="s">
        <v>297</v>
      </c>
      <c r="E457" s="5" t="s">
        <v>68</v>
      </c>
      <c r="F457" s="5" t="s">
        <v>236</v>
      </c>
      <c r="G457" s="5" t="s">
        <v>90</v>
      </c>
      <c r="H457" s="5" t="s">
        <v>142</v>
      </c>
      <c r="I457" s="6">
        <v>0</v>
      </c>
      <c r="J457" s="7">
        <v>44139</v>
      </c>
      <c r="K457" s="8" t="str">
        <f>IF(B457="","",IF(AND(I457="",J457=""),"Unknown",IF(OR(AND(ISNUMBER(I457),I457=0),AND(ISNUMBER(J457),J457&lt;=EDATE('Scoring Settings'!$B$4,-'Scoring Settings'!$B$5))),"Not in use",IF(AND(ISNUMBER(I457),I457&lt;'Scoring Settings'!$B$6),"Low use","Active"))))</f>
        <v>Not in use</v>
      </c>
      <c r="L457" s="5">
        <v>3</v>
      </c>
      <c r="M457" s="5">
        <v>2</v>
      </c>
      <c r="N457" s="5"/>
      <c r="O457" s="5" t="s">
        <v>143</v>
      </c>
      <c r="P457" s="5" t="s">
        <v>144</v>
      </c>
      <c r="Q457" s="9">
        <v>0</v>
      </c>
      <c r="R457" s="5" t="s">
        <v>145</v>
      </c>
      <c r="S457" s="5" t="s">
        <v>145</v>
      </c>
      <c r="T457" s="5" t="s">
        <v>146</v>
      </c>
      <c r="U457" s="7"/>
      <c r="V457" s="5" t="s">
        <v>95</v>
      </c>
      <c r="W457" s="6">
        <v>52</v>
      </c>
      <c r="X457" s="5" t="s">
        <v>80</v>
      </c>
      <c r="Y457" s="9">
        <v>10</v>
      </c>
      <c r="Z457" s="5" t="s">
        <v>80</v>
      </c>
      <c r="AA457" s="5" t="s">
        <v>205</v>
      </c>
      <c r="AB457" s="9">
        <v>23</v>
      </c>
      <c r="AC457" s="5" t="s">
        <v>79</v>
      </c>
      <c r="AD457" s="5" t="s">
        <v>79</v>
      </c>
      <c r="AE457" s="5" t="s">
        <v>82</v>
      </c>
      <c r="AF457" s="10">
        <v>23500</v>
      </c>
      <c r="AG457" s="7">
        <v>48944</v>
      </c>
      <c r="AH457" s="10">
        <v>46500</v>
      </c>
      <c r="AI457" s="10">
        <v>13500</v>
      </c>
      <c r="AJ457" s="11">
        <f t="shared" si="7"/>
        <v>41.333333333333336</v>
      </c>
      <c r="AK457" s="12">
        <f>IF(B457="","",OR(K457="Not in use",K457="Low use")+AND(N457&lt;&gt;"",N457&lt;&gt;"TBD")+AND(ISNUMBER(U457),U457&lt;=EDATE('Scoring Settings'!$B$4,'Scoring Settings'!$B$8))+AND(ISNUMBER(L457),L457&lt;='Scoring Settings'!$B$7))</f>
        <v>1</v>
      </c>
      <c r="AL457" s="5" t="s">
        <v>96</v>
      </c>
      <c r="AM457" s="8" t="str">
        <f>IF(B457="","",IF(Z457="N","Easy",IF(OR(AND(ISNUMBER(AB457),AB457&gt;'Scoring Settings'!$B$11),AND(ISNUMBER(W457),W457&gt;'Scoring Settings'!$B$12),AND(ISNUMBER(M457),M457&lt;='Scoring Settings'!$B$13)),"High","Medium")))</f>
        <v>High</v>
      </c>
      <c r="AN457" s="5" t="s">
        <v>148</v>
      </c>
      <c r="AO457" s="7">
        <v>45199</v>
      </c>
      <c r="AP457" s="5" t="s">
        <v>98</v>
      </c>
      <c r="AQ457" s="29" t="s">
        <v>1024</v>
      </c>
    </row>
    <row r="458" spans="1:43" ht="42.75" hidden="1">
      <c r="A458" s="28">
        <v>47153</v>
      </c>
      <c r="B458" s="5" t="s">
        <v>1644</v>
      </c>
      <c r="C458" s="5" t="s">
        <v>515</v>
      </c>
      <c r="D458" s="5" t="s">
        <v>102</v>
      </c>
      <c r="E458" s="5" t="s">
        <v>68</v>
      </c>
      <c r="F458" s="5" t="s">
        <v>173</v>
      </c>
      <c r="G458" s="5" t="s">
        <v>284</v>
      </c>
      <c r="H458" s="5" t="s">
        <v>118</v>
      </c>
      <c r="I458" s="6">
        <v>17</v>
      </c>
      <c r="J458" s="7">
        <v>44278</v>
      </c>
      <c r="K458" s="8" t="str">
        <f>IF(B458="","",IF(AND(I458="",J458=""),"Unknown",IF(OR(AND(ISNUMBER(I458),I458=0),AND(ISNUMBER(J458),J458&lt;=EDATE('Scoring Settings'!$B$4,-'Scoring Settings'!$B$5))),"Not in use",IF(AND(ISNUMBER(I458),I458&lt;'Scoring Settings'!$B$6),"Low use","Active"))))</f>
        <v>Low use</v>
      </c>
      <c r="L458" s="5">
        <v>3</v>
      </c>
      <c r="M458" s="5">
        <v>4</v>
      </c>
      <c r="N458" s="5" t="s">
        <v>953</v>
      </c>
      <c r="O458" s="5" t="s">
        <v>73</v>
      </c>
      <c r="P458" s="5" t="s">
        <v>1645</v>
      </c>
      <c r="Q458" s="9">
        <v>4</v>
      </c>
      <c r="R458" s="5" t="s">
        <v>107</v>
      </c>
      <c r="S458" s="5" t="s">
        <v>108</v>
      </c>
      <c r="T458" s="5" t="s">
        <v>77</v>
      </c>
      <c r="U458" s="7">
        <v>43655</v>
      </c>
      <c r="V458" s="5" t="s">
        <v>135</v>
      </c>
      <c r="W458" s="6">
        <v>190</v>
      </c>
      <c r="X458" s="5" t="s">
        <v>80</v>
      </c>
      <c r="Y458" s="9">
        <v>10</v>
      </c>
      <c r="Z458" s="5" t="s">
        <v>79</v>
      </c>
      <c r="AA458" s="5" t="s">
        <v>110</v>
      </c>
      <c r="AB458" s="9">
        <v>3</v>
      </c>
      <c r="AC458" s="5" t="s">
        <v>82</v>
      </c>
      <c r="AD458" s="5" t="s">
        <v>80</v>
      </c>
      <c r="AE458" s="5" t="s">
        <v>79</v>
      </c>
      <c r="AF458" s="10">
        <v>70000</v>
      </c>
      <c r="AG458" s="7">
        <v>47149</v>
      </c>
      <c r="AH458" s="10">
        <v>90500</v>
      </c>
      <c r="AI458" s="10">
        <v>69000</v>
      </c>
      <c r="AJ458" s="11">
        <f t="shared" si="7"/>
        <v>15.739130434782609</v>
      </c>
      <c r="AK458" s="12">
        <f>IF(B458="","",OR(K458="Not in use",K458="Low use")+AND(N458&lt;&gt;"",N458&lt;&gt;"TBD")+AND(ISNUMBER(U458),U458&lt;=EDATE('Scoring Settings'!$B$4,'Scoring Settings'!$B$8))+AND(ISNUMBER(L458),L458&lt;='Scoring Settings'!$B$7))</f>
        <v>3</v>
      </c>
      <c r="AL458" s="5" t="s">
        <v>223</v>
      </c>
      <c r="AM458" s="8" t="str">
        <f>IF(B458="","",IF(Z458="N","Easy",IF(OR(AND(ISNUMBER(AB458),AB458&gt;'Scoring Settings'!$B$11),AND(ISNUMBER(W458),W458&gt;'Scoring Settings'!$B$12),AND(ISNUMBER(M458),M458&lt;='Scoring Settings'!$B$13)),"High","Medium")))</f>
        <v>Easy</v>
      </c>
      <c r="AN458" s="5" t="s">
        <v>148</v>
      </c>
      <c r="AO458" s="7">
        <v>45169</v>
      </c>
      <c r="AP458" s="5" t="s">
        <v>98</v>
      </c>
      <c r="AQ458" s="29" t="s">
        <v>1646</v>
      </c>
    </row>
    <row r="459" spans="1:43" hidden="1">
      <c r="A459" s="28">
        <v>165932</v>
      </c>
      <c r="B459" s="5" t="s">
        <v>1647</v>
      </c>
      <c r="C459" s="5" t="s">
        <v>453</v>
      </c>
      <c r="D459" s="5" t="s">
        <v>67</v>
      </c>
      <c r="E459" s="5" t="s">
        <v>68</v>
      </c>
      <c r="F459" s="5" t="s">
        <v>266</v>
      </c>
      <c r="G459" s="5" t="s">
        <v>128</v>
      </c>
      <c r="H459" s="5" t="s">
        <v>174</v>
      </c>
      <c r="I459" s="6">
        <v>6</v>
      </c>
      <c r="J459" s="7">
        <v>44118</v>
      </c>
      <c r="K459" s="8" t="str">
        <f>IF(B459="","",IF(AND(I459="",J459=""),"Unknown",IF(OR(AND(ISNUMBER(I459),I459=0),AND(ISNUMBER(J459),J459&lt;=EDATE('Scoring Settings'!$B$4,-'Scoring Settings'!$B$5))),"Not in use",IF(AND(ISNUMBER(I459),I459&lt;'Scoring Settings'!$B$6),"Low use","Active"))))</f>
        <v>Not in use</v>
      </c>
      <c r="L459" s="5">
        <v>2</v>
      </c>
      <c r="M459" s="5">
        <v>3</v>
      </c>
      <c r="N459" s="5" t="s">
        <v>227</v>
      </c>
      <c r="O459" s="5" t="s">
        <v>73</v>
      </c>
      <c r="P459" s="5" t="s">
        <v>1648</v>
      </c>
      <c r="Q459" s="9">
        <v>2</v>
      </c>
      <c r="R459" s="5" t="s">
        <v>93</v>
      </c>
      <c r="S459" s="5" t="s">
        <v>94</v>
      </c>
      <c r="T459" s="5" t="s">
        <v>77</v>
      </c>
      <c r="U459" s="7">
        <v>44561</v>
      </c>
      <c r="V459" s="5" t="s">
        <v>135</v>
      </c>
      <c r="W459" s="6">
        <v>3880</v>
      </c>
      <c r="X459" s="5" t="s">
        <v>80</v>
      </c>
      <c r="Y459" s="9">
        <v>10</v>
      </c>
      <c r="Z459" s="5" t="s">
        <v>80</v>
      </c>
      <c r="AA459" s="5" t="s">
        <v>147</v>
      </c>
      <c r="AB459" s="9">
        <v>6</v>
      </c>
      <c r="AC459" s="5" t="s">
        <v>82</v>
      </c>
      <c r="AD459" s="5" t="s">
        <v>80</v>
      </c>
      <c r="AE459" s="5" t="s">
        <v>82</v>
      </c>
      <c r="AF459" s="10">
        <v>32000</v>
      </c>
      <c r="AG459" s="7">
        <v>47907</v>
      </c>
      <c r="AH459" s="10">
        <v>36500</v>
      </c>
      <c r="AI459" s="10">
        <v>25500</v>
      </c>
      <c r="AJ459" s="11">
        <f t="shared" si="7"/>
        <v>17.176470588235293</v>
      </c>
      <c r="AK459" s="12">
        <f>IF(B459="","",OR(K459="Not in use",K459="Low use")+AND(N459&lt;&gt;"",N459&lt;&gt;"TBD")+AND(ISNUMBER(U459),U459&lt;=EDATE('Scoring Settings'!$B$4,'Scoring Settings'!$B$8))+AND(ISNUMBER(L459),L459&lt;='Scoring Settings'!$B$7))</f>
        <v>4</v>
      </c>
      <c r="AL459" s="5" t="s">
        <v>96</v>
      </c>
      <c r="AM459" s="8" t="str">
        <f>IF(B459="","",IF(Z459="N","Easy",IF(OR(AND(ISNUMBER(AB459),AB459&gt;'Scoring Settings'!$B$11),AND(ISNUMBER(W459),W459&gt;'Scoring Settings'!$B$12),AND(ISNUMBER(M459),M459&lt;='Scoring Settings'!$B$13)),"High","Medium")))</f>
        <v>High</v>
      </c>
      <c r="AN459" s="5" t="s">
        <v>148</v>
      </c>
      <c r="AO459" s="7">
        <v>44985</v>
      </c>
      <c r="AP459" s="5" t="s">
        <v>98</v>
      </c>
      <c r="AQ459" s="29" t="s">
        <v>213</v>
      </c>
    </row>
    <row r="460" spans="1:43" hidden="1">
      <c r="A460" s="28">
        <v>126385</v>
      </c>
      <c r="B460" s="5" t="s">
        <v>1659</v>
      </c>
      <c r="C460" s="5" t="s">
        <v>483</v>
      </c>
      <c r="D460" s="5" t="s">
        <v>88</v>
      </c>
      <c r="E460" s="5" t="s">
        <v>68</v>
      </c>
      <c r="F460" s="5" t="s">
        <v>89</v>
      </c>
      <c r="G460" s="5" t="s">
        <v>267</v>
      </c>
      <c r="H460" s="5" t="s">
        <v>142</v>
      </c>
      <c r="I460" s="6">
        <v>3</v>
      </c>
      <c r="J460" s="7">
        <v>44117</v>
      </c>
      <c r="K460" s="8" t="str">
        <f>IF(B460="","",IF(AND(I460="",J460=""),"Unknown",IF(OR(AND(ISNUMBER(I460),I460=0),AND(ISNUMBER(J460),J460&lt;=EDATE('Scoring Settings'!$B$4,-'Scoring Settings'!$B$5))),"Not in use",IF(AND(ISNUMBER(I460),I460&lt;'Scoring Settings'!$B$6),"Low use","Active"))))</f>
        <v>Not in use</v>
      </c>
      <c r="L460" s="5">
        <v>2</v>
      </c>
      <c r="M460" s="5">
        <v>4</v>
      </c>
      <c r="N460" s="5" t="s">
        <v>474</v>
      </c>
      <c r="O460" s="5" t="s">
        <v>143</v>
      </c>
      <c r="P460" s="5" t="s">
        <v>144</v>
      </c>
      <c r="Q460" s="9">
        <v>0</v>
      </c>
      <c r="R460" s="5" t="s">
        <v>145</v>
      </c>
      <c r="S460" s="5" t="s">
        <v>145</v>
      </c>
      <c r="T460" s="5" t="s">
        <v>146</v>
      </c>
      <c r="U460" s="7"/>
      <c r="V460" s="5" t="s">
        <v>78</v>
      </c>
      <c r="W460" s="6">
        <v>410</v>
      </c>
      <c r="X460" s="5" t="s">
        <v>80</v>
      </c>
      <c r="Y460" s="9">
        <v>7</v>
      </c>
      <c r="Z460" s="5" t="s">
        <v>79</v>
      </c>
      <c r="AA460" s="5" t="s">
        <v>110</v>
      </c>
      <c r="AB460" s="9">
        <v>0</v>
      </c>
      <c r="AC460" s="5" t="s">
        <v>79</v>
      </c>
      <c r="AD460" s="5" t="s">
        <v>79</v>
      </c>
      <c r="AE460" s="5" t="s">
        <v>82</v>
      </c>
      <c r="AF460" s="10">
        <v>120000</v>
      </c>
      <c r="AG460" s="7">
        <v>47391</v>
      </c>
      <c r="AH460" s="10">
        <v>85500</v>
      </c>
      <c r="AI460" s="10">
        <v>76500</v>
      </c>
      <c r="AJ460" s="11">
        <f t="shared" si="7"/>
        <v>13.411764705882353</v>
      </c>
      <c r="AK460" s="12">
        <f>IF(B460="","",OR(K460="Not in use",K460="Low use")+AND(N460&lt;&gt;"",N460&lt;&gt;"TBD")+AND(ISNUMBER(U460),U460&lt;=EDATE('Scoring Settings'!$B$4,'Scoring Settings'!$B$8))+AND(ISNUMBER(L460),L460&lt;='Scoring Settings'!$B$7))</f>
        <v>3</v>
      </c>
      <c r="AL460" s="5" t="s">
        <v>223</v>
      </c>
      <c r="AM460" s="8" t="str">
        <f>IF(B460="","",IF(Z460="N","Easy",IF(OR(AND(ISNUMBER(AB460),AB460&gt;'Scoring Settings'!$B$11),AND(ISNUMBER(W460),W460&gt;'Scoring Settings'!$B$12),AND(ISNUMBER(M460),M460&lt;='Scoring Settings'!$B$13)),"High","Medium")))</f>
        <v>Easy</v>
      </c>
      <c r="AN460" s="5" t="s">
        <v>148</v>
      </c>
      <c r="AO460" s="7">
        <v>44957</v>
      </c>
      <c r="AP460" s="5" t="s">
        <v>197</v>
      </c>
      <c r="AQ460" s="29" t="s">
        <v>499</v>
      </c>
    </row>
    <row r="461" spans="1:43" hidden="1">
      <c r="A461" s="28">
        <v>57928</v>
      </c>
      <c r="B461" s="5" t="s">
        <v>1677</v>
      </c>
      <c r="C461" s="5" t="s">
        <v>172</v>
      </c>
      <c r="D461" s="5" t="s">
        <v>162</v>
      </c>
      <c r="E461" s="5" t="s">
        <v>298</v>
      </c>
      <c r="F461" s="5" t="s">
        <v>560</v>
      </c>
      <c r="G461" s="5" t="s">
        <v>271</v>
      </c>
      <c r="H461" s="5" t="s">
        <v>105</v>
      </c>
      <c r="I461" s="6">
        <v>621</v>
      </c>
      <c r="J461" s="7">
        <v>44309</v>
      </c>
      <c r="K461" s="8" t="str">
        <f>IF(B461="","",IF(AND(I461="",J461=""),"Unknown",IF(OR(AND(ISNUMBER(I461),I461=0),AND(ISNUMBER(J461),J461&lt;=EDATE('Scoring Settings'!$B$4,-'Scoring Settings'!$B$5))),"Not in use",IF(AND(ISNUMBER(I461),I461&lt;'Scoring Settings'!$B$6),"Low use","Active"))))</f>
        <v>Active</v>
      </c>
      <c r="L461" s="5">
        <v>4</v>
      </c>
      <c r="M461" s="5">
        <v>1</v>
      </c>
      <c r="N461" s="5" t="s">
        <v>533</v>
      </c>
      <c r="O461" s="5" t="s">
        <v>191</v>
      </c>
      <c r="P461" s="5" t="s">
        <v>192</v>
      </c>
      <c r="Q461" s="9">
        <v>0</v>
      </c>
      <c r="R461" s="5" t="s">
        <v>193</v>
      </c>
      <c r="S461" s="5" t="s">
        <v>194</v>
      </c>
      <c r="T461" s="5" t="s">
        <v>195</v>
      </c>
      <c r="U461" s="7"/>
      <c r="V461" s="5" t="s">
        <v>95</v>
      </c>
      <c r="W461" s="6">
        <v>250</v>
      </c>
      <c r="X461" s="5" t="s">
        <v>80</v>
      </c>
      <c r="Y461" s="9">
        <v>10</v>
      </c>
      <c r="Z461" s="5" t="s">
        <v>79</v>
      </c>
      <c r="AA461" s="5" t="s">
        <v>110</v>
      </c>
      <c r="AB461" s="9">
        <v>89</v>
      </c>
      <c r="AC461" s="5" t="s">
        <v>80</v>
      </c>
      <c r="AD461" s="5" t="s">
        <v>82</v>
      </c>
      <c r="AE461" s="5" t="s">
        <v>80</v>
      </c>
      <c r="AF461" s="10">
        <v>47500</v>
      </c>
      <c r="AG461" s="7">
        <v>46234</v>
      </c>
      <c r="AH461" s="10">
        <v>163000</v>
      </c>
      <c r="AI461" s="10">
        <v>35000</v>
      </c>
      <c r="AJ461" s="11">
        <f t="shared" si="7"/>
        <v>55.885714285714286</v>
      </c>
      <c r="AK461" s="12">
        <f>IF(B461="","",OR(K461="Not in use",K461="Low use")+AND(N461&lt;&gt;"",N461&lt;&gt;"TBD")+AND(ISNUMBER(U461),U461&lt;=EDATE('Scoring Settings'!$B$4,'Scoring Settings'!$B$8))+AND(ISNUMBER(L461),L461&lt;='Scoring Settings'!$B$7))</f>
        <v>1</v>
      </c>
      <c r="AL461" s="5" t="s">
        <v>2217</v>
      </c>
      <c r="AM461" s="8" t="str">
        <f>IF(B461="","",IF(Z461="N","Easy",IF(OR(AND(ISNUMBER(AB461),AB461&gt;'Scoring Settings'!$B$11),AND(ISNUMBER(W461),W461&gt;'Scoring Settings'!$B$12),AND(ISNUMBER(M461),M461&lt;='Scoring Settings'!$B$13)),"High","Medium")))</f>
        <v>Easy</v>
      </c>
      <c r="AN461" s="5" t="s">
        <v>148</v>
      </c>
      <c r="AO461" s="7">
        <v>45260</v>
      </c>
      <c r="AP461" s="5" t="s">
        <v>98</v>
      </c>
      <c r="AQ461" s="29" t="s">
        <v>170</v>
      </c>
    </row>
    <row r="462" spans="1:43" ht="57" hidden="1">
      <c r="A462" s="28">
        <v>192487</v>
      </c>
      <c r="B462" s="5" t="s">
        <v>1678</v>
      </c>
      <c r="C462" s="5" t="s">
        <v>495</v>
      </c>
      <c r="D462" s="5" t="s">
        <v>162</v>
      </c>
      <c r="E462" s="5" t="s">
        <v>68</v>
      </c>
      <c r="F462" s="5" t="s">
        <v>243</v>
      </c>
      <c r="G462" s="5" t="s">
        <v>221</v>
      </c>
      <c r="H462" s="5" t="s">
        <v>71</v>
      </c>
      <c r="I462" s="6">
        <v>24</v>
      </c>
      <c r="J462" s="7">
        <v>44309</v>
      </c>
      <c r="K462" s="8" t="str">
        <f>IF(B462="","",IF(AND(I462="",J462=""),"Unknown",IF(OR(AND(ISNUMBER(I462),I462=0),AND(ISNUMBER(J462),J462&lt;=EDATE('Scoring Settings'!$B$4,-'Scoring Settings'!$B$5))),"Not in use",IF(AND(ISNUMBER(I462),I462&lt;'Scoring Settings'!$B$6),"Low use","Active"))))</f>
        <v>Low use</v>
      </c>
      <c r="L462" s="5">
        <v>1</v>
      </c>
      <c r="M462" s="5">
        <v>4</v>
      </c>
      <c r="N462" s="5"/>
      <c r="O462" s="5" t="s">
        <v>130</v>
      </c>
      <c r="P462" s="5" t="s">
        <v>1679</v>
      </c>
      <c r="Q462" s="9">
        <v>2</v>
      </c>
      <c r="R462" s="5" t="s">
        <v>182</v>
      </c>
      <c r="S462" s="5" t="s">
        <v>183</v>
      </c>
      <c r="T462" s="5" t="s">
        <v>134</v>
      </c>
      <c r="U462" s="7">
        <v>42855</v>
      </c>
      <c r="V462" s="5" t="s">
        <v>95</v>
      </c>
      <c r="W462" s="6">
        <v>280</v>
      </c>
      <c r="X462" s="5" t="s">
        <v>79</v>
      </c>
      <c r="Y462" s="9">
        <v>3</v>
      </c>
      <c r="Z462" s="5" t="s">
        <v>79</v>
      </c>
      <c r="AA462" s="5" t="s">
        <v>110</v>
      </c>
      <c r="AB462" s="9">
        <v>1</v>
      </c>
      <c r="AC462" s="5" t="s">
        <v>82</v>
      </c>
      <c r="AD462" s="5" t="s">
        <v>80</v>
      </c>
      <c r="AE462" s="5" t="s">
        <v>79</v>
      </c>
      <c r="AF462" s="10">
        <v>26000</v>
      </c>
      <c r="AG462" s="7">
        <v>46691</v>
      </c>
      <c r="AH462" s="10">
        <v>18000</v>
      </c>
      <c r="AI462" s="10">
        <v>25000</v>
      </c>
      <c r="AJ462" s="11">
        <f t="shared" si="7"/>
        <v>8.64</v>
      </c>
      <c r="AK462" s="12">
        <f>IF(B462="","",OR(K462="Not in use",K462="Low use")+AND(N462&lt;&gt;"",N462&lt;&gt;"TBD")+AND(ISNUMBER(U462),U462&lt;=EDATE('Scoring Settings'!$B$4,'Scoring Settings'!$B$8))+AND(ISNUMBER(L462),L462&lt;='Scoring Settings'!$B$7))</f>
        <v>3</v>
      </c>
      <c r="AL462" s="5" t="s">
        <v>223</v>
      </c>
      <c r="AM462" s="8" t="str">
        <f>IF(B462="","",IF(Z462="N","Easy",IF(OR(AND(ISNUMBER(AB462),AB462&gt;'Scoring Settings'!$B$11),AND(ISNUMBER(W462),W462&gt;'Scoring Settings'!$B$12),AND(ISNUMBER(M462),M462&lt;='Scoring Settings'!$B$13)),"High","Medium")))</f>
        <v>Easy</v>
      </c>
      <c r="AN462" s="5" t="s">
        <v>148</v>
      </c>
      <c r="AO462" s="7">
        <v>45291</v>
      </c>
      <c r="AP462" s="5" t="s">
        <v>98</v>
      </c>
      <c r="AQ462" s="29" t="s">
        <v>1680</v>
      </c>
    </row>
    <row r="463" spans="1:43" hidden="1">
      <c r="A463" s="28">
        <v>141278</v>
      </c>
      <c r="B463" s="5" t="s">
        <v>1688</v>
      </c>
      <c r="C463" s="5" t="s">
        <v>483</v>
      </c>
      <c r="D463" s="5" t="s">
        <v>88</v>
      </c>
      <c r="E463" s="5" t="s">
        <v>68</v>
      </c>
      <c r="F463" s="5" t="s">
        <v>103</v>
      </c>
      <c r="G463" s="5" t="s">
        <v>356</v>
      </c>
      <c r="H463" s="5" t="s">
        <v>105</v>
      </c>
      <c r="I463" s="6">
        <v>15</v>
      </c>
      <c r="J463" s="7">
        <v>44230</v>
      </c>
      <c r="K463" s="8" t="str">
        <f>IF(B463="","",IF(AND(I463="",J463=""),"Unknown",IF(OR(AND(ISNUMBER(I463),I463=0),AND(ISNUMBER(J463),J463&lt;=EDATE('Scoring Settings'!$B$4,-'Scoring Settings'!$B$5))),"Not in use",IF(AND(ISNUMBER(I463),I463&lt;'Scoring Settings'!$B$6),"Low use","Active"))))</f>
        <v>Low use</v>
      </c>
      <c r="L463" s="5">
        <v>1</v>
      </c>
      <c r="M463" s="5">
        <v>4</v>
      </c>
      <c r="N463" s="5"/>
      <c r="O463" s="5" t="s">
        <v>73</v>
      </c>
      <c r="P463" s="5" t="s">
        <v>1689</v>
      </c>
      <c r="Q463" s="9">
        <v>3</v>
      </c>
      <c r="R463" s="5" t="s">
        <v>358</v>
      </c>
      <c r="S463" s="5" t="s">
        <v>133</v>
      </c>
      <c r="T463" s="5" t="s">
        <v>72</v>
      </c>
      <c r="U463" s="7">
        <v>43555</v>
      </c>
      <c r="V463" s="5" t="s">
        <v>135</v>
      </c>
      <c r="W463" s="6">
        <v>1670</v>
      </c>
      <c r="X463" s="5" t="s">
        <v>80</v>
      </c>
      <c r="Y463" s="9">
        <v>7</v>
      </c>
      <c r="Z463" s="5" t="s">
        <v>80</v>
      </c>
      <c r="AA463" s="5" t="s">
        <v>205</v>
      </c>
      <c r="AB463" s="9">
        <v>3</v>
      </c>
      <c r="AC463" s="5" t="s">
        <v>80</v>
      </c>
      <c r="AD463" s="5" t="s">
        <v>79</v>
      </c>
      <c r="AE463" s="5" t="s">
        <v>80</v>
      </c>
      <c r="AF463" s="10">
        <v>47000</v>
      </c>
      <c r="AG463" s="7">
        <v>48182</v>
      </c>
      <c r="AH463" s="10">
        <v>70000</v>
      </c>
      <c r="AI463" s="10">
        <v>30000</v>
      </c>
      <c r="AJ463" s="11">
        <f t="shared" si="7"/>
        <v>28</v>
      </c>
      <c r="AK463" s="12">
        <f>IF(B463="","",OR(K463="Not in use",K463="Low use")+AND(N463&lt;&gt;"",N463&lt;&gt;"TBD")+AND(ISNUMBER(U463),U463&lt;=EDATE('Scoring Settings'!$B$4,'Scoring Settings'!$B$8))+AND(ISNUMBER(L463),L463&lt;='Scoring Settings'!$B$7))</f>
        <v>3</v>
      </c>
      <c r="AL463" s="5" t="s">
        <v>96</v>
      </c>
      <c r="AM463" s="8" t="str">
        <f>IF(B463="","",IF(Z463="N","Easy",IF(OR(AND(ISNUMBER(AB463),AB463&gt;'Scoring Settings'!$B$11),AND(ISNUMBER(W463),W463&gt;'Scoring Settings'!$B$12),AND(ISNUMBER(M463),M463&lt;='Scoring Settings'!$B$13)),"High","Medium")))</f>
        <v>High</v>
      </c>
      <c r="AN463" s="5" t="s">
        <v>148</v>
      </c>
      <c r="AO463" s="7">
        <v>45291</v>
      </c>
      <c r="AP463" s="5" t="s">
        <v>98</v>
      </c>
      <c r="AQ463" s="29" t="s">
        <v>170</v>
      </c>
    </row>
    <row r="464" spans="1:43" ht="42.75" hidden="1">
      <c r="A464" s="28">
        <v>80341</v>
      </c>
      <c r="B464" s="5" t="s">
        <v>1692</v>
      </c>
      <c r="C464" s="5" t="s">
        <v>470</v>
      </c>
      <c r="D464" s="5" t="s">
        <v>297</v>
      </c>
      <c r="E464" s="5" t="s">
        <v>311</v>
      </c>
      <c r="F464" s="5" t="s">
        <v>188</v>
      </c>
      <c r="G464" s="5" t="s">
        <v>104</v>
      </c>
      <c r="H464" s="5" t="s">
        <v>71</v>
      </c>
      <c r="I464" s="6">
        <v>0</v>
      </c>
      <c r="J464" s="7">
        <v>44082</v>
      </c>
      <c r="K464" s="8" t="str">
        <f>IF(B464="","",IF(AND(I464="",J464=""),"Unknown",IF(OR(AND(ISNUMBER(I464),I464=0),AND(ISNUMBER(J464),J464&lt;=EDATE('Scoring Settings'!$B$4,-'Scoring Settings'!$B$5))),"Not in use",IF(AND(ISNUMBER(I464),I464&lt;'Scoring Settings'!$B$6),"Low use","Active"))))</f>
        <v>Not in use</v>
      </c>
      <c r="L464" s="5">
        <v>2</v>
      </c>
      <c r="M464" s="5">
        <v>4</v>
      </c>
      <c r="N464" s="5" t="s">
        <v>72</v>
      </c>
      <c r="O464" s="5" t="s">
        <v>130</v>
      </c>
      <c r="P464" s="5" t="s">
        <v>1693</v>
      </c>
      <c r="Q464" s="9">
        <v>2</v>
      </c>
      <c r="R464" s="5" t="s">
        <v>132</v>
      </c>
      <c r="S464" s="5" t="s">
        <v>133</v>
      </c>
      <c r="T464" s="5" t="s">
        <v>168</v>
      </c>
      <c r="U464" s="7">
        <v>44227</v>
      </c>
      <c r="V464" s="5" t="s">
        <v>95</v>
      </c>
      <c r="W464" s="6">
        <v>50</v>
      </c>
      <c r="X464" s="5" t="s">
        <v>80</v>
      </c>
      <c r="Y464" s="9">
        <v>7</v>
      </c>
      <c r="Z464" s="5" t="s">
        <v>80</v>
      </c>
      <c r="AA464" s="5" t="s">
        <v>205</v>
      </c>
      <c r="AB464" s="9">
        <v>3</v>
      </c>
      <c r="AC464" s="5" t="s">
        <v>82</v>
      </c>
      <c r="AD464" s="5" t="s">
        <v>79</v>
      </c>
      <c r="AE464" s="5" t="s">
        <v>82</v>
      </c>
      <c r="AF464" s="10">
        <v>16500</v>
      </c>
      <c r="AG464" s="7">
        <v>48730</v>
      </c>
      <c r="AH464" s="10">
        <v>24000</v>
      </c>
      <c r="AI464" s="10">
        <v>12000</v>
      </c>
      <c r="AJ464" s="11">
        <f t="shared" si="7"/>
        <v>24</v>
      </c>
      <c r="AK464" s="12">
        <f>IF(B464="","",OR(K464="Not in use",K464="Low use")+AND(N464&lt;&gt;"",N464&lt;&gt;"TBD")+AND(ISNUMBER(U464),U464&lt;=EDATE('Scoring Settings'!$B$4,'Scoring Settings'!$B$8))+AND(ISNUMBER(L464),L464&lt;='Scoring Settings'!$B$7))</f>
        <v>3</v>
      </c>
      <c r="AL464" s="5" t="s">
        <v>96</v>
      </c>
      <c r="AM464" s="8" t="str">
        <f>IF(B464="","",IF(Z464="N","Easy",IF(OR(AND(ISNUMBER(AB464),AB464&gt;'Scoring Settings'!$B$11),AND(ISNUMBER(W464),W464&gt;'Scoring Settings'!$B$12),AND(ISNUMBER(M464),M464&lt;='Scoring Settings'!$B$13)),"High","Medium")))</f>
        <v>Medium</v>
      </c>
      <c r="AN464" s="5" t="s">
        <v>148</v>
      </c>
      <c r="AO464" s="7">
        <v>45260</v>
      </c>
      <c r="AP464" s="5" t="s">
        <v>98</v>
      </c>
      <c r="AQ464" s="29" t="s">
        <v>780</v>
      </c>
    </row>
    <row r="465" spans="1:43" hidden="1">
      <c r="A465" s="28">
        <v>148766</v>
      </c>
      <c r="B465" s="5" t="s">
        <v>1694</v>
      </c>
      <c r="C465" s="5" t="s">
        <v>200</v>
      </c>
      <c r="D465" s="5" t="s">
        <v>115</v>
      </c>
      <c r="E465" s="5" t="s">
        <v>298</v>
      </c>
      <c r="F465" s="5" t="s">
        <v>89</v>
      </c>
      <c r="G465" s="5" t="s">
        <v>267</v>
      </c>
      <c r="H465" s="5" t="s">
        <v>91</v>
      </c>
      <c r="I465" s="6">
        <v>14</v>
      </c>
      <c r="J465" s="7">
        <v>44226</v>
      </c>
      <c r="K465" s="8" t="str">
        <f>IF(B465="","",IF(AND(I465="",J465=""),"Unknown",IF(OR(AND(ISNUMBER(I465),I465=0),AND(ISNUMBER(J465),J465&lt;=EDATE('Scoring Settings'!$B$4,-'Scoring Settings'!$B$5))),"Not in use",IF(AND(ISNUMBER(I465),I465&lt;'Scoring Settings'!$B$6),"Low use","Active"))))</f>
        <v>Low use</v>
      </c>
      <c r="L465" s="5">
        <v>3</v>
      </c>
      <c r="M465" s="5">
        <v>3</v>
      </c>
      <c r="N465" s="5" t="s">
        <v>810</v>
      </c>
      <c r="O465" s="5" t="s">
        <v>130</v>
      </c>
      <c r="P465" s="5" t="s">
        <v>1695</v>
      </c>
      <c r="Q465" s="9">
        <v>3</v>
      </c>
      <c r="R465" s="5" t="s">
        <v>75</v>
      </c>
      <c r="S465" s="5" t="s">
        <v>76</v>
      </c>
      <c r="T465" s="5" t="s">
        <v>134</v>
      </c>
      <c r="U465" s="7">
        <v>46399</v>
      </c>
      <c r="V465" s="5" t="s">
        <v>78</v>
      </c>
      <c r="W465" s="6">
        <v>1080</v>
      </c>
      <c r="X465" s="5" t="s">
        <v>80</v>
      </c>
      <c r="Y465" s="9">
        <v>5</v>
      </c>
      <c r="Z465" s="5" t="s">
        <v>80</v>
      </c>
      <c r="AA465" s="5" t="s">
        <v>185</v>
      </c>
      <c r="AB465" s="9">
        <v>8</v>
      </c>
      <c r="AC465" s="5" t="s">
        <v>82</v>
      </c>
      <c r="AD465" s="5" t="s">
        <v>79</v>
      </c>
      <c r="AE465" s="5" t="s">
        <v>79</v>
      </c>
      <c r="AF465" s="10">
        <v>23500</v>
      </c>
      <c r="AG465" s="7">
        <v>45869</v>
      </c>
      <c r="AH465" s="10">
        <v>53500</v>
      </c>
      <c r="AI465" s="10">
        <v>18500</v>
      </c>
      <c r="AJ465" s="11">
        <f t="shared" si="7"/>
        <v>34.702702702702709</v>
      </c>
      <c r="AK465" s="12">
        <f>IF(B465="","",OR(K465="Not in use",K465="Low use")+AND(N465&lt;&gt;"",N465&lt;&gt;"TBD")+AND(ISNUMBER(U465),U465&lt;=EDATE('Scoring Settings'!$B$4,'Scoring Settings'!$B$8))+AND(ISNUMBER(L465),L465&lt;='Scoring Settings'!$B$7))</f>
        <v>2</v>
      </c>
      <c r="AL465" s="5" t="s">
        <v>2217</v>
      </c>
      <c r="AM465" s="8" t="str">
        <f>IF(B465="","",IF(Z465="N","Easy",IF(OR(AND(ISNUMBER(AB465),AB465&gt;'Scoring Settings'!$B$11),AND(ISNUMBER(W465),W465&gt;'Scoring Settings'!$B$12),AND(ISNUMBER(M465),M465&lt;='Scoring Settings'!$B$13)),"High","Medium")))</f>
        <v>High</v>
      </c>
      <c r="AN465" s="5" t="s">
        <v>148</v>
      </c>
      <c r="AO465" s="7">
        <v>45107</v>
      </c>
      <c r="AP465" s="5" t="s">
        <v>98</v>
      </c>
      <c r="AQ465" s="29" t="s">
        <v>136</v>
      </c>
    </row>
    <row r="466" spans="1:43" ht="57" hidden="1">
      <c r="A466" s="28">
        <v>181546</v>
      </c>
      <c r="B466" s="5" t="s">
        <v>1703</v>
      </c>
      <c r="C466" s="5" t="s">
        <v>483</v>
      </c>
      <c r="D466" s="5" t="s">
        <v>88</v>
      </c>
      <c r="E466" s="5" t="s">
        <v>298</v>
      </c>
      <c r="F466" s="5" t="s">
        <v>157</v>
      </c>
      <c r="G466" s="5" t="s">
        <v>128</v>
      </c>
      <c r="H466" s="5" t="s">
        <v>71</v>
      </c>
      <c r="I466" s="6">
        <v>4</v>
      </c>
      <c r="J466" s="7">
        <v>44270</v>
      </c>
      <c r="K466" s="8" t="str">
        <f>IF(B466="","",IF(AND(I466="",J466=""),"Unknown",IF(OR(AND(ISNUMBER(I466),I466=0),AND(ISNUMBER(J466),J466&lt;=EDATE('Scoring Settings'!$B$4,-'Scoring Settings'!$B$5))),"Not in use",IF(AND(ISNUMBER(I466),I466&lt;'Scoring Settings'!$B$6),"Low use","Active"))))</f>
        <v>Low use</v>
      </c>
      <c r="L466" s="5">
        <v>4</v>
      </c>
      <c r="M466" s="5">
        <v>2</v>
      </c>
      <c r="N466" s="5" t="s">
        <v>1570</v>
      </c>
      <c r="O466" s="5" t="s">
        <v>73</v>
      </c>
      <c r="P466" s="5" t="s">
        <v>1704</v>
      </c>
      <c r="Q466" s="9">
        <v>4</v>
      </c>
      <c r="R466" s="5" t="s">
        <v>239</v>
      </c>
      <c r="S466" s="5" t="s">
        <v>240</v>
      </c>
      <c r="T466" s="5" t="s">
        <v>72</v>
      </c>
      <c r="U466" s="7">
        <v>44316</v>
      </c>
      <c r="V466" s="5" t="s">
        <v>135</v>
      </c>
      <c r="W466" s="6">
        <v>210</v>
      </c>
      <c r="X466" s="5" t="s">
        <v>79</v>
      </c>
      <c r="Y466" s="9">
        <v>3</v>
      </c>
      <c r="Z466" s="5" t="s">
        <v>79</v>
      </c>
      <c r="AA466" s="5" t="s">
        <v>110</v>
      </c>
      <c r="AB466" s="9">
        <v>16</v>
      </c>
      <c r="AC466" s="5" t="s">
        <v>80</v>
      </c>
      <c r="AD466" s="5" t="s">
        <v>79</v>
      </c>
      <c r="AE466" s="5" t="s">
        <v>79</v>
      </c>
      <c r="AF466" s="10">
        <v>75000</v>
      </c>
      <c r="AG466" s="7">
        <v>46173</v>
      </c>
      <c r="AH466" s="10">
        <v>94000</v>
      </c>
      <c r="AI466" s="10">
        <v>69500</v>
      </c>
      <c r="AJ466" s="11">
        <f t="shared" si="7"/>
        <v>16.230215827338128</v>
      </c>
      <c r="AK466" s="12">
        <f>IF(B466="","",OR(K466="Not in use",K466="Low use")+AND(N466&lt;&gt;"",N466&lt;&gt;"TBD")+AND(ISNUMBER(U466),U466&lt;=EDATE('Scoring Settings'!$B$4,'Scoring Settings'!$B$8))+AND(ISNUMBER(L466),L466&lt;='Scoring Settings'!$B$7))</f>
        <v>3</v>
      </c>
      <c r="AL466" s="5" t="s">
        <v>223</v>
      </c>
      <c r="AM466" s="8" t="str">
        <f>IF(B466="","",IF(Z466="N","Easy",IF(OR(AND(ISNUMBER(AB466),AB466&gt;'Scoring Settings'!$B$11),AND(ISNUMBER(W466),W466&gt;'Scoring Settings'!$B$12),AND(ISNUMBER(M466),M466&lt;='Scoring Settings'!$B$13)),"High","Medium")))</f>
        <v>Easy</v>
      </c>
      <c r="AN466" s="5" t="s">
        <v>148</v>
      </c>
      <c r="AO466" s="7">
        <v>45077</v>
      </c>
      <c r="AP466" s="5" t="s">
        <v>98</v>
      </c>
      <c r="AQ466" s="29" t="s">
        <v>1024</v>
      </c>
    </row>
    <row r="467" spans="1:43" hidden="1">
      <c r="A467" s="28">
        <v>26048</v>
      </c>
      <c r="B467" s="5" t="s">
        <v>1723</v>
      </c>
      <c r="C467" s="5" t="s">
        <v>114</v>
      </c>
      <c r="D467" s="5" t="s">
        <v>115</v>
      </c>
      <c r="E467" s="5" t="s">
        <v>68</v>
      </c>
      <c r="F467" s="5" t="s">
        <v>312</v>
      </c>
      <c r="G467" s="5" t="s">
        <v>179</v>
      </c>
      <c r="H467" s="5" t="s">
        <v>71</v>
      </c>
      <c r="I467" s="6">
        <v>14</v>
      </c>
      <c r="J467" s="7">
        <v>44299</v>
      </c>
      <c r="K467" s="8" t="str">
        <f>IF(B467="","",IF(AND(I467="",J467=""),"Unknown",IF(OR(AND(ISNUMBER(I467),I467=0),AND(ISNUMBER(J467),J467&lt;=EDATE('Scoring Settings'!$B$4,-'Scoring Settings'!$B$5))),"Not in use",IF(AND(ISNUMBER(I467),I467&lt;'Scoring Settings'!$B$6),"Low use","Active"))))</f>
        <v>Low use</v>
      </c>
      <c r="L467" s="5">
        <v>2</v>
      </c>
      <c r="M467" s="5">
        <v>3</v>
      </c>
      <c r="N467" s="5" t="s">
        <v>810</v>
      </c>
      <c r="O467" s="5" t="s">
        <v>73</v>
      </c>
      <c r="P467" s="5" t="s">
        <v>1724</v>
      </c>
      <c r="Q467" s="9">
        <v>3</v>
      </c>
      <c r="R467" s="5" t="s">
        <v>72</v>
      </c>
      <c r="S467" s="5" t="s">
        <v>133</v>
      </c>
      <c r="T467" s="5" t="s">
        <v>72</v>
      </c>
      <c r="U467" s="7">
        <v>44165</v>
      </c>
      <c r="V467" s="5" t="s">
        <v>135</v>
      </c>
      <c r="W467" s="6">
        <v>470</v>
      </c>
      <c r="X467" s="5" t="s">
        <v>80</v>
      </c>
      <c r="Y467" s="9">
        <v>5</v>
      </c>
      <c r="Z467" s="5" t="s">
        <v>79</v>
      </c>
      <c r="AA467" s="5" t="s">
        <v>110</v>
      </c>
      <c r="AB467" s="9">
        <v>4</v>
      </c>
      <c r="AC467" s="5" t="s">
        <v>82</v>
      </c>
      <c r="AD467" s="5" t="s">
        <v>82</v>
      </c>
      <c r="AE467" s="5" t="s">
        <v>79</v>
      </c>
      <c r="AF467" s="10">
        <v>23500</v>
      </c>
      <c r="AG467" s="7">
        <v>47848</v>
      </c>
      <c r="AH467" s="10">
        <v>24500</v>
      </c>
      <c r="AI467" s="10">
        <v>22500</v>
      </c>
      <c r="AJ467" s="11">
        <f t="shared" si="7"/>
        <v>13.066666666666666</v>
      </c>
      <c r="AK467" s="12">
        <f>IF(B467="","",OR(K467="Not in use",K467="Low use")+AND(N467&lt;&gt;"",N467&lt;&gt;"TBD")+AND(ISNUMBER(U467),U467&lt;=EDATE('Scoring Settings'!$B$4,'Scoring Settings'!$B$8))+AND(ISNUMBER(L467),L467&lt;='Scoring Settings'!$B$7))</f>
        <v>4</v>
      </c>
      <c r="AL467" s="5" t="s">
        <v>223</v>
      </c>
      <c r="AM467" s="8" t="str">
        <f>IF(B467="","",IF(Z467="N","Easy",IF(OR(AND(ISNUMBER(AB467),AB467&gt;'Scoring Settings'!$B$11),AND(ISNUMBER(W467),W467&gt;'Scoring Settings'!$B$12),AND(ISNUMBER(M467),M467&lt;='Scoring Settings'!$B$13)),"High","Medium")))</f>
        <v>Easy</v>
      </c>
      <c r="AN467" s="5" t="s">
        <v>148</v>
      </c>
      <c r="AO467" s="7">
        <v>45046</v>
      </c>
      <c r="AP467" s="5" t="s">
        <v>98</v>
      </c>
      <c r="AQ467" s="29" t="s">
        <v>136</v>
      </c>
    </row>
    <row r="468" spans="1:43" hidden="1">
      <c r="A468" s="28">
        <v>53405</v>
      </c>
      <c r="B468" s="5" t="s">
        <v>1743</v>
      </c>
      <c r="C468" s="5" t="s">
        <v>208</v>
      </c>
      <c r="D468" s="5" t="s">
        <v>67</v>
      </c>
      <c r="E468" s="5" t="s">
        <v>68</v>
      </c>
      <c r="F468" s="5" t="s">
        <v>127</v>
      </c>
      <c r="G468" s="5" t="s">
        <v>179</v>
      </c>
      <c r="H468" s="5" t="s">
        <v>91</v>
      </c>
      <c r="I468" s="6">
        <v>636</v>
      </c>
      <c r="J468" s="7">
        <v>44297</v>
      </c>
      <c r="K468" s="8" t="str">
        <f>IF(B468="","",IF(AND(I468="",J468=""),"Unknown",IF(OR(AND(ISNUMBER(I468),I468=0),AND(ISNUMBER(J468),J468&lt;=EDATE('Scoring Settings'!$B$4,-'Scoring Settings'!$B$5))),"Not in use",IF(AND(ISNUMBER(I468),I468&lt;'Scoring Settings'!$B$6),"Low use","Active"))))</f>
        <v>Active</v>
      </c>
      <c r="L468" s="5">
        <v>4</v>
      </c>
      <c r="M468" s="5">
        <v>2</v>
      </c>
      <c r="N468" s="5" t="s">
        <v>893</v>
      </c>
      <c r="O468" s="5" t="s">
        <v>73</v>
      </c>
      <c r="P468" s="5" t="s">
        <v>1744</v>
      </c>
      <c r="Q468" s="9">
        <v>5</v>
      </c>
      <c r="R468" s="5" t="s">
        <v>256</v>
      </c>
      <c r="S468" s="5" t="s">
        <v>257</v>
      </c>
      <c r="T468" s="5" t="s">
        <v>77</v>
      </c>
      <c r="U468" s="7">
        <v>45077</v>
      </c>
      <c r="V468" s="5" t="s">
        <v>135</v>
      </c>
      <c r="W468" s="6">
        <v>340</v>
      </c>
      <c r="X468" s="5" t="s">
        <v>79</v>
      </c>
      <c r="Y468" s="9">
        <v>3</v>
      </c>
      <c r="Z468" s="5" t="s">
        <v>79</v>
      </c>
      <c r="AA468" s="5" t="s">
        <v>110</v>
      </c>
      <c r="AB468" s="9">
        <v>21</v>
      </c>
      <c r="AC468" s="5" t="s">
        <v>80</v>
      </c>
      <c r="AD468" s="5" t="s">
        <v>82</v>
      </c>
      <c r="AE468" s="5" t="s">
        <v>82</v>
      </c>
      <c r="AF468" s="10">
        <v>70000</v>
      </c>
      <c r="AG468" s="7">
        <v>45838</v>
      </c>
      <c r="AH468" s="10">
        <v>81500</v>
      </c>
      <c r="AI468" s="10">
        <v>60500</v>
      </c>
      <c r="AJ468" s="11">
        <f t="shared" si="7"/>
        <v>16.165289256198346</v>
      </c>
      <c r="AK468" s="12">
        <f>IF(B468="","",OR(K468="Not in use",K468="Low use")+AND(N468&lt;&gt;"",N468&lt;&gt;"TBD")+AND(ISNUMBER(U468),U468&lt;=EDATE('Scoring Settings'!$B$4,'Scoring Settings'!$B$8))+AND(ISNUMBER(L468),L468&lt;='Scoring Settings'!$B$7))</f>
        <v>1</v>
      </c>
      <c r="AL468" s="5" t="s">
        <v>2217</v>
      </c>
      <c r="AM468" s="8" t="str">
        <f>IF(B468="","",IF(Z468="N","Easy",IF(OR(AND(ISNUMBER(AB468),AB468&gt;'Scoring Settings'!$B$11),AND(ISNUMBER(W468),W468&gt;'Scoring Settings'!$B$12),AND(ISNUMBER(M468),M468&lt;='Scoring Settings'!$B$13)),"High","Medium")))</f>
        <v>Easy</v>
      </c>
      <c r="AN468" s="5" t="s">
        <v>148</v>
      </c>
      <c r="AO468" s="7">
        <v>45107</v>
      </c>
      <c r="AP468" s="5" t="s">
        <v>98</v>
      </c>
      <c r="AQ468" s="29" t="s">
        <v>170</v>
      </c>
    </row>
    <row r="469" spans="1:43" ht="42.75" hidden="1">
      <c r="A469" s="28">
        <v>94558</v>
      </c>
      <c r="B469" s="5" t="s">
        <v>1781</v>
      </c>
      <c r="C469" s="5" t="s">
        <v>325</v>
      </c>
      <c r="D469" s="5" t="s">
        <v>139</v>
      </c>
      <c r="E469" s="5" t="s">
        <v>68</v>
      </c>
      <c r="F469" s="5" t="s">
        <v>236</v>
      </c>
      <c r="G469" s="5" t="s">
        <v>128</v>
      </c>
      <c r="H469" s="5" t="s">
        <v>142</v>
      </c>
      <c r="I469" s="6">
        <v>0</v>
      </c>
      <c r="J469" s="7">
        <v>44204</v>
      </c>
      <c r="K469" s="8" t="str">
        <f>IF(B469="","",IF(AND(I469="",J469=""),"Unknown",IF(OR(AND(ISNUMBER(I469),I469=0),AND(ISNUMBER(J469),J469&lt;=EDATE('Scoring Settings'!$B$4,-'Scoring Settings'!$B$5))),"Not in use",IF(AND(ISNUMBER(I469),I469&lt;'Scoring Settings'!$B$6),"Low use","Active"))))</f>
        <v>Not in use</v>
      </c>
      <c r="L469" s="5">
        <v>1</v>
      </c>
      <c r="M469" s="5">
        <v>4</v>
      </c>
      <c r="N469" s="5"/>
      <c r="O469" s="5" t="s">
        <v>143</v>
      </c>
      <c r="P469" s="5" t="s">
        <v>144</v>
      </c>
      <c r="Q469" s="9">
        <v>0</v>
      </c>
      <c r="R469" s="5" t="s">
        <v>145</v>
      </c>
      <c r="S469" s="5" t="s">
        <v>145</v>
      </c>
      <c r="T469" s="5" t="s">
        <v>146</v>
      </c>
      <c r="U469" s="7"/>
      <c r="V469" s="5" t="s">
        <v>135</v>
      </c>
      <c r="W469" s="6">
        <v>1390</v>
      </c>
      <c r="X469" s="5" t="s">
        <v>80</v>
      </c>
      <c r="Y469" s="9">
        <v>10</v>
      </c>
      <c r="Z469" s="5" t="s">
        <v>80</v>
      </c>
      <c r="AA469" s="5" t="s">
        <v>185</v>
      </c>
      <c r="AB469" s="9">
        <v>3</v>
      </c>
      <c r="AC469" s="5" t="s">
        <v>82</v>
      </c>
      <c r="AD469" s="5" t="s">
        <v>79</v>
      </c>
      <c r="AE469" s="5" t="s">
        <v>80</v>
      </c>
      <c r="AF469" s="10">
        <v>38500</v>
      </c>
      <c r="AG469" s="7">
        <v>47514</v>
      </c>
      <c r="AH469" s="10">
        <v>86000</v>
      </c>
      <c r="AI469" s="10">
        <v>20000</v>
      </c>
      <c r="AJ469" s="11">
        <f t="shared" si="7"/>
        <v>51.599999999999994</v>
      </c>
      <c r="AK469" s="12">
        <f>IF(B469="","",OR(K469="Not in use",K469="Low use")+AND(N469&lt;&gt;"",N469&lt;&gt;"TBD")+AND(ISNUMBER(U469),U469&lt;=EDATE('Scoring Settings'!$B$4,'Scoring Settings'!$B$8))+AND(ISNUMBER(L469),L469&lt;='Scoring Settings'!$B$7))</f>
        <v>2</v>
      </c>
      <c r="AL469" s="5" t="s">
        <v>96</v>
      </c>
      <c r="AM469" s="8" t="str">
        <f>IF(B469="","",IF(Z469="N","Easy",IF(OR(AND(ISNUMBER(AB469),AB469&gt;'Scoring Settings'!$B$11),AND(ISNUMBER(W469),W469&gt;'Scoring Settings'!$B$12),AND(ISNUMBER(M469),M469&lt;='Scoring Settings'!$B$13)),"High","Medium")))</f>
        <v>High</v>
      </c>
      <c r="AN469" s="5" t="s">
        <v>148</v>
      </c>
      <c r="AO469" s="7">
        <v>45169</v>
      </c>
      <c r="AP469" s="5" t="s">
        <v>98</v>
      </c>
      <c r="AQ469" s="29" t="s">
        <v>1782</v>
      </c>
    </row>
    <row r="470" spans="1:43" hidden="1">
      <c r="A470" s="28">
        <v>66542</v>
      </c>
      <c r="B470" s="5" t="s">
        <v>1785</v>
      </c>
      <c r="C470" s="5" t="s">
        <v>156</v>
      </c>
      <c r="D470" s="5" t="s">
        <v>139</v>
      </c>
      <c r="E470" s="5" t="s">
        <v>68</v>
      </c>
      <c r="F470" s="5" t="s">
        <v>178</v>
      </c>
      <c r="G470" s="5" t="s">
        <v>210</v>
      </c>
      <c r="H470" s="5" t="s">
        <v>189</v>
      </c>
      <c r="I470" s="6">
        <v>564</v>
      </c>
      <c r="J470" s="7">
        <v>44284</v>
      </c>
      <c r="K470" s="8" t="str">
        <f>IF(B470="","",IF(AND(I470="",J470=""),"Unknown",IF(OR(AND(ISNUMBER(I470),I470=0),AND(ISNUMBER(J470),J470&lt;=EDATE('Scoring Settings'!$B$4,-'Scoring Settings'!$B$5))),"Not in use",IF(AND(ISNUMBER(I470),I470&lt;'Scoring Settings'!$B$6),"Low use","Active"))))</f>
        <v>Active</v>
      </c>
      <c r="L470" s="5">
        <v>4</v>
      </c>
      <c r="M470" s="5">
        <v>1</v>
      </c>
      <c r="N470" s="5" t="s">
        <v>1006</v>
      </c>
      <c r="O470" s="5" t="s">
        <v>73</v>
      </c>
      <c r="P470" s="5" t="s">
        <v>1786</v>
      </c>
      <c r="Q470" s="9">
        <v>6</v>
      </c>
      <c r="R470" s="5" t="s">
        <v>256</v>
      </c>
      <c r="S470" s="5" t="s">
        <v>257</v>
      </c>
      <c r="T470" s="5" t="s">
        <v>109</v>
      </c>
      <c r="U470" s="7">
        <v>45077</v>
      </c>
      <c r="V470" s="5" t="s">
        <v>95</v>
      </c>
      <c r="W470" s="6">
        <v>180</v>
      </c>
      <c r="X470" s="5" t="s">
        <v>79</v>
      </c>
      <c r="Y470" s="9">
        <v>7</v>
      </c>
      <c r="Z470" s="5" t="s">
        <v>80</v>
      </c>
      <c r="AA470" s="5" t="s">
        <v>81</v>
      </c>
      <c r="AB470" s="9">
        <v>90</v>
      </c>
      <c r="AC470" s="5" t="s">
        <v>79</v>
      </c>
      <c r="AD470" s="5" t="s">
        <v>79</v>
      </c>
      <c r="AE470" s="5" t="s">
        <v>80</v>
      </c>
      <c r="AF470" s="10">
        <v>355000</v>
      </c>
      <c r="AG470" s="7">
        <v>45716</v>
      </c>
      <c r="AH470" s="10">
        <v>1206500</v>
      </c>
      <c r="AI470" s="10">
        <v>213500</v>
      </c>
      <c r="AJ470" s="11">
        <f t="shared" si="7"/>
        <v>67.81264637002343</v>
      </c>
      <c r="AK470" s="12">
        <f>IF(B470="","",OR(K470="Not in use",K470="Low use")+AND(N470&lt;&gt;"",N470&lt;&gt;"TBD")+AND(ISNUMBER(U470),U470&lt;=EDATE('Scoring Settings'!$B$4,'Scoring Settings'!$B$8))+AND(ISNUMBER(L470),L470&lt;='Scoring Settings'!$B$7))</f>
        <v>1</v>
      </c>
      <c r="AL470" s="5" t="s">
        <v>2217</v>
      </c>
      <c r="AM470" s="8" t="str">
        <f>IF(B470="","",IF(Z470="N","Easy",IF(OR(AND(ISNUMBER(AB470),AB470&gt;'Scoring Settings'!$B$11),AND(ISNUMBER(W470),W470&gt;'Scoring Settings'!$B$12),AND(ISNUMBER(M470),M470&lt;='Scoring Settings'!$B$13)),"High","Medium")))</f>
        <v>High</v>
      </c>
      <c r="AN470" s="5" t="s">
        <v>148</v>
      </c>
      <c r="AO470" s="7">
        <v>45138</v>
      </c>
      <c r="AP470" s="5" t="s">
        <v>98</v>
      </c>
      <c r="AQ470" s="29" t="s">
        <v>136</v>
      </c>
    </row>
    <row r="471" spans="1:43" ht="57" hidden="1">
      <c r="A471" s="28">
        <v>118544</v>
      </c>
      <c r="B471" s="5" t="s">
        <v>1814</v>
      </c>
      <c r="C471" s="5" t="s">
        <v>220</v>
      </c>
      <c r="D471" s="5" t="s">
        <v>139</v>
      </c>
      <c r="E471" s="5" t="s">
        <v>298</v>
      </c>
      <c r="F471" s="5" t="s">
        <v>476</v>
      </c>
      <c r="G471" s="5" t="s">
        <v>221</v>
      </c>
      <c r="H471" s="5" t="s">
        <v>189</v>
      </c>
      <c r="I471" s="6">
        <v>0</v>
      </c>
      <c r="J471" s="7">
        <v>44282</v>
      </c>
      <c r="K471" s="8" t="str">
        <f>IF(B471="","",IF(AND(I471="",J471=""),"Unknown",IF(OR(AND(ISNUMBER(I471),I471=0),AND(ISNUMBER(J471),J471&lt;=EDATE('Scoring Settings'!$B$4,-'Scoring Settings'!$B$5))),"Not in use",IF(AND(ISNUMBER(I471),I471&lt;'Scoring Settings'!$B$6),"Low use","Active"))))</f>
        <v>Not in use</v>
      </c>
      <c r="L471" s="5">
        <v>3</v>
      </c>
      <c r="M471" s="5">
        <v>4</v>
      </c>
      <c r="N471" s="5"/>
      <c r="O471" s="5" t="s">
        <v>73</v>
      </c>
      <c r="P471" s="5" t="s">
        <v>1815</v>
      </c>
      <c r="Q471" s="9">
        <v>2</v>
      </c>
      <c r="R471" s="5" t="s">
        <v>358</v>
      </c>
      <c r="S471" s="5" t="s">
        <v>133</v>
      </c>
      <c r="T471" s="5" t="s">
        <v>184</v>
      </c>
      <c r="U471" s="7" t="s">
        <v>72</v>
      </c>
      <c r="V471" s="5" t="s">
        <v>135</v>
      </c>
      <c r="W471" s="6">
        <v>51</v>
      </c>
      <c r="X471" s="5" t="s">
        <v>79</v>
      </c>
      <c r="Y471" s="9">
        <v>2</v>
      </c>
      <c r="Z471" s="5" t="s">
        <v>79</v>
      </c>
      <c r="AA471" s="5" t="s">
        <v>110</v>
      </c>
      <c r="AB471" s="9">
        <v>2</v>
      </c>
      <c r="AC471" s="5" t="s">
        <v>80</v>
      </c>
      <c r="AD471" s="5" t="s">
        <v>80</v>
      </c>
      <c r="AE471" s="5" t="s">
        <v>82</v>
      </c>
      <c r="AF471" s="10">
        <v>37500</v>
      </c>
      <c r="AG471" s="7">
        <v>48944</v>
      </c>
      <c r="AH471" s="10">
        <v>43000</v>
      </c>
      <c r="AI471" s="10">
        <v>34000</v>
      </c>
      <c r="AJ471" s="11">
        <f t="shared" si="7"/>
        <v>15.176470588235293</v>
      </c>
      <c r="AK471" s="12">
        <f>IF(B471="","",OR(K471="Not in use",K471="Low use")+AND(N471&lt;&gt;"",N471&lt;&gt;"TBD")+AND(ISNUMBER(U471),U471&lt;=EDATE('Scoring Settings'!$B$4,'Scoring Settings'!$B$8))+AND(ISNUMBER(L471),L471&lt;='Scoring Settings'!$B$7))</f>
        <v>1</v>
      </c>
      <c r="AL471" s="5" t="s">
        <v>223</v>
      </c>
      <c r="AM471" s="8" t="str">
        <f>IF(B471="","",IF(Z471="N","Easy",IF(OR(AND(ISNUMBER(AB471),AB471&gt;'Scoring Settings'!$B$11),AND(ISNUMBER(W471),W471&gt;'Scoring Settings'!$B$12),AND(ISNUMBER(M471),M471&lt;='Scoring Settings'!$B$13)),"High","Medium")))</f>
        <v>Easy</v>
      </c>
      <c r="AN471" s="5" t="s">
        <v>148</v>
      </c>
      <c r="AO471" s="7">
        <v>44985</v>
      </c>
      <c r="AP471" s="5" t="s">
        <v>197</v>
      </c>
      <c r="AQ471" s="29" t="s">
        <v>1816</v>
      </c>
    </row>
    <row r="472" spans="1:43" hidden="1">
      <c r="A472" s="28">
        <v>72379</v>
      </c>
      <c r="B472" s="5" t="s">
        <v>1824</v>
      </c>
      <c r="C472" s="5" t="s">
        <v>483</v>
      </c>
      <c r="D472" s="5" t="s">
        <v>88</v>
      </c>
      <c r="E472" s="5" t="s">
        <v>311</v>
      </c>
      <c r="F472" s="5" t="s">
        <v>157</v>
      </c>
      <c r="G472" s="5" t="s">
        <v>237</v>
      </c>
      <c r="H472" s="5" t="s">
        <v>129</v>
      </c>
      <c r="I472" s="6">
        <v>8</v>
      </c>
      <c r="J472" s="7">
        <v>44312</v>
      </c>
      <c r="K472" s="8" t="str">
        <f>IF(B472="","",IF(AND(I472="",J472=""),"Unknown",IF(OR(AND(ISNUMBER(I472),I472=0),AND(ISNUMBER(J472),J472&lt;=EDATE('Scoring Settings'!$B$4,-'Scoring Settings'!$B$5))),"Not in use",IF(AND(ISNUMBER(I472),I472&lt;'Scoring Settings'!$B$6),"Low use","Active"))))</f>
        <v>Low use</v>
      </c>
      <c r="L472" s="5">
        <v>3</v>
      </c>
      <c r="M472" s="5">
        <v>2</v>
      </c>
      <c r="N472" s="5" t="s">
        <v>543</v>
      </c>
      <c r="O472" s="5" t="s">
        <v>191</v>
      </c>
      <c r="P472" s="5" t="s">
        <v>192</v>
      </c>
      <c r="Q472" s="9">
        <v>0</v>
      </c>
      <c r="R472" s="5" t="s">
        <v>193</v>
      </c>
      <c r="S472" s="5" t="s">
        <v>194</v>
      </c>
      <c r="T472" s="5" t="s">
        <v>195</v>
      </c>
      <c r="U472" s="7"/>
      <c r="V472" s="5" t="s">
        <v>135</v>
      </c>
      <c r="W472" s="6">
        <v>71</v>
      </c>
      <c r="X472" s="5" t="s">
        <v>79</v>
      </c>
      <c r="Y472" s="9">
        <v>1</v>
      </c>
      <c r="Z472" s="5" t="s">
        <v>79</v>
      </c>
      <c r="AA472" s="5" t="s">
        <v>110</v>
      </c>
      <c r="AB472" s="9">
        <v>23</v>
      </c>
      <c r="AC472" s="5" t="s">
        <v>82</v>
      </c>
      <c r="AD472" s="5" t="s">
        <v>80</v>
      </c>
      <c r="AE472" s="5" t="s">
        <v>80</v>
      </c>
      <c r="AF472" s="10">
        <v>34500</v>
      </c>
      <c r="AG472" s="7">
        <v>48121</v>
      </c>
      <c r="AH472" s="10">
        <v>54000</v>
      </c>
      <c r="AI472" s="10">
        <v>29500</v>
      </c>
      <c r="AJ472" s="11">
        <f t="shared" si="7"/>
        <v>21.966101694915253</v>
      </c>
      <c r="AK472" s="12">
        <f>IF(B472="","",OR(K472="Not in use",K472="Low use")+AND(N472&lt;&gt;"",N472&lt;&gt;"TBD")+AND(ISNUMBER(U472),U472&lt;=EDATE('Scoring Settings'!$B$4,'Scoring Settings'!$B$8))+AND(ISNUMBER(L472),L472&lt;='Scoring Settings'!$B$7))</f>
        <v>2</v>
      </c>
      <c r="AL472" s="5" t="s">
        <v>223</v>
      </c>
      <c r="AM472" s="8" t="str">
        <f>IF(B472="","",IF(Z472="N","Easy",IF(OR(AND(ISNUMBER(AB472),AB472&gt;'Scoring Settings'!$B$11),AND(ISNUMBER(W472),W472&gt;'Scoring Settings'!$B$12),AND(ISNUMBER(M472),M472&lt;='Scoring Settings'!$B$13)),"High","Medium")))</f>
        <v>Easy</v>
      </c>
      <c r="AN472" s="5" t="s">
        <v>148</v>
      </c>
      <c r="AO472" s="7">
        <v>45077</v>
      </c>
      <c r="AP472" s="5" t="s">
        <v>98</v>
      </c>
      <c r="AQ472" s="29" t="s">
        <v>170</v>
      </c>
    </row>
    <row r="473" spans="1:43" ht="42.75" hidden="1">
      <c r="A473" s="28">
        <v>195490</v>
      </c>
      <c r="B473" s="5" t="s">
        <v>1836</v>
      </c>
      <c r="C473" s="5" t="s">
        <v>301</v>
      </c>
      <c r="D473" s="5" t="s">
        <v>162</v>
      </c>
      <c r="E473" s="5" t="s">
        <v>68</v>
      </c>
      <c r="F473" s="5" t="s">
        <v>163</v>
      </c>
      <c r="G473" s="5" t="s">
        <v>128</v>
      </c>
      <c r="H473" s="5" t="s">
        <v>174</v>
      </c>
      <c r="I473" s="6">
        <v>336</v>
      </c>
      <c r="J473" s="7">
        <v>44277</v>
      </c>
      <c r="K473" s="8" t="str">
        <f>IF(B473="","",IF(AND(I473="",J473=""),"Unknown",IF(OR(AND(ISNUMBER(I473),I473=0),AND(ISNUMBER(J473),J473&lt;=EDATE('Scoring Settings'!$B$4,-'Scoring Settings'!$B$5))),"Not in use",IF(AND(ISNUMBER(I473),I473&lt;'Scoring Settings'!$B$6),"Low use","Active"))))</f>
        <v>Active</v>
      </c>
      <c r="L473" s="5">
        <v>2</v>
      </c>
      <c r="M473" s="5">
        <v>4</v>
      </c>
      <c r="N473" s="5"/>
      <c r="O473" s="5" t="s">
        <v>130</v>
      </c>
      <c r="P473" s="5" t="s">
        <v>1837</v>
      </c>
      <c r="Q473" s="9">
        <v>2</v>
      </c>
      <c r="R473" s="5" t="s">
        <v>358</v>
      </c>
      <c r="S473" s="5" t="s">
        <v>133</v>
      </c>
      <c r="T473" s="5" t="s">
        <v>195</v>
      </c>
      <c r="U473" s="7">
        <v>43555</v>
      </c>
      <c r="V473" s="5" t="s">
        <v>135</v>
      </c>
      <c r="W473" s="6">
        <v>110</v>
      </c>
      <c r="X473" s="5" t="s">
        <v>80</v>
      </c>
      <c r="Y473" s="9">
        <v>7</v>
      </c>
      <c r="Z473" s="5" t="s">
        <v>80</v>
      </c>
      <c r="AA473" s="5" t="s">
        <v>81</v>
      </c>
      <c r="AB473" s="9">
        <v>3</v>
      </c>
      <c r="AC473" s="5" t="s">
        <v>79</v>
      </c>
      <c r="AD473" s="5" t="s">
        <v>80</v>
      </c>
      <c r="AE473" s="5" t="s">
        <v>79</v>
      </c>
      <c r="AF473" s="10">
        <v>14500</v>
      </c>
      <c r="AG473" s="7">
        <v>48730</v>
      </c>
      <c r="AH473" s="10">
        <v>16500</v>
      </c>
      <c r="AI473" s="10">
        <v>11500</v>
      </c>
      <c r="AJ473" s="11">
        <f t="shared" si="7"/>
        <v>17.217391304347824</v>
      </c>
      <c r="AK473" s="12">
        <f>IF(B473="","",OR(K473="Not in use",K473="Low use")+AND(N473&lt;&gt;"",N473&lt;&gt;"TBD")+AND(ISNUMBER(U473),U473&lt;=EDATE('Scoring Settings'!$B$4,'Scoring Settings'!$B$8))+AND(ISNUMBER(L473),L473&lt;='Scoring Settings'!$B$7))</f>
        <v>2</v>
      </c>
      <c r="AL473" s="5" t="s">
        <v>96</v>
      </c>
      <c r="AM473" s="8" t="str">
        <f>IF(B473="","",IF(Z473="N","Easy",IF(OR(AND(ISNUMBER(AB473),AB473&gt;'Scoring Settings'!$B$11),AND(ISNUMBER(W473),W473&gt;'Scoring Settings'!$B$12),AND(ISNUMBER(M473),M473&lt;='Scoring Settings'!$B$13)),"High","Medium")))</f>
        <v>Medium</v>
      </c>
      <c r="AN473" s="5" t="s">
        <v>148</v>
      </c>
      <c r="AO473" s="7">
        <v>45046</v>
      </c>
      <c r="AP473" s="5" t="s">
        <v>98</v>
      </c>
      <c r="AQ473" s="29" t="s">
        <v>802</v>
      </c>
    </row>
    <row r="474" spans="1:43" hidden="1">
      <c r="A474" s="28">
        <v>112173</v>
      </c>
      <c r="B474" s="5" t="s">
        <v>1845</v>
      </c>
      <c r="C474" s="5" t="s">
        <v>515</v>
      </c>
      <c r="D474" s="5" t="s">
        <v>102</v>
      </c>
      <c r="E474" s="5" t="s">
        <v>298</v>
      </c>
      <c r="F474" s="5" t="s">
        <v>209</v>
      </c>
      <c r="G474" s="5" t="s">
        <v>128</v>
      </c>
      <c r="H474" s="5" t="s">
        <v>129</v>
      </c>
      <c r="I474" s="6">
        <v>4</v>
      </c>
      <c r="J474" s="7">
        <v>44075</v>
      </c>
      <c r="K474" s="8" t="str">
        <f>IF(B474="","",IF(AND(I474="",J474=""),"Unknown",IF(OR(AND(ISNUMBER(I474),I474=0),AND(ISNUMBER(J474),J474&lt;=EDATE('Scoring Settings'!$B$4,-'Scoring Settings'!$B$5))),"Not in use",IF(AND(ISNUMBER(I474),I474&lt;'Scoring Settings'!$B$6),"Low use","Active"))))</f>
        <v>Not in use</v>
      </c>
      <c r="L474" s="5">
        <v>1</v>
      </c>
      <c r="M474" s="5">
        <v>4</v>
      </c>
      <c r="N474" s="5"/>
      <c r="O474" s="5" t="s">
        <v>73</v>
      </c>
      <c r="P474" s="5" t="s">
        <v>1846</v>
      </c>
      <c r="Q474" s="9">
        <v>4</v>
      </c>
      <c r="R474" s="5" t="s">
        <v>239</v>
      </c>
      <c r="S474" s="5" t="s">
        <v>240</v>
      </c>
      <c r="T474" s="5" t="s">
        <v>122</v>
      </c>
      <c r="U474" s="7">
        <v>44316</v>
      </c>
      <c r="V474" s="5" t="s">
        <v>78</v>
      </c>
      <c r="W474" s="6">
        <v>1230</v>
      </c>
      <c r="X474" s="5" t="s">
        <v>80</v>
      </c>
      <c r="Y474" s="9">
        <v>10</v>
      </c>
      <c r="Z474" s="5" t="s">
        <v>80</v>
      </c>
      <c r="AA474" s="5" t="s">
        <v>147</v>
      </c>
      <c r="AB474" s="9">
        <v>0</v>
      </c>
      <c r="AC474" s="5" t="s">
        <v>79</v>
      </c>
      <c r="AD474" s="5" t="s">
        <v>80</v>
      </c>
      <c r="AE474" s="5" t="s">
        <v>82</v>
      </c>
      <c r="AF474" s="10">
        <v>50000</v>
      </c>
      <c r="AG474" s="7">
        <v>49643</v>
      </c>
      <c r="AH474" s="10">
        <v>100000</v>
      </c>
      <c r="AI474" s="10">
        <v>32000</v>
      </c>
      <c r="AJ474" s="11">
        <f t="shared" si="7"/>
        <v>37.5</v>
      </c>
      <c r="AK474" s="12">
        <f>IF(B474="","",OR(K474="Not in use",K474="Low use")+AND(N474&lt;&gt;"",N474&lt;&gt;"TBD")+AND(ISNUMBER(U474),U474&lt;=EDATE('Scoring Settings'!$B$4,'Scoring Settings'!$B$8))+AND(ISNUMBER(L474),L474&lt;='Scoring Settings'!$B$7))</f>
        <v>3</v>
      </c>
      <c r="AL474" s="5" t="s">
        <v>96</v>
      </c>
      <c r="AM474" s="8" t="str">
        <f>IF(B474="","",IF(Z474="N","Easy",IF(OR(AND(ISNUMBER(AB474),AB474&gt;'Scoring Settings'!$B$11),AND(ISNUMBER(W474),W474&gt;'Scoring Settings'!$B$12),AND(ISNUMBER(M474),M474&lt;='Scoring Settings'!$B$13)),"High","Medium")))</f>
        <v>High</v>
      </c>
      <c r="AN474" s="5" t="s">
        <v>148</v>
      </c>
      <c r="AO474" s="7">
        <v>45077</v>
      </c>
      <c r="AP474" s="5" t="s">
        <v>98</v>
      </c>
      <c r="AQ474" s="29" t="s">
        <v>136</v>
      </c>
    </row>
    <row r="475" spans="1:43" hidden="1">
      <c r="A475" s="28">
        <v>141361</v>
      </c>
      <c r="B475" s="5" t="s">
        <v>1851</v>
      </c>
      <c r="C475" s="5" t="s">
        <v>639</v>
      </c>
      <c r="D475" s="5" t="s">
        <v>88</v>
      </c>
      <c r="E475" s="5" t="s">
        <v>298</v>
      </c>
      <c r="F475" s="5" t="s">
        <v>152</v>
      </c>
      <c r="G475" s="5" t="s">
        <v>267</v>
      </c>
      <c r="H475" s="5" t="s">
        <v>118</v>
      </c>
      <c r="I475" s="6">
        <v>430</v>
      </c>
      <c r="J475" s="7">
        <v>44313</v>
      </c>
      <c r="K475" s="8" t="str">
        <f>IF(B475="","",IF(AND(I475="",J475=""),"Unknown",IF(OR(AND(ISNUMBER(I475),I475=0),AND(ISNUMBER(J475),J475&lt;=EDATE('Scoring Settings'!$B$4,-'Scoring Settings'!$B$5))),"Not in use",IF(AND(ISNUMBER(I475),I475&lt;'Scoring Settings'!$B$6),"Low use","Active"))))</f>
        <v>Active</v>
      </c>
      <c r="L475" s="5">
        <v>2</v>
      </c>
      <c r="M475" s="5">
        <v>3</v>
      </c>
      <c r="N475" s="5"/>
      <c r="O475" s="5" t="s">
        <v>73</v>
      </c>
      <c r="P475" s="5" t="s">
        <v>1852</v>
      </c>
      <c r="Q475" s="9">
        <v>1</v>
      </c>
      <c r="R475" s="5" t="s">
        <v>107</v>
      </c>
      <c r="S475" s="5" t="s">
        <v>108</v>
      </c>
      <c r="T475" s="5" t="s">
        <v>77</v>
      </c>
      <c r="U475" s="7">
        <v>43655</v>
      </c>
      <c r="V475" s="5" t="s">
        <v>78</v>
      </c>
      <c r="W475" s="6">
        <v>8050</v>
      </c>
      <c r="X475" s="5" t="s">
        <v>79</v>
      </c>
      <c r="Y475" s="9">
        <v>3</v>
      </c>
      <c r="Z475" s="5" t="s">
        <v>80</v>
      </c>
      <c r="AA475" s="5" t="s">
        <v>81</v>
      </c>
      <c r="AB475" s="9">
        <v>8</v>
      </c>
      <c r="AC475" s="5" t="s">
        <v>82</v>
      </c>
      <c r="AD475" s="5" t="s">
        <v>82</v>
      </c>
      <c r="AE475" s="5" t="s">
        <v>82</v>
      </c>
      <c r="AF475" s="10">
        <v>19000</v>
      </c>
      <c r="AG475" s="7">
        <v>48426</v>
      </c>
      <c r="AH475" s="10">
        <v>39500</v>
      </c>
      <c r="AI475" s="10">
        <v>10500</v>
      </c>
      <c r="AJ475" s="11">
        <f t="shared" si="7"/>
        <v>45.142857142857139</v>
      </c>
      <c r="AK475" s="12">
        <f>IF(B475="","",OR(K475="Not in use",K475="Low use")+AND(N475&lt;&gt;"",N475&lt;&gt;"TBD")+AND(ISNUMBER(U475),U475&lt;=EDATE('Scoring Settings'!$B$4,'Scoring Settings'!$B$8))+AND(ISNUMBER(L475),L475&lt;='Scoring Settings'!$B$7))</f>
        <v>2</v>
      </c>
      <c r="AL475" s="5" t="s">
        <v>96</v>
      </c>
      <c r="AM475" s="8" t="str">
        <f>IF(B475="","",IF(Z475="N","Easy",IF(OR(AND(ISNUMBER(AB475),AB475&gt;'Scoring Settings'!$B$11),AND(ISNUMBER(W475),W475&gt;'Scoring Settings'!$B$12),AND(ISNUMBER(M475),M475&lt;='Scoring Settings'!$B$13)),"High","Medium")))</f>
        <v>High</v>
      </c>
      <c r="AN475" s="5" t="s">
        <v>148</v>
      </c>
      <c r="AO475" s="7">
        <v>44985</v>
      </c>
      <c r="AP475" s="5" t="s">
        <v>98</v>
      </c>
      <c r="AQ475" s="29" t="s">
        <v>136</v>
      </c>
    </row>
    <row r="476" spans="1:43" ht="42.75" hidden="1">
      <c r="A476" s="28">
        <v>83144</v>
      </c>
      <c r="B476" s="5" t="s">
        <v>1853</v>
      </c>
      <c r="C476" s="5" t="s">
        <v>390</v>
      </c>
      <c r="D476" s="5" t="s">
        <v>88</v>
      </c>
      <c r="E476" s="5" t="s">
        <v>68</v>
      </c>
      <c r="F476" s="5" t="s">
        <v>188</v>
      </c>
      <c r="G476" s="5" t="s">
        <v>284</v>
      </c>
      <c r="H476" s="5" t="s">
        <v>142</v>
      </c>
      <c r="I476" s="6">
        <v>5</v>
      </c>
      <c r="J476" s="7">
        <v>43806</v>
      </c>
      <c r="K476" s="8" t="str">
        <f>IF(B476="","",IF(AND(I476="",J476=""),"Unknown",IF(OR(AND(ISNUMBER(I476),I476=0),AND(ISNUMBER(J476),J476&lt;=EDATE('Scoring Settings'!$B$4,-'Scoring Settings'!$B$5))),"Not in use",IF(AND(ISNUMBER(I476),I476&lt;'Scoring Settings'!$B$6),"Low use","Active"))))</f>
        <v>Not in use</v>
      </c>
      <c r="L476" s="5">
        <v>1</v>
      </c>
      <c r="M476" s="5">
        <v>4</v>
      </c>
      <c r="N476" s="5" t="s">
        <v>1592</v>
      </c>
      <c r="O476" s="5" t="s">
        <v>143</v>
      </c>
      <c r="P476" s="5" t="s">
        <v>144</v>
      </c>
      <c r="Q476" s="9">
        <v>0</v>
      </c>
      <c r="R476" s="5" t="s">
        <v>145</v>
      </c>
      <c r="S476" s="5" t="s">
        <v>145</v>
      </c>
      <c r="T476" s="5" t="s">
        <v>146</v>
      </c>
      <c r="U476" s="7">
        <v>45382</v>
      </c>
      <c r="V476" s="5" t="s">
        <v>78</v>
      </c>
      <c r="W476" s="6">
        <v>1630</v>
      </c>
      <c r="X476" s="5" t="s">
        <v>80</v>
      </c>
      <c r="Y476" s="9">
        <v>5</v>
      </c>
      <c r="Z476" s="5" t="s">
        <v>79</v>
      </c>
      <c r="AA476" s="5" t="s">
        <v>110</v>
      </c>
      <c r="AB476" s="9">
        <v>3</v>
      </c>
      <c r="AC476" s="5" t="s">
        <v>80</v>
      </c>
      <c r="AD476" s="5" t="s">
        <v>79</v>
      </c>
      <c r="AE476" s="5" t="s">
        <v>79</v>
      </c>
      <c r="AF476" s="10">
        <v>60000</v>
      </c>
      <c r="AG476" s="7">
        <v>49156</v>
      </c>
      <c r="AH476" s="10">
        <v>89000</v>
      </c>
      <c r="AI476" s="10">
        <v>38500</v>
      </c>
      <c r="AJ476" s="11">
        <f t="shared" si="7"/>
        <v>27.740259740259742</v>
      </c>
      <c r="AK476" s="12">
        <f>IF(B476="","",OR(K476="Not in use",K476="Low use")+AND(N476&lt;&gt;"",N476&lt;&gt;"TBD")+AND(ISNUMBER(U476),U476&lt;=EDATE('Scoring Settings'!$B$4,'Scoring Settings'!$B$8))+AND(ISNUMBER(L476),L476&lt;='Scoring Settings'!$B$7))</f>
        <v>3</v>
      </c>
      <c r="AL476" s="5" t="s">
        <v>223</v>
      </c>
      <c r="AM476" s="8" t="str">
        <f>IF(B476="","",IF(Z476="N","Easy",IF(OR(AND(ISNUMBER(AB476),AB476&gt;'Scoring Settings'!$B$11),AND(ISNUMBER(W476),W476&gt;'Scoring Settings'!$B$12),AND(ISNUMBER(M476),M476&lt;='Scoring Settings'!$B$13)),"High","Medium")))</f>
        <v>Easy</v>
      </c>
      <c r="AN476" s="5" t="s">
        <v>148</v>
      </c>
      <c r="AO476" s="7">
        <v>45046</v>
      </c>
      <c r="AP476" s="5" t="s">
        <v>98</v>
      </c>
      <c r="AQ476" s="29" t="s">
        <v>1782</v>
      </c>
    </row>
    <row r="477" spans="1:43" ht="57" hidden="1">
      <c r="A477" s="28">
        <v>108832</v>
      </c>
      <c r="B477" s="5" t="s">
        <v>1860</v>
      </c>
      <c r="C477" s="5" t="s">
        <v>234</v>
      </c>
      <c r="D477" s="5" t="s">
        <v>102</v>
      </c>
      <c r="E477" s="5" t="s">
        <v>68</v>
      </c>
      <c r="F477" s="5" t="s">
        <v>127</v>
      </c>
      <c r="G477" s="5" t="s">
        <v>271</v>
      </c>
      <c r="H477" s="5" t="s">
        <v>118</v>
      </c>
      <c r="I477" s="6">
        <v>13</v>
      </c>
      <c r="J477" s="7">
        <v>44192</v>
      </c>
      <c r="K477" s="8" t="str">
        <f>IF(B477="","",IF(AND(I477="",J477=""),"Unknown",IF(OR(AND(ISNUMBER(I477),I477=0),AND(ISNUMBER(J477),J477&lt;=EDATE('Scoring Settings'!$B$4,-'Scoring Settings'!$B$5))),"Not in use",IF(AND(ISNUMBER(I477),I477&lt;'Scoring Settings'!$B$6),"Low use","Active"))))</f>
        <v>Low use</v>
      </c>
      <c r="L477" s="5">
        <v>1</v>
      </c>
      <c r="M477" s="5">
        <v>4</v>
      </c>
      <c r="N477" s="5"/>
      <c r="O477" s="5" t="s">
        <v>73</v>
      </c>
      <c r="P477" s="5" t="s">
        <v>1145</v>
      </c>
      <c r="Q477" s="9">
        <v>2</v>
      </c>
      <c r="R477" s="5" t="s">
        <v>352</v>
      </c>
      <c r="S477" s="5" t="s">
        <v>353</v>
      </c>
      <c r="T477" s="5" t="s">
        <v>184</v>
      </c>
      <c r="U477" s="7">
        <v>47127</v>
      </c>
      <c r="V477" s="5" t="s">
        <v>95</v>
      </c>
      <c r="W477" s="6">
        <v>36</v>
      </c>
      <c r="X477" s="5" t="s">
        <v>80</v>
      </c>
      <c r="Y477" s="9">
        <v>5</v>
      </c>
      <c r="Z477" s="5" t="s">
        <v>79</v>
      </c>
      <c r="AA477" s="5" t="s">
        <v>110</v>
      </c>
      <c r="AB477" s="9">
        <v>1</v>
      </c>
      <c r="AC477" s="5" t="s">
        <v>82</v>
      </c>
      <c r="AD477" s="5" t="s">
        <v>82</v>
      </c>
      <c r="AE477" s="5" t="s">
        <v>82</v>
      </c>
      <c r="AF477" s="10">
        <v>39000</v>
      </c>
      <c r="AG477" s="7">
        <v>48760</v>
      </c>
      <c r="AH477" s="10">
        <v>40000</v>
      </c>
      <c r="AI477" s="10">
        <v>35000</v>
      </c>
      <c r="AJ477" s="11">
        <f t="shared" si="7"/>
        <v>13.714285714285714</v>
      </c>
      <c r="AK477" s="12">
        <f>IF(B477="","",OR(K477="Not in use",K477="Low use")+AND(N477&lt;&gt;"",N477&lt;&gt;"TBD")+AND(ISNUMBER(U477),U477&lt;=EDATE('Scoring Settings'!$B$4,'Scoring Settings'!$B$8))+AND(ISNUMBER(L477),L477&lt;='Scoring Settings'!$B$7))</f>
        <v>2</v>
      </c>
      <c r="AL477" s="5" t="s">
        <v>223</v>
      </c>
      <c r="AM477" s="8" t="str">
        <f>IF(B477="","",IF(Z477="N","Easy",IF(OR(AND(ISNUMBER(AB477),AB477&gt;'Scoring Settings'!$B$11),AND(ISNUMBER(W477),W477&gt;'Scoring Settings'!$B$12),AND(ISNUMBER(M477),M477&lt;='Scoring Settings'!$B$13)),"High","Medium")))</f>
        <v>Easy</v>
      </c>
      <c r="AN477" s="5" t="s">
        <v>148</v>
      </c>
      <c r="AO477" s="7">
        <v>44985</v>
      </c>
      <c r="AP477" s="5" t="s">
        <v>98</v>
      </c>
      <c r="AQ477" s="29" t="s">
        <v>867</v>
      </c>
    </row>
    <row r="478" spans="1:43" hidden="1">
      <c r="A478" s="28">
        <v>86416</v>
      </c>
      <c r="B478" s="5" t="s">
        <v>1867</v>
      </c>
      <c r="C478" s="5" t="s">
        <v>187</v>
      </c>
      <c r="D478" s="5" t="s">
        <v>67</v>
      </c>
      <c r="E478" s="5" t="s">
        <v>68</v>
      </c>
      <c r="F478" s="5" t="s">
        <v>476</v>
      </c>
      <c r="G478" s="5" t="s">
        <v>104</v>
      </c>
      <c r="H478" s="5" t="s">
        <v>189</v>
      </c>
      <c r="I478" s="6">
        <v>9</v>
      </c>
      <c r="J478" s="7">
        <v>44221</v>
      </c>
      <c r="K478" s="8" t="str">
        <f>IF(B478="","",IF(AND(I478="",J478=""),"Unknown",IF(OR(AND(ISNUMBER(I478),I478=0),AND(ISNUMBER(J478),J478&lt;=EDATE('Scoring Settings'!$B$4,-'Scoring Settings'!$B$5))),"Not in use",IF(AND(ISNUMBER(I478),I478&lt;'Scoring Settings'!$B$6),"Low use","Active"))))</f>
        <v>Low use</v>
      </c>
      <c r="L478" s="5">
        <v>3</v>
      </c>
      <c r="M478" s="5">
        <v>3</v>
      </c>
      <c r="N478" s="5" t="s">
        <v>1868</v>
      </c>
      <c r="O478" s="5" t="s">
        <v>73</v>
      </c>
      <c r="P478" s="5" t="s">
        <v>1869</v>
      </c>
      <c r="Q478" s="9">
        <v>4</v>
      </c>
      <c r="R478" s="5" t="s">
        <v>251</v>
      </c>
      <c r="S478" s="5" t="s">
        <v>133</v>
      </c>
      <c r="T478" s="5" t="s">
        <v>72</v>
      </c>
      <c r="U478" s="7">
        <v>44165</v>
      </c>
      <c r="V478" s="5" t="s">
        <v>95</v>
      </c>
      <c r="W478" s="6">
        <v>70</v>
      </c>
      <c r="X478" s="5" t="s">
        <v>79</v>
      </c>
      <c r="Y478" s="9">
        <v>3</v>
      </c>
      <c r="Z478" s="5" t="s">
        <v>80</v>
      </c>
      <c r="AA478" s="5" t="s">
        <v>185</v>
      </c>
      <c r="AB478" s="9">
        <v>1</v>
      </c>
      <c r="AC478" s="5" t="s">
        <v>80</v>
      </c>
      <c r="AD478" s="5" t="s">
        <v>82</v>
      </c>
      <c r="AE478" s="5" t="s">
        <v>80</v>
      </c>
      <c r="AF478" s="10">
        <v>70000</v>
      </c>
      <c r="AG478" s="7">
        <v>49429</v>
      </c>
      <c r="AH478" s="10">
        <v>52000</v>
      </c>
      <c r="AI478" s="10">
        <v>43000</v>
      </c>
      <c r="AJ478" s="11">
        <f t="shared" si="7"/>
        <v>14.511627906976743</v>
      </c>
      <c r="AK478" s="12">
        <f>IF(B478="","",OR(K478="Not in use",K478="Low use")+AND(N478&lt;&gt;"",N478&lt;&gt;"TBD")+AND(ISNUMBER(U478),U478&lt;=EDATE('Scoring Settings'!$B$4,'Scoring Settings'!$B$8))+AND(ISNUMBER(L478),L478&lt;='Scoring Settings'!$B$7))</f>
        <v>3</v>
      </c>
      <c r="AL478" s="5" t="s">
        <v>96</v>
      </c>
      <c r="AM478" s="8" t="str">
        <f>IF(B478="","",IF(Z478="N","Easy",IF(OR(AND(ISNUMBER(AB478),AB478&gt;'Scoring Settings'!$B$11),AND(ISNUMBER(W478),W478&gt;'Scoring Settings'!$B$12),AND(ISNUMBER(M478),M478&lt;='Scoring Settings'!$B$13)),"High","Medium")))</f>
        <v>Medium</v>
      </c>
      <c r="AN478" s="5" t="s">
        <v>148</v>
      </c>
      <c r="AO478" s="7">
        <v>45169</v>
      </c>
      <c r="AP478" s="5" t="s">
        <v>98</v>
      </c>
      <c r="AQ478" s="29" t="s">
        <v>213</v>
      </c>
    </row>
    <row r="479" spans="1:43" hidden="1">
      <c r="A479" s="28">
        <v>39498</v>
      </c>
      <c r="B479" s="5" t="s">
        <v>1872</v>
      </c>
      <c r="C479" s="5" t="s">
        <v>371</v>
      </c>
      <c r="D479" s="5" t="s">
        <v>162</v>
      </c>
      <c r="E479" s="5" t="s">
        <v>311</v>
      </c>
      <c r="F479" s="5" t="s">
        <v>103</v>
      </c>
      <c r="G479" s="5" t="s">
        <v>237</v>
      </c>
      <c r="H479" s="5" t="s">
        <v>105</v>
      </c>
      <c r="I479" s="6">
        <v>4</v>
      </c>
      <c r="J479" s="7">
        <v>43953</v>
      </c>
      <c r="K479" s="8" t="str">
        <f>IF(B479="","",IF(AND(I479="",J479=""),"Unknown",IF(OR(AND(ISNUMBER(I479),I479=0),AND(ISNUMBER(J479),J479&lt;=EDATE('Scoring Settings'!$B$4,-'Scoring Settings'!$B$5))),"Not in use",IF(AND(ISNUMBER(I479),I479&lt;'Scoring Settings'!$B$6),"Low use","Active"))))</f>
        <v>Not in use</v>
      </c>
      <c r="L479" s="5">
        <v>2</v>
      </c>
      <c r="M479" s="5">
        <v>4</v>
      </c>
      <c r="N479" s="5"/>
      <c r="O479" s="5" t="s">
        <v>73</v>
      </c>
      <c r="P479" s="5" t="s">
        <v>1432</v>
      </c>
      <c r="Q479" s="9">
        <v>4</v>
      </c>
      <c r="R479" s="5" t="s">
        <v>251</v>
      </c>
      <c r="S479" s="5" t="s">
        <v>133</v>
      </c>
      <c r="T479" s="5" t="s">
        <v>184</v>
      </c>
      <c r="U479" s="7">
        <v>44165</v>
      </c>
      <c r="V479" s="5" t="s">
        <v>95</v>
      </c>
      <c r="W479" s="6">
        <v>37</v>
      </c>
      <c r="X479" s="5" t="s">
        <v>80</v>
      </c>
      <c r="Y479" s="9">
        <v>7</v>
      </c>
      <c r="Z479" s="5" t="s">
        <v>80</v>
      </c>
      <c r="AA479" s="5" t="s">
        <v>123</v>
      </c>
      <c r="AB479" s="9">
        <v>2</v>
      </c>
      <c r="AC479" s="5" t="s">
        <v>82</v>
      </c>
      <c r="AD479" s="5" t="s">
        <v>79</v>
      </c>
      <c r="AE479" s="5" t="s">
        <v>80</v>
      </c>
      <c r="AF479" s="10">
        <v>65000</v>
      </c>
      <c r="AG479" s="7">
        <v>48487</v>
      </c>
      <c r="AH479" s="10">
        <v>107500</v>
      </c>
      <c r="AI479" s="10">
        <v>46500</v>
      </c>
      <c r="AJ479" s="11">
        <f t="shared" si="7"/>
        <v>27.741935483870968</v>
      </c>
      <c r="AK479" s="12">
        <f>IF(B479="","",OR(K479="Not in use",K479="Low use")+AND(N479&lt;&gt;"",N479&lt;&gt;"TBD")+AND(ISNUMBER(U479),U479&lt;=EDATE('Scoring Settings'!$B$4,'Scoring Settings'!$B$8))+AND(ISNUMBER(L479),L479&lt;='Scoring Settings'!$B$7))</f>
        <v>3</v>
      </c>
      <c r="AL479" s="5" t="s">
        <v>96</v>
      </c>
      <c r="AM479" s="8" t="str">
        <f>IF(B479="","",IF(Z479="N","Easy",IF(OR(AND(ISNUMBER(AB479),AB479&gt;'Scoring Settings'!$B$11),AND(ISNUMBER(W479),W479&gt;'Scoring Settings'!$B$12),AND(ISNUMBER(M479),M479&lt;='Scoring Settings'!$B$13)),"High","Medium")))</f>
        <v>Medium</v>
      </c>
      <c r="AN479" s="5" t="s">
        <v>148</v>
      </c>
      <c r="AO479" s="7">
        <v>45016</v>
      </c>
      <c r="AP479" s="5" t="s">
        <v>98</v>
      </c>
      <c r="AQ479" s="29" t="s">
        <v>213</v>
      </c>
    </row>
    <row r="480" spans="1:43" hidden="1">
      <c r="A480" s="28">
        <v>72229</v>
      </c>
      <c r="B480" s="5" t="s">
        <v>1889</v>
      </c>
      <c r="C480" s="5" t="s">
        <v>287</v>
      </c>
      <c r="D480" s="5" t="s">
        <v>162</v>
      </c>
      <c r="E480" s="5" t="s">
        <v>68</v>
      </c>
      <c r="F480" s="5" t="s">
        <v>419</v>
      </c>
      <c r="G480" s="5" t="s">
        <v>141</v>
      </c>
      <c r="H480" s="5" t="s">
        <v>105</v>
      </c>
      <c r="I480" s="6">
        <v>0</v>
      </c>
      <c r="J480" s="7">
        <v>44287</v>
      </c>
      <c r="K480" s="8" t="str">
        <f>IF(B480="","",IF(AND(I480="",J480=""),"Unknown",IF(OR(AND(ISNUMBER(I480),I480=0),AND(ISNUMBER(J480),J480&lt;=EDATE('Scoring Settings'!$B$4,-'Scoring Settings'!$B$5))),"Not in use",IF(AND(ISNUMBER(I480),I480&lt;'Scoring Settings'!$B$6),"Low use","Active"))))</f>
        <v>Not in use</v>
      </c>
      <c r="L480" s="5">
        <v>2</v>
      </c>
      <c r="M480" s="5">
        <v>3</v>
      </c>
      <c r="N480" s="5"/>
      <c r="O480" s="5" t="s">
        <v>191</v>
      </c>
      <c r="P480" s="5" t="s">
        <v>192</v>
      </c>
      <c r="Q480" s="9">
        <v>0</v>
      </c>
      <c r="R480" s="5" t="s">
        <v>193</v>
      </c>
      <c r="S480" s="5" t="s">
        <v>318</v>
      </c>
      <c r="T480" s="5" t="s">
        <v>195</v>
      </c>
      <c r="U480" s="7"/>
      <c r="V480" s="5" t="s">
        <v>95</v>
      </c>
      <c r="W480" s="6">
        <v>310</v>
      </c>
      <c r="X480" s="5" t="s">
        <v>79</v>
      </c>
      <c r="Y480" s="9">
        <v>7</v>
      </c>
      <c r="Z480" s="5" t="s">
        <v>79</v>
      </c>
      <c r="AA480" s="5" t="s">
        <v>110</v>
      </c>
      <c r="AB480" s="9">
        <v>4</v>
      </c>
      <c r="AC480" s="5" t="s">
        <v>79</v>
      </c>
      <c r="AD480" s="5" t="s">
        <v>80</v>
      </c>
      <c r="AE480" s="5" t="s">
        <v>82</v>
      </c>
      <c r="AF480" s="10">
        <v>19500</v>
      </c>
      <c r="AG480" s="7">
        <v>49125</v>
      </c>
      <c r="AH480" s="10">
        <v>18500</v>
      </c>
      <c r="AI480" s="10">
        <v>19500</v>
      </c>
      <c r="AJ480" s="11">
        <f t="shared" si="7"/>
        <v>11.384615384615383</v>
      </c>
      <c r="AK480" s="12">
        <f>IF(B480="","",OR(K480="Not in use",K480="Low use")+AND(N480&lt;&gt;"",N480&lt;&gt;"TBD")+AND(ISNUMBER(U480),U480&lt;=EDATE('Scoring Settings'!$B$4,'Scoring Settings'!$B$8))+AND(ISNUMBER(L480),L480&lt;='Scoring Settings'!$B$7))</f>
        <v>2</v>
      </c>
      <c r="AL480" s="5" t="s">
        <v>223</v>
      </c>
      <c r="AM480" s="8" t="str">
        <f>IF(B480="","",IF(Z480="N","Easy",IF(OR(AND(ISNUMBER(AB480),AB480&gt;'Scoring Settings'!$B$11),AND(ISNUMBER(W480),W480&gt;'Scoring Settings'!$B$12),AND(ISNUMBER(M480),M480&lt;='Scoring Settings'!$B$13)),"High","Medium")))</f>
        <v>Easy</v>
      </c>
      <c r="AN480" s="5" t="s">
        <v>148</v>
      </c>
      <c r="AO480" s="7">
        <v>45046</v>
      </c>
      <c r="AP480" s="5" t="s">
        <v>98</v>
      </c>
      <c r="AQ480" s="29" t="s">
        <v>213</v>
      </c>
    </row>
    <row r="481" spans="1:43" hidden="1">
      <c r="A481" s="28">
        <v>136172</v>
      </c>
      <c r="B481" s="5" t="s">
        <v>1890</v>
      </c>
      <c r="C481" s="5" t="s">
        <v>639</v>
      </c>
      <c r="D481" s="5" t="s">
        <v>88</v>
      </c>
      <c r="E481" s="5" t="s">
        <v>68</v>
      </c>
      <c r="F481" s="5" t="s">
        <v>387</v>
      </c>
      <c r="G481" s="5" t="s">
        <v>221</v>
      </c>
      <c r="H481" s="5" t="s">
        <v>71</v>
      </c>
      <c r="I481" s="6">
        <v>24</v>
      </c>
      <c r="J481" s="7">
        <v>44217</v>
      </c>
      <c r="K481" s="8" t="str">
        <f>IF(B481="","",IF(AND(I481="",J481=""),"Unknown",IF(OR(AND(ISNUMBER(I481),I481=0),AND(ISNUMBER(J481),J481&lt;=EDATE('Scoring Settings'!$B$4,-'Scoring Settings'!$B$5))),"Not in use",IF(AND(ISNUMBER(I481),I481&lt;'Scoring Settings'!$B$6),"Low use","Active"))))</f>
        <v>Low use</v>
      </c>
      <c r="L481" s="5">
        <v>5</v>
      </c>
      <c r="M481" s="5">
        <v>1</v>
      </c>
      <c r="N481" s="5" t="s">
        <v>543</v>
      </c>
      <c r="O481" s="5" t="s">
        <v>73</v>
      </c>
      <c r="P481" s="5" t="s">
        <v>1891</v>
      </c>
      <c r="Q481" s="9">
        <v>7</v>
      </c>
      <c r="R481" s="5" t="s">
        <v>93</v>
      </c>
      <c r="S481" s="5" t="s">
        <v>94</v>
      </c>
      <c r="T481" s="5" t="s">
        <v>184</v>
      </c>
      <c r="U481" s="7">
        <v>44561</v>
      </c>
      <c r="V481" s="5" t="s">
        <v>78</v>
      </c>
      <c r="W481" s="6">
        <v>220</v>
      </c>
      <c r="X481" s="5" t="s">
        <v>79</v>
      </c>
      <c r="Y481" s="9">
        <v>2</v>
      </c>
      <c r="Z481" s="5" t="s">
        <v>80</v>
      </c>
      <c r="AA481" s="5" t="s">
        <v>81</v>
      </c>
      <c r="AB481" s="9">
        <v>58</v>
      </c>
      <c r="AC481" s="5" t="s">
        <v>79</v>
      </c>
      <c r="AD481" s="5" t="s">
        <v>79</v>
      </c>
      <c r="AE481" s="5" t="s">
        <v>79</v>
      </c>
      <c r="AF481" s="10">
        <v>315000</v>
      </c>
      <c r="AG481" s="7">
        <v>47149</v>
      </c>
      <c r="AH481" s="10">
        <v>661000</v>
      </c>
      <c r="AI481" s="10">
        <v>277000</v>
      </c>
      <c r="AJ481" s="11">
        <f t="shared" si="7"/>
        <v>28.635379061371843</v>
      </c>
      <c r="AK481" s="12">
        <f>IF(B481="","",OR(K481="Not in use",K481="Low use")+AND(N481&lt;&gt;"",N481&lt;&gt;"TBD")+AND(ISNUMBER(U481),U481&lt;=EDATE('Scoring Settings'!$B$4,'Scoring Settings'!$B$8))+AND(ISNUMBER(L481),L481&lt;='Scoring Settings'!$B$7))</f>
        <v>3</v>
      </c>
      <c r="AL481" s="5" t="s">
        <v>2217</v>
      </c>
      <c r="AM481" s="8" t="str">
        <f>IF(B481="","",IF(Z481="N","Easy",IF(OR(AND(ISNUMBER(AB481),AB481&gt;'Scoring Settings'!$B$11),AND(ISNUMBER(W481),W481&gt;'Scoring Settings'!$B$12),AND(ISNUMBER(M481),M481&lt;='Scoring Settings'!$B$13)),"High","Medium")))</f>
        <v>High</v>
      </c>
      <c r="AN481" s="5" t="s">
        <v>148</v>
      </c>
      <c r="AO481" s="7">
        <v>45016</v>
      </c>
      <c r="AP481" s="5" t="s">
        <v>98</v>
      </c>
      <c r="AQ481" s="29" t="s">
        <v>213</v>
      </c>
    </row>
    <row r="482" spans="1:43" hidden="1">
      <c r="A482" s="28">
        <v>14679</v>
      </c>
      <c r="B482" s="5" t="s">
        <v>1896</v>
      </c>
      <c r="C482" s="5" t="s">
        <v>101</v>
      </c>
      <c r="D482" s="5" t="s">
        <v>102</v>
      </c>
      <c r="E482" s="5" t="s">
        <v>68</v>
      </c>
      <c r="F482" s="5" t="s">
        <v>243</v>
      </c>
      <c r="G482" s="5" t="s">
        <v>104</v>
      </c>
      <c r="H482" s="5" t="s">
        <v>142</v>
      </c>
      <c r="I482" s="6">
        <v>13</v>
      </c>
      <c r="J482" s="7">
        <v>44278</v>
      </c>
      <c r="K482" s="8" t="str">
        <f>IF(B482="","",IF(AND(I482="",J482=""),"Unknown",IF(OR(AND(ISNUMBER(I482),I482=0),AND(ISNUMBER(J482),J482&lt;=EDATE('Scoring Settings'!$B$4,-'Scoring Settings'!$B$5))),"Not in use",IF(AND(ISNUMBER(I482),I482&lt;'Scoring Settings'!$B$6),"Low use","Active"))))</f>
        <v>Low use</v>
      </c>
      <c r="L482" s="5">
        <v>1</v>
      </c>
      <c r="M482" s="5">
        <v>4</v>
      </c>
      <c r="N482" s="5" t="s">
        <v>72</v>
      </c>
      <c r="O482" s="5" t="s">
        <v>143</v>
      </c>
      <c r="P482" s="5" t="s">
        <v>144</v>
      </c>
      <c r="Q482" s="9">
        <v>0</v>
      </c>
      <c r="R482" s="5" t="s">
        <v>145</v>
      </c>
      <c r="S482" s="5" t="s">
        <v>145</v>
      </c>
      <c r="T482" s="5" t="s">
        <v>146</v>
      </c>
      <c r="U482" s="7"/>
      <c r="V482" s="5" t="s">
        <v>78</v>
      </c>
      <c r="W482" s="6">
        <v>20</v>
      </c>
      <c r="X482" s="5" t="s">
        <v>80</v>
      </c>
      <c r="Y482" s="9">
        <v>7</v>
      </c>
      <c r="Z482" s="5" t="s">
        <v>80</v>
      </c>
      <c r="AA482" s="5" t="s">
        <v>205</v>
      </c>
      <c r="AB482" s="9">
        <v>3</v>
      </c>
      <c r="AC482" s="5" t="s">
        <v>82</v>
      </c>
      <c r="AD482" s="5" t="s">
        <v>79</v>
      </c>
      <c r="AE482" s="5" t="s">
        <v>82</v>
      </c>
      <c r="AF482" s="10">
        <v>38000</v>
      </c>
      <c r="AG482" s="7">
        <v>47026</v>
      </c>
      <c r="AH482" s="10">
        <v>54500</v>
      </c>
      <c r="AI482" s="10">
        <v>15000</v>
      </c>
      <c r="AJ482" s="11">
        <f t="shared" si="7"/>
        <v>43.6</v>
      </c>
      <c r="AK482" s="12">
        <f>IF(B482="","",OR(K482="Not in use",K482="Low use")+AND(N482&lt;&gt;"",N482&lt;&gt;"TBD")+AND(ISNUMBER(U482),U482&lt;=EDATE('Scoring Settings'!$B$4,'Scoring Settings'!$B$8))+AND(ISNUMBER(L482),L482&lt;='Scoring Settings'!$B$7))</f>
        <v>2</v>
      </c>
      <c r="AL482" s="5" t="s">
        <v>96</v>
      </c>
      <c r="AM482" s="8" t="str">
        <f>IF(B482="","",IF(Z482="N","Easy",IF(OR(AND(ISNUMBER(AB482),AB482&gt;'Scoring Settings'!$B$11),AND(ISNUMBER(W482),W482&gt;'Scoring Settings'!$B$12),AND(ISNUMBER(M482),M482&lt;='Scoring Settings'!$B$13)),"High","Medium")))</f>
        <v>Medium</v>
      </c>
      <c r="AN482" s="5" t="s">
        <v>148</v>
      </c>
      <c r="AO482" s="7">
        <v>44957</v>
      </c>
      <c r="AP482" s="5" t="s">
        <v>197</v>
      </c>
      <c r="AQ482" s="29" t="s">
        <v>628</v>
      </c>
    </row>
    <row r="483" spans="1:43" ht="42.75" hidden="1">
      <c r="A483" s="28">
        <v>137145</v>
      </c>
      <c r="B483" s="5" t="s">
        <v>1897</v>
      </c>
      <c r="C483" s="5" t="s">
        <v>667</v>
      </c>
      <c r="D483" s="5" t="s">
        <v>115</v>
      </c>
      <c r="E483" s="5" t="s">
        <v>298</v>
      </c>
      <c r="F483" s="5" t="s">
        <v>302</v>
      </c>
      <c r="G483" s="5" t="s">
        <v>90</v>
      </c>
      <c r="H483" s="5" t="s">
        <v>71</v>
      </c>
      <c r="I483" s="6">
        <v>16</v>
      </c>
      <c r="J483" s="7">
        <v>44257</v>
      </c>
      <c r="K483" s="8" t="str">
        <f>IF(B483="","",IF(AND(I483="",J483=""),"Unknown",IF(OR(AND(ISNUMBER(I483),I483=0),AND(ISNUMBER(J483),J483&lt;=EDATE('Scoring Settings'!$B$4,-'Scoring Settings'!$B$5))),"Not in use",IF(AND(ISNUMBER(I483),I483&lt;'Scoring Settings'!$B$6),"Low use","Active"))))</f>
        <v>Low use</v>
      </c>
      <c r="L483" s="5">
        <v>1</v>
      </c>
      <c r="M483" s="5">
        <v>4</v>
      </c>
      <c r="N483" s="5"/>
      <c r="O483" s="5" t="s">
        <v>73</v>
      </c>
      <c r="P483" s="5" t="s">
        <v>1076</v>
      </c>
      <c r="Q483" s="9">
        <v>3</v>
      </c>
      <c r="R483" s="5" t="s">
        <v>352</v>
      </c>
      <c r="S483" s="5" t="s">
        <v>353</v>
      </c>
      <c r="T483" s="5" t="s">
        <v>77</v>
      </c>
      <c r="U483" s="7">
        <v>47127</v>
      </c>
      <c r="V483" s="5" t="s">
        <v>135</v>
      </c>
      <c r="W483" s="6">
        <v>670</v>
      </c>
      <c r="X483" s="5" t="s">
        <v>80</v>
      </c>
      <c r="Y483" s="9">
        <v>10</v>
      </c>
      <c r="Z483" s="5" t="s">
        <v>79</v>
      </c>
      <c r="AA483" s="5" t="s">
        <v>110</v>
      </c>
      <c r="AB483" s="9">
        <v>0</v>
      </c>
      <c r="AC483" s="5" t="s">
        <v>80</v>
      </c>
      <c r="AD483" s="5" t="s">
        <v>82</v>
      </c>
      <c r="AE483" s="5" t="s">
        <v>82</v>
      </c>
      <c r="AF483" s="10">
        <v>42000</v>
      </c>
      <c r="AG483" s="7">
        <v>48944</v>
      </c>
      <c r="AH483" s="10">
        <v>46500</v>
      </c>
      <c r="AI483" s="10">
        <v>41000</v>
      </c>
      <c r="AJ483" s="11">
        <f t="shared" si="7"/>
        <v>13.609756097560975</v>
      </c>
      <c r="AK483" s="12">
        <f>IF(B483="","",OR(K483="Not in use",K483="Low use")+AND(N483&lt;&gt;"",N483&lt;&gt;"TBD")+AND(ISNUMBER(U483),U483&lt;=EDATE('Scoring Settings'!$B$4,'Scoring Settings'!$B$8))+AND(ISNUMBER(L483),L483&lt;='Scoring Settings'!$B$7))</f>
        <v>2</v>
      </c>
      <c r="AL483" s="5" t="s">
        <v>223</v>
      </c>
      <c r="AM483" s="8" t="str">
        <f>IF(B483="","",IF(Z483="N","Easy",IF(OR(AND(ISNUMBER(AB483),AB483&gt;'Scoring Settings'!$B$11),AND(ISNUMBER(W483),W483&gt;'Scoring Settings'!$B$12),AND(ISNUMBER(M483),M483&lt;='Scoring Settings'!$B$13)),"High","Medium")))</f>
        <v>Easy</v>
      </c>
      <c r="AN483" s="5" t="s">
        <v>148</v>
      </c>
      <c r="AO483" s="7">
        <v>45046</v>
      </c>
      <c r="AP483" s="5" t="s">
        <v>98</v>
      </c>
      <c r="AQ483" s="29" t="s">
        <v>364</v>
      </c>
    </row>
    <row r="484" spans="1:43" hidden="1">
      <c r="A484" s="28">
        <v>32130</v>
      </c>
      <c r="B484" s="5" t="s">
        <v>1904</v>
      </c>
      <c r="C484" s="5" t="s">
        <v>259</v>
      </c>
      <c r="D484" s="5" t="s">
        <v>67</v>
      </c>
      <c r="E484" s="5" t="s">
        <v>68</v>
      </c>
      <c r="F484" s="5" t="s">
        <v>299</v>
      </c>
      <c r="G484" s="5" t="s">
        <v>104</v>
      </c>
      <c r="H484" s="5" t="s">
        <v>142</v>
      </c>
      <c r="I484" s="6">
        <v>13</v>
      </c>
      <c r="J484" s="7">
        <v>44302</v>
      </c>
      <c r="K484" s="8" t="str">
        <f>IF(B484="","",IF(AND(I484="",J484=""),"Unknown",IF(OR(AND(ISNUMBER(I484),I484=0),AND(ISNUMBER(J484),J484&lt;=EDATE('Scoring Settings'!$B$4,-'Scoring Settings'!$B$5))),"Not in use",IF(AND(ISNUMBER(I484),I484&lt;'Scoring Settings'!$B$6),"Low use","Active"))))</f>
        <v>Low use</v>
      </c>
      <c r="L484" s="5">
        <v>1</v>
      </c>
      <c r="M484" s="5">
        <v>3</v>
      </c>
      <c r="N484" s="5"/>
      <c r="O484" s="5" t="s">
        <v>143</v>
      </c>
      <c r="P484" s="5" t="s">
        <v>144</v>
      </c>
      <c r="Q484" s="9">
        <v>0</v>
      </c>
      <c r="R484" s="5" t="s">
        <v>145</v>
      </c>
      <c r="S484" s="5" t="s">
        <v>145</v>
      </c>
      <c r="T484" s="5" t="s">
        <v>146</v>
      </c>
      <c r="U484" s="7">
        <v>44592</v>
      </c>
      <c r="V484" s="5" t="s">
        <v>135</v>
      </c>
      <c r="W484" s="6">
        <v>420</v>
      </c>
      <c r="X484" s="5" t="s">
        <v>80</v>
      </c>
      <c r="Y484" s="9">
        <v>7</v>
      </c>
      <c r="Z484" s="5" t="s">
        <v>80</v>
      </c>
      <c r="AA484" s="5" t="s">
        <v>185</v>
      </c>
      <c r="AB484" s="9">
        <v>1</v>
      </c>
      <c r="AC484" s="5" t="s">
        <v>82</v>
      </c>
      <c r="AD484" s="5" t="s">
        <v>80</v>
      </c>
      <c r="AE484" s="5" t="s">
        <v>79</v>
      </c>
      <c r="AF484" s="10">
        <v>47500</v>
      </c>
      <c r="AG484" s="7">
        <v>49125</v>
      </c>
      <c r="AH484" s="10">
        <v>36000</v>
      </c>
      <c r="AI484" s="10">
        <v>24500</v>
      </c>
      <c r="AJ484" s="11">
        <f t="shared" si="7"/>
        <v>17.632653061224492</v>
      </c>
      <c r="AK484" s="12">
        <f>IF(B484="","",OR(K484="Not in use",K484="Low use")+AND(N484&lt;&gt;"",N484&lt;&gt;"TBD")+AND(ISNUMBER(U484),U484&lt;=EDATE('Scoring Settings'!$B$4,'Scoring Settings'!$B$8))+AND(ISNUMBER(L484),L484&lt;='Scoring Settings'!$B$7))</f>
        <v>3</v>
      </c>
      <c r="AL484" s="5" t="s">
        <v>96</v>
      </c>
      <c r="AM484" s="8" t="str">
        <f>IF(B484="","",IF(Z484="N","Easy",IF(OR(AND(ISNUMBER(AB484),AB484&gt;'Scoring Settings'!$B$11),AND(ISNUMBER(W484),W484&gt;'Scoring Settings'!$B$12),AND(ISNUMBER(M484),M484&lt;='Scoring Settings'!$B$13)),"High","Medium")))</f>
        <v>Medium</v>
      </c>
      <c r="AN484" s="5" t="s">
        <v>148</v>
      </c>
      <c r="AO484" s="7">
        <v>45260</v>
      </c>
      <c r="AP484" s="5" t="s">
        <v>98</v>
      </c>
      <c r="AQ484" s="29" t="s">
        <v>136</v>
      </c>
    </row>
    <row r="485" spans="1:43" hidden="1">
      <c r="A485" s="28">
        <v>176955</v>
      </c>
      <c r="B485" s="5" t="s">
        <v>1910</v>
      </c>
      <c r="C485" s="5" t="s">
        <v>208</v>
      </c>
      <c r="D485" s="5" t="s">
        <v>67</v>
      </c>
      <c r="E485" s="5" t="s">
        <v>68</v>
      </c>
      <c r="F485" s="5" t="s">
        <v>103</v>
      </c>
      <c r="G485" s="5" t="s">
        <v>90</v>
      </c>
      <c r="H485" s="5" t="s">
        <v>142</v>
      </c>
      <c r="I485" s="6">
        <v>495</v>
      </c>
      <c r="J485" s="7">
        <v>44291</v>
      </c>
      <c r="K485" s="8" t="str">
        <f>IF(B485="","",IF(AND(I485="",J485=""),"Unknown",IF(OR(AND(ISNUMBER(I485),I485=0),AND(ISNUMBER(J485),J485&lt;=EDATE('Scoring Settings'!$B$4,-'Scoring Settings'!$B$5))),"Not in use",IF(AND(ISNUMBER(I485),I485&lt;'Scoring Settings'!$B$6),"Low use","Active"))))</f>
        <v>Active</v>
      </c>
      <c r="L485" s="5">
        <v>2</v>
      </c>
      <c r="M485" s="5">
        <v>4</v>
      </c>
      <c r="N485" s="5" t="s">
        <v>227</v>
      </c>
      <c r="O485" s="5" t="s">
        <v>143</v>
      </c>
      <c r="P485" s="5" t="s">
        <v>144</v>
      </c>
      <c r="Q485" s="9">
        <v>0</v>
      </c>
      <c r="R485" s="5" t="s">
        <v>145</v>
      </c>
      <c r="S485" s="5" t="s">
        <v>145</v>
      </c>
      <c r="T485" s="5" t="s">
        <v>146</v>
      </c>
      <c r="U485" s="7"/>
      <c r="V485" s="5" t="s">
        <v>135</v>
      </c>
      <c r="W485" s="6">
        <v>200</v>
      </c>
      <c r="X485" s="5" t="s">
        <v>80</v>
      </c>
      <c r="Y485" s="9">
        <v>10</v>
      </c>
      <c r="Z485" s="5" t="s">
        <v>80</v>
      </c>
      <c r="AA485" s="5" t="s">
        <v>81</v>
      </c>
      <c r="AB485" s="9">
        <v>2</v>
      </c>
      <c r="AC485" s="5" t="s">
        <v>79</v>
      </c>
      <c r="AD485" s="5" t="s">
        <v>80</v>
      </c>
      <c r="AE485" s="5" t="s">
        <v>79</v>
      </c>
      <c r="AF485" s="10">
        <v>44500</v>
      </c>
      <c r="AG485" s="7">
        <v>48548</v>
      </c>
      <c r="AH485" s="10">
        <v>51000</v>
      </c>
      <c r="AI485" s="10">
        <v>19000</v>
      </c>
      <c r="AJ485" s="11">
        <f t="shared" si="7"/>
        <v>32.210526315789473</v>
      </c>
      <c r="AK485" s="12">
        <f>IF(B485="","",OR(K485="Not in use",K485="Low use")+AND(N485&lt;&gt;"",N485&lt;&gt;"TBD")+AND(ISNUMBER(U485),U485&lt;=EDATE('Scoring Settings'!$B$4,'Scoring Settings'!$B$8))+AND(ISNUMBER(L485),L485&lt;='Scoring Settings'!$B$7))</f>
        <v>2</v>
      </c>
      <c r="AL485" s="5" t="s">
        <v>96</v>
      </c>
      <c r="AM485" s="8" t="str">
        <f>IF(B485="","",IF(Z485="N","Easy",IF(OR(AND(ISNUMBER(AB485),AB485&gt;'Scoring Settings'!$B$11),AND(ISNUMBER(W485),W485&gt;'Scoring Settings'!$B$12),AND(ISNUMBER(M485),M485&lt;='Scoring Settings'!$B$13)),"High","Medium")))</f>
        <v>Medium</v>
      </c>
      <c r="AN485" s="5" t="s">
        <v>148</v>
      </c>
      <c r="AO485" s="7">
        <v>45199</v>
      </c>
      <c r="AP485" s="5" t="s">
        <v>98</v>
      </c>
      <c r="AQ485" s="29" t="s">
        <v>136</v>
      </c>
    </row>
    <row r="486" spans="1:43" ht="42.75" hidden="1">
      <c r="A486" s="28">
        <v>74066</v>
      </c>
      <c r="B486" s="5" t="s">
        <v>1916</v>
      </c>
      <c r="C486" s="5" t="s">
        <v>557</v>
      </c>
      <c r="D486" s="5" t="s">
        <v>297</v>
      </c>
      <c r="E486" s="5" t="s">
        <v>298</v>
      </c>
      <c r="F486" s="5" t="s">
        <v>116</v>
      </c>
      <c r="G486" s="5" t="s">
        <v>117</v>
      </c>
      <c r="H486" s="5" t="s">
        <v>71</v>
      </c>
      <c r="I486" s="6">
        <v>264</v>
      </c>
      <c r="J486" s="7">
        <v>44288</v>
      </c>
      <c r="K486" s="8" t="str">
        <f>IF(B486="","",IF(AND(I486="",J486=""),"Unknown",IF(OR(AND(ISNUMBER(I486),I486=0),AND(ISNUMBER(J486),J486&lt;=EDATE('Scoring Settings'!$B$4,-'Scoring Settings'!$B$5))),"Not in use",IF(AND(ISNUMBER(I486),I486&lt;'Scoring Settings'!$B$6),"Low use","Active"))))</f>
        <v>Active</v>
      </c>
      <c r="L486" s="5">
        <v>3</v>
      </c>
      <c r="M486" s="5">
        <v>2</v>
      </c>
      <c r="N486" s="5" t="s">
        <v>617</v>
      </c>
      <c r="O486" s="5" t="s">
        <v>73</v>
      </c>
      <c r="P486" s="5" t="s">
        <v>1917</v>
      </c>
      <c r="Q486" s="9">
        <v>7</v>
      </c>
      <c r="R486" s="5" t="s">
        <v>72</v>
      </c>
      <c r="S486" s="5" t="s">
        <v>479</v>
      </c>
      <c r="T486" s="5" t="s">
        <v>77</v>
      </c>
      <c r="U486" s="7" t="s">
        <v>72</v>
      </c>
      <c r="V486" s="5" t="s">
        <v>95</v>
      </c>
      <c r="W486" s="6">
        <v>1620</v>
      </c>
      <c r="X486" s="5" t="s">
        <v>80</v>
      </c>
      <c r="Y486" s="9">
        <v>10</v>
      </c>
      <c r="Z486" s="5" t="s">
        <v>80</v>
      </c>
      <c r="AA486" s="5" t="s">
        <v>123</v>
      </c>
      <c r="AB486" s="9">
        <v>9</v>
      </c>
      <c r="AC486" s="5" t="s">
        <v>82</v>
      </c>
      <c r="AD486" s="5" t="s">
        <v>79</v>
      </c>
      <c r="AE486" s="5" t="s">
        <v>79</v>
      </c>
      <c r="AF486" s="10">
        <v>165000</v>
      </c>
      <c r="AG486" s="7">
        <v>46173</v>
      </c>
      <c r="AH486" s="10">
        <v>234000</v>
      </c>
      <c r="AI486" s="10">
        <v>120000</v>
      </c>
      <c r="AJ486" s="11">
        <f t="shared" si="7"/>
        <v>23.4</v>
      </c>
      <c r="AK486" s="12">
        <f>IF(B486="","",OR(K486="Not in use",K486="Low use")+AND(N486&lt;&gt;"",N486&lt;&gt;"TBD")+AND(ISNUMBER(U486),U486&lt;=EDATE('Scoring Settings'!$B$4,'Scoring Settings'!$B$8))+AND(ISNUMBER(L486),L486&lt;='Scoring Settings'!$B$7))</f>
        <v>1</v>
      </c>
      <c r="AL486" s="5" t="s">
        <v>2217</v>
      </c>
      <c r="AM486" s="8" t="str">
        <f>IF(B486="","",IF(Z486="N","Easy",IF(OR(AND(ISNUMBER(AB486),AB486&gt;'Scoring Settings'!$B$11),AND(ISNUMBER(W486),W486&gt;'Scoring Settings'!$B$12),AND(ISNUMBER(M486),M486&lt;='Scoring Settings'!$B$13)),"High","Medium")))</f>
        <v>High</v>
      </c>
      <c r="AN486" s="5" t="s">
        <v>148</v>
      </c>
      <c r="AO486" s="7">
        <v>45138</v>
      </c>
      <c r="AP486" s="5" t="s">
        <v>98</v>
      </c>
      <c r="AQ486" s="29" t="s">
        <v>99</v>
      </c>
    </row>
    <row r="487" spans="1:43" hidden="1">
      <c r="A487" s="28">
        <v>67215</v>
      </c>
      <c r="B487" s="5" t="s">
        <v>1941</v>
      </c>
      <c r="C487" s="5" t="s">
        <v>220</v>
      </c>
      <c r="D487" s="5" t="s">
        <v>139</v>
      </c>
      <c r="E487" s="5" t="s">
        <v>311</v>
      </c>
      <c r="F487" s="5" t="s">
        <v>209</v>
      </c>
      <c r="G487" s="5" t="s">
        <v>278</v>
      </c>
      <c r="H487" s="5" t="s">
        <v>91</v>
      </c>
      <c r="I487" s="6">
        <v>0</v>
      </c>
      <c r="J487" s="7">
        <v>43656</v>
      </c>
      <c r="K487" s="8" t="str">
        <f>IF(B487="","",IF(AND(I487="",J487=""),"Unknown",IF(OR(AND(ISNUMBER(I487),I487=0),AND(ISNUMBER(J487),J487&lt;=EDATE('Scoring Settings'!$B$4,-'Scoring Settings'!$B$5))),"Not in use",IF(AND(ISNUMBER(I487),I487&lt;'Scoring Settings'!$B$6),"Low use","Active"))))</f>
        <v>Not in use</v>
      </c>
      <c r="L487" s="5">
        <v>2</v>
      </c>
      <c r="M487" s="5">
        <v>3</v>
      </c>
      <c r="N487" s="5"/>
      <c r="O487" s="5" t="s">
        <v>73</v>
      </c>
      <c r="P487" s="5" t="s">
        <v>1942</v>
      </c>
      <c r="Q487" s="9">
        <v>4</v>
      </c>
      <c r="R487" s="5" t="s">
        <v>182</v>
      </c>
      <c r="S487" s="5" t="s">
        <v>183</v>
      </c>
      <c r="T487" s="5" t="s">
        <v>77</v>
      </c>
      <c r="U487" s="7">
        <v>42855</v>
      </c>
      <c r="V487" s="5" t="s">
        <v>78</v>
      </c>
      <c r="W487" s="6">
        <v>89</v>
      </c>
      <c r="X487" s="5" t="s">
        <v>80</v>
      </c>
      <c r="Y487" s="9">
        <v>7</v>
      </c>
      <c r="Z487" s="5" t="s">
        <v>80</v>
      </c>
      <c r="AA487" s="5" t="s">
        <v>81</v>
      </c>
      <c r="AB487" s="9">
        <v>8</v>
      </c>
      <c r="AC487" s="5" t="s">
        <v>80</v>
      </c>
      <c r="AD487" s="5" t="s">
        <v>80</v>
      </c>
      <c r="AE487" s="5" t="s">
        <v>82</v>
      </c>
      <c r="AF487" s="10">
        <v>32500</v>
      </c>
      <c r="AG487" s="7">
        <v>47149</v>
      </c>
      <c r="AH487" s="10">
        <v>31500</v>
      </c>
      <c r="AI487" s="10">
        <v>17000</v>
      </c>
      <c r="AJ487" s="11">
        <f t="shared" si="7"/>
        <v>22.235294117647058</v>
      </c>
      <c r="AK487" s="12">
        <f>IF(B487="","",OR(K487="Not in use",K487="Low use")+AND(N487&lt;&gt;"",N487&lt;&gt;"TBD")+AND(ISNUMBER(U487),U487&lt;=EDATE('Scoring Settings'!$B$4,'Scoring Settings'!$B$8))+AND(ISNUMBER(L487),L487&lt;='Scoring Settings'!$B$7))</f>
        <v>3</v>
      </c>
      <c r="AL487" s="5" t="s">
        <v>96</v>
      </c>
      <c r="AM487" s="8" t="str">
        <f>IF(B487="","",IF(Z487="N","Easy",IF(OR(AND(ISNUMBER(AB487),AB487&gt;'Scoring Settings'!$B$11),AND(ISNUMBER(W487),W487&gt;'Scoring Settings'!$B$12),AND(ISNUMBER(M487),M487&lt;='Scoring Settings'!$B$13)),"High","Medium")))</f>
        <v>High</v>
      </c>
      <c r="AN487" s="5" t="s">
        <v>148</v>
      </c>
      <c r="AO487" s="7">
        <v>45291</v>
      </c>
      <c r="AP487" s="5" t="s">
        <v>98</v>
      </c>
      <c r="AQ487" s="29" t="s">
        <v>170</v>
      </c>
    </row>
    <row r="488" spans="1:43" hidden="1">
      <c r="A488" s="28">
        <v>74259</v>
      </c>
      <c r="B488" s="5" t="s">
        <v>1960</v>
      </c>
      <c r="C488" s="5" t="s">
        <v>101</v>
      </c>
      <c r="D488" s="5" t="s">
        <v>102</v>
      </c>
      <c r="E488" s="5" t="s">
        <v>68</v>
      </c>
      <c r="F488" s="5" t="s">
        <v>326</v>
      </c>
      <c r="G488" s="5" t="s">
        <v>237</v>
      </c>
      <c r="H488" s="5" t="s">
        <v>142</v>
      </c>
      <c r="I488" s="6">
        <v>34</v>
      </c>
      <c r="J488" s="7">
        <v>44296</v>
      </c>
      <c r="K488" s="8" t="str">
        <f>IF(B488="","",IF(AND(I488="",J488=""),"Unknown",IF(OR(AND(ISNUMBER(I488),I488=0),AND(ISNUMBER(J488),J488&lt;=EDATE('Scoring Settings'!$B$4,-'Scoring Settings'!$B$5))),"Not in use",IF(AND(ISNUMBER(I488),I488&lt;'Scoring Settings'!$B$6),"Low use","Active"))))</f>
        <v>Active</v>
      </c>
      <c r="L488" s="5">
        <v>5</v>
      </c>
      <c r="M488" s="5">
        <v>1</v>
      </c>
      <c r="N488" s="5" t="s">
        <v>381</v>
      </c>
      <c r="O488" s="5" t="s">
        <v>143</v>
      </c>
      <c r="P488" s="5" t="s">
        <v>144</v>
      </c>
      <c r="Q488" s="9">
        <v>0</v>
      </c>
      <c r="R488" s="5" t="s">
        <v>145</v>
      </c>
      <c r="S488" s="5" t="s">
        <v>145</v>
      </c>
      <c r="T488" s="5" t="s">
        <v>146</v>
      </c>
      <c r="U488" s="7"/>
      <c r="V488" s="5" t="s">
        <v>78</v>
      </c>
      <c r="W488" s="6">
        <v>1860</v>
      </c>
      <c r="X488" s="5" t="s">
        <v>79</v>
      </c>
      <c r="Y488" s="9">
        <v>3</v>
      </c>
      <c r="Z488" s="5" t="s">
        <v>80</v>
      </c>
      <c r="AA488" s="5" t="s">
        <v>147</v>
      </c>
      <c r="AB488" s="9">
        <v>30</v>
      </c>
      <c r="AC488" s="5" t="s">
        <v>79</v>
      </c>
      <c r="AD488" s="5" t="s">
        <v>82</v>
      </c>
      <c r="AE488" s="5" t="s">
        <v>80</v>
      </c>
      <c r="AF488" s="10">
        <v>130000</v>
      </c>
      <c r="AG488" s="7">
        <v>48699</v>
      </c>
      <c r="AH488" s="10">
        <v>292500</v>
      </c>
      <c r="AI488" s="10">
        <v>59500</v>
      </c>
      <c r="AJ488" s="11">
        <f t="shared" si="7"/>
        <v>58.991596638655466</v>
      </c>
      <c r="AK488" s="12">
        <f>IF(B488="","",OR(K488="Not in use",K488="Low use")+AND(N488&lt;&gt;"",N488&lt;&gt;"TBD")+AND(ISNUMBER(U488),U488&lt;=EDATE('Scoring Settings'!$B$4,'Scoring Settings'!$B$8))+AND(ISNUMBER(L488),L488&lt;='Scoring Settings'!$B$7))</f>
        <v>1</v>
      </c>
      <c r="AL488" s="5" t="s">
        <v>2217</v>
      </c>
      <c r="AM488" s="8" t="str">
        <f>IF(B488="","",IF(Z488="N","Easy",IF(OR(AND(ISNUMBER(AB488),AB488&gt;'Scoring Settings'!$B$11),AND(ISNUMBER(W488),W488&gt;'Scoring Settings'!$B$12),AND(ISNUMBER(M488),M488&lt;='Scoring Settings'!$B$13)),"High","Medium")))</f>
        <v>High</v>
      </c>
      <c r="AN488" s="5" t="s">
        <v>148</v>
      </c>
      <c r="AO488" s="7">
        <v>44957</v>
      </c>
      <c r="AP488" s="5" t="s">
        <v>98</v>
      </c>
      <c r="AQ488" s="29" t="s">
        <v>213</v>
      </c>
    </row>
    <row r="489" spans="1:43" hidden="1">
      <c r="A489" s="28">
        <v>65492</v>
      </c>
      <c r="B489" s="5" t="s">
        <v>1972</v>
      </c>
      <c r="C489" s="5" t="s">
        <v>126</v>
      </c>
      <c r="D489" s="5" t="s">
        <v>88</v>
      </c>
      <c r="E489" s="5" t="s">
        <v>68</v>
      </c>
      <c r="F489" s="5" t="s">
        <v>157</v>
      </c>
      <c r="G489" s="5" t="s">
        <v>271</v>
      </c>
      <c r="H489" s="5" t="s">
        <v>129</v>
      </c>
      <c r="I489" s="6">
        <v>20</v>
      </c>
      <c r="J489" s="7">
        <v>44311</v>
      </c>
      <c r="K489" s="8" t="str">
        <f>IF(B489="","",IF(AND(I489="",J489=""),"Unknown",IF(OR(AND(ISNUMBER(I489),I489=0),AND(ISNUMBER(J489),J489&lt;=EDATE('Scoring Settings'!$B$4,-'Scoring Settings'!$B$5))),"Not in use",IF(AND(ISNUMBER(I489),I489&lt;'Scoring Settings'!$B$6),"Low use","Active"))))</f>
        <v>Low use</v>
      </c>
      <c r="L489" s="5">
        <v>2</v>
      </c>
      <c r="M489" s="5">
        <v>3</v>
      </c>
      <c r="N489" s="5"/>
      <c r="O489" s="5" t="s">
        <v>73</v>
      </c>
      <c r="P489" s="5" t="s">
        <v>1973</v>
      </c>
      <c r="Q489" s="9">
        <v>1</v>
      </c>
      <c r="R489" s="5" t="s">
        <v>239</v>
      </c>
      <c r="S489" s="5" t="s">
        <v>240</v>
      </c>
      <c r="T489" s="5" t="s">
        <v>109</v>
      </c>
      <c r="U489" s="7">
        <v>44316</v>
      </c>
      <c r="V489" s="5" t="s">
        <v>95</v>
      </c>
      <c r="W489" s="6">
        <v>30</v>
      </c>
      <c r="X489" s="5" t="s">
        <v>80</v>
      </c>
      <c r="Y489" s="9">
        <v>7</v>
      </c>
      <c r="Z489" s="5" t="s">
        <v>79</v>
      </c>
      <c r="AA489" s="5" t="s">
        <v>110</v>
      </c>
      <c r="AB489" s="9">
        <v>3</v>
      </c>
      <c r="AC489" s="5" t="s">
        <v>80</v>
      </c>
      <c r="AD489" s="5" t="s">
        <v>82</v>
      </c>
      <c r="AE489" s="5" t="s">
        <v>80</v>
      </c>
      <c r="AF489" s="10">
        <v>34000</v>
      </c>
      <c r="AG489" s="7">
        <v>48669</v>
      </c>
      <c r="AH489" s="10">
        <v>25500</v>
      </c>
      <c r="AI489" s="10">
        <v>28500</v>
      </c>
      <c r="AJ489" s="11">
        <f t="shared" si="7"/>
        <v>10.736842105263158</v>
      </c>
      <c r="AK489" s="12">
        <f>IF(B489="","",OR(K489="Not in use",K489="Low use")+AND(N489&lt;&gt;"",N489&lt;&gt;"TBD")+AND(ISNUMBER(U489),U489&lt;=EDATE('Scoring Settings'!$B$4,'Scoring Settings'!$B$8))+AND(ISNUMBER(L489),L489&lt;='Scoring Settings'!$B$7))</f>
        <v>3</v>
      </c>
      <c r="AL489" s="5" t="s">
        <v>223</v>
      </c>
      <c r="AM489" s="8" t="str">
        <f>IF(B489="","",IF(Z489="N","Easy",IF(OR(AND(ISNUMBER(AB489),AB489&gt;'Scoring Settings'!$B$11),AND(ISNUMBER(W489),W489&gt;'Scoring Settings'!$B$12),AND(ISNUMBER(M489),M489&lt;='Scoring Settings'!$B$13)),"High","Medium")))</f>
        <v>Easy</v>
      </c>
      <c r="AN489" s="5" t="s">
        <v>148</v>
      </c>
      <c r="AO489" s="7">
        <v>45260</v>
      </c>
      <c r="AP489" s="5" t="s">
        <v>98</v>
      </c>
      <c r="AQ489" s="29" t="s">
        <v>149</v>
      </c>
    </row>
    <row r="490" spans="1:43" hidden="1">
      <c r="A490" s="28">
        <v>63170</v>
      </c>
      <c r="B490" s="5" t="s">
        <v>1976</v>
      </c>
      <c r="C490" s="5" t="s">
        <v>87</v>
      </c>
      <c r="D490" s="5" t="s">
        <v>88</v>
      </c>
      <c r="E490" s="5" t="s">
        <v>311</v>
      </c>
      <c r="F490" s="5" t="s">
        <v>560</v>
      </c>
      <c r="G490" s="5" t="s">
        <v>284</v>
      </c>
      <c r="H490" s="5" t="s">
        <v>189</v>
      </c>
      <c r="I490" s="6">
        <v>329</v>
      </c>
      <c r="J490" s="7">
        <v>44277</v>
      </c>
      <c r="K490" s="8" t="str">
        <f>IF(B490="","",IF(AND(I490="",J490=""),"Unknown",IF(OR(AND(ISNUMBER(I490),I490=0),AND(ISNUMBER(J490),J490&lt;=EDATE('Scoring Settings'!$B$4,-'Scoring Settings'!$B$5))),"Not in use",IF(AND(ISNUMBER(I490),I490&lt;'Scoring Settings'!$B$6),"Low use","Active"))))</f>
        <v>Active</v>
      </c>
      <c r="L490" s="5">
        <v>3</v>
      </c>
      <c r="M490" s="5">
        <v>3</v>
      </c>
      <c r="N490" s="5" t="s">
        <v>180</v>
      </c>
      <c r="O490" s="5" t="s">
        <v>73</v>
      </c>
      <c r="P490" s="5" t="s">
        <v>1977</v>
      </c>
      <c r="Q490" s="9">
        <v>4</v>
      </c>
      <c r="R490" s="5" t="s">
        <v>352</v>
      </c>
      <c r="S490" s="5" t="s">
        <v>353</v>
      </c>
      <c r="T490" s="5" t="s">
        <v>184</v>
      </c>
      <c r="U490" s="7">
        <v>47127</v>
      </c>
      <c r="V490" s="5" t="s">
        <v>135</v>
      </c>
      <c r="W490" s="6">
        <v>5</v>
      </c>
      <c r="X490" s="5" t="s">
        <v>80</v>
      </c>
      <c r="Y490" s="9">
        <v>7</v>
      </c>
      <c r="Z490" s="5" t="s">
        <v>79</v>
      </c>
      <c r="AA490" s="5" t="s">
        <v>110</v>
      </c>
      <c r="AB490" s="9">
        <v>6</v>
      </c>
      <c r="AC490" s="5" t="s">
        <v>82</v>
      </c>
      <c r="AD490" s="5" t="s">
        <v>80</v>
      </c>
      <c r="AE490" s="5" t="s">
        <v>80</v>
      </c>
      <c r="AF490" s="10">
        <v>75000</v>
      </c>
      <c r="AG490" s="7">
        <v>46965</v>
      </c>
      <c r="AH490" s="10">
        <v>29000</v>
      </c>
      <c r="AI490" s="10">
        <v>52500</v>
      </c>
      <c r="AJ490" s="11">
        <f t="shared" si="7"/>
        <v>6.628571428571429</v>
      </c>
      <c r="AK490" s="12">
        <f>IF(B490="","",OR(K490="Not in use",K490="Low use")+AND(N490&lt;&gt;"",N490&lt;&gt;"TBD")+AND(ISNUMBER(U490),U490&lt;=EDATE('Scoring Settings'!$B$4,'Scoring Settings'!$B$8))+AND(ISNUMBER(L490),L490&lt;='Scoring Settings'!$B$7))</f>
        <v>1</v>
      </c>
      <c r="AL490" s="5" t="s">
        <v>2217</v>
      </c>
      <c r="AM490" s="8" t="str">
        <f>IF(B490="","",IF(Z490="N","Easy",IF(OR(AND(ISNUMBER(AB490),AB490&gt;'Scoring Settings'!$B$11),AND(ISNUMBER(W490),W490&gt;'Scoring Settings'!$B$12),AND(ISNUMBER(M490),M490&lt;='Scoring Settings'!$B$13)),"High","Medium")))</f>
        <v>Easy</v>
      </c>
      <c r="AN490" s="5" t="s">
        <v>148</v>
      </c>
      <c r="AO490" s="7">
        <v>45107</v>
      </c>
      <c r="AP490" s="5" t="s">
        <v>98</v>
      </c>
      <c r="AQ490" s="29" t="s">
        <v>213</v>
      </c>
    </row>
    <row r="491" spans="1:43" ht="57" hidden="1">
      <c r="A491" s="28">
        <v>85111</v>
      </c>
      <c r="B491" s="5" t="s">
        <v>1983</v>
      </c>
      <c r="C491" s="5" t="s">
        <v>87</v>
      </c>
      <c r="D491" s="5" t="s">
        <v>88</v>
      </c>
      <c r="E491" s="5" t="s">
        <v>68</v>
      </c>
      <c r="F491" s="5" t="s">
        <v>302</v>
      </c>
      <c r="G491" s="5" t="s">
        <v>128</v>
      </c>
      <c r="H491" s="5" t="s">
        <v>105</v>
      </c>
      <c r="I491" s="6">
        <v>3</v>
      </c>
      <c r="J491" s="7">
        <v>44194</v>
      </c>
      <c r="K491" s="8" t="str">
        <f>IF(B491="","",IF(AND(I491="",J491=""),"Unknown",IF(OR(AND(ISNUMBER(I491),I491=0),AND(ISNUMBER(J491),J491&lt;=EDATE('Scoring Settings'!$B$4,-'Scoring Settings'!$B$5))),"Not in use",IF(AND(ISNUMBER(I491),I491&lt;'Scoring Settings'!$B$6),"Low use","Active"))))</f>
        <v>Low use</v>
      </c>
      <c r="L491" s="5">
        <v>4</v>
      </c>
      <c r="M491" s="5">
        <v>2</v>
      </c>
      <c r="N491" s="5" t="s">
        <v>474</v>
      </c>
      <c r="O491" s="5" t="s">
        <v>73</v>
      </c>
      <c r="P491" s="5" t="s">
        <v>1984</v>
      </c>
      <c r="Q491" s="9">
        <v>4</v>
      </c>
      <c r="R491" s="5" t="s">
        <v>335</v>
      </c>
      <c r="S491" s="5" t="s">
        <v>336</v>
      </c>
      <c r="T491" s="5" t="s">
        <v>72</v>
      </c>
      <c r="U491" s="7">
        <v>45473</v>
      </c>
      <c r="V491" s="5" t="s">
        <v>95</v>
      </c>
      <c r="W491" s="6">
        <v>590</v>
      </c>
      <c r="X491" s="5" t="s">
        <v>79</v>
      </c>
      <c r="Y491" s="9">
        <v>3</v>
      </c>
      <c r="Z491" s="5" t="s">
        <v>79</v>
      </c>
      <c r="AA491" s="5" t="s">
        <v>110</v>
      </c>
      <c r="AB491" s="9">
        <v>30</v>
      </c>
      <c r="AC491" s="5" t="s">
        <v>82</v>
      </c>
      <c r="AD491" s="5" t="s">
        <v>79</v>
      </c>
      <c r="AE491" s="5" t="s">
        <v>82</v>
      </c>
      <c r="AF491" s="10">
        <v>110000</v>
      </c>
      <c r="AG491" s="7">
        <v>46326</v>
      </c>
      <c r="AH491" s="10">
        <v>149500</v>
      </c>
      <c r="AI491" s="10">
        <v>76500</v>
      </c>
      <c r="AJ491" s="11">
        <f t="shared" si="7"/>
        <v>23.450980392156861</v>
      </c>
      <c r="AK491" s="12">
        <f>IF(B491="","",OR(K491="Not in use",K491="Low use")+AND(N491&lt;&gt;"",N491&lt;&gt;"TBD")+AND(ISNUMBER(U491),U491&lt;=EDATE('Scoring Settings'!$B$4,'Scoring Settings'!$B$8))+AND(ISNUMBER(L491),L491&lt;='Scoring Settings'!$B$7))</f>
        <v>2</v>
      </c>
      <c r="AL491" s="5" t="s">
        <v>2217</v>
      </c>
      <c r="AM491" s="8" t="str">
        <f>IF(B491="","",IF(Z491="N","Easy",IF(OR(AND(ISNUMBER(AB491),AB491&gt;'Scoring Settings'!$B$11),AND(ISNUMBER(W491),W491&gt;'Scoring Settings'!$B$12),AND(ISNUMBER(M491),M491&lt;='Scoring Settings'!$B$13)),"High","Medium")))</f>
        <v>Easy</v>
      </c>
      <c r="AN491" s="5" t="s">
        <v>148</v>
      </c>
      <c r="AO491" s="7">
        <v>44957</v>
      </c>
      <c r="AP491" s="5" t="s">
        <v>98</v>
      </c>
      <c r="AQ491" s="29" t="s">
        <v>867</v>
      </c>
    </row>
    <row r="492" spans="1:43" hidden="1">
      <c r="A492" s="28">
        <v>15918</v>
      </c>
      <c r="B492" s="5" t="s">
        <v>1985</v>
      </c>
      <c r="C492" s="5" t="s">
        <v>138</v>
      </c>
      <c r="D492" s="5" t="s">
        <v>139</v>
      </c>
      <c r="E492" s="5" t="s">
        <v>68</v>
      </c>
      <c r="F492" s="5" t="s">
        <v>236</v>
      </c>
      <c r="G492" s="5" t="s">
        <v>226</v>
      </c>
      <c r="H492" s="5" t="s">
        <v>91</v>
      </c>
      <c r="I492" s="6">
        <v>40</v>
      </c>
      <c r="J492" s="7">
        <v>44289</v>
      </c>
      <c r="K492" s="8" t="str">
        <f>IF(B492="","",IF(AND(I492="",J492=""),"Unknown",IF(OR(AND(ISNUMBER(I492),I492=0),AND(ISNUMBER(J492),J492&lt;=EDATE('Scoring Settings'!$B$4,-'Scoring Settings'!$B$5))),"Not in use",IF(AND(ISNUMBER(I492),I492&lt;'Scoring Settings'!$B$6),"Low use","Active"))))</f>
        <v>Active</v>
      </c>
      <c r="L492" s="5">
        <v>3</v>
      </c>
      <c r="M492" s="5">
        <v>3</v>
      </c>
      <c r="N492" s="5" t="s">
        <v>1006</v>
      </c>
      <c r="O492" s="5" t="s">
        <v>130</v>
      </c>
      <c r="P492" s="5" t="s">
        <v>1519</v>
      </c>
      <c r="Q492" s="9">
        <v>4</v>
      </c>
      <c r="R492" s="5" t="s">
        <v>72</v>
      </c>
      <c r="S492" s="5" t="s">
        <v>94</v>
      </c>
      <c r="T492" s="5" t="s">
        <v>134</v>
      </c>
      <c r="U492" s="7">
        <v>44561</v>
      </c>
      <c r="V492" s="5" t="s">
        <v>135</v>
      </c>
      <c r="W492" s="6">
        <v>460</v>
      </c>
      <c r="X492" s="5" t="s">
        <v>80</v>
      </c>
      <c r="Y492" s="9">
        <v>10</v>
      </c>
      <c r="Z492" s="5" t="s">
        <v>79</v>
      </c>
      <c r="AA492" s="5" t="s">
        <v>110</v>
      </c>
      <c r="AB492" s="9">
        <v>3</v>
      </c>
      <c r="AC492" s="5" t="s">
        <v>80</v>
      </c>
      <c r="AD492" s="5" t="s">
        <v>82</v>
      </c>
      <c r="AE492" s="5" t="s">
        <v>82</v>
      </c>
      <c r="AF492" s="10">
        <v>55000</v>
      </c>
      <c r="AG492" s="7">
        <v>47118</v>
      </c>
      <c r="AH492" s="10">
        <v>48000</v>
      </c>
      <c r="AI492" s="10">
        <v>33000</v>
      </c>
      <c r="AJ492" s="11">
        <f t="shared" si="7"/>
        <v>17.454545454545453</v>
      </c>
      <c r="AK492" s="12">
        <f>IF(B492="","",OR(K492="Not in use",K492="Low use")+AND(N492&lt;&gt;"",N492&lt;&gt;"TBD")+AND(ISNUMBER(U492),U492&lt;=EDATE('Scoring Settings'!$B$4,'Scoring Settings'!$B$8))+AND(ISNUMBER(L492),L492&lt;='Scoring Settings'!$B$7))</f>
        <v>2</v>
      </c>
      <c r="AL492" s="5" t="s">
        <v>2217</v>
      </c>
      <c r="AM492" s="8" t="str">
        <f>IF(B492="","",IF(Z492="N","Easy",IF(OR(AND(ISNUMBER(AB492),AB492&gt;'Scoring Settings'!$B$11),AND(ISNUMBER(W492),W492&gt;'Scoring Settings'!$B$12),AND(ISNUMBER(M492),M492&lt;='Scoring Settings'!$B$13)),"High","Medium")))</f>
        <v>Easy</v>
      </c>
      <c r="AN492" s="5" t="s">
        <v>148</v>
      </c>
      <c r="AO492" s="7">
        <v>45169</v>
      </c>
      <c r="AP492" s="5" t="s">
        <v>197</v>
      </c>
      <c r="AQ492" s="29" t="s">
        <v>1986</v>
      </c>
    </row>
    <row r="493" spans="1:43" ht="42.75" hidden="1">
      <c r="A493" s="28">
        <v>95672</v>
      </c>
      <c r="B493" s="5" t="s">
        <v>1987</v>
      </c>
      <c r="C493" s="5" t="s">
        <v>293</v>
      </c>
      <c r="D493" s="5" t="s">
        <v>162</v>
      </c>
      <c r="E493" s="5" t="s">
        <v>68</v>
      </c>
      <c r="F493" s="5" t="s">
        <v>188</v>
      </c>
      <c r="G493" s="5" t="s">
        <v>226</v>
      </c>
      <c r="H493" s="5" t="s">
        <v>174</v>
      </c>
      <c r="I493" s="6">
        <v>599</v>
      </c>
      <c r="J493" s="7">
        <v>44295</v>
      </c>
      <c r="K493" s="8" t="str">
        <f>IF(B493="","",IF(AND(I493="",J493=""),"Unknown",IF(OR(AND(ISNUMBER(I493),I493=0),AND(ISNUMBER(J493),J493&lt;=EDATE('Scoring Settings'!$B$4,-'Scoring Settings'!$B$5))),"Not in use",IF(AND(ISNUMBER(I493),I493&lt;'Scoring Settings'!$B$6),"Low use","Active"))))</f>
        <v>Active</v>
      </c>
      <c r="L493" s="5">
        <v>1</v>
      </c>
      <c r="M493" s="5">
        <v>3</v>
      </c>
      <c r="N493" s="5"/>
      <c r="O493" s="5" t="s">
        <v>73</v>
      </c>
      <c r="P493" s="5" t="s">
        <v>1988</v>
      </c>
      <c r="Q493" s="9">
        <v>1</v>
      </c>
      <c r="R493" s="5" t="s">
        <v>203</v>
      </c>
      <c r="S493" s="5" t="s">
        <v>204</v>
      </c>
      <c r="T493" s="5" t="s">
        <v>122</v>
      </c>
      <c r="U493" s="7">
        <v>47269</v>
      </c>
      <c r="V493" s="5" t="s">
        <v>78</v>
      </c>
      <c r="W493" s="6">
        <v>1220</v>
      </c>
      <c r="X493" s="5" t="s">
        <v>80</v>
      </c>
      <c r="Y493" s="9">
        <v>7</v>
      </c>
      <c r="Z493" s="5" t="s">
        <v>80</v>
      </c>
      <c r="AA493" s="5" t="s">
        <v>81</v>
      </c>
      <c r="AB493" s="9">
        <v>5</v>
      </c>
      <c r="AC493" s="5" t="s">
        <v>82</v>
      </c>
      <c r="AD493" s="5" t="s">
        <v>79</v>
      </c>
      <c r="AE493" s="5" t="s">
        <v>80</v>
      </c>
      <c r="AF493" s="10">
        <v>35500</v>
      </c>
      <c r="AG493" s="7">
        <v>47208</v>
      </c>
      <c r="AH493" s="10">
        <v>53500</v>
      </c>
      <c r="AI493" s="10">
        <v>28500</v>
      </c>
      <c r="AJ493" s="11">
        <f t="shared" si="7"/>
        <v>22.526315789473685</v>
      </c>
      <c r="AK493" s="12">
        <f>IF(B493="","",OR(K493="Not in use",K493="Low use")+AND(N493&lt;&gt;"",N493&lt;&gt;"TBD")+AND(ISNUMBER(U493),U493&lt;=EDATE('Scoring Settings'!$B$4,'Scoring Settings'!$B$8))+AND(ISNUMBER(L493),L493&lt;='Scoring Settings'!$B$7))</f>
        <v>1</v>
      </c>
      <c r="AL493" s="5" t="s">
        <v>96</v>
      </c>
      <c r="AM493" s="8" t="str">
        <f>IF(B493="","",IF(Z493="N","Easy",IF(OR(AND(ISNUMBER(AB493),AB493&gt;'Scoring Settings'!$B$11),AND(ISNUMBER(W493),W493&gt;'Scoring Settings'!$B$12),AND(ISNUMBER(M493),M493&lt;='Scoring Settings'!$B$13)),"High","Medium")))</f>
        <v>High</v>
      </c>
      <c r="AN493" s="5" t="s">
        <v>148</v>
      </c>
      <c r="AO493" s="7">
        <v>45230</v>
      </c>
      <c r="AP493" s="5" t="s">
        <v>98</v>
      </c>
      <c r="AQ493" s="29" t="s">
        <v>743</v>
      </c>
    </row>
    <row r="494" spans="1:43" hidden="1">
      <c r="A494" s="28">
        <v>122652</v>
      </c>
      <c r="B494" s="5" t="s">
        <v>1991</v>
      </c>
      <c r="C494" s="5" t="s">
        <v>187</v>
      </c>
      <c r="D494" s="5" t="s">
        <v>67</v>
      </c>
      <c r="E494" s="5" t="s">
        <v>68</v>
      </c>
      <c r="F494" s="5" t="s">
        <v>188</v>
      </c>
      <c r="G494" s="5" t="s">
        <v>221</v>
      </c>
      <c r="H494" s="5" t="s">
        <v>91</v>
      </c>
      <c r="I494" s="6">
        <v>1</v>
      </c>
      <c r="J494" s="7">
        <v>43623</v>
      </c>
      <c r="K494" s="8" t="str">
        <f>IF(B494="","",IF(AND(I494="",J494=""),"Unknown",IF(OR(AND(ISNUMBER(I494),I494=0),AND(ISNUMBER(J494),J494&lt;=EDATE('Scoring Settings'!$B$4,-'Scoring Settings'!$B$5))),"Not in use",IF(AND(ISNUMBER(I494),I494&lt;'Scoring Settings'!$B$6),"Low use","Active"))))</f>
        <v>Not in use</v>
      </c>
      <c r="L494" s="5">
        <v>2</v>
      </c>
      <c r="M494" s="5">
        <v>3</v>
      </c>
      <c r="N494" s="5" t="s">
        <v>190</v>
      </c>
      <c r="O494" s="5" t="s">
        <v>73</v>
      </c>
      <c r="P494" s="5" t="s">
        <v>510</v>
      </c>
      <c r="Q494" s="9">
        <v>1</v>
      </c>
      <c r="R494" s="5" t="s">
        <v>182</v>
      </c>
      <c r="S494" s="5" t="s">
        <v>183</v>
      </c>
      <c r="T494" s="5" t="s">
        <v>77</v>
      </c>
      <c r="U494" s="7">
        <v>42855</v>
      </c>
      <c r="V494" s="5" t="s">
        <v>135</v>
      </c>
      <c r="W494" s="6">
        <v>53</v>
      </c>
      <c r="X494" s="5" t="s">
        <v>80</v>
      </c>
      <c r="Y494" s="9">
        <v>10</v>
      </c>
      <c r="Z494" s="5" t="s">
        <v>80</v>
      </c>
      <c r="AA494" s="5" t="s">
        <v>205</v>
      </c>
      <c r="AB494" s="9">
        <v>5</v>
      </c>
      <c r="AC494" s="5" t="s">
        <v>80</v>
      </c>
      <c r="AD494" s="5" t="s">
        <v>79</v>
      </c>
      <c r="AE494" s="5" t="s">
        <v>82</v>
      </c>
      <c r="AF494" s="10">
        <v>19500</v>
      </c>
      <c r="AG494" s="7">
        <v>48791</v>
      </c>
      <c r="AH494" s="10">
        <v>28500</v>
      </c>
      <c r="AI494" s="10">
        <v>13000</v>
      </c>
      <c r="AJ494" s="11">
        <f t="shared" si="7"/>
        <v>26.30769230769231</v>
      </c>
      <c r="AK494" s="12">
        <f>IF(B494="","",OR(K494="Not in use",K494="Low use")+AND(N494&lt;&gt;"",N494&lt;&gt;"TBD")+AND(ISNUMBER(U494),U494&lt;=EDATE('Scoring Settings'!$B$4,'Scoring Settings'!$B$8))+AND(ISNUMBER(L494),L494&lt;='Scoring Settings'!$B$7))</f>
        <v>4</v>
      </c>
      <c r="AL494" s="5" t="s">
        <v>96</v>
      </c>
      <c r="AM494" s="8" t="str">
        <f>IF(B494="","",IF(Z494="N","Easy",IF(OR(AND(ISNUMBER(AB494),AB494&gt;'Scoring Settings'!$B$11),AND(ISNUMBER(W494),W494&gt;'Scoring Settings'!$B$12),AND(ISNUMBER(M494),M494&lt;='Scoring Settings'!$B$13)),"High","Medium")))</f>
        <v>Medium</v>
      </c>
      <c r="AN494" s="5" t="s">
        <v>148</v>
      </c>
      <c r="AO494" s="7">
        <v>45169</v>
      </c>
      <c r="AP494" s="5" t="s">
        <v>98</v>
      </c>
      <c r="AQ494" s="29" t="s">
        <v>170</v>
      </c>
    </row>
    <row r="495" spans="1:43" hidden="1">
      <c r="A495" s="28">
        <v>168852</v>
      </c>
      <c r="B495" s="5" t="s">
        <v>1993</v>
      </c>
      <c r="C495" s="5" t="s">
        <v>464</v>
      </c>
      <c r="D495" s="5" t="s">
        <v>88</v>
      </c>
      <c r="E495" s="5" t="s">
        <v>311</v>
      </c>
      <c r="F495" s="5" t="s">
        <v>266</v>
      </c>
      <c r="G495" s="5" t="s">
        <v>104</v>
      </c>
      <c r="H495" s="5" t="s">
        <v>142</v>
      </c>
      <c r="I495" s="6">
        <v>153</v>
      </c>
      <c r="J495" s="7">
        <v>44279</v>
      </c>
      <c r="K495" s="8" t="str">
        <f>IF(B495="","",IF(AND(I495="",J495=""),"Unknown",IF(OR(AND(ISNUMBER(I495),I495=0),AND(ISNUMBER(J495),J495&lt;=EDATE('Scoring Settings'!$B$4,-'Scoring Settings'!$B$5))),"Not in use",IF(AND(ISNUMBER(I495),I495&lt;'Scoring Settings'!$B$6),"Low use","Active"))))</f>
        <v>Active</v>
      </c>
      <c r="L495" s="5">
        <v>2</v>
      </c>
      <c r="M495" s="5">
        <v>4</v>
      </c>
      <c r="N495" s="5"/>
      <c r="O495" s="5" t="s">
        <v>143</v>
      </c>
      <c r="P495" s="5" t="s">
        <v>144</v>
      </c>
      <c r="Q495" s="9">
        <v>0</v>
      </c>
      <c r="R495" s="5" t="s">
        <v>145</v>
      </c>
      <c r="S495" s="5" t="s">
        <v>145</v>
      </c>
      <c r="T495" s="5" t="s">
        <v>146</v>
      </c>
      <c r="U495" s="7">
        <v>45046</v>
      </c>
      <c r="V495" s="5" t="s">
        <v>135</v>
      </c>
      <c r="W495" s="6">
        <v>1500</v>
      </c>
      <c r="X495" s="5" t="s">
        <v>79</v>
      </c>
      <c r="Y495" s="9">
        <v>3</v>
      </c>
      <c r="Z495" s="5" t="s">
        <v>79</v>
      </c>
      <c r="AA495" s="5" t="s">
        <v>110</v>
      </c>
      <c r="AB495" s="9">
        <v>0</v>
      </c>
      <c r="AC495" s="5" t="s">
        <v>79</v>
      </c>
      <c r="AD495" s="5" t="s">
        <v>82</v>
      </c>
      <c r="AE495" s="5" t="s">
        <v>82</v>
      </c>
      <c r="AF495" s="10">
        <v>14500</v>
      </c>
      <c r="AG495" s="7">
        <v>48610</v>
      </c>
      <c r="AH495" s="10">
        <v>9000</v>
      </c>
      <c r="AI495" s="10">
        <v>8500</v>
      </c>
      <c r="AJ495" s="11">
        <f t="shared" si="7"/>
        <v>12.705882352941178</v>
      </c>
      <c r="AK495" s="12">
        <f>IF(B495="","",OR(K495="Not in use",K495="Low use")+AND(N495&lt;&gt;"",N495&lt;&gt;"TBD")+AND(ISNUMBER(U495),U495&lt;=EDATE('Scoring Settings'!$B$4,'Scoring Settings'!$B$8))+AND(ISNUMBER(L495),L495&lt;='Scoring Settings'!$B$7))</f>
        <v>1</v>
      </c>
      <c r="AL495" s="5" t="s">
        <v>223</v>
      </c>
      <c r="AM495" s="8" t="str">
        <f>IF(B495="","",IF(Z495="N","Easy",IF(OR(AND(ISNUMBER(AB495),AB495&gt;'Scoring Settings'!$B$11),AND(ISNUMBER(W495),W495&gt;'Scoring Settings'!$B$12),AND(ISNUMBER(M495),M495&lt;='Scoring Settings'!$B$13)),"High","Medium")))</f>
        <v>Easy</v>
      </c>
      <c r="AN495" s="5" t="s">
        <v>148</v>
      </c>
      <c r="AO495" s="7">
        <v>45077</v>
      </c>
      <c r="AP495" s="5" t="s">
        <v>98</v>
      </c>
      <c r="AQ495" s="29" t="s">
        <v>170</v>
      </c>
    </row>
    <row r="496" spans="1:43" hidden="1">
      <c r="A496" s="28">
        <v>126053</v>
      </c>
      <c r="B496" s="5" t="s">
        <v>1999</v>
      </c>
      <c r="C496" s="5" t="s">
        <v>66</v>
      </c>
      <c r="D496" s="5" t="s">
        <v>67</v>
      </c>
      <c r="E496" s="5" t="s">
        <v>68</v>
      </c>
      <c r="F496" s="5" t="s">
        <v>209</v>
      </c>
      <c r="G496" s="5" t="s">
        <v>104</v>
      </c>
      <c r="H496" s="5" t="s">
        <v>142</v>
      </c>
      <c r="I496" s="6">
        <v>2</v>
      </c>
      <c r="J496" s="7">
        <v>44014</v>
      </c>
      <c r="K496" s="8" t="str">
        <f>IF(B496="","",IF(AND(I496="",J496=""),"Unknown",IF(OR(AND(ISNUMBER(I496),I496=0),AND(ISNUMBER(J496),J496&lt;=EDATE('Scoring Settings'!$B$4,-'Scoring Settings'!$B$5))),"Not in use",IF(AND(ISNUMBER(I496),I496&lt;'Scoring Settings'!$B$6),"Low use","Active"))))</f>
        <v>Not in use</v>
      </c>
      <c r="L496" s="5">
        <v>5</v>
      </c>
      <c r="M496" s="5">
        <v>1</v>
      </c>
      <c r="N496" s="5" t="s">
        <v>317</v>
      </c>
      <c r="O496" s="5" t="s">
        <v>143</v>
      </c>
      <c r="P496" s="5" t="s">
        <v>144</v>
      </c>
      <c r="Q496" s="9">
        <v>0</v>
      </c>
      <c r="R496" s="5" t="s">
        <v>145</v>
      </c>
      <c r="S496" s="5" t="s">
        <v>145</v>
      </c>
      <c r="T496" s="5" t="s">
        <v>146</v>
      </c>
      <c r="U496" s="7"/>
      <c r="V496" s="5" t="s">
        <v>135</v>
      </c>
      <c r="W496" s="6">
        <v>4690</v>
      </c>
      <c r="X496" s="5" t="s">
        <v>80</v>
      </c>
      <c r="Y496" s="9">
        <v>5</v>
      </c>
      <c r="Z496" s="5" t="s">
        <v>80</v>
      </c>
      <c r="AA496" s="5" t="s">
        <v>147</v>
      </c>
      <c r="AB496" s="9">
        <v>87</v>
      </c>
      <c r="AC496" s="5" t="s">
        <v>79</v>
      </c>
      <c r="AD496" s="5" t="s">
        <v>80</v>
      </c>
      <c r="AE496" s="5" t="s">
        <v>80</v>
      </c>
      <c r="AF496" s="10">
        <v>420000</v>
      </c>
      <c r="AG496" s="7">
        <v>48913</v>
      </c>
      <c r="AH496" s="10">
        <v>2890500</v>
      </c>
      <c r="AI496" s="10">
        <v>193500</v>
      </c>
      <c r="AJ496" s="11">
        <f t="shared" si="7"/>
        <v>179.25581395348837</v>
      </c>
      <c r="AK496" s="12">
        <f>IF(B496="","",OR(K496="Not in use",K496="Low use")+AND(N496&lt;&gt;"",N496&lt;&gt;"TBD")+AND(ISNUMBER(U496),U496&lt;=EDATE('Scoring Settings'!$B$4,'Scoring Settings'!$B$8))+AND(ISNUMBER(L496),L496&lt;='Scoring Settings'!$B$7))</f>
        <v>2</v>
      </c>
      <c r="AL496" s="5" t="s">
        <v>2217</v>
      </c>
      <c r="AM496" s="8" t="str">
        <f>IF(B496="","",IF(Z496="N","Easy",IF(OR(AND(ISNUMBER(AB496),AB496&gt;'Scoring Settings'!$B$11),AND(ISNUMBER(W496),W496&gt;'Scoring Settings'!$B$12),AND(ISNUMBER(M496),M496&lt;='Scoring Settings'!$B$13)),"High","Medium")))</f>
        <v>High</v>
      </c>
      <c r="AN496" s="5" t="s">
        <v>148</v>
      </c>
      <c r="AO496" s="7">
        <v>45138</v>
      </c>
      <c r="AP496" s="5" t="s">
        <v>197</v>
      </c>
      <c r="AQ496" s="29" t="s">
        <v>2000</v>
      </c>
    </row>
    <row r="497" spans="1:43" hidden="1">
      <c r="A497" s="28">
        <v>102268</v>
      </c>
      <c r="B497" s="5" t="s">
        <v>2001</v>
      </c>
      <c r="C497" s="5" t="s">
        <v>467</v>
      </c>
      <c r="D497" s="5" t="s">
        <v>297</v>
      </c>
      <c r="E497" s="5" t="s">
        <v>298</v>
      </c>
      <c r="F497" s="5" t="s">
        <v>419</v>
      </c>
      <c r="G497" s="5" t="s">
        <v>117</v>
      </c>
      <c r="H497" s="5" t="s">
        <v>174</v>
      </c>
      <c r="I497" s="6">
        <v>93</v>
      </c>
      <c r="J497" s="7">
        <v>44314</v>
      </c>
      <c r="K497" s="8" t="str">
        <f>IF(B497="","",IF(AND(I497="",J497=""),"Unknown",IF(OR(AND(ISNUMBER(I497),I497=0),AND(ISNUMBER(J497),J497&lt;=EDATE('Scoring Settings'!$B$4,-'Scoring Settings'!$B$5))),"Not in use",IF(AND(ISNUMBER(I497),I497&lt;'Scoring Settings'!$B$6),"Low use","Active"))))</f>
        <v>Active</v>
      </c>
      <c r="L497" s="5">
        <v>3</v>
      </c>
      <c r="M497" s="5">
        <v>3</v>
      </c>
      <c r="N497" s="5" t="s">
        <v>827</v>
      </c>
      <c r="O497" s="5" t="s">
        <v>73</v>
      </c>
      <c r="P497" s="5" t="s">
        <v>2002</v>
      </c>
      <c r="Q497" s="9">
        <v>4</v>
      </c>
      <c r="R497" s="5" t="s">
        <v>132</v>
      </c>
      <c r="S497" s="5" t="s">
        <v>133</v>
      </c>
      <c r="T497" s="5" t="s">
        <v>77</v>
      </c>
      <c r="U497" s="7">
        <v>44227</v>
      </c>
      <c r="V497" s="5" t="s">
        <v>135</v>
      </c>
      <c r="W497" s="6">
        <v>750</v>
      </c>
      <c r="X497" s="5" t="s">
        <v>80</v>
      </c>
      <c r="Y497" s="9">
        <v>7</v>
      </c>
      <c r="Z497" s="5" t="s">
        <v>80</v>
      </c>
      <c r="AA497" s="5" t="s">
        <v>185</v>
      </c>
      <c r="AB497" s="9">
        <v>1</v>
      </c>
      <c r="AC497" s="5" t="s">
        <v>80</v>
      </c>
      <c r="AD497" s="5" t="s">
        <v>82</v>
      </c>
      <c r="AE497" s="5" t="s">
        <v>79</v>
      </c>
      <c r="AF497" s="10">
        <v>44500</v>
      </c>
      <c r="AG497" s="7">
        <v>49309</v>
      </c>
      <c r="AH497" s="10">
        <v>24000</v>
      </c>
      <c r="AI497" s="10">
        <v>26500</v>
      </c>
      <c r="AJ497" s="11">
        <f t="shared" si="7"/>
        <v>10.867924528301888</v>
      </c>
      <c r="AK497" s="12">
        <f>IF(B497="","",OR(K497="Not in use",K497="Low use")+AND(N497&lt;&gt;"",N497&lt;&gt;"TBD")+AND(ISNUMBER(U497),U497&lt;=EDATE('Scoring Settings'!$B$4,'Scoring Settings'!$B$8))+AND(ISNUMBER(L497),L497&lt;='Scoring Settings'!$B$7))</f>
        <v>2</v>
      </c>
      <c r="AL497" s="5" t="s">
        <v>96</v>
      </c>
      <c r="AM497" s="8" t="str">
        <f>IF(B497="","",IF(Z497="N","Easy",IF(OR(AND(ISNUMBER(AB497),AB497&gt;'Scoring Settings'!$B$11),AND(ISNUMBER(W497),W497&gt;'Scoring Settings'!$B$12),AND(ISNUMBER(M497),M497&lt;='Scoring Settings'!$B$13)),"High","Medium")))</f>
        <v>Medium</v>
      </c>
      <c r="AN497" s="5" t="s">
        <v>148</v>
      </c>
      <c r="AO497" s="7">
        <v>44985</v>
      </c>
      <c r="AP497" s="5" t="s">
        <v>197</v>
      </c>
      <c r="AQ497" s="29" t="s">
        <v>399</v>
      </c>
    </row>
    <row r="498" spans="1:43" hidden="1">
      <c r="A498" s="28">
        <v>136684</v>
      </c>
      <c r="B498" s="5" t="s">
        <v>2004</v>
      </c>
      <c r="C498" s="5" t="s">
        <v>126</v>
      </c>
      <c r="D498" s="5" t="s">
        <v>88</v>
      </c>
      <c r="E498" s="5" t="s">
        <v>68</v>
      </c>
      <c r="F498" s="5" t="s">
        <v>249</v>
      </c>
      <c r="G498" s="5" t="s">
        <v>226</v>
      </c>
      <c r="H498" s="5" t="s">
        <v>129</v>
      </c>
      <c r="I498" s="6">
        <v>6</v>
      </c>
      <c r="J498" s="7">
        <v>44197</v>
      </c>
      <c r="K498" s="8" t="str">
        <f>IF(B498="","",IF(AND(I498="",J498=""),"Unknown",IF(OR(AND(ISNUMBER(I498),I498=0),AND(ISNUMBER(J498),J498&lt;=EDATE('Scoring Settings'!$B$4,-'Scoring Settings'!$B$5))),"Not in use",IF(AND(ISNUMBER(I498),I498&lt;'Scoring Settings'!$B$6),"Low use","Active"))))</f>
        <v>Low use</v>
      </c>
      <c r="L498" s="5">
        <v>2</v>
      </c>
      <c r="M498" s="5">
        <v>3</v>
      </c>
      <c r="N498" s="5"/>
      <c r="O498" s="5" t="s">
        <v>73</v>
      </c>
      <c r="P498" s="5" t="s">
        <v>2005</v>
      </c>
      <c r="Q498" s="9">
        <v>2</v>
      </c>
      <c r="R498" s="5" t="s">
        <v>107</v>
      </c>
      <c r="S498" s="5" t="s">
        <v>108</v>
      </c>
      <c r="T498" s="5" t="s">
        <v>109</v>
      </c>
      <c r="U498" s="7">
        <v>43655</v>
      </c>
      <c r="V498" s="5" t="s">
        <v>135</v>
      </c>
      <c r="W498" s="6">
        <v>10550</v>
      </c>
      <c r="X498" s="5" t="s">
        <v>80</v>
      </c>
      <c r="Y498" s="9">
        <v>7</v>
      </c>
      <c r="Z498" s="5" t="s">
        <v>80</v>
      </c>
      <c r="AA498" s="5" t="s">
        <v>123</v>
      </c>
      <c r="AB498" s="9">
        <v>7</v>
      </c>
      <c r="AC498" s="5" t="s">
        <v>82</v>
      </c>
      <c r="AD498" s="5" t="s">
        <v>82</v>
      </c>
      <c r="AE498" s="5" t="s">
        <v>79</v>
      </c>
      <c r="AF498" s="10">
        <v>18000</v>
      </c>
      <c r="AG498" s="7">
        <v>45838</v>
      </c>
      <c r="AH498" s="10">
        <v>110500</v>
      </c>
      <c r="AI498" s="10">
        <v>11500</v>
      </c>
      <c r="AJ498" s="11">
        <f t="shared" si="7"/>
        <v>115.30434782608694</v>
      </c>
      <c r="AK498" s="12">
        <f>IF(B498="","",OR(K498="Not in use",K498="Low use")+AND(N498&lt;&gt;"",N498&lt;&gt;"TBD")+AND(ISNUMBER(U498),U498&lt;=EDATE('Scoring Settings'!$B$4,'Scoring Settings'!$B$8))+AND(ISNUMBER(L498),L498&lt;='Scoring Settings'!$B$7))</f>
        <v>3</v>
      </c>
      <c r="AL498" s="5" t="s">
        <v>96</v>
      </c>
      <c r="AM498" s="8" t="str">
        <f>IF(B498="","",IF(Z498="N","Easy",IF(OR(AND(ISNUMBER(AB498),AB498&gt;'Scoring Settings'!$B$11),AND(ISNUMBER(W498),W498&gt;'Scoring Settings'!$B$12),AND(ISNUMBER(M498),M498&lt;='Scoring Settings'!$B$13)),"High","Medium")))</f>
        <v>High</v>
      </c>
      <c r="AN498" s="5" t="s">
        <v>148</v>
      </c>
      <c r="AO498" s="7">
        <v>45291</v>
      </c>
      <c r="AP498" s="5" t="s">
        <v>98</v>
      </c>
      <c r="AQ498" s="29" t="s">
        <v>149</v>
      </c>
    </row>
    <row r="499" spans="1:43" hidden="1">
      <c r="A499" s="28">
        <v>161662</v>
      </c>
      <c r="B499" s="5" t="s">
        <v>2026</v>
      </c>
      <c r="C499" s="5" t="s">
        <v>220</v>
      </c>
      <c r="D499" s="5" t="s">
        <v>139</v>
      </c>
      <c r="E499" s="5" t="s">
        <v>68</v>
      </c>
      <c r="F499" s="5" t="s">
        <v>173</v>
      </c>
      <c r="G499" s="5" t="s">
        <v>221</v>
      </c>
      <c r="H499" s="5" t="s">
        <v>129</v>
      </c>
      <c r="I499" s="6">
        <v>3</v>
      </c>
      <c r="J499" s="7">
        <v>43924</v>
      </c>
      <c r="K499" s="8" t="str">
        <f>IF(B499="","",IF(AND(I499="",J499=""),"Unknown",IF(OR(AND(ISNUMBER(I499),I499=0),AND(ISNUMBER(J499),J499&lt;=EDATE('Scoring Settings'!$B$4,-'Scoring Settings'!$B$5))),"Not in use",IF(AND(ISNUMBER(I499),I499&lt;'Scoring Settings'!$B$6),"Low use","Active"))))</f>
        <v>Not in use</v>
      </c>
      <c r="L499" s="5">
        <v>2</v>
      </c>
      <c r="M499" s="5">
        <v>4</v>
      </c>
      <c r="N499" s="5" t="s">
        <v>401</v>
      </c>
      <c r="O499" s="5" t="s">
        <v>73</v>
      </c>
      <c r="P499" s="5" t="s">
        <v>1815</v>
      </c>
      <c r="Q499" s="9">
        <v>2</v>
      </c>
      <c r="R499" s="5" t="s">
        <v>75</v>
      </c>
      <c r="S499" s="5" t="s">
        <v>121</v>
      </c>
      <c r="T499" s="5" t="s">
        <v>109</v>
      </c>
      <c r="U499" s="7">
        <v>46217</v>
      </c>
      <c r="V499" s="5" t="s">
        <v>78</v>
      </c>
      <c r="W499" s="6">
        <v>110</v>
      </c>
      <c r="X499" s="5" t="s">
        <v>79</v>
      </c>
      <c r="Y499" s="9">
        <v>3</v>
      </c>
      <c r="Z499" s="5" t="s">
        <v>79</v>
      </c>
      <c r="AA499" s="5" t="s">
        <v>110</v>
      </c>
      <c r="AB499" s="9">
        <v>1</v>
      </c>
      <c r="AC499" s="5" t="s">
        <v>82</v>
      </c>
      <c r="AD499" s="5" t="s">
        <v>79</v>
      </c>
      <c r="AE499" s="5" t="s">
        <v>80</v>
      </c>
      <c r="AF499" s="10">
        <v>32500</v>
      </c>
      <c r="AG499" s="7">
        <v>47483</v>
      </c>
      <c r="AH499" s="10">
        <v>21000</v>
      </c>
      <c r="AI499" s="10">
        <v>27000</v>
      </c>
      <c r="AJ499" s="11">
        <f t="shared" si="7"/>
        <v>9.3333333333333339</v>
      </c>
      <c r="AK499" s="12">
        <f>IF(B499="","",OR(K499="Not in use",K499="Low use")+AND(N499&lt;&gt;"",N499&lt;&gt;"TBD")+AND(ISNUMBER(U499),U499&lt;=EDATE('Scoring Settings'!$B$4,'Scoring Settings'!$B$8))+AND(ISNUMBER(L499),L499&lt;='Scoring Settings'!$B$7))</f>
        <v>3</v>
      </c>
      <c r="AL499" s="5" t="s">
        <v>223</v>
      </c>
      <c r="AM499" s="8" t="str">
        <f>IF(B499="","",IF(Z499="N","Easy",IF(OR(AND(ISNUMBER(AB499),AB499&gt;'Scoring Settings'!$B$11),AND(ISNUMBER(W499),W499&gt;'Scoring Settings'!$B$12),AND(ISNUMBER(M499),M499&lt;='Scoring Settings'!$B$13)),"High","Medium")))</f>
        <v>Easy</v>
      </c>
      <c r="AN499" s="5" t="s">
        <v>148</v>
      </c>
      <c r="AO499" s="7">
        <v>45230</v>
      </c>
      <c r="AP499" s="5" t="s">
        <v>98</v>
      </c>
      <c r="AQ499" s="29" t="s">
        <v>213</v>
      </c>
    </row>
    <row r="500" spans="1:43" ht="42.75" hidden="1">
      <c r="A500" s="28">
        <v>16674</v>
      </c>
      <c r="B500" s="5" t="s">
        <v>2042</v>
      </c>
      <c r="C500" s="5" t="s">
        <v>101</v>
      </c>
      <c r="D500" s="5" t="s">
        <v>102</v>
      </c>
      <c r="E500" s="5" t="s">
        <v>68</v>
      </c>
      <c r="F500" s="5" t="s">
        <v>236</v>
      </c>
      <c r="G500" s="5" t="s">
        <v>153</v>
      </c>
      <c r="H500" s="5" t="s">
        <v>71</v>
      </c>
      <c r="I500" s="6">
        <v>117</v>
      </c>
      <c r="J500" s="7">
        <v>44304</v>
      </c>
      <c r="K500" s="8" t="str">
        <f>IF(B500="","",IF(AND(I500="",J500=""),"Unknown",IF(OR(AND(ISNUMBER(I500),I500=0),AND(ISNUMBER(J500),J500&lt;=EDATE('Scoring Settings'!$B$4,-'Scoring Settings'!$B$5))),"Not in use",IF(AND(ISNUMBER(I500),I500&lt;'Scoring Settings'!$B$6),"Low use","Active"))))</f>
        <v>Active</v>
      </c>
      <c r="L500" s="5">
        <v>3</v>
      </c>
      <c r="M500" s="5">
        <v>3</v>
      </c>
      <c r="N500" s="5" t="s">
        <v>953</v>
      </c>
      <c r="O500" s="5" t="s">
        <v>130</v>
      </c>
      <c r="P500" s="5" t="s">
        <v>2043</v>
      </c>
      <c r="Q500" s="9">
        <v>4</v>
      </c>
      <c r="R500" s="5" t="s">
        <v>93</v>
      </c>
      <c r="S500" s="5" t="s">
        <v>94</v>
      </c>
      <c r="T500" s="5" t="s">
        <v>134</v>
      </c>
      <c r="U500" s="7">
        <v>44561</v>
      </c>
      <c r="V500" s="5" t="s">
        <v>78</v>
      </c>
      <c r="W500" s="6">
        <v>37</v>
      </c>
      <c r="X500" s="5" t="s">
        <v>79</v>
      </c>
      <c r="Y500" s="9">
        <v>1</v>
      </c>
      <c r="Z500" s="5" t="s">
        <v>79</v>
      </c>
      <c r="AA500" s="5" t="s">
        <v>110</v>
      </c>
      <c r="AB500" s="9">
        <v>6</v>
      </c>
      <c r="AC500" s="5" t="s">
        <v>82</v>
      </c>
      <c r="AD500" s="5" t="s">
        <v>82</v>
      </c>
      <c r="AE500" s="5" t="s">
        <v>82</v>
      </c>
      <c r="AF500" s="10">
        <v>19000</v>
      </c>
      <c r="AG500" s="7">
        <v>47452</v>
      </c>
      <c r="AH500" s="10">
        <v>14500</v>
      </c>
      <c r="AI500" s="10">
        <v>15500</v>
      </c>
      <c r="AJ500" s="11">
        <f t="shared" si="7"/>
        <v>11.225806451612902</v>
      </c>
      <c r="AK500" s="12">
        <f>IF(B500="","",OR(K500="Not in use",K500="Low use")+AND(N500&lt;&gt;"",N500&lt;&gt;"TBD")+AND(ISNUMBER(U500),U500&lt;=EDATE('Scoring Settings'!$B$4,'Scoring Settings'!$B$8))+AND(ISNUMBER(L500),L500&lt;='Scoring Settings'!$B$7))</f>
        <v>2</v>
      </c>
      <c r="AL500" s="5" t="s">
        <v>2217</v>
      </c>
      <c r="AM500" s="8" t="str">
        <f>IF(B500="","",IF(Z500="N","Easy",IF(OR(AND(ISNUMBER(AB500),AB500&gt;'Scoring Settings'!$B$11),AND(ISNUMBER(W500),W500&gt;'Scoring Settings'!$B$12),AND(ISNUMBER(M500),M500&lt;='Scoring Settings'!$B$13)),"High","Medium")))</f>
        <v>Easy</v>
      </c>
      <c r="AN500" s="5" t="s">
        <v>148</v>
      </c>
      <c r="AO500" s="7">
        <v>45199</v>
      </c>
      <c r="AP500" s="5" t="s">
        <v>98</v>
      </c>
      <c r="AQ500" s="29" t="s">
        <v>1782</v>
      </c>
    </row>
    <row r="501" spans="1:43" ht="57" hidden="1">
      <c r="A501" s="28">
        <v>14318</v>
      </c>
      <c r="B501" s="5" t="s">
        <v>2085</v>
      </c>
      <c r="C501" s="5" t="s">
        <v>395</v>
      </c>
      <c r="D501" s="5" t="s">
        <v>88</v>
      </c>
      <c r="E501" s="5" t="s">
        <v>68</v>
      </c>
      <c r="F501" s="5" t="s">
        <v>209</v>
      </c>
      <c r="G501" s="5" t="s">
        <v>404</v>
      </c>
      <c r="H501" s="5" t="s">
        <v>71</v>
      </c>
      <c r="I501" s="6">
        <v>1077</v>
      </c>
      <c r="J501" s="7">
        <v>44306</v>
      </c>
      <c r="K501" s="8" t="str">
        <f>IF(B501="","",IF(AND(I501="",J501=""),"Unknown",IF(OR(AND(ISNUMBER(I501),I501=0),AND(ISNUMBER(J501),J501&lt;=EDATE('Scoring Settings'!$B$4,-'Scoring Settings'!$B$5))),"Not in use",IF(AND(ISNUMBER(I501),I501&lt;'Scoring Settings'!$B$6),"Low use","Active"))))</f>
        <v>Active</v>
      </c>
      <c r="L501" s="5">
        <v>1</v>
      </c>
      <c r="M501" s="5">
        <v>4</v>
      </c>
      <c r="N501" s="5" t="s">
        <v>72</v>
      </c>
      <c r="O501" s="5" t="s">
        <v>130</v>
      </c>
      <c r="P501" s="5" t="s">
        <v>1283</v>
      </c>
      <c r="Q501" s="9">
        <v>2</v>
      </c>
      <c r="R501" s="5" t="s">
        <v>107</v>
      </c>
      <c r="S501" s="5" t="s">
        <v>108</v>
      </c>
      <c r="T501" s="5" t="s">
        <v>134</v>
      </c>
      <c r="U501" s="7">
        <v>43655</v>
      </c>
      <c r="V501" s="5" t="s">
        <v>135</v>
      </c>
      <c r="W501" s="6">
        <v>62</v>
      </c>
      <c r="X501" s="5" t="s">
        <v>79</v>
      </c>
      <c r="Y501" s="9">
        <v>5</v>
      </c>
      <c r="Z501" s="5" t="s">
        <v>79</v>
      </c>
      <c r="AA501" s="5" t="s">
        <v>110</v>
      </c>
      <c r="AB501" s="9">
        <v>2</v>
      </c>
      <c r="AC501" s="5" t="s">
        <v>82</v>
      </c>
      <c r="AD501" s="5" t="s">
        <v>82</v>
      </c>
      <c r="AE501" s="5" t="s">
        <v>80</v>
      </c>
      <c r="AF501" s="10">
        <v>20500</v>
      </c>
      <c r="AG501" s="7">
        <v>49217</v>
      </c>
      <c r="AH501" s="10">
        <v>13000</v>
      </c>
      <c r="AI501" s="10">
        <v>19500</v>
      </c>
      <c r="AJ501" s="11">
        <f t="shared" si="7"/>
        <v>8</v>
      </c>
      <c r="AK501" s="12">
        <f>IF(B501="","",OR(K501="Not in use",K501="Low use")+AND(N501&lt;&gt;"",N501&lt;&gt;"TBD")+AND(ISNUMBER(U501),U501&lt;=EDATE('Scoring Settings'!$B$4,'Scoring Settings'!$B$8))+AND(ISNUMBER(L501),L501&lt;='Scoring Settings'!$B$7))</f>
        <v>2</v>
      </c>
      <c r="AL501" s="5" t="s">
        <v>223</v>
      </c>
      <c r="AM501" s="8" t="str">
        <f>IF(B501="","",IF(Z501="N","Easy",IF(OR(AND(ISNUMBER(AB501),AB501&gt;'Scoring Settings'!$B$11),AND(ISNUMBER(W501),W501&gt;'Scoring Settings'!$B$12),AND(ISNUMBER(M501),M501&lt;='Scoring Settings'!$B$13)),"High","Medium")))</f>
        <v>Easy</v>
      </c>
      <c r="AN501" s="5" t="s">
        <v>148</v>
      </c>
      <c r="AO501" s="7">
        <v>45260</v>
      </c>
      <c r="AP501" s="5" t="s">
        <v>98</v>
      </c>
      <c r="AQ501" s="29" t="s">
        <v>1468</v>
      </c>
    </row>
    <row r="502" spans="1:43" hidden="1">
      <c r="A502" s="28">
        <v>33115</v>
      </c>
      <c r="B502" s="5" t="s">
        <v>2111</v>
      </c>
      <c r="C502" s="5" t="s">
        <v>301</v>
      </c>
      <c r="D502" s="5" t="s">
        <v>162</v>
      </c>
      <c r="E502" s="5" t="s">
        <v>68</v>
      </c>
      <c r="F502" s="5" t="s">
        <v>266</v>
      </c>
      <c r="G502" s="5" t="s">
        <v>70</v>
      </c>
      <c r="H502" s="5" t="s">
        <v>189</v>
      </c>
      <c r="I502" s="6">
        <v>4</v>
      </c>
      <c r="J502" s="7">
        <v>43775</v>
      </c>
      <c r="K502" s="8" t="str">
        <f>IF(B502="","",IF(AND(I502="",J502=""),"Unknown",IF(OR(AND(ISNUMBER(I502),I502=0),AND(ISNUMBER(J502),J502&lt;=EDATE('Scoring Settings'!$B$4,-'Scoring Settings'!$B$5))),"Not in use",IF(AND(ISNUMBER(I502),I502&lt;'Scoring Settings'!$B$6),"Low use","Active"))))</f>
        <v>Not in use</v>
      </c>
      <c r="L502" s="5">
        <v>4</v>
      </c>
      <c r="M502" s="5">
        <v>1</v>
      </c>
      <c r="N502" s="5"/>
      <c r="O502" s="5" t="s">
        <v>130</v>
      </c>
      <c r="P502" s="5" t="s">
        <v>1800</v>
      </c>
      <c r="Q502" s="9">
        <v>4</v>
      </c>
      <c r="R502" s="5" t="s">
        <v>256</v>
      </c>
      <c r="S502" s="5" t="s">
        <v>257</v>
      </c>
      <c r="T502" s="5" t="s">
        <v>134</v>
      </c>
      <c r="U502" s="7">
        <v>45077</v>
      </c>
      <c r="V502" s="5" t="s">
        <v>135</v>
      </c>
      <c r="W502" s="6">
        <v>260</v>
      </c>
      <c r="X502" s="5" t="s">
        <v>79</v>
      </c>
      <c r="Y502" s="9">
        <v>1</v>
      </c>
      <c r="Z502" s="5" t="s">
        <v>79</v>
      </c>
      <c r="AA502" s="5" t="s">
        <v>110</v>
      </c>
      <c r="AB502" s="9">
        <v>44</v>
      </c>
      <c r="AC502" s="5" t="s">
        <v>82</v>
      </c>
      <c r="AD502" s="5" t="s">
        <v>82</v>
      </c>
      <c r="AE502" s="5" t="s">
        <v>79</v>
      </c>
      <c r="AF502" s="10">
        <v>150000</v>
      </c>
      <c r="AG502" s="7">
        <v>45869</v>
      </c>
      <c r="AH502" s="10">
        <v>176500</v>
      </c>
      <c r="AI502" s="10">
        <v>126000</v>
      </c>
      <c r="AJ502" s="11">
        <f t="shared" si="7"/>
        <v>16.80952380952381</v>
      </c>
      <c r="AK502" s="12">
        <f>IF(B502="","",OR(K502="Not in use",K502="Low use")+AND(N502&lt;&gt;"",N502&lt;&gt;"TBD")+AND(ISNUMBER(U502),U502&lt;=EDATE('Scoring Settings'!$B$4,'Scoring Settings'!$B$8))+AND(ISNUMBER(L502),L502&lt;='Scoring Settings'!$B$7))</f>
        <v>1</v>
      </c>
      <c r="AL502" s="5" t="s">
        <v>223</v>
      </c>
      <c r="AM502" s="8" t="str">
        <f>IF(B502="","",IF(Z502="N","Easy",IF(OR(AND(ISNUMBER(AB502),AB502&gt;'Scoring Settings'!$B$11),AND(ISNUMBER(W502),W502&gt;'Scoring Settings'!$B$12),AND(ISNUMBER(M502),M502&lt;='Scoring Settings'!$B$13)),"High","Medium")))</f>
        <v>Easy</v>
      </c>
      <c r="AN502" s="5" t="s">
        <v>148</v>
      </c>
      <c r="AO502" s="7">
        <v>44985</v>
      </c>
      <c r="AP502" s="5" t="s">
        <v>98</v>
      </c>
      <c r="AQ502" s="29" t="s">
        <v>136</v>
      </c>
    </row>
    <row r="503" spans="1:43" ht="42.75" hidden="1">
      <c r="A503" s="28">
        <v>193967</v>
      </c>
      <c r="B503" s="5" t="s">
        <v>2118</v>
      </c>
      <c r="C503" s="5" t="s">
        <v>639</v>
      </c>
      <c r="D503" s="5" t="s">
        <v>88</v>
      </c>
      <c r="E503" s="5" t="s">
        <v>68</v>
      </c>
      <c r="F503" s="5" t="s">
        <v>288</v>
      </c>
      <c r="G503" s="5" t="s">
        <v>210</v>
      </c>
      <c r="H503" s="5" t="s">
        <v>91</v>
      </c>
      <c r="I503" s="6">
        <v>154</v>
      </c>
      <c r="J503" s="7">
        <v>44298</v>
      </c>
      <c r="K503" s="8" t="str">
        <f>IF(B503="","",IF(AND(I503="",J503=""),"Unknown",IF(OR(AND(ISNUMBER(I503),I503=0),AND(ISNUMBER(J503),J503&lt;=EDATE('Scoring Settings'!$B$4,-'Scoring Settings'!$B$5))),"Not in use",IF(AND(ISNUMBER(I503),I503&lt;'Scoring Settings'!$B$6),"Low use","Active"))))</f>
        <v>Active</v>
      </c>
      <c r="L503" s="5">
        <v>2</v>
      </c>
      <c r="M503" s="5">
        <v>4</v>
      </c>
      <c r="N503" s="5" t="s">
        <v>1592</v>
      </c>
      <c r="O503" s="5" t="s">
        <v>73</v>
      </c>
      <c r="P503" s="5" t="s">
        <v>2119</v>
      </c>
      <c r="Q503" s="9">
        <v>2</v>
      </c>
      <c r="R503" s="5" t="s">
        <v>478</v>
      </c>
      <c r="S503" s="5" t="s">
        <v>479</v>
      </c>
      <c r="T503" s="5" t="s">
        <v>72</v>
      </c>
      <c r="U503" s="7">
        <v>43844</v>
      </c>
      <c r="V503" s="5" t="s">
        <v>135</v>
      </c>
      <c r="W503" s="6">
        <v>37</v>
      </c>
      <c r="X503" s="5" t="s">
        <v>79</v>
      </c>
      <c r="Y503" s="9">
        <v>1</v>
      </c>
      <c r="Z503" s="5" t="s">
        <v>79</v>
      </c>
      <c r="AA503" s="5" t="s">
        <v>110</v>
      </c>
      <c r="AB503" s="9">
        <v>0</v>
      </c>
      <c r="AC503" s="5" t="s">
        <v>82</v>
      </c>
      <c r="AD503" s="5" t="s">
        <v>82</v>
      </c>
      <c r="AE503" s="5" t="s">
        <v>82</v>
      </c>
      <c r="AF503" s="10">
        <v>26000</v>
      </c>
      <c r="AG503" s="7">
        <v>47149</v>
      </c>
      <c r="AH503" s="10">
        <v>22000</v>
      </c>
      <c r="AI503" s="10">
        <v>25000</v>
      </c>
      <c r="AJ503" s="11">
        <f t="shared" si="7"/>
        <v>10.56</v>
      </c>
      <c r="AK503" s="12">
        <f>IF(B503="","",OR(K503="Not in use",K503="Low use")+AND(N503&lt;&gt;"",N503&lt;&gt;"TBD")+AND(ISNUMBER(U503),U503&lt;=EDATE('Scoring Settings'!$B$4,'Scoring Settings'!$B$8))+AND(ISNUMBER(L503),L503&lt;='Scoring Settings'!$B$7))</f>
        <v>3</v>
      </c>
      <c r="AL503" s="5" t="s">
        <v>223</v>
      </c>
      <c r="AM503" s="8" t="str">
        <f>IF(B503="","",IF(Z503="N","Easy",IF(OR(AND(ISNUMBER(AB503),AB503&gt;'Scoring Settings'!$B$11),AND(ISNUMBER(W503),W503&gt;'Scoring Settings'!$B$12),AND(ISNUMBER(M503),M503&lt;='Scoring Settings'!$B$13)),"High","Medium")))</f>
        <v>Easy</v>
      </c>
      <c r="AN503" s="5" t="s">
        <v>148</v>
      </c>
      <c r="AO503" s="7">
        <v>45016</v>
      </c>
      <c r="AP503" s="5" t="s">
        <v>98</v>
      </c>
      <c r="AQ503" s="29" t="s">
        <v>1663</v>
      </c>
    </row>
    <row r="504" spans="1:43" ht="42.75" hidden="1">
      <c r="A504" s="28">
        <v>165625</v>
      </c>
      <c r="B504" s="5" t="s">
        <v>2120</v>
      </c>
      <c r="C504" s="5" t="s">
        <v>338</v>
      </c>
      <c r="D504" s="5" t="s">
        <v>139</v>
      </c>
      <c r="E504" s="5" t="s">
        <v>311</v>
      </c>
      <c r="F504" s="5" t="s">
        <v>387</v>
      </c>
      <c r="G504" s="5" t="s">
        <v>70</v>
      </c>
      <c r="H504" s="5" t="s">
        <v>91</v>
      </c>
      <c r="I504" s="6">
        <v>8</v>
      </c>
      <c r="J504" s="7">
        <v>44313</v>
      </c>
      <c r="K504" s="8" t="str">
        <f>IF(B504="","",IF(AND(I504="",J504=""),"Unknown",IF(OR(AND(ISNUMBER(I504),I504=0),AND(ISNUMBER(J504),J504&lt;=EDATE('Scoring Settings'!$B$4,-'Scoring Settings'!$B$5))),"Not in use",IF(AND(ISNUMBER(I504),I504&lt;'Scoring Settings'!$B$6),"Low use","Active"))))</f>
        <v>Low use</v>
      </c>
      <c r="L504" s="5">
        <v>3</v>
      </c>
      <c r="M504" s="5">
        <v>3</v>
      </c>
      <c r="N504" s="5" t="s">
        <v>350</v>
      </c>
      <c r="O504" s="5" t="s">
        <v>73</v>
      </c>
      <c r="P504" s="5" t="s">
        <v>2121</v>
      </c>
      <c r="Q504" s="9">
        <v>3</v>
      </c>
      <c r="R504" s="5" t="s">
        <v>93</v>
      </c>
      <c r="S504" s="5" t="s">
        <v>94</v>
      </c>
      <c r="T504" s="5" t="s">
        <v>109</v>
      </c>
      <c r="U504" s="7">
        <v>44561</v>
      </c>
      <c r="V504" s="5" t="s">
        <v>135</v>
      </c>
      <c r="W504" s="6">
        <v>45</v>
      </c>
      <c r="X504" s="5" t="s">
        <v>79</v>
      </c>
      <c r="Y504" s="9">
        <v>2</v>
      </c>
      <c r="Z504" s="5" t="s">
        <v>79</v>
      </c>
      <c r="AA504" s="5" t="s">
        <v>110</v>
      </c>
      <c r="AB504" s="9">
        <v>2</v>
      </c>
      <c r="AC504" s="5" t="s">
        <v>82</v>
      </c>
      <c r="AD504" s="5" t="s">
        <v>82</v>
      </c>
      <c r="AE504" s="5" t="s">
        <v>80</v>
      </c>
      <c r="AF504" s="10">
        <v>65000</v>
      </c>
      <c r="AG504" s="7">
        <v>49643</v>
      </c>
      <c r="AH504" s="10">
        <v>77500</v>
      </c>
      <c r="AI504" s="10">
        <v>62500</v>
      </c>
      <c r="AJ504" s="11">
        <f t="shared" si="7"/>
        <v>14.879999999999999</v>
      </c>
      <c r="AK504" s="12">
        <f>IF(B504="","",OR(K504="Not in use",K504="Low use")+AND(N504&lt;&gt;"",N504&lt;&gt;"TBD")+AND(ISNUMBER(U504),U504&lt;=EDATE('Scoring Settings'!$B$4,'Scoring Settings'!$B$8))+AND(ISNUMBER(L504),L504&lt;='Scoring Settings'!$B$7))</f>
        <v>3</v>
      </c>
      <c r="AL504" s="5" t="s">
        <v>223</v>
      </c>
      <c r="AM504" s="8" t="str">
        <f>IF(B504="","",IF(Z504="N","Easy",IF(OR(AND(ISNUMBER(AB504),AB504&gt;'Scoring Settings'!$B$11),AND(ISNUMBER(W504),W504&gt;'Scoring Settings'!$B$12),AND(ISNUMBER(M504),M504&lt;='Scoring Settings'!$B$13)),"High","Medium")))</f>
        <v>Easy</v>
      </c>
      <c r="AN504" s="5" t="s">
        <v>148</v>
      </c>
      <c r="AO504" s="7">
        <v>45230</v>
      </c>
      <c r="AP504" s="5" t="s">
        <v>98</v>
      </c>
      <c r="AQ504" s="29" t="s">
        <v>2122</v>
      </c>
    </row>
    <row r="505" spans="1:43" hidden="1">
      <c r="A505" s="28">
        <v>28973</v>
      </c>
      <c r="B505" s="5" t="s">
        <v>65</v>
      </c>
      <c r="C505" s="5" t="s">
        <v>66</v>
      </c>
      <c r="D505" s="5" t="s">
        <v>67</v>
      </c>
      <c r="E505" s="5" t="s">
        <v>68</v>
      </c>
      <c r="F505" s="5" t="s">
        <v>69</v>
      </c>
      <c r="G505" s="5" t="s">
        <v>70</v>
      </c>
      <c r="H505" s="5" t="s">
        <v>71</v>
      </c>
      <c r="I505" s="6">
        <v>25</v>
      </c>
      <c r="J505" s="7">
        <v>44275</v>
      </c>
      <c r="K505" s="8" t="str">
        <f>IF(B505="","",IF(AND(I505="",J505=""),"Unknown",IF(OR(AND(ISNUMBER(I505),I505=0),AND(ISNUMBER(J505),J505&lt;=EDATE('Scoring Settings'!$B$4,-'Scoring Settings'!$B$5))),"Not in use",IF(AND(ISNUMBER(I505),I505&lt;'Scoring Settings'!$B$6),"Low use","Active"))))</f>
        <v>Active</v>
      </c>
      <c r="L505" s="5">
        <v>5</v>
      </c>
      <c r="M505" s="5">
        <v>1</v>
      </c>
      <c r="N505" s="5" t="s">
        <v>72</v>
      </c>
      <c r="O505" s="5" t="s">
        <v>73</v>
      </c>
      <c r="P505" s="5" t="s">
        <v>74</v>
      </c>
      <c r="Q505" s="9">
        <v>8</v>
      </c>
      <c r="R505" s="5" t="s">
        <v>75</v>
      </c>
      <c r="S505" s="5" t="s">
        <v>76</v>
      </c>
      <c r="T505" s="5" t="s">
        <v>77</v>
      </c>
      <c r="U505" s="7">
        <v>46399</v>
      </c>
      <c r="V505" s="5" t="s">
        <v>78</v>
      </c>
      <c r="W505" s="6">
        <v>2250</v>
      </c>
      <c r="X505" s="5" t="s">
        <v>79</v>
      </c>
      <c r="Y505" s="9">
        <v>7</v>
      </c>
      <c r="Z505" s="5" t="s">
        <v>80</v>
      </c>
      <c r="AA505" s="5" t="s">
        <v>81</v>
      </c>
      <c r="AB505" s="9">
        <v>44</v>
      </c>
      <c r="AC505" s="5" t="s">
        <v>82</v>
      </c>
      <c r="AD505" s="5" t="s">
        <v>82</v>
      </c>
      <c r="AE505" s="5" t="s">
        <v>80</v>
      </c>
      <c r="AF505" s="10">
        <v>170000</v>
      </c>
      <c r="AG505" s="7">
        <v>46568</v>
      </c>
      <c r="AH505" s="10"/>
      <c r="AI505" s="10"/>
      <c r="AJ505" s="11" t="str">
        <f t="shared" si="7"/>
        <v/>
      </c>
      <c r="AK505" s="12">
        <f>IF(B505="","",OR(K505="Not in use",K505="Low use")+AND(N505&lt;&gt;"",N505&lt;&gt;"TBD")+AND(ISNUMBER(U505),U505&lt;=EDATE('Scoring Settings'!$B$4,'Scoring Settings'!$B$8))+AND(ISNUMBER(L505),L505&lt;='Scoring Settings'!$B$7))</f>
        <v>0</v>
      </c>
      <c r="AL505" s="5" t="s">
        <v>83</v>
      </c>
      <c r="AM505" s="8" t="str">
        <f>IF(B505="","",IF(Z505="N","Easy",IF(OR(AND(ISNUMBER(AB505),AB505&gt;'Scoring Settings'!$B$11),AND(ISNUMBER(W505),W505&gt;'Scoring Settings'!$B$12),AND(ISNUMBER(M505),M505&lt;='Scoring Settings'!$B$13)),"High","Medium")))</f>
        <v>High</v>
      </c>
      <c r="AN505" s="5"/>
      <c r="AO505" s="7"/>
      <c r="AP505" s="5" t="s">
        <v>84</v>
      </c>
      <c r="AQ505" s="29" t="s">
        <v>85</v>
      </c>
    </row>
    <row r="506" spans="1:43" hidden="1">
      <c r="A506" s="28">
        <v>185677</v>
      </c>
      <c r="B506" s="5" t="s">
        <v>100</v>
      </c>
      <c r="C506" s="5" t="s">
        <v>101</v>
      </c>
      <c r="D506" s="5" t="s">
        <v>102</v>
      </c>
      <c r="E506" s="5" t="s">
        <v>68</v>
      </c>
      <c r="F506" s="5" t="s">
        <v>103</v>
      </c>
      <c r="G506" s="5" t="s">
        <v>104</v>
      </c>
      <c r="H506" s="5" t="s">
        <v>105</v>
      </c>
      <c r="I506" s="6">
        <v>117</v>
      </c>
      <c r="J506" s="7">
        <v>44279</v>
      </c>
      <c r="K506" s="8" t="str">
        <f>IF(B506="","",IF(AND(I506="",J506=""),"Unknown",IF(OR(AND(ISNUMBER(I506),I506=0),AND(ISNUMBER(J506),J506&lt;=EDATE('Scoring Settings'!$B$4,-'Scoring Settings'!$B$5))),"Not in use",IF(AND(ISNUMBER(I506),I506&lt;'Scoring Settings'!$B$6),"Low use","Active"))))</f>
        <v>Active</v>
      </c>
      <c r="L506" s="5">
        <v>3</v>
      </c>
      <c r="M506" s="5">
        <v>4</v>
      </c>
      <c r="N506" s="5" t="s">
        <v>72</v>
      </c>
      <c r="O506" s="5" t="s">
        <v>73</v>
      </c>
      <c r="P506" s="5" t="s">
        <v>106</v>
      </c>
      <c r="Q506" s="9">
        <v>4</v>
      </c>
      <c r="R506" s="5" t="s">
        <v>107</v>
      </c>
      <c r="S506" s="5" t="s">
        <v>108</v>
      </c>
      <c r="T506" s="5" t="s">
        <v>109</v>
      </c>
      <c r="U506" s="7">
        <v>43655</v>
      </c>
      <c r="V506" s="5" t="s">
        <v>95</v>
      </c>
      <c r="W506" s="6">
        <v>48</v>
      </c>
      <c r="X506" s="5" t="s">
        <v>79</v>
      </c>
      <c r="Y506" s="9">
        <v>3</v>
      </c>
      <c r="Z506" s="5" t="s">
        <v>79</v>
      </c>
      <c r="AA506" s="5" t="s">
        <v>110</v>
      </c>
      <c r="AB506" s="9">
        <v>3</v>
      </c>
      <c r="AC506" s="5" t="s">
        <v>79</v>
      </c>
      <c r="AD506" s="5" t="s">
        <v>79</v>
      </c>
      <c r="AE506" s="5" t="s">
        <v>82</v>
      </c>
      <c r="AF506" s="10">
        <v>80000</v>
      </c>
      <c r="AG506" s="7">
        <v>47968</v>
      </c>
      <c r="AH506" s="10"/>
      <c r="AI506" s="10"/>
      <c r="AJ506" s="11" t="str">
        <f t="shared" si="7"/>
        <v/>
      </c>
      <c r="AK506" s="12">
        <f>IF(B506="","",OR(K506="Not in use",K506="Low use")+AND(N506&lt;&gt;"",N506&lt;&gt;"TBD")+AND(ISNUMBER(U506),U506&lt;=EDATE('Scoring Settings'!$B$4,'Scoring Settings'!$B$8))+AND(ISNUMBER(L506),L506&lt;='Scoring Settings'!$B$7))</f>
        <v>1</v>
      </c>
      <c r="AL506" s="5" t="s">
        <v>111</v>
      </c>
      <c r="AM506" s="8" t="str">
        <f>IF(B506="","",IF(Z506="N","Easy",IF(OR(AND(ISNUMBER(AB506),AB506&gt;'Scoring Settings'!$B$11),AND(ISNUMBER(W506),W506&gt;'Scoring Settings'!$B$12),AND(ISNUMBER(M506),M506&lt;='Scoring Settings'!$B$13)),"High","Medium")))</f>
        <v>Easy</v>
      </c>
      <c r="AN506" s="5"/>
      <c r="AO506" s="7"/>
      <c r="AP506" s="5" t="s">
        <v>98</v>
      </c>
      <c r="AQ506" s="29" t="s">
        <v>112</v>
      </c>
    </row>
    <row r="507" spans="1:43" hidden="1">
      <c r="A507" s="28">
        <v>172450</v>
      </c>
      <c r="B507" s="5" t="s">
        <v>113</v>
      </c>
      <c r="C507" s="5" t="s">
        <v>114</v>
      </c>
      <c r="D507" s="5" t="s">
        <v>115</v>
      </c>
      <c r="E507" s="5" t="s">
        <v>68</v>
      </c>
      <c r="F507" s="5" t="s">
        <v>116</v>
      </c>
      <c r="G507" s="5" t="s">
        <v>117</v>
      </c>
      <c r="H507" s="5" t="s">
        <v>118</v>
      </c>
      <c r="I507" s="6">
        <v>68</v>
      </c>
      <c r="J507" s="7">
        <v>44270</v>
      </c>
      <c r="K507" s="8" t="str">
        <f>IF(B507="","",IF(AND(I507="",J507=""),"Unknown",IF(OR(AND(ISNUMBER(I507),I507=0),AND(ISNUMBER(J507),J507&lt;=EDATE('Scoring Settings'!$B$4,-'Scoring Settings'!$B$5))),"Not in use",IF(AND(ISNUMBER(I507),I507&lt;'Scoring Settings'!$B$6),"Low use","Active"))))</f>
        <v>Active</v>
      </c>
      <c r="L507" s="5">
        <v>5</v>
      </c>
      <c r="M507" s="5">
        <v>2</v>
      </c>
      <c r="N507" s="5" t="s">
        <v>119</v>
      </c>
      <c r="O507" s="5" t="s">
        <v>73</v>
      </c>
      <c r="P507" s="5" t="s">
        <v>120</v>
      </c>
      <c r="Q507" s="9">
        <v>5</v>
      </c>
      <c r="R507" s="5" t="s">
        <v>75</v>
      </c>
      <c r="S507" s="5" t="s">
        <v>121</v>
      </c>
      <c r="T507" s="5" t="s">
        <v>122</v>
      </c>
      <c r="U507" s="7">
        <v>46217</v>
      </c>
      <c r="V507" s="5" t="s">
        <v>78</v>
      </c>
      <c r="W507" s="6">
        <v>500</v>
      </c>
      <c r="X507" s="5" t="s">
        <v>79</v>
      </c>
      <c r="Y507" s="9">
        <v>1</v>
      </c>
      <c r="Z507" s="5" t="s">
        <v>80</v>
      </c>
      <c r="AA507" s="5" t="s">
        <v>123</v>
      </c>
      <c r="AB507" s="9">
        <v>30</v>
      </c>
      <c r="AC507" s="5" t="s">
        <v>82</v>
      </c>
      <c r="AD507" s="5" t="s">
        <v>80</v>
      </c>
      <c r="AE507" s="5" t="s">
        <v>82</v>
      </c>
      <c r="AF507" s="10">
        <v>65000</v>
      </c>
      <c r="AG507" s="7">
        <v>49340</v>
      </c>
      <c r="AH507" s="10"/>
      <c r="AI507" s="10"/>
      <c r="AJ507" s="11" t="str">
        <f t="shared" si="7"/>
        <v/>
      </c>
      <c r="AK507" s="12">
        <f>IF(B507="","",OR(K507="Not in use",K507="Low use")+AND(N507&lt;&gt;"",N507&lt;&gt;"TBD")+AND(ISNUMBER(U507),U507&lt;=EDATE('Scoring Settings'!$B$4,'Scoring Settings'!$B$8))+AND(ISNUMBER(L507),L507&lt;='Scoring Settings'!$B$7))</f>
        <v>1</v>
      </c>
      <c r="AL507" s="5" t="s">
        <v>111</v>
      </c>
      <c r="AM507" s="8" t="str">
        <f>IF(B507="","",IF(Z507="N","Easy",IF(OR(AND(ISNUMBER(AB507),AB507&gt;'Scoring Settings'!$B$11),AND(ISNUMBER(W507),W507&gt;'Scoring Settings'!$B$12),AND(ISNUMBER(M507),M507&lt;='Scoring Settings'!$B$13)),"High","Medium")))</f>
        <v>High</v>
      </c>
      <c r="AN507" s="5"/>
      <c r="AO507" s="7"/>
      <c r="AP507" s="5" t="s">
        <v>98</v>
      </c>
      <c r="AQ507" s="29" t="s">
        <v>124</v>
      </c>
    </row>
    <row r="508" spans="1:43" hidden="1">
      <c r="A508" s="28">
        <v>45792</v>
      </c>
      <c r="B508" s="5" t="s">
        <v>155</v>
      </c>
      <c r="C508" s="5" t="s">
        <v>156</v>
      </c>
      <c r="D508" s="5" t="s">
        <v>139</v>
      </c>
      <c r="E508" s="5" t="s">
        <v>68</v>
      </c>
      <c r="F508" s="5" t="s">
        <v>157</v>
      </c>
      <c r="G508" s="5" t="s">
        <v>90</v>
      </c>
      <c r="H508" s="5" t="s">
        <v>105</v>
      </c>
      <c r="I508" s="6">
        <v>436</v>
      </c>
      <c r="J508" s="7">
        <v>44305</v>
      </c>
      <c r="K508" s="8" t="str">
        <f>IF(B508="","",IF(AND(I508="",J508=""),"Unknown",IF(OR(AND(ISNUMBER(I508),I508=0),AND(ISNUMBER(J508),J508&lt;=EDATE('Scoring Settings'!$B$4,-'Scoring Settings'!$B$5))),"Not in use",IF(AND(ISNUMBER(I508),I508&lt;'Scoring Settings'!$B$6),"Low use","Active"))))</f>
        <v>Active</v>
      </c>
      <c r="L508" s="5">
        <v>3</v>
      </c>
      <c r="M508" s="5">
        <v>3</v>
      </c>
      <c r="N508" s="5"/>
      <c r="O508" s="5" t="s">
        <v>73</v>
      </c>
      <c r="P508" s="5" t="s">
        <v>158</v>
      </c>
      <c r="Q508" s="9">
        <v>2</v>
      </c>
      <c r="R508" s="5" t="s">
        <v>132</v>
      </c>
      <c r="S508" s="5" t="s">
        <v>133</v>
      </c>
      <c r="T508" s="5" t="s">
        <v>109</v>
      </c>
      <c r="U508" s="7">
        <v>44227</v>
      </c>
      <c r="V508" s="5" t="s">
        <v>135</v>
      </c>
      <c r="W508" s="6">
        <v>200</v>
      </c>
      <c r="X508" s="5" t="s">
        <v>79</v>
      </c>
      <c r="Y508" s="9">
        <v>5</v>
      </c>
      <c r="Z508" s="5" t="s">
        <v>80</v>
      </c>
      <c r="AA508" s="5" t="s">
        <v>123</v>
      </c>
      <c r="AB508" s="9">
        <v>6</v>
      </c>
      <c r="AC508" s="5" t="s">
        <v>82</v>
      </c>
      <c r="AD508" s="5" t="s">
        <v>79</v>
      </c>
      <c r="AE508" s="5" t="s">
        <v>79</v>
      </c>
      <c r="AF508" s="10">
        <v>38500</v>
      </c>
      <c r="AG508" s="7">
        <v>48457</v>
      </c>
      <c r="AH508" s="10">
        <v>72500</v>
      </c>
      <c r="AI508" s="10">
        <v>24500</v>
      </c>
      <c r="AJ508" s="11">
        <f t="shared" si="7"/>
        <v>35.510204081632651</v>
      </c>
      <c r="AK508" s="12">
        <f>IF(B508="","",OR(K508="Not in use",K508="Low use")+AND(N508&lt;&gt;"",N508&lt;&gt;"TBD")+AND(ISNUMBER(U508),U508&lt;=EDATE('Scoring Settings'!$B$4,'Scoring Settings'!$B$8))+AND(ISNUMBER(L508),L508&lt;='Scoring Settings'!$B$7))</f>
        <v>1</v>
      </c>
      <c r="AL508" s="5" t="s">
        <v>111</v>
      </c>
      <c r="AM508" s="8" t="str">
        <f>IF(B508="","",IF(Z508="N","Easy",IF(OR(AND(ISNUMBER(AB508),AB508&gt;'Scoring Settings'!$B$11),AND(ISNUMBER(W508),W508&gt;'Scoring Settings'!$B$12),AND(ISNUMBER(M508),M508&lt;='Scoring Settings'!$B$13)),"High","Medium")))</f>
        <v>High</v>
      </c>
      <c r="AN508" s="5"/>
      <c r="AO508" s="7"/>
      <c r="AP508" s="5" t="s">
        <v>98</v>
      </c>
      <c r="AQ508" s="29" t="s">
        <v>159</v>
      </c>
    </row>
    <row r="509" spans="1:43" hidden="1">
      <c r="A509" s="28">
        <v>21820</v>
      </c>
      <c r="B509" s="5" t="s">
        <v>171</v>
      </c>
      <c r="C509" s="5" t="s">
        <v>172</v>
      </c>
      <c r="D509" s="5" t="s">
        <v>162</v>
      </c>
      <c r="E509" s="5" t="s">
        <v>68</v>
      </c>
      <c r="F509" s="5" t="s">
        <v>173</v>
      </c>
      <c r="G509" s="5" t="s">
        <v>153</v>
      </c>
      <c r="H509" s="5" t="s">
        <v>174</v>
      </c>
      <c r="I509" s="6">
        <v>0</v>
      </c>
      <c r="J509" s="7">
        <v>44223</v>
      </c>
      <c r="K509" s="8" t="str">
        <f>IF(B509="","",IF(AND(I509="",J509=""),"Unknown",IF(OR(AND(ISNUMBER(I509),I509=0),AND(ISNUMBER(J509),J509&lt;=EDATE('Scoring Settings'!$B$4,-'Scoring Settings'!$B$5))),"Not in use",IF(AND(ISNUMBER(I509),I509&lt;'Scoring Settings'!$B$6),"Low use","Active"))))</f>
        <v>Not in use</v>
      </c>
      <c r="L509" s="5">
        <v>4</v>
      </c>
      <c r="M509" s="5">
        <v>2</v>
      </c>
      <c r="N509" s="5" t="s">
        <v>175</v>
      </c>
      <c r="O509" s="5" t="s">
        <v>73</v>
      </c>
      <c r="P509" s="5" t="s">
        <v>176</v>
      </c>
      <c r="Q509" s="9">
        <v>7</v>
      </c>
      <c r="R509" s="5" t="s">
        <v>107</v>
      </c>
      <c r="S509" s="5" t="s">
        <v>108</v>
      </c>
      <c r="T509" s="5" t="s">
        <v>72</v>
      </c>
      <c r="U509" s="7">
        <v>43655</v>
      </c>
      <c r="V509" s="5" t="s">
        <v>78</v>
      </c>
      <c r="W509" s="6">
        <v>180</v>
      </c>
      <c r="X509" s="5" t="s">
        <v>79</v>
      </c>
      <c r="Y509" s="9">
        <v>7</v>
      </c>
      <c r="Z509" s="5" t="s">
        <v>79</v>
      </c>
      <c r="AA509" s="5" t="s">
        <v>110</v>
      </c>
      <c r="AB509" s="9">
        <v>10</v>
      </c>
      <c r="AC509" s="5" t="s">
        <v>80</v>
      </c>
      <c r="AD509" s="5" t="s">
        <v>82</v>
      </c>
      <c r="AE509" s="5" t="s">
        <v>79</v>
      </c>
      <c r="AF509" s="10">
        <v>85000</v>
      </c>
      <c r="AG509" s="7">
        <v>46142</v>
      </c>
      <c r="AH509" s="10">
        <v>92000</v>
      </c>
      <c r="AI509" s="10">
        <v>74500</v>
      </c>
      <c r="AJ509" s="11">
        <f t="shared" si="7"/>
        <v>14.818791946308725</v>
      </c>
      <c r="AK509" s="12">
        <f>IF(B509="","",OR(K509="Not in use",K509="Low use")+AND(N509&lt;&gt;"",N509&lt;&gt;"TBD")+AND(ISNUMBER(U509),U509&lt;=EDATE('Scoring Settings'!$B$4,'Scoring Settings'!$B$8))+AND(ISNUMBER(L509),L509&lt;='Scoring Settings'!$B$7))</f>
        <v>3</v>
      </c>
      <c r="AL509" s="5" t="s">
        <v>111</v>
      </c>
      <c r="AM509" s="8" t="str">
        <f>IF(B509="","",IF(Z509="N","Easy",IF(OR(AND(ISNUMBER(AB509),AB509&gt;'Scoring Settings'!$B$11),AND(ISNUMBER(W509),W509&gt;'Scoring Settings'!$B$12),AND(ISNUMBER(M509),M509&lt;='Scoring Settings'!$B$13)),"High","Medium")))</f>
        <v>Easy</v>
      </c>
      <c r="AN509" s="5"/>
      <c r="AO509" s="7"/>
      <c r="AP509" s="5" t="s">
        <v>98</v>
      </c>
      <c r="AQ509" s="29" t="s">
        <v>159</v>
      </c>
    </row>
    <row r="510" spans="1:43" hidden="1">
      <c r="A510" s="28">
        <v>90472</v>
      </c>
      <c r="B510" s="5" t="s">
        <v>177</v>
      </c>
      <c r="C510" s="5" t="s">
        <v>126</v>
      </c>
      <c r="D510" s="5" t="s">
        <v>88</v>
      </c>
      <c r="E510" s="5" t="s">
        <v>68</v>
      </c>
      <c r="F510" s="5" t="s">
        <v>178</v>
      </c>
      <c r="G510" s="5" t="s">
        <v>179</v>
      </c>
      <c r="H510" s="5" t="s">
        <v>118</v>
      </c>
      <c r="I510" s="6">
        <v>142</v>
      </c>
      <c r="J510" s="7">
        <v>44296</v>
      </c>
      <c r="K510" s="8" t="str">
        <f>IF(B510="","",IF(AND(I510="",J510=""),"Unknown",IF(OR(AND(ISNUMBER(I510),I510=0),AND(ISNUMBER(J510),J510&lt;=EDATE('Scoring Settings'!$B$4,-'Scoring Settings'!$B$5))),"Not in use",IF(AND(ISNUMBER(I510),I510&lt;'Scoring Settings'!$B$6),"Low use","Active"))))</f>
        <v>Active</v>
      </c>
      <c r="L510" s="5">
        <v>5</v>
      </c>
      <c r="M510" s="5">
        <v>1</v>
      </c>
      <c r="N510" s="5" t="s">
        <v>180</v>
      </c>
      <c r="O510" s="5" t="s">
        <v>73</v>
      </c>
      <c r="P510" s="5" t="s">
        <v>181</v>
      </c>
      <c r="Q510" s="9">
        <v>8</v>
      </c>
      <c r="R510" s="5" t="s">
        <v>182</v>
      </c>
      <c r="S510" s="5" t="s">
        <v>183</v>
      </c>
      <c r="T510" s="5" t="s">
        <v>184</v>
      </c>
      <c r="U510" s="7">
        <v>42855</v>
      </c>
      <c r="V510" s="5" t="s">
        <v>78</v>
      </c>
      <c r="W510" s="6">
        <v>1980</v>
      </c>
      <c r="X510" s="5" t="s">
        <v>79</v>
      </c>
      <c r="Y510" s="9">
        <v>5</v>
      </c>
      <c r="Z510" s="5" t="s">
        <v>80</v>
      </c>
      <c r="AA510" s="5" t="s">
        <v>185</v>
      </c>
      <c r="AB510" s="9">
        <v>24</v>
      </c>
      <c r="AC510" s="5" t="s">
        <v>80</v>
      </c>
      <c r="AD510" s="5" t="s">
        <v>82</v>
      </c>
      <c r="AE510" s="5" t="s">
        <v>80</v>
      </c>
      <c r="AF510" s="10">
        <v>315000</v>
      </c>
      <c r="AG510" s="7">
        <v>46873</v>
      </c>
      <c r="AH510" s="10"/>
      <c r="AI510" s="10"/>
      <c r="AJ510" s="11" t="str">
        <f t="shared" si="7"/>
        <v/>
      </c>
      <c r="AK510" s="12">
        <f>IF(B510="","",OR(K510="Not in use",K510="Low use")+AND(N510&lt;&gt;"",N510&lt;&gt;"TBD")+AND(ISNUMBER(U510),U510&lt;=EDATE('Scoring Settings'!$B$4,'Scoring Settings'!$B$8))+AND(ISNUMBER(L510),L510&lt;='Scoring Settings'!$B$7))</f>
        <v>2</v>
      </c>
      <c r="AL510" s="5" t="s">
        <v>111</v>
      </c>
      <c r="AM510" s="8" t="str">
        <f>IF(B510="","",IF(Z510="N","Easy",IF(OR(AND(ISNUMBER(AB510),AB510&gt;'Scoring Settings'!$B$11),AND(ISNUMBER(W510),W510&gt;'Scoring Settings'!$B$12),AND(ISNUMBER(M510),M510&lt;='Scoring Settings'!$B$13)),"High","Medium")))</f>
        <v>High</v>
      </c>
      <c r="AN510" s="5"/>
      <c r="AO510" s="7"/>
      <c r="AP510" s="5" t="s">
        <v>98</v>
      </c>
      <c r="AQ510" s="29" t="s">
        <v>124</v>
      </c>
    </row>
    <row r="511" spans="1:43" hidden="1">
      <c r="A511" s="28">
        <v>102168</v>
      </c>
      <c r="B511" s="5" t="s">
        <v>199</v>
      </c>
      <c r="C511" s="5" t="s">
        <v>200</v>
      </c>
      <c r="D511" s="5" t="s">
        <v>115</v>
      </c>
      <c r="E511" s="5" t="s">
        <v>68</v>
      </c>
      <c r="F511" s="5" t="s">
        <v>201</v>
      </c>
      <c r="G511" s="5" t="s">
        <v>104</v>
      </c>
      <c r="H511" s="5" t="s">
        <v>174</v>
      </c>
      <c r="I511" s="6">
        <v>53</v>
      </c>
      <c r="J511" s="7">
        <v>44270</v>
      </c>
      <c r="K511" s="8" t="str">
        <f>IF(B511="","",IF(AND(I511="",J511=""),"Unknown",IF(OR(AND(ISNUMBER(I511),I511=0),AND(ISNUMBER(J511),J511&lt;=EDATE('Scoring Settings'!$B$4,-'Scoring Settings'!$B$5))),"Not in use",IF(AND(ISNUMBER(I511),I511&lt;'Scoring Settings'!$B$6),"Low use","Active"))))</f>
        <v>Active</v>
      </c>
      <c r="L511" s="5">
        <v>3</v>
      </c>
      <c r="M511" s="5">
        <v>3</v>
      </c>
      <c r="N511" s="5"/>
      <c r="O511" s="5" t="s">
        <v>73</v>
      </c>
      <c r="P511" s="5" t="s">
        <v>202</v>
      </c>
      <c r="Q511" s="9">
        <v>4</v>
      </c>
      <c r="R511" s="5" t="s">
        <v>203</v>
      </c>
      <c r="S511" s="5" t="s">
        <v>204</v>
      </c>
      <c r="T511" s="5" t="s">
        <v>109</v>
      </c>
      <c r="U511" s="7">
        <v>47269</v>
      </c>
      <c r="V511" s="5" t="s">
        <v>78</v>
      </c>
      <c r="W511" s="6">
        <v>13</v>
      </c>
      <c r="X511" s="5" t="s">
        <v>79</v>
      </c>
      <c r="Y511" s="9">
        <v>2</v>
      </c>
      <c r="Z511" s="5" t="s">
        <v>80</v>
      </c>
      <c r="AA511" s="5" t="s">
        <v>205</v>
      </c>
      <c r="AB511" s="9">
        <v>2</v>
      </c>
      <c r="AC511" s="5" t="s">
        <v>80</v>
      </c>
      <c r="AD511" s="5" t="s">
        <v>79</v>
      </c>
      <c r="AE511" s="5" t="s">
        <v>80</v>
      </c>
      <c r="AF511" s="10">
        <v>65000</v>
      </c>
      <c r="AG511" s="7">
        <v>46783</v>
      </c>
      <c r="AH511" s="10"/>
      <c r="AI511" s="10"/>
      <c r="AJ511" s="11" t="str">
        <f t="shared" si="7"/>
        <v/>
      </c>
      <c r="AK511" s="12">
        <f>IF(B511="","",OR(K511="Not in use",K511="Low use")+AND(N511&lt;&gt;"",N511&lt;&gt;"TBD")+AND(ISNUMBER(U511),U511&lt;=EDATE('Scoring Settings'!$B$4,'Scoring Settings'!$B$8))+AND(ISNUMBER(L511),L511&lt;='Scoring Settings'!$B$7))</f>
        <v>0</v>
      </c>
      <c r="AL511" s="5" t="s">
        <v>83</v>
      </c>
      <c r="AM511" s="8" t="str">
        <f>IF(B511="","",IF(Z511="N","Easy",IF(OR(AND(ISNUMBER(AB511),AB511&gt;'Scoring Settings'!$B$11),AND(ISNUMBER(W511),W511&gt;'Scoring Settings'!$B$12),AND(ISNUMBER(M511),M511&lt;='Scoring Settings'!$B$13)),"High","Medium")))</f>
        <v>Medium</v>
      </c>
      <c r="AN511" s="5"/>
      <c r="AO511" s="7"/>
      <c r="AP511" s="5" t="s">
        <v>84</v>
      </c>
      <c r="AQ511" s="29" t="s">
        <v>206</v>
      </c>
    </row>
    <row r="512" spans="1:43" hidden="1">
      <c r="A512" s="28">
        <v>83576</v>
      </c>
      <c r="B512" s="5" t="s">
        <v>214</v>
      </c>
      <c r="C512" s="5" t="s">
        <v>215</v>
      </c>
      <c r="D512" s="5" t="s">
        <v>139</v>
      </c>
      <c r="E512" s="5" t="s">
        <v>68</v>
      </c>
      <c r="F512" s="5" t="s">
        <v>152</v>
      </c>
      <c r="G512" s="5" t="s">
        <v>90</v>
      </c>
      <c r="H512" s="5" t="s">
        <v>71</v>
      </c>
      <c r="I512" s="6">
        <v>245</v>
      </c>
      <c r="J512" s="7">
        <v>44286</v>
      </c>
      <c r="K512" s="8" t="str">
        <f>IF(B512="","",IF(AND(I512="",J512=""),"Unknown",IF(OR(AND(ISNUMBER(I512),I512=0),AND(ISNUMBER(J512),J512&lt;=EDATE('Scoring Settings'!$B$4,-'Scoring Settings'!$B$5))),"Not in use",IF(AND(ISNUMBER(I512),I512&lt;'Scoring Settings'!$B$6),"Low use","Active"))))</f>
        <v>Active</v>
      </c>
      <c r="L512" s="5">
        <v>4</v>
      </c>
      <c r="M512" s="5">
        <v>2</v>
      </c>
      <c r="N512" s="5" t="s">
        <v>216</v>
      </c>
      <c r="O512" s="5" t="s">
        <v>73</v>
      </c>
      <c r="P512" s="5" t="s">
        <v>217</v>
      </c>
      <c r="Q512" s="9">
        <v>7</v>
      </c>
      <c r="R512" s="5" t="s">
        <v>93</v>
      </c>
      <c r="S512" s="5" t="s">
        <v>94</v>
      </c>
      <c r="T512" s="5" t="s">
        <v>184</v>
      </c>
      <c r="U512" s="7">
        <v>44561</v>
      </c>
      <c r="V512" s="5" t="s">
        <v>135</v>
      </c>
      <c r="W512" s="6">
        <v>170</v>
      </c>
      <c r="X512" s="5" t="s">
        <v>79</v>
      </c>
      <c r="Y512" s="9">
        <v>3</v>
      </c>
      <c r="Z512" s="5" t="s">
        <v>80</v>
      </c>
      <c r="AA512" s="5" t="s">
        <v>185</v>
      </c>
      <c r="AB512" s="9">
        <v>14</v>
      </c>
      <c r="AC512" s="5" t="s">
        <v>82</v>
      </c>
      <c r="AD512" s="5" t="s">
        <v>79</v>
      </c>
      <c r="AE512" s="5" t="s">
        <v>80</v>
      </c>
      <c r="AF512" s="10">
        <v>120000</v>
      </c>
      <c r="AG512" s="7">
        <v>48182</v>
      </c>
      <c r="AH512" s="10">
        <v>246500</v>
      </c>
      <c r="AI512" s="10">
        <v>115500</v>
      </c>
      <c r="AJ512" s="11">
        <f t="shared" si="7"/>
        <v>25.61038961038961</v>
      </c>
      <c r="AK512" s="12">
        <f>IF(B512="","",OR(K512="Not in use",K512="Low use")+AND(N512&lt;&gt;"",N512&lt;&gt;"TBD")+AND(ISNUMBER(U512),U512&lt;=EDATE('Scoring Settings'!$B$4,'Scoring Settings'!$B$8))+AND(ISNUMBER(L512),L512&lt;='Scoring Settings'!$B$7))</f>
        <v>2</v>
      </c>
      <c r="AL512" s="5" t="s">
        <v>111</v>
      </c>
      <c r="AM512" s="8" t="str">
        <f>IF(B512="","",IF(Z512="N","Easy",IF(OR(AND(ISNUMBER(AB512),AB512&gt;'Scoring Settings'!$B$11),AND(ISNUMBER(W512),W512&gt;'Scoring Settings'!$B$12),AND(ISNUMBER(M512),M512&lt;='Scoring Settings'!$B$13)),"High","Medium")))</f>
        <v>High</v>
      </c>
      <c r="AN512" s="5"/>
      <c r="AO512" s="7"/>
      <c r="AP512" s="5" t="s">
        <v>98</v>
      </c>
      <c r="AQ512" s="29" t="s">
        <v>218</v>
      </c>
    </row>
    <row r="513" spans="1:43" hidden="1">
      <c r="A513" s="28">
        <v>199946</v>
      </c>
      <c r="B513" s="5" t="s">
        <v>233</v>
      </c>
      <c r="C513" s="5" t="s">
        <v>234</v>
      </c>
      <c r="D513" s="5" t="s">
        <v>102</v>
      </c>
      <c r="E513" s="5" t="s">
        <v>68</v>
      </c>
      <c r="F513" s="5" t="s">
        <v>127</v>
      </c>
      <c r="G513" s="5" t="s">
        <v>117</v>
      </c>
      <c r="H513" s="5" t="s">
        <v>142</v>
      </c>
      <c r="I513" s="6">
        <v>13</v>
      </c>
      <c r="J513" s="7">
        <v>44201</v>
      </c>
      <c r="K513" s="8" t="str">
        <f>IF(B513="","",IF(AND(I513="",J513=""),"Unknown",IF(OR(AND(ISNUMBER(I513),I513=0),AND(ISNUMBER(J513),J513&lt;=EDATE('Scoring Settings'!$B$4,-'Scoring Settings'!$B$5))),"Not in use",IF(AND(ISNUMBER(I513),I513&lt;'Scoring Settings'!$B$6),"Low use","Active"))))</f>
        <v>Low use</v>
      </c>
      <c r="L513" s="5">
        <v>5</v>
      </c>
      <c r="M513" s="5">
        <v>2</v>
      </c>
      <c r="N513" s="5"/>
      <c r="O513" s="5" t="s">
        <v>143</v>
      </c>
      <c r="P513" s="5" t="s">
        <v>144</v>
      </c>
      <c r="Q513" s="9">
        <v>0</v>
      </c>
      <c r="R513" s="5" t="s">
        <v>145</v>
      </c>
      <c r="S513" s="5" t="s">
        <v>145</v>
      </c>
      <c r="T513" s="5" t="s">
        <v>146</v>
      </c>
      <c r="U513" s="7"/>
      <c r="V513" s="5" t="s">
        <v>78</v>
      </c>
      <c r="W513" s="6">
        <v>3</v>
      </c>
      <c r="X513" s="5" t="s">
        <v>79</v>
      </c>
      <c r="Y513" s="9">
        <v>2</v>
      </c>
      <c r="Z513" s="5" t="s">
        <v>79</v>
      </c>
      <c r="AA513" s="5" t="s">
        <v>110</v>
      </c>
      <c r="AB513" s="9">
        <v>23</v>
      </c>
      <c r="AC513" s="5" t="s">
        <v>79</v>
      </c>
      <c r="AD513" s="5" t="s">
        <v>82</v>
      </c>
      <c r="AE513" s="5" t="s">
        <v>82</v>
      </c>
      <c r="AF513" s="10">
        <v>95000</v>
      </c>
      <c r="AG513" s="7">
        <v>45688</v>
      </c>
      <c r="AH513" s="10">
        <v>119000</v>
      </c>
      <c r="AI513" s="10">
        <v>39500</v>
      </c>
      <c r="AJ513" s="11">
        <f t="shared" si="7"/>
        <v>36.151898734177216</v>
      </c>
      <c r="AK513" s="12">
        <f>IF(B513="","",OR(K513="Not in use",K513="Low use")+AND(N513&lt;&gt;"",N513&lt;&gt;"TBD")+AND(ISNUMBER(U513),U513&lt;=EDATE('Scoring Settings'!$B$4,'Scoring Settings'!$B$8))+AND(ISNUMBER(L513),L513&lt;='Scoring Settings'!$B$7))</f>
        <v>1</v>
      </c>
      <c r="AL513" s="5" t="s">
        <v>111</v>
      </c>
      <c r="AM513" s="8" t="str">
        <f>IF(B513="","",IF(Z513="N","Easy",IF(OR(AND(ISNUMBER(AB513),AB513&gt;'Scoring Settings'!$B$11),AND(ISNUMBER(W513),W513&gt;'Scoring Settings'!$B$12),AND(ISNUMBER(M513),M513&lt;='Scoring Settings'!$B$13)),"High","Medium")))</f>
        <v>Easy</v>
      </c>
      <c r="AN513" s="5"/>
      <c r="AO513" s="7"/>
      <c r="AP513" s="5" t="s">
        <v>98</v>
      </c>
      <c r="AQ513" s="29" t="s">
        <v>218</v>
      </c>
    </row>
    <row r="514" spans="1:43" hidden="1">
      <c r="A514" s="28">
        <v>25781</v>
      </c>
      <c r="B514" s="5" t="s">
        <v>235</v>
      </c>
      <c r="C514" s="5" t="s">
        <v>225</v>
      </c>
      <c r="D514" s="5" t="s">
        <v>67</v>
      </c>
      <c r="E514" s="5" t="s">
        <v>68</v>
      </c>
      <c r="F514" s="5" t="s">
        <v>236</v>
      </c>
      <c r="G514" s="5" t="s">
        <v>237</v>
      </c>
      <c r="H514" s="5" t="s">
        <v>129</v>
      </c>
      <c r="I514" s="6">
        <v>4962</v>
      </c>
      <c r="J514" s="7">
        <v>44274</v>
      </c>
      <c r="K514" s="8" t="str">
        <f>IF(B514="","",IF(AND(I514="",J514=""),"Unknown",IF(OR(AND(ISNUMBER(I514),I514=0),AND(ISNUMBER(J514),J514&lt;=EDATE('Scoring Settings'!$B$4,-'Scoring Settings'!$B$5))),"Not in use",IF(AND(ISNUMBER(I514),I514&lt;'Scoring Settings'!$B$6),"Low use","Active"))))</f>
        <v>Active</v>
      </c>
      <c r="L514" s="5">
        <v>2</v>
      </c>
      <c r="M514" s="5">
        <v>3</v>
      </c>
      <c r="N514" s="5" t="s">
        <v>72</v>
      </c>
      <c r="O514" s="5" t="s">
        <v>130</v>
      </c>
      <c r="P514" s="5" t="s">
        <v>238</v>
      </c>
      <c r="Q514" s="9">
        <v>4</v>
      </c>
      <c r="R514" s="5" t="s">
        <v>239</v>
      </c>
      <c r="S514" s="5" t="s">
        <v>240</v>
      </c>
      <c r="T514" s="5" t="s">
        <v>168</v>
      </c>
      <c r="U514" s="7">
        <v>44316</v>
      </c>
      <c r="V514" s="5" t="s">
        <v>78</v>
      </c>
      <c r="W514" s="6">
        <v>1380</v>
      </c>
      <c r="X514" s="5" t="s">
        <v>79</v>
      </c>
      <c r="Y514" s="9">
        <v>3</v>
      </c>
      <c r="Z514" s="5" t="s">
        <v>79</v>
      </c>
      <c r="AA514" s="5" t="s">
        <v>110</v>
      </c>
      <c r="AB514" s="9">
        <v>6</v>
      </c>
      <c r="AC514" s="5" t="s">
        <v>82</v>
      </c>
      <c r="AD514" s="5" t="s">
        <v>82</v>
      </c>
      <c r="AE514" s="5" t="s">
        <v>82</v>
      </c>
      <c r="AF514" s="10">
        <v>31000</v>
      </c>
      <c r="AG514" s="7">
        <v>49217</v>
      </c>
      <c r="AH514" s="10">
        <v>37500</v>
      </c>
      <c r="AI514" s="10">
        <v>27500</v>
      </c>
      <c r="AJ514" s="11">
        <f t="shared" si="7"/>
        <v>16.363636363636363</v>
      </c>
      <c r="AK514" s="12">
        <f>IF(B514="","",OR(K514="Not in use",K514="Low use")+AND(N514&lt;&gt;"",N514&lt;&gt;"TBD")+AND(ISNUMBER(U514),U514&lt;=EDATE('Scoring Settings'!$B$4,'Scoring Settings'!$B$8))+AND(ISNUMBER(L514),L514&lt;='Scoring Settings'!$B$7))</f>
        <v>2</v>
      </c>
      <c r="AL514" s="5" t="s">
        <v>111</v>
      </c>
      <c r="AM514" s="8" t="str">
        <f>IF(B514="","",IF(Z514="N","Easy",IF(OR(AND(ISNUMBER(AB514),AB514&gt;'Scoring Settings'!$B$11),AND(ISNUMBER(W514),W514&gt;'Scoring Settings'!$B$12),AND(ISNUMBER(M514),M514&lt;='Scoring Settings'!$B$13)),"High","Medium")))</f>
        <v>Easy</v>
      </c>
      <c r="AN514" s="5"/>
      <c r="AO514" s="7"/>
      <c r="AP514" s="5" t="s">
        <v>98</v>
      </c>
      <c r="AQ514" s="29" t="s">
        <v>218</v>
      </c>
    </row>
    <row r="515" spans="1:43" hidden="1">
      <c r="A515" s="28">
        <v>57641</v>
      </c>
      <c r="B515" s="5" t="s">
        <v>241</v>
      </c>
      <c r="C515" s="5" t="s">
        <v>242</v>
      </c>
      <c r="D515" s="5" t="s">
        <v>115</v>
      </c>
      <c r="E515" s="5" t="s">
        <v>68</v>
      </c>
      <c r="F515" s="5" t="s">
        <v>243</v>
      </c>
      <c r="G515" s="5" t="s">
        <v>70</v>
      </c>
      <c r="H515" s="5" t="s">
        <v>91</v>
      </c>
      <c r="I515" s="6">
        <v>1105</v>
      </c>
      <c r="J515" s="7">
        <v>44270</v>
      </c>
      <c r="K515" s="8" t="str">
        <f>IF(B515="","",IF(AND(I515="",J515=""),"Unknown",IF(OR(AND(ISNUMBER(I515),I515=0),AND(ISNUMBER(J515),J515&lt;=EDATE('Scoring Settings'!$B$4,-'Scoring Settings'!$B$5))),"Not in use",IF(AND(ISNUMBER(I515),I515&lt;'Scoring Settings'!$B$6),"Low use","Active"))))</f>
        <v>Active</v>
      </c>
      <c r="L515" s="5">
        <v>4</v>
      </c>
      <c r="M515" s="5">
        <v>2</v>
      </c>
      <c r="N515" s="5"/>
      <c r="O515" s="5" t="s">
        <v>73</v>
      </c>
      <c r="P515" s="5" t="s">
        <v>244</v>
      </c>
      <c r="Q515" s="9">
        <v>2</v>
      </c>
      <c r="R515" s="5" t="s">
        <v>245</v>
      </c>
      <c r="S515" s="5" t="s">
        <v>246</v>
      </c>
      <c r="T515" s="5" t="s">
        <v>77</v>
      </c>
      <c r="U515" s="7">
        <v>45777</v>
      </c>
      <c r="V515" s="5" t="s">
        <v>78</v>
      </c>
      <c r="W515" s="6">
        <v>460</v>
      </c>
      <c r="X515" s="5" t="s">
        <v>79</v>
      </c>
      <c r="Y515" s="9">
        <v>1</v>
      </c>
      <c r="Z515" s="5" t="s">
        <v>80</v>
      </c>
      <c r="AA515" s="5" t="s">
        <v>147</v>
      </c>
      <c r="AB515" s="9">
        <v>17</v>
      </c>
      <c r="AC515" s="5" t="s">
        <v>82</v>
      </c>
      <c r="AD515" s="5" t="s">
        <v>79</v>
      </c>
      <c r="AE515" s="5" t="s">
        <v>79</v>
      </c>
      <c r="AF515" s="10">
        <v>80000</v>
      </c>
      <c r="AG515" s="7">
        <v>45838</v>
      </c>
      <c r="AH515" s="10"/>
      <c r="AI515" s="10"/>
      <c r="AJ515" s="11" t="str">
        <f t="shared" si="7"/>
        <v/>
      </c>
      <c r="AK515" s="12">
        <f>IF(B515="","",OR(K515="Not in use",K515="Low use")+AND(N515&lt;&gt;"",N515&lt;&gt;"TBD")+AND(ISNUMBER(U515),U515&lt;=EDATE('Scoring Settings'!$B$4,'Scoring Settings'!$B$8))+AND(ISNUMBER(L515),L515&lt;='Scoring Settings'!$B$7))</f>
        <v>0</v>
      </c>
      <c r="AL515" s="5" t="s">
        <v>83</v>
      </c>
      <c r="AM515" s="8" t="str">
        <f>IF(B515="","",IF(Z515="N","Easy",IF(OR(AND(ISNUMBER(AB515),AB515&gt;'Scoring Settings'!$B$11),AND(ISNUMBER(W515),W515&gt;'Scoring Settings'!$B$12),AND(ISNUMBER(M515),M515&lt;='Scoring Settings'!$B$13)),"High","Medium")))</f>
        <v>High</v>
      </c>
      <c r="AN515" s="5"/>
      <c r="AO515" s="7"/>
      <c r="AP515" s="5" t="s">
        <v>98</v>
      </c>
      <c r="AQ515" s="29" t="s">
        <v>247</v>
      </c>
    </row>
    <row r="516" spans="1:43" hidden="1">
      <c r="A516" s="28">
        <v>45610</v>
      </c>
      <c r="B516" s="5" t="s">
        <v>253</v>
      </c>
      <c r="C516" s="5" t="s">
        <v>101</v>
      </c>
      <c r="D516" s="5" t="s">
        <v>102</v>
      </c>
      <c r="E516" s="5" t="s">
        <v>68</v>
      </c>
      <c r="F516" s="5" t="s">
        <v>249</v>
      </c>
      <c r="G516" s="5" t="s">
        <v>141</v>
      </c>
      <c r="H516" s="5" t="s">
        <v>118</v>
      </c>
      <c r="I516" s="6">
        <v>9</v>
      </c>
      <c r="J516" s="7">
        <v>44219</v>
      </c>
      <c r="K516" s="8" t="str">
        <f>IF(B516="","",IF(AND(I516="",J516=""),"Unknown",IF(OR(AND(ISNUMBER(I516),I516=0),AND(ISNUMBER(J516),J516&lt;=EDATE('Scoring Settings'!$B$4,-'Scoring Settings'!$B$5))),"Not in use",IF(AND(ISNUMBER(I516),I516&lt;'Scoring Settings'!$B$6),"Low use","Active"))))</f>
        <v>Low use</v>
      </c>
      <c r="L516" s="5">
        <v>4</v>
      </c>
      <c r="M516" s="5">
        <v>3</v>
      </c>
      <c r="N516" s="5" t="s">
        <v>254</v>
      </c>
      <c r="O516" s="5" t="s">
        <v>73</v>
      </c>
      <c r="P516" s="5" t="s">
        <v>255</v>
      </c>
      <c r="Q516" s="9">
        <v>4</v>
      </c>
      <c r="R516" s="5" t="s">
        <v>256</v>
      </c>
      <c r="S516" s="5" t="s">
        <v>257</v>
      </c>
      <c r="T516" s="5" t="s">
        <v>77</v>
      </c>
      <c r="U516" s="7" t="s">
        <v>72</v>
      </c>
      <c r="V516" s="5" t="s">
        <v>135</v>
      </c>
      <c r="W516" s="6">
        <v>360</v>
      </c>
      <c r="X516" s="5" t="s">
        <v>80</v>
      </c>
      <c r="Y516" s="9">
        <v>7</v>
      </c>
      <c r="Z516" s="5" t="s">
        <v>80</v>
      </c>
      <c r="AA516" s="5" t="s">
        <v>123</v>
      </c>
      <c r="AB516" s="9">
        <v>4</v>
      </c>
      <c r="AC516" s="5" t="s">
        <v>79</v>
      </c>
      <c r="AD516" s="5" t="s">
        <v>79</v>
      </c>
      <c r="AE516" s="5" t="s">
        <v>79</v>
      </c>
      <c r="AF516" s="10">
        <v>50000</v>
      </c>
      <c r="AG516" s="7">
        <v>46203</v>
      </c>
      <c r="AH516" s="10">
        <v>28000</v>
      </c>
      <c r="AI516" s="10">
        <v>43000</v>
      </c>
      <c r="AJ516" s="11">
        <f t="shared" si="7"/>
        <v>7.8139534883720936</v>
      </c>
      <c r="AK516" s="12">
        <f>IF(B516="","",OR(K516="Not in use",K516="Low use")+AND(N516&lt;&gt;"",N516&lt;&gt;"TBD")+AND(ISNUMBER(U516),U516&lt;=EDATE('Scoring Settings'!$B$4,'Scoring Settings'!$B$8))+AND(ISNUMBER(L516),L516&lt;='Scoring Settings'!$B$7))</f>
        <v>2</v>
      </c>
      <c r="AL516" s="5" t="s">
        <v>111</v>
      </c>
      <c r="AM516" s="8" t="str">
        <f>IF(B516="","",IF(Z516="N","Easy",IF(OR(AND(ISNUMBER(AB516),AB516&gt;'Scoring Settings'!$B$11),AND(ISNUMBER(W516),W516&gt;'Scoring Settings'!$B$12),AND(ISNUMBER(M516),M516&lt;='Scoring Settings'!$B$13)),"High","Medium")))</f>
        <v>Medium</v>
      </c>
      <c r="AN516" s="5"/>
      <c r="AO516" s="7"/>
      <c r="AP516" s="5" t="s">
        <v>98</v>
      </c>
      <c r="AQ516" s="29" t="s">
        <v>218</v>
      </c>
    </row>
    <row r="517" spans="1:43" hidden="1">
      <c r="A517" s="28">
        <v>135671</v>
      </c>
      <c r="B517" s="5" t="s">
        <v>258</v>
      </c>
      <c r="C517" s="5" t="s">
        <v>259</v>
      </c>
      <c r="D517" s="5" t="s">
        <v>67</v>
      </c>
      <c r="E517" s="5" t="s">
        <v>68</v>
      </c>
      <c r="F517" s="5" t="s">
        <v>116</v>
      </c>
      <c r="G517" s="5" t="s">
        <v>90</v>
      </c>
      <c r="H517" s="5" t="s">
        <v>174</v>
      </c>
      <c r="I517" s="6">
        <v>98</v>
      </c>
      <c r="J517" s="7">
        <v>44293</v>
      </c>
      <c r="K517" s="8" t="str">
        <f>IF(B517="","",IF(AND(I517="",J517=""),"Unknown",IF(OR(AND(ISNUMBER(I517),I517=0),AND(ISNUMBER(J517),J517&lt;=EDATE('Scoring Settings'!$B$4,-'Scoring Settings'!$B$5))),"Not in use",IF(AND(ISNUMBER(I517),I517&lt;'Scoring Settings'!$B$6),"Low use","Active"))))</f>
        <v>Active</v>
      </c>
      <c r="L517" s="5">
        <v>3</v>
      </c>
      <c r="M517" s="5">
        <v>2</v>
      </c>
      <c r="N517" s="5" t="s">
        <v>72</v>
      </c>
      <c r="O517" s="5" t="s">
        <v>73</v>
      </c>
      <c r="P517" s="5" t="s">
        <v>260</v>
      </c>
      <c r="Q517" s="9">
        <v>4</v>
      </c>
      <c r="R517" s="5" t="s">
        <v>239</v>
      </c>
      <c r="S517" s="5" t="s">
        <v>240</v>
      </c>
      <c r="T517" s="5" t="s">
        <v>184</v>
      </c>
      <c r="U517" s="7">
        <v>44316</v>
      </c>
      <c r="V517" s="5" t="s">
        <v>135</v>
      </c>
      <c r="W517" s="6">
        <v>210</v>
      </c>
      <c r="X517" s="5" t="s">
        <v>80</v>
      </c>
      <c r="Y517" s="9">
        <v>7</v>
      </c>
      <c r="Z517" s="5" t="s">
        <v>79</v>
      </c>
      <c r="AA517" s="5" t="s">
        <v>110</v>
      </c>
      <c r="AB517" s="9">
        <v>13</v>
      </c>
      <c r="AC517" s="5" t="s">
        <v>80</v>
      </c>
      <c r="AD517" s="5" t="s">
        <v>82</v>
      </c>
      <c r="AE517" s="5" t="s">
        <v>82</v>
      </c>
      <c r="AF517" s="10">
        <v>150000</v>
      </c>
      <c r="AG517" s="7">
        <v>48975</v>
      </c>
      <c r="AH517" s="10">
        <v>210000</v>
      </c>
      <c r="AI517" s="10">
        <v>90500</v>
      </c>
      <c r="AJ517" s="11">
        <f t="shared" ref="AJ517:AJ580" si="8">IF(AND(ISNUMBER(AH517),ISNUMBER(AI517),N(AI517)&gt;0),AH517/AI517*12,"")</f>
        <v>27.845303867403313</v>
      </c>
      <c r="AK517" s="12">
        <f>IF(B517="","",OR(K517="Not in use",K517="Low use")+AND(N517&lt;&gt;"",N517&lt;&gt;"TBD")+AND(ISNUMBER(U517),U517&lt;=EDATE('Scoring Settings'!$B$4,'Scoring Settings'!$B$8))+AND(ISNUMBER(L517),L517&lt;='Scoring Settings'!$B$7))</f>
        <v>1</v>
      </c>
      <c r="AL517" s="5" t="s">
        <v>111</v>
      </c>
      <c r="AM517" s="8" t="str">
        <f>IF(B517="","",IF(Z517="N","Easy",IF(OR(AND(ISNUMBER(AB517),AB517&gt;'Scoring Settings'!$B$11),AND(ISNUMBER(W517),W517&gt;'Scoring Settings'!$B$12),AND(ISNUMBER(M517),M517&lt;='Scoring Settings'!$B$13)),"High","Medium")))</f>
        <v>Easy</v>
      </c>
      <c r="AN517" s="5"/>
      <c r="AO517" s="7"/>
      <c r="AP517" s="5" t="s">
        <v>98</v>
      </c>
      <c r="AQ517" s="29" t="s">
        <v>112</v>
      </c>
    </row>
    <row r="518" spans="1:43" hidden="1">
      <c r="A518" s="28">
        <v>77834</v>
      </c>
      <c r="B518" s="5" t="s">
        <v>261</v>
      </c>
      <c r="C518" s="5" t="s">
        <v>262</v>
      </c>
      <c r="D518" s="5" t="s">
        <v>67</v>
      </c>
      <c r="E518" s="5" t="s">
        <v>68</v>
      </c>
      <c r="F518" s="5" t="s">
        <v>263</v>
      </c>
      <c r="G518" s="5" t="s">
        <v>153</v>
      </c>
      <c r="H518" s="5" t="s">
        <v>142</v>
      </c>
      <c r="I518" s="6">
        <v>329</v>
      </c>
      <c r="J518" s="7">
        <v>44285</v>
      </c>
      <c r="K518" s="8" t="str">
        <f>IF(B518="","",IF(AND(I518="",J518=""),"Unknown",IF(OR(AND(ISNUMBER(I518),I518=0),AND(ISNUMBER(J518),J518&lt;=EDATE('Scoring Settings'!$B$4,-'Scoring Settings'!$B$5))),"Not in use",IF(AND(ISNUMBER(I518),I518&lt;'Scoring Settings'!$B$6),"Low use","Active"))))</f>
        <v>Active</v>
      </c>
      <c r="L518" s="5">
        <v>4</v>
      </c>
      <c r="M518" s="5">
        <v>2</v>
      </c>
      <c r="N518" s="5"/>
      <c r="O518" s="5" t="s">
        <v>143</v>
      </c>
      <c r="P518" s="5" t="s">
        <v>144</v>
      </c>
      <c r="Q518" s="9">
        <v>0</v>
      </c>
      <c r="R518" s="5" t="s">
        <v>145</v>
      </c>
      <c r="S518" s="5" t="s">
        <v>145</v>
      </c>
      <c r="T518" s="5" t="s">
        <v>146</v>
      </c>
      <c r="U518" s="7"/>
      <c r="V518" s="5" t="s">
        <v>135</v>
      </c>
      <c r="W518" s="6">
        <v>40</v>
      </c>
      <c r="X518" s="5" t="s">
        <v>80</v>
      </c>
      <c r="Y518" s="9">
        <v>10</v>
      </c>
      <c r="Z518" s="5" t="s">
        <v>80</v>
      </c>
      <c r="AA518" s="5" t="s">
        <v>123</v>
      </c>
      <c r="AB518" s="9">
        <v>14</v>
      </c>
      <c r="AC518" s="5" t="s">
        <v>82</v>
      </c>
      <c r="AD518" s="5" t="s">
        <v>82</v>
      </c>
      <c r="AE518" s="5" t="s">
        <v>79</v>
      </c>
      <c r="AF518" s="10">
        <v>245000</v>
      </c>
      <c r="AG518" s="7">
        <v>46173</v>
      </c>
      <c r="AH518" s="10"/>
      <c r="AI518" s="10"/>
      <c r="AJ518" s="11" t="str">
        <f t="shared" si="8"/>
        <v/>
      </c>
      <c r="AK518" s="12">
        <f>IF(B518="","",OR(K518="Not in use",K518="Low use")+AND(N518&lt;&gt;"",N518&lt;&gt;"TBD")+AND(ISNUMBER(U518),U518&lt;=EDATE('Scoring Settings'!$B$4,'Scoring Settings'!$B$8))+AND(ISNUMBER(L518),L518&lt;='Scoring Settings'!$B$7))</f>
        <v>0</v>
      </c>
      <c r="AL518" s="5" t="s">
        <v>83</v>
      </c>
      <c r="AM518" s="8" t="str">
        <f>IF(B518="","",IF(Z518="N","Easy",IF(OR(AND(ISNUMBER(AB518),AB518&gt;'Scoring Settings'!$B$11),AND(ISNUMBER(W518),W518&gt;'Scoring Settings'!$B$12),AND(ISNUMBER(M518),M518&lt;='Scoring Settings'!$B$13)),"High","Medium")))</f>
        <v>High</v>
      </c>
      <c r="AN518" s="5"/>
      <c r="AO518" s="7"/>
      <c r="AP518" s="5" t="s">
        <v>84</v>
      </c>
      <c r="AQ518" s="29" t="s">
        <v>85</v>
      </c>
    </row>
    <row r="519" spans="1:43" hidden="1">
      <c r="A519" s="28">
        <v>186446</v>
      </c>
      <c r="B519" s="5" t="s">
        <v>269</v>
      </c>
      <c r="C519" s="5" t="s">
        <v>270</v>
      </c>
      <c r="D519" s="5" t="s">
        <v>139</v>
      </c>
      <c r="E519" s="5" t="s">
        <v>68</v>
      </c>
      <c r="F519" s="5" t="s">
        <v>201</v>
      </c>
      <c r="G519" s="5" t="s">
        <v>271</v>
      </c>
      <c r="H519" s="5" t="s">
        <v>91</v>
      </c>
      <c r="I519" s="6">
        <v>8237</v>
      </c>
      <c r="J519" s="7">
        <v>44299</v>
      </c>
      <c r="K519" s="8" t="str">
        <f>IF(B519="","",IF(AND(I519="",J519=""),"Unknown",IF(OR(AND(ISNUMBER(I519),I519=0),AND(ISNUMBER(J519),J519&lt;=EDATE('Scoring Settings'!$B$4,-'Scoring Settings'!$B$5))),"Not in use",IF(AND(ISNUMBER(I519),I519&lt;'Scoring Settings'!$B$6),"Low use","Active"))))</f>
        <v>Active</v>
      </c>
      <c r="L519" s="5">
        <v>5</v>
      </c>
      <c r="M519" s="5">
        <v>1</v>
      </c>
      <c r="N519" s="5"/>
      <c r="O519" s="5" t="s">
        <v>73</v>
      </c>
      <c r="P519" s="5" t="s">
        <v>272</v>
      </c>
      <c r="Q519" s="9">
        <v>6</v>
      </c>
      <c r="R519" s="5" t="s">
        <v>75</v>
      </c>
      <c r="S519" s="5" t="s">
        <v>121</v>
      </c>
      <c r="T519" s="5" t="s">
        <v>72</v>
      </c>
      <c r="U519" s="7">
        <v>46217</v>
      </c>
      <c r="V519" s="5" t="s">
        <v>135</v>
      </c>
      <c r="W519" s="6">
        <v>48</v>
      </c>
      <c r="X519" s="5" t="s">
        <v>80</v>
      </c>
      <c r="Y519" s="9">
        <v>10</v>
      </c>
      <c r="Z519" s="5" t="s">
        <v>80</v>
      </c>
      <c r="AA519" s="5" t="s">
        <v>81</v>
      </c>
      <c r="AB519" s="9">
        <v>78</v>
      </c>
      <c r="AC519" s="5" t="s">
        <v>82</v>
      </c>
      <c r="AD519" s="5" t="s">
        <v>80</v>
      </c>
      <c r="AE519" s="5" t="s">
        <v>79</v>
      </c>
      <c r="AF519" s="10">
        <v>200000</v>
      </c>
      <c r="AG519" s="7">
        <v>46965</v>
      </c>
      <c r="AH519" s="10"/>
      <c r="AI519" s="10"/>
      <c r="AJ519" s="11" t="str">
        <f t="shared" si="8"/>
        <v/>
      </c>
      <c r="AK519" s="12">
        <f>IF(B519="","",OR(K519="Not in use",K519="Low use")+AND(N519&lt;&gt;"",N519&lt;&gt;"TBD")+AND(ISNUMBER(U519),U519&lt;=EDATE('Scoring Settings'!$B$4,'Scoring Settings'!$B$8))+AND(ISNUMBER(L519),L519&lt;='Scoring Settings'!$B$7))</f>
        <v>0</v>
      </c>
      <c r="AL519" s="5" t="s">
        <v>83</v>
      </c>
      <c r="AM519" s="8" t="str">
        <f>IF(B519="","",IF(Z519="N","Easy",IF(OR(AND(ISNUMBER(AB519),AB519&gt;'Scoring Settings'!$B$11),AND(ISNUMBER(W519),W519&gt;'Scoring Settings'!$B$12),AND(ISNUMBER(M519),M519&lt;='Scoring Settings'!$B$13)),"High","Medium")))</f>
        <v>High</v>
      </c>
      <c r="AN519" s="5"/>
      <c r="AO519" s="7"/>
      <c r="AP519" s="5" t="s">
        <v>98</v>
      </c>
      <c r="AQ519" s="29" t="s">
        <v>273</v>
      </c>
    </row>
    <row r="520" spans="1:43" hidden="1">
      <c r="A520" s="28">
        <v>148815</v>
      </c>
      <c r="B520" s="5" t="s">
        <v>281</v>
      </c>
      <c r="C520" s="5" t="s">
        <v>270</v>
      </c>
      <c r="D520" s="5" t="s">
        <v>139</v>
      </c>
      <c r="E520" s="5" t="s">
        <v>68</v>
      </c>
      <c r="F520" s="5" t="s">
        <v>140</v>
      </c>
      <c r="G520" s="5" t="s">
        <v>179</v>
      </c>
      <c r="H520" s="5" t="s">
        <v>71</v>
      </c>
      <c r="I520" s="6">
        <v>7</v>
      </c>
      <c r="J520" s="7">
        <v>44287</v>
      </c>
      <c r="K520" s="8" t="str">
        <f>IF(B520="","",IF(AND(I520="",J520=""),"Unknown",IF(OR(AND(ISNUMBER(I520),I520=0),AND(ISNUMBER(J520),J520&lt;=EDATE('Scoring Settings'!$B$4,-'Scoring Settings'!$B$5))),"Not in use",IF(AND(ISNUMBER(I520),I520&lt;'Scoring Settings'!$B$6),"Low use","Active"))))</f>
        <v>Low use</v>
      </c>
      <c r="L520" s="5">
        <v>4</v>
      </c>
      <c r="M520" s="5">
        <v>3</v>
      </c>
      <c r="N520" s="5"/>
      <c r="O520" s="5" t="s">
        <v>73</v>
      </c>
      <c r="P520" s="5" t="s">
        <v>282</v>
      </c>
      <c r="Q520" s="9">
        <v>1</v>
      </c>
      <c r="R520" s="5" t="s">
        <v>203</v>
      </c>
      <c r="S520" s="5" t="s">
        <v>204</v>
      </c>
      <c r="T520" s="5" t="s">
        <v>109</v>
      </c>
      <c r="U520" s="7">
        <v>47269</v>
      </c>
      <c r="V520" s="5" t="s">
        <v>95</v>
      </c>
      <c r="W520" s="6">
        <v>4590</v>
      </c>
      <c r="X520" s="5" t="s">
        <v>79</v>
      </c>
      <c r="Y520" s="9">
        <v>1</v>
      </c>
      <c r="Z520" s="5" t="s">
        <v>80</v>
      </c>
      <c r="AA520" s="5" t="s">
        <v>185</v>
      </c>
      <c r="AB520" s="9">
        <v>8</v>
      </c>
      <c r="AC520" s="5" t="s">
        <v>79</v>
      </c>
      <c r="AD520" s="5" t="s">
        <v>82</v>
      </c>
      <c r="AE520" s="5" t="s">
        <v>82</v>
      </c>
      <c r="AF520" s="10">
        <v>13500</v>
      </c>
      <c r="AG520" s="7">
        <v>46142</v>
      </c>
      <c r="AH520" s="10"/>
      <c r="AI520" s="10"/>
      <c r="AJ520" s="11" t="str">
        <f t="shared" si="8"/>
        <v/>
      </c>
      <c r="AK520" s="12">
        <f>IF(B520="","",OR(K520="Not in use",K520="Low use")+AND(N520&lt;&gt;"",N520&lt;&gt;"TBD")+AND(ISNUMBER(U520),U520&lt;=EDATE('Scoring Settings'!$B$4,'Scoring Settings'!$B$8))+AND(ISNUMBER(L520),L520&lt;='Scoring Settings'!$B$7))</f>
        <v>1</v>
      </c>
      <c r="AL520" s="5" t="s">
        <v>83</v>
      </c>
      <c r="AM520" s="8" t="str">
        <f>IF(B520="","",IF(Z520="N","Easy",IF(OR(AND(ISNUMBER(AB520),AB520&gt;'Scoring Settings'!$B$11),AND(ISNUMBER(W520),W520&gt;'Scoring Settings'!$B$12),AND(ISNUMBER(M520),M520&lt;='Scoring Settings'!$B$13)),"High","Medium")))</f>
        <v>High</v>
      </c>
      <c r="AN520" s="5"/>
      <c r="AO520" s="7"/>
      <c r="AP520" s="5" t="s">
        <v>84</v>
      </c>
      <c r="AQ520" s="29" t="s">
        <v>247</v>
      </c>
    </row>
    <row r="521" spans="1:43" ht="57" hidden="1">
      <c r="A521" s="28">
        <v>103129</v>
      </c>
      <c r="B521" s="5" t="s">
        <v>286</v>
      </c>
      <c r="C521" s="5" t="s">
        <v>287</v>
      </c>
      <c r="D521" s="5" t="s">
        <v>162</v>
      </c>
      <c r="E521" s="5" t="s">
        <v>68</v>
      </c>
      <c r="F521" s="5" t="s">
        <v>288</v>
      </c>
      <c r="G521" s="5" t="s">
        <v>179</v>
      </c>
      <c r="H521" s="5" t="s">
        <v>71</v>
      </c>
      <c r="I521" s="6">
        <v>238</v>
      </c>
      <c r="J521" s="7">
        <v>44274</v>
      </c>
      <c r="K521" s="8" t="str">
        <f>IF(B521="","",IF(AND(I521="",J521=""),"Unknown",IF(OR(AND(ISNUMBER(I521),I521=0),AND(ISNUMBER(J521),J521&lt;=EDATE('Scoring Settings'!$B$4,-'Scoring Settings'!$B$5))),"Not in use",IF(AND(ISNUMBER(I521),I521&lt;'Scoring Settings'!$B$6),"Low use","Active"))))</f>
        <v>Active</v>
      </c>
      <c r="L521" s="5">
        <v>5</v>
      </c>
      <c r="M521" s="5">
        <v>2</v>
      </c>
      <c r="N521" s="5" t="s">
        <v>289</v>
      </c>
      <c r="O521" s="5" t="s">
        <v>73</v>
      </c>
      <c r="P521" s="5" t="s">
        <v>290</v>
      </c>
      <c r="Q521" s="9">
        <v>5</v>
      </c>
      <c r="R521" s="5" t="s">
        <v>132</v>
      </c>
      <c r="S521" s="5" t="s">
        <v>133</v>
      </c>
      <c r="T521" s="5" t="s">
        <v>72</v>
      </c>
      <c r="U521" s="7">
        <v>44227</v>
      </c>
      <c r="V521" s="5" t="s">
        <v>135</v>
      </c>
      <c r="W521" s="6">
        <v>130</v>
      </c>
      <c r="X521" s="5" t="s">
        <v>79</v>
      </c>
      <c r="Y521" s="9">
        <v>1</v>
      </c>
      <c r="Z521" s="5" t="s">
        <v>80</v>
      </c>
      <c r="AA521" s="5" t="s">
        <v>185</v>
      </c>
      <c r="AB521" s="9">
        <v>13</v>
      </c>
      <c r="AC521" s="5" t="s">
        <v>82</v>
      </c>
      <c r="AD521" s="5" t="s">
        <v>82</v>
      </c>
      <c r="AE521" s="5" t="s">
        <v>82</v>
      </c>
      <c r="AF521" s="10">
        <v>42000</v>
      </c>
      <c r="AG521" s="7">
        <v>47269</v>
      </c>
      <c r="AH521" s="10"/>
      <c r="AI521" s="10"/>
      <c r="AJ521" s="11" t="str">
        <f t="shared" si="8"/>
        <v/>
      </c>
      <c r="AK521" s="12">
        <f>IF(B521="","",OR(K521="Not in use",K521="Low use")+AND(N521&lt;&gt;"",N521&lt;&gt;"TBD")+AND(ISNUMBER(U521),U521&lt;=EDATE('Scoring Settings'!$B$4,'Scoring Settings'!$B$8))+AND(ISNUMBER(L521),L521&lt;='Scoring Settings'!$B$7))</f>
        <v>2</v>
      </c>
      <c r="AL521" s="5" t="s">
        <v>111</v>
      </c>
      <c r="AM521" s="8" t="str">
        <f>IF(B521="","",IF(Z521="N","Easy",IF(OR(AND(ISNUMBER(AB521),AB521&gt;'Scoring Settings'!$B$11),AND(ISNUMBER(W521),W521&gt;'Scoring Settings'!$B$12),AND(ISNUMBER(M521),M521&lt;='Scoring Settings'!$B$13)),"High","Medium")))</f>
        <v>High</v>
      </c>
      <c r="AN521" s="5"/>
      <c r="AO521" s="7"/>
      <c r="AP521" s="5" t="s">
        <v>98</v>
      </c>
      <c r="AQ521" s="29" t="s">
        <v>291</v>
      </c>
    </row>
    <row r="522" spans="1:43" hidden="1">
      <c r="A522" s="28">
        <v>82440</v>
      </c>
      <c r="B522" s="5" t="s">
        <v>292</v>
      </c>
      <c r="C522" s="5" t="s">
        <v>293</v>
      </c>
      <c r="D522" s="5" t="s">
        <v>162</v>
      </c>
      <c r="E522" s="5" t="s">
        <v>68</v>
      </c>
      <c r="F522" s="5" t="s">
        <v>116</v>
      </c>
      <c r="G522" s="5" t="s">
        <v>210</v>
      </c>
      <c r="H522" s="5" t="s">
        <v>91</v>
      </c>
      <c r="I522" s="6">
        <v>68</v>
      </c>
      <c r="J522" s="7">
        <v>44281</v>
      </c>
      <c r="K522" s="8" t="str">
        <f>IF(B522="","",IF(AND(I522="",J522=""),"Unknown",IF(OR(AND(ISNUMBER(I522),I522=0),AND(ISNUMBER(J522),J522&lt;=EDATE('Scoring Settings'!$B$4,-'Scoring Settings'!$B$5))),"Not in use",IF(AND(ISNUMBER(I522),I522&lt;'Scoring Settings'!$B$6),"Low use","Active"))))</f>
        <v>Active</v>
      </c>
      <c r="L522" s="5">
        <v>3</v>
      </c>
      <c r="M522" s="5">
        <v>4</v>
      </c>
      <c r="N522" s="5"/>
      <c r="O522" s="5" t="s">
        <v>130</v>
      </c>
      <c r="P522" s="5" t="s">
        <v>294</v>
      </c>
      <c r="Q522" s="9">
        <v>4</v>
      </c>
      <c r="R522" s="5" t="s">
        <v>182</v>
      </c>
      <c r="S522" s="5" t="s">
        <v>183</v>
      </c>
      <c r="T522" s="5" t="s">
        <v>168</v>
      </c>
      <c r="U522" s="7">
        <v>42855</v>
      </c>
      <c r="V522" s="5" t="s">
        <v>95</v>
      </c>
      <c r="W522" s="6">
        <v>39</v>
      </c>
      <c r="X522" s="5" t="s">
        <v>80</v>
      </c>
      <c r="Y522" s="9">
        <v>10</v>
      </c>
      <c r="Z522" s="5" t="s">
        <v>80</v>
      </c>
      <c r="AA522" s="5" t="s">
        <v>81</v>
      </c>
      <c r="AB522" s="9">
        <v>0</v>
      </c>
      <c r="AC522" s="5" t="s">
        <v>82</v>
      </c>
      <c r="AD522" s="5" t="s">
        <v>82</v>
      </c>
      <c r="AE522" s="5" t="s">
        <v>82</v>
      </c>
      <c r="AF522" s="10">
        <v>36000</v>
      </c>
      <c r="AG522" s="7">
        <v>47208</v>
      </c>
      <c r="AH522" s="10">
        <v>29000</v>
      </c>
      <c r="AI522" s="10">
        <v>29000</v>
      </c>
      <c r="AJ522" s="11">
        <f t="shared" si="8"/>
        <v>12</v>
      </c>
      <c r="AK522" s="12">
        <f>IF(B522="","",OR(K522="Not in use",K522="Low use")+AND(N522&lt;&gt;"",N522&lt;&gt;"TBD")+AND(ISNUMBER(U522),U522&lt;=EDATE('Scoring Settings'!$B$4,'Scoring Settings'!$B$8))+AND(ISNUMBER(L522),L522&lt;='Scoring Settings'!$B$7))</f>
        <v>1</v>
      </c>
      <c r="AL522" s="5" t="s">
        <v>111</v>
      </c>
      <c r="AM522" s="8" t="str">
        <f>IF(B522="","",IF(Z522="N","Easy",IF(OR(AND(ISNUMBER(AB522),AB522&gt;'Scoring Settings'!$B$11),AND(ISNUMBER(W522),W522&gt;'Scoring Settings'!$B$12),AND(ISNUMBER(M522),M522&lt;='Scoring Settings'!$B$13)),"High","Medium")))</f>
        <v>Medium</v>
      </c>
      <c r="AN522" s="5"/>
      <c r="AO522" s="7"/>
      <c r="AP522" s="5" t="s">
        <v>98</v>
      </c>
      <c r="AQ522" s="29" t="s">
        <v>218</v>
      </c>
    </row>
    <row r="523" spans="1:43" hidden="1">
      <c r="A523" s="28">
        <v>177157</v>
      </c>
      <c r="B523" s="5" t="s">
        <v>295</v>
      </c>
      <c r="C523" s="5" t="s">
        <v>296</v>
      </c>
      <c r="D523" s="5" t="s">
        <v>297</v>
      </c>
      <c r="E523" s="5" t="s">
        <v>298</v>
      </c>
      <c r="F523" s="5" t="s">
        <v>299</v>
      </c>
      <c r="G523" s="5" t="s">
        <v>271</v>
      </c>
      <c r="H523" s="5" t="s">
        <v>142</v>
      </c>
      <c r="I523" s="6">
        <v>27</v>
      </c>
      <c r="J523" s="7">
        <v>44289</v>
      </c>
      <c r="K523" s="8" t="str">
        <f>IF(B523="","",IF(AND(I523="",J523=""),"Unknown",IF(OR(AND(ISNUMBER(I523),I523=0),AND(ISNUMBER(J523),J523&lt;=EDATE('Scoring Settings'!$B$4,-'Scoring Settings'!$B$5))),"Not in use",IF(AND(ISNUMBER(I523),I523&lt;'Scoring Settings'!$B$6),"Low use","Active"))))</f>
        <v>Active</v>
      </c>
      <c r="L523" s="5">
        <v>5</v>
      </c>
      <c r="M523" s="5">
        <v>1</v>
      </c>
      <c r="N523" s="5"/>
      <c r="O523" s="5" t="s">
        <v>143</v>
      </c>
      <c r="P523" s="5" t="s">
        <v>144</v>
      </c>
      <c r="Q523" s="9">
        <v>0</v>
      </c>
      <c r="R523" s="5" t="s">
        <v>145</v>
      </c>
      <c r="S523" s="5" t="s">
        <v>145</v>
      </c>
      <c r="T523" s="5" t="s">
        <v>146</v>
      </c>
      <c r="U523" s="7"/>
      <c r="V523" s="5" t="s">
        <v>135</v>
      </c>
      <c r="W523" s="6">
        <v>650</v>
      </c>
      <c r="X523" s="5" t="s">
        <v>79</v>
      </c>
      <c r="Y523" s="9">
        <v>5</v>
      </c>
      <c r="Z523" s="5" t="s">
        <v>80</v>
      </c>
      <c r="AA523" s="5" t="s">
        <v>123</v>
      </c>
      <c r="AB523" s="9">
        <v>69</v>
      </c>
      <c r="AC523" s="5" t="s">
        <v>79</v>
      </c>
      <c r="AD523" s="5" t="s">
        <v>79</v>
      </c>
      <c r="AE523" s="5" t="s">
        <v>79</v>
      </c>
      <c r="AF523" s="10">
        <v>70000</v>
      </c>
      <c r="AG523" s="7">
        <v>46934</v>
      </c>
      <c r="AH523" s="10"/>
      <c r="AI523" s="10"/>
      <c r="AJ523" s="11" t="str">
        <f t="shared" si="8"/>
        <v/>
      </c>
      <c r="AK523" s="12">
        <f>IF(B523="","",OR(K523="Not in use",K523="Low use")+AND(N523&lt;&gt;"",N523&lt;&gt;"TBD")+AND(ISNUMBER(U523),U523&lt;=EDATE('Scoring Settings'!$B$4,'Scoring Settings'!$B$8))+AND(ISNUMBER(L523),L523&lt;='Scoring Settings'!$B$7))</f>
        <v>0</v>
      </c>
      <c r="AL523" s="5" t="s">
        <v>111</v>
      </c>
      <c r="AM523" s="8" t="str">
        <f>IF(B523="","",IF(Z523="N","Easy",IF(OR(AND(ISNUMBER(AB523),AB523&gt;'Scoring Settings'!$B$11),AND(ISNUMBER(W523),W523&gt;'Scoring Settings'!$B$12),AND(ISNUMBER(M523),M523&lt;='Scoring Settings'!$B$13)),"High","Medium")))</f>
        <v>High</v>
      </c>
      <c r="AN523" s="5"/>
      <c r="AO523" s="7"/>
      <c r="AP523" s="5" t="s">
        <v>98</v>
      </c>
      <c r="AQ523" s="29" t="s">
        <v>112</v>
      </c>
    </row>
    <row r="524" spans="1:43" hidden="1">
      <c r="A524" s="28">
        <v>169784</v>
      </c>
      <c r="B524" s="5" t="s">
        <v>300</v>
      </c>
      <c r="C524" s="5" t="s">
        <v>301</v>
      </c>
      <c r="D524" s="5" t="s">
        <v>162</v>
      </c>
      <c r="E524" s="5" t="s">
        <v>68</v>
      </c>
      <c r="F524" s="5" t="s">
        <v>302</v>
      </c>
      <c r="G524" s="5" t="s">
        <v>117</v>
      </c>
      <c r="H524" s="5" t="s">
        <v>174</v>
      </c>
      <c r="I524" s="6">
        <v>248</v>
      </c>
      <c r="J524" s="7">
        <v>44309</v>
      </c>
      <c r="K524" s="8" t="str">
        <f>IF(B524="","",IF(AND(I524="",J524=""),"Unknown",IF(OR(AND(ISNUMBER(I524),I524=0),AND(ISNUMBER(J524),J524&lt;=EDATE('Scoring Settings'!$B$4,-'Scoring Settings'!$B$5))),"Not in use",IF(AND(ISNUMBER(I524),I524&lt;'Scoring Settings'!$B$6),"Low use","Active"))))</f>
        <v>Active</v>
      </c>
      <c r="L524" s="5">
        <v>4</v>
      </c>
      <c r="M524" s="5">
        <v>3</v>
      </c>
      <c r="N524" s="5"/>
      <c r="O524" s="5" t="s">
        <v>73</v>
      </c>
      <c r="P524" s="5" t="s">
        <v>303</v>
      </c>
      <c r="Q524" s="9">
        <v>1</v>
      </c>
      <c r="R524" s="5" t="s">
        <v>245</v>
      </c>
      <c r="S524" s="5" t="s">
        <v>246</v>
      </c>
      <c r="T524" s="5" t="s">
        <v>77</v>
      </c>
      <c r="U524" s="7">
        <v>45777</v>
      </c>
      <c r="V524" s="5" t="s">
        <v>78</v>
      </c>
      <c r="W524" s="6">
        <v>9050</v>
      </c>
      <c r="X524" s="5" t="s">
        <v>79</v>
      </c>
      <c r="Y524" s="9">
        <v>1</v>
      </c>
      <c r="Z524" s="5" t="s">
        <v>80</v>
      </c>
      <c r="AA524" s="5" t="s">
        <v>205</v>
      </c>
      <c r="AB524" s="9">
        <v>3</v>
      </c>
      <c r="AC524" s="5" t="s">
        <v>82</v>
      </c>
      <c r="AD524" s="5" t="s">
        <v>80</v>
      </c>
      <c r="AE524" s="5" t="s">
        <v>79</v>
      </c>
      <c r="AF524" s="10">
        <v>13000</v>
      </c>
      <c r="AG524" s="7">
        <v>46356</v>
      </c>
      <c r="AH524" s="10"/>
      <c r="AI524" s="10"/>
      <c r="AJ524" s="11" t="str">
        <f t="shared" si="8"/>
        <v/>
      </c>
      <c r="AK524" s="12">
        <f>IF(B524="","",OR(K524="Not in use",K524="Low use")+AND(N524&lt;&gt;"",N524&lt;&gt;"TBD")+AND(ISNUMBER(U524),U524&lt;=EDATE('Scoring Settings'!$B$4,'Scoring Settings'!$B$8))+AND(ISNUMBER(L524),L524&lt;='Scoring Settings'!$B$7))</f>
        <v>0</v>
      </c>
      <c r="AL524" s="5" t="s">
        <v>83</v>
      </c>
      <c r="AM524" s="8" t="str">
        <f>IF(B524="","",IF(Z524="N","Easy",IF(OR(AND(ISNUMBER(AB524),AB524&gt;'Scoring Settings'!$B$11),AND(ISNUMBER(W524),W524&gt;'Scoring Settings'!$B$12),AND(ISNUMBER(M524),M524&lt;='Scoring Settings'!$B$13)),"High","Medium")))</f>
        <v>High</v>
      </c>
      <c r="AN524" s="5"/>
      <c r="AO524" s="7"/>
      <c r="AP524" s="5" t="s">
        <v>84</v>
      </c>
      <c r="AQ524" s="29" t="s">
        <v>247</v>
      </c>
    </row>
    <row r="525" spans="1:43" hidden="1">
      <c r="A525" s="28">
        <v>128335</v>
      </c>
      <c r="B525" s="5" t="s">
        <v>310</v>
      </c>
      <c r="C525" s="5" t="s">
        <v>138</v>
      </c>
      <c r="D525" s="5" t="s">
        <v>139</v>
      </c>
      <c r="E525" s="5" t="s">
        <v>311</v>
      </c>
      <c r="F525" s="5" t="s">
        <v>312</v>
      </c>
      <c r="G525" s="5" t="s">
        <v>117</v>
      </c>
      <c r="H525" s="5" t="s">
        <v>118</v>
      </c>
      <c r="I525" s="6">
        <v>117</v>
      </c>
      <c r="J525" s="7">
        <v>44305</v>
      </c>
      <c r="K525" s="8" t="str">
        <f>IF(B525="","",IF(AND(I525="",J525=""),"Unknown",IF(OR(AND(ISNUMBER(I525),I525=0),AND(ISNUMBER(J525),J525&lt;=EDATE('Scoring Settings'!$B$4,-'Scoring Settings'!$B$5))),"Not in use",IF(AND(ISNUMBER(I525),I525&lt;'Scoring Settings'!$B$6),"Low use","Active"))))</f>
        <v>Active</v>
      </c>
      <c r="L525" s="5">
        <v>3</v>
      </c>
      <c r="M525" s="5">
        <v>3</v>
      </c>
      <c r="N525" s="5"/>
      <c r="O525" s="5" t="s">
        <v>73</v>
      </c>
      <c r="P525" s="5" t="s">
        <v>313</v>
      </c>
      <c r="Q525" s="9">
        <v>2</v>
      </c>
      <c r="R525" s="5" t="s">
        <v>256</v>
      </c>
      <c r="S525" s="5" t="s">
        <v>257</v>
      </c>
      <c r="T525" s="5" t="s">
        <v>109</v>
      </c>
      <c r="U525" s="7">
        <v>45077</v>
      </c>
      <c r="V525" s="5" t="s">
        <v>135</v>
      </c>
      <c r="W525" s="6">
        <v>450</v>
      </c>
      <c r="X525" s="5" t="s">
        <v>80</v>
      </c>
      <c r="Y525" s="9">
        <v>5</v>
      </c>
      <c r="Z525" s="5" t="s">
        <v>79</v>
      </c>
      <c r="AA525" s="5" t="s">
        <v>110</v>
      </c>
      <c r="AB525" s="9">
        <v>3</v>
      </c>
      <c r="AC525" s="5" t="s">
        <v>80</v>
      </c>
      <c r="AD525" s="5" t="s">
        <v>79</v>
      </c>
      <c r="AE525" s="5" t="s">
        <v>79</v>
      </c>
      <c r="AF525" s="10">
        <v>38000</v>
      </c>
      <c r="AG525" s="7">
        <v>47149</v>
      </c>
      <c r="AH525" s="10"/>
      <c r="AI525" s="10"/>
      <c r="AJ525" s="11" t="str">
        <f t="shared" si="8"/>
        <v/>
      </c>
      <c r="AK525" s="12">
        <f>IF(B525="","",OR(K525="Not in use",K525="Low use")+AND(N525&lt;&gt;"",N525&lt;&gt;"TBD")+AND(ISNUMBER(U525),U525&lt;=EDATE('Scoring Settings'!$B$4,'Scoring Settings'!$B$8))+AND(ISNUMBER(L525),L525&lt;='Scoring Settings'!$B$7))</f>
        <v>0</v>
      </c>
      <c r="AL525" s="5" t="s">
        <v>83</v>
      </c>
      <c r="AM525" s="8" t="str">
        <f>IF(B525="","",IF(Z525="N","Easy",IF(OR(AND(ISNUMBER(AB525),AB525&gt;'Scoring Settings'!$B$11),AND(ISNUMBER(W525),W525&gt;'Scoring Settings'!$B$12),AND(ISNUMBER(M525),M525&lt;='Scoring Settings'!$B$13)),"High","Medium")))</f>
        <v>Easy</v>
      </c>
      <c r="AN525" s="5"/>
      <c r="AO525" s="7"/>
      <c r="AP525" s="5" t="s">
        <v>84</v>
      </c>
      <c r="AQ525" s="29" t="s">
        <v>314</v>
      </c>
    </row>
    <row r="526" spans="1:43" hidden="1">
      <c r="A526" s="28">
        <v>125865</v>
      </c>
      <c r="B526" s="5" t="s">
        <v>328</v>
      </c>
      <c r="C526" s="5" t="s">
        <v>200</v>
      </c>
      <c r="D526" s="5" t="s">
        <v>115</v>
      </c>
      <c r="E526" s="5" t="s">
        <v>298</v>
      </c>
      <c r="F526" s="5" t="s">
        <v>236</v>
      </c>
      <c r="G526" s="5" t="s">
        <v>128</v>
      </c>
      <c r="H526" s="5" t="s">
        <v>71</v>
      </c>
      <c r="I526" s="6">
        <v>16</v>
      </c>
      <c r="J526" s="7">
        <v>44174</v>
      </c>
      <c r="K526" s="8" t="str">
        <f>IF(B526="","",IF(AND(I526="",J526=""),"Unknown",IF(OR(AND(ISNUMBER(I526),I526=0),AND(ISNUMBER(J526),J526&lt;=EDATE('Scoring Settings'!$B$4,-'Scoring Settings'!$B$5))),"Not in use",IF(AND(ISNUMBER(I526),I526&lt;'Scoring Settings'!$B$6),"Low use","Active"))))</f>
        <v>Low use</v>
      </c>
      <c r="L526" s="5">
        <v>4</v>
      </c>
      <c r="M526" s="5">
        <v>2</v>
      </c>
      <c r="N526" s="5"/>
      <c r="O526" s="5" t="s">
        <v>73</v>
      </c>
      <c r="P526" s="5" t="s">
        <v>329</v>
      </c>
      <c r="Q526" s="9">
        <v>5</v>
      </c>
      <c r="R526" s="5" t="s">
        <v>330</v>
      </c>
      <c r="S526" s="5" t="s">
        <v>331</v>
      </c>
      <c r="T526" s="5" t="s">
        <v>109</v>
      </c>
      <c r="U526" s="7">
        <v>45046</v>
      </c>
      <c r="V526" s="5" t="s">
        <v>135</v>
      </c>
      <c r="W526" s="6">
        <v>2</v>
      </c>
      <c r="X526" s="5" t="s">
        <v>80</v>
      </c>
      <c r="Y526" s="9">
        <v>7</v>
      </c>
      <c r="Z526" s="5" t="s">
        <v>80</v>
      </c>
      <c r="AA526" s="5" t="s">
        <v>205</v>
      </c>
      <c r="AB526" s="9">
        <v>26</v>
      </c>
      <c r="AC526" s="5" t="s">
        <v>82</v>
      </c>
      <c r="AD526" s="5" t="s">
        <v>82</v>
      </c>
      <c r="AE526" s="5" t="s">
        <v>82</v>
      </c>
      <c r="AF526" s="10">
        <v>95000</v>
      </c>
      <c r="AG526" s="7">
        <v>48334</v>
      </c>
      <c r="AH526" s="10">
        <v>239500</v>
      </c>
      <c r="AI526" s="10">
        <v>70000</v>
      </c>
      <c r="AJ526" s="11">
        <f t="shared" si="8"/>
        <v>41.057142857142857</v>
      </c>
      <c r="AK526" s="12">
        <f>IF(B526="","",OR(K526="Not in use",K526="Low use")+AND(N526&lt;&gt;"",N526&lt;&gt;"TBD")+AND(ISNUMBER(U526),U526&lt;=EDATE('Scoring Settings'!$B$4,'Scoring Settings'!$B$8))+AND(ISNUMBER(L526),L526&lt;='Scoring Settings'!$B$7))</f>
        <v>1</v>
      </c>
      <c r="AL526" s="5" t="s">
        <v>111</v>
      </c>
      <c r="AM526" s="8" t="str">
        <f>IF(B526="","",IF(Z526="N","Easy",IF(OR(AND(ISNUMBER(AB526),AB526&gt;'Scoring Settings'!$B$11),AND(ISNUMBER(W526),W526&gt;'Scoring Settings'!$B$12),AND(ISNUMBER(M526),M526&lt;='Scoring Settings'!$B$13)),"High","Medium")))</f>
        <v>High</v>
      </c>
      <c r="AN526" s="5"/>
      <c r="AO526" s="7"/>
      <c r="AP526" s="5" t="s">
        <v>98</v>
      </c>
      <c r="AQ526" s="29" t="s">
        <v>112</v>
      </c>
    </row>
    <row r="527" spans="1:43" hidden="1">
      <c r="A527" s="28">
        <v>13946</v>
      </c>
      <c r="B527" s="5" t="s">
        <v>337</v>
      </c>
      <c r="C527" s="5" t="s">
        <v>338</v>
      </c>
      <c r="D527" s="5" t="s">
        <v>139</v>
      </c>
      <c r="E527" s="5" t="s">
        <v>68</v>
      </c>
      <c r="F527" s="5" t="s">
        <v>209</v>
      </c>
      <c r="G527" s="5" t="s">
        <v>271</v>
      </c>
      <c r="H527" s="5" t="s">
        <v>71</v>
      </c>
      <c r="I527" s="6">
        <v>364</v>
      </c>
      <c r="J527" s="7">
        <v>44290</v>
      </c>
      <c r="K527" s="8" t="str">
        <f>IF(B527="","",IF(AND(I527="",J527=""),"Unknown",IF(OR(AND(ISNUMBER(I527),I527=0),AND(ISNUMBER(J527),J527&lt;=EDATE('Scoring Settings'!$B$4,-'Scoring Settings'!$B$5))),"Not in use",IF(AND(ISNUMBER(I527),I527&lt;'Scoring Settings'!$B$6),"Low use","Active"))))</f>
        <v>Active</v>
      </c>
      <c r="L527" s="5">
        <v>4</v>
      </c>
      <c r="M527" s="5">
        <v>1</v>
      </c>
      <c r="N527" s="5"/>
      <c r="O527" s="5" t="s">
        <v>73</v>
      </c>
      <c r="P527" s="5" t="s">
        <v>339</v>
      </c>
      <c r="Q527" s="9">
        <v>4</v>
      </c>
      <c r="R527" s="5" t="s">
        <v>245</v>
      </c>
      <c r="S527" s="5" t="s">
        <v>246</v>
      </c>
      <c r="T527" s="5" t="s">
        <v>77</v>
      </c>
      <c r="U527" s="7">
        <v>45777</v>
      </c>
      <c r="V527" s="5" t="s">
        <v>135</v>
      </c>
      <c r="W527" s="6">
        <v>65</v>
      </c>
      <c r="X527" s="5" t="s">
        <v>79</v>
      </c>
      <c r="Y527" s="9">
        <v>2</v>
      </c>
      <c r="Z527" s="5" t="s">
        <v>80</v>
      </c>
      <c r="AA527" s="5" t="s">
        <v>81</v>
      </c>
      <c r="AB527" s="9">
        <v>87</v>
      </c>
      <c r="AC527" s="5" t="s">
        <v>79</v>
      </c>
      <c r="AD527" s="5" t="s">
        <v>82</v>
      </c>
      <c r="AE527" s="5" t="s">
        <v>79</v>
      </c>
      <c r="AF527" s="10">
        <v>175000</v>
      </c>
      <c r="AG527" s="7">
        <v>46234</v>
      </c>
      <c r="AH527" s="10"/>
      <c r="AI527" s="10"/>
      <c r="AJ527" s="11" t="str">
        <f t="shared" si="8"/>
        <v/>
      </c>
      <c r="AK527" s="12">
        <f>IF(B527="","",OR(K527="Not in use",K527="Low use")+AND(N527&lt;&gt;"",N527&lt;&gt;"TBD")+AND(ISNUMBER(U527),U527&lt;=EDATE('Scoring Settings'!$B$4,'Scoring Settings'!$B$8))+AND(ISNUMBER(L527),L527&lt;='Scoring Settings'!$B$7))</f>
        <v>0</v>
      </c>
      <c r="AL527" s="5" t="s">
        <v>111</v>
      </c>
      <c r="AM527" s="8" t="str">
        <f>IF(B527="","",IF(Z527="N","Easy",IF(OR(AND(ISNUMBER(AB527),AB527&gt;'Scoring Settings'!$B$11),AND(ISNUMBER(W527),W527&gt;'Scoring Settings'!$B$12),AND(ISNUMBER(M527),M527&lt;='Scoring Settings'!$B$13)),"High","Medium")))</f>
        <v>High</v>
      </c>
      <c r="AN527" s="5"/>
      <c r="AO527" s="7"/>
      <c r="AP527" s="5" t="s">
        <v>98</v>
      </c>
      <c r="AQ527" s="29" t="s">
        <v>159</v>
      </c>
    </row>
    <row r="528" spans="1:43" hidden="1">
      <c r="A528" s="28">
        <v>48528</v>
      </c>
      <c r="B528" s="5" t="s">
        <v>340</v>
      </c>
      <c r="C528" s="5" t="s">
        <v>151</v>
      </c>
      <c r="D528" s="5" t="s">
        <v>102</v>
      </c>
      <c r="E528" s="5" t="s">
        <v>311</v>
      </c>
      <c r="F528" s="5" t="s">
        <v>266</v>
      </c>
      <c r="G528" s="5" t="s">
        <v>267</v>
      </c>
      <c r="H528" s="5" t="s">
        <v>118</v>
      </c>
      <c r="I528" s="6">
        <v>18</v>
      </c>
      <c r="J528" s="7">
        <v>44226</v>
      </c>
      <c r="K528" s="8" t="str">
        <f>IF(B528="","",IF(AND(I528="",J528=""),"Unknown",IF(OR(AND(ISNUMBER(I528),I528=0),AND(ISNUMBER(J528),J528&lt;=EDATE('Scoring Settings'!$B$4,-'Scoring Settings'!$B$5))),"Not in use",IF(AND(ISNUMBER(I528),I528&lt;'Scoring Settings'!$B$6),"Low use","Active"))))</f>
        <v>Low use</v>
      </c>
      <c r="L528" s="5">
        <v>3</v>
      </c>
      <c r="M528" s="5">
        <v>3</v>
      </c>
      <c r="N528" s="5"/>
      <c r="O528" s="5" t="s">
        <v>73</v>
      </c>
      <c r="P528" s="5" t="s">
        <v>341</v>
      </c>
      <c r="Q528" s="9">
        <v>3</v>
      </c>
      <c r="R528" s="5" t="s">
        <v>75</v>
      </c>
      <c r="S528" s="5" t="s">
        <v>76</v>
      </c>
      <c r="T528" s="5" t="s">
        <v>77</v>
      </c>
      <c r="U528" s="7">
        <v>46399</v>
      </c>
      <c r="V528" s="5" t="s">
        <v>78</v>
      </c>
      <c r="W528" s="6">
        <v>86</v>
      </c>
      <c r="X528" s="5" t="s">
        <v>80</v>
      </c>
      <c r="Y528" s="9">
        <v>10</v>
      </c>
      <c r="Z528" s="5" t="s">
        <v>80</v>
      </c>
      <c r="AA528" s="5" t="s">
        <v>147</v>
      </c>
      <c r="AB528" s="9">
        <v>2</v>
      </c>
      <c r="AC528" s="5" t="s">
        <v>80</v>
      </c>
      <c r="AD528" s="5" t="s">
        <v>82</v>
      </c>
      <c r="AE528" s="5" t="s">
        <v>80</v>
      </c>
      <c r="AF528" s="10">
        <v>42000</v>
      </c>
      <c r="AG528" s="7">
        <v>47848</v>
      </c>
      <c r="AH528" s="10"/>
      <c r="AI528" s="10"/>
      <c r="AJ528" s="11" t="str">
        <f t="shared" si="8"/>
        <v/>
      </c>
      <c r="AK528" s="12">
        <f>IF(B528="","",OR(K528="Not in use",K528="Low use")+AND(N528&lt;&gt;"",N528&lt;&gt;"TBD")+AND(ISNUMBER(U528),U528&lt;=EDATE('Scoring Settings'!$B$4,'Scoring Settings'!$B$8))+AND(ISNUMBER(L528),L528&lt;='Scoring Settings'!$B$7))</f>
        <v>1</v>
      </c>
      <c r="AL528" s="5" t="s">
        <v>83</v>
      </c>
      <c r="AM528" s="8" t="str">
        <f>IF(B528="","",IF(Z528="N","Easy",IF(OR(AND(ISNUMBER(AB528),AB528&gt;'Scoring Settings'!$B$11),AND(ISNUMBER(W528),W528&gt;'Scoring Settings'!$B$12),AND(ISNUMBER(M528),M528&lt;='Scoring Settings'!$B$13)),"High","Medium")))</f>
        <v>Medium</v>
      </c>
      <c r="AN528" s="5"/>
      <c r="AO528" s="7"/>
      <c r="AP528" s="5" t="s">
        <v>84</v>
      </c>
      <c r="AQ528" s="29" t="s">
        <v>314</v>
      </c>
    </row>
    <row r="529" spans="1:43" hidden="1">
      <c r="A529" s="28">
        <v>131855</v>
      </c>
      <c r="B529" s="5" t="s">
        <v>342</v>
      </c>
      <c r="C529" s="5" t="s">
        <v>343</v>
      </c>
      <c r="D529" s="5" t="s">
        <v>102</v>
      </c>
      <c r="E529" s="5" t="s">
        <v>298</v>
      </c>
      <c r="F529" s="5" t="s">
        <v>152</v>
      </c>
      <c r="G529" s="5" t="s">
        <v>153</v>
      </c>
      <c r="H529" s="5" t="s">
        <v>174</v>
      </c>
      <c r="I529" s="6">
        <v>27</v>
      </c>
      <c r="J529" s="7">
        <v>44292</v>
      </c>
      <c r="K529" s="8" t="str">
        <f>IF(B529="","",IF(AND(I529="",J529=""),"Unknown",IF(OR(AND(ISNUMBER(I529),I529=0),AND(ISNUMBER(J529),J529&lt;=EDATE('Scoring Settings'!$B$4,-'Scoring Settings'!$B$5))),"Not in use",IF(AND(ISNUMBER(I529),I529&lt;'Scoring Settings'!$B$6),"Low use","Active"))))</f>
        <v>Active</v>
      </c>
      <c r="L529" s="5">
        <v>3</v>
      </c>
      <c r="M529" s="5">
        <v>2</v>
      </c>
      <c r="N529" s="5"/>
      <c r="O529" s="5" t="s">
        <v>73</v>
      </c>
      <c r="P529" s="5" t="s">
        <v>344</v>
      </c>
      <c r="Q529" s="9">
        <v>3</v>
      </c>
      <c r="R529" s="5" t="s">
        <v>182</v>
      </c>
      <c r="S529" s="5" t="s">
        <v>183</v>
      </c>
      <c r="T529" s="5" t="s">
        <v>122</v>
      </c>
      <c r="U529" s="7">
        <v>42855</v>
      </c>
      <c r="V529" s="5" t="s">
        <v>95</v>
      </c>
      <c r="W529" s="6">
        <v>29</v>
      </c>
      <c r="X529" s="5" t="s">
        <v>80</v>
      </c>
      <c r="Y529" s="9">
        <v>7</v>
      </c>
      <c r="Z529" s="5" t="s">
        <v>80</v>
      </c>
      <c r="AA529" s="5" t="s">
        <v>123</v>
      </c>
      <c r="AB529" s="9">
        <v>18</v>
      </c>
      <c r="AC529" s="5" t="s">
        <v>82</v>
      </c>
      <c r="AD529" s="5" t="s">
        <v>79</v>
      </c>
      <c r="AE529" s="5" t="s">
        <v>82</v>
      </c>
      <c r="AF529" s="10">
        <v>55000</v>
      </c>
      <c r="AG529" s="7">
        <v>46996</v>
      </c>
      <c r="AH529" s="10"/>
      <c r="AI529" s="10"/>
      <c r="AJ529" s="11" t="str">
        <f t="shared" si="8"/>
        <v/>
      </c>
      <c r="AK529" s="12">
        <f>IF(B529="","",OR(K529="Not in use",K529="Low use")+AND(N529&lt;&gt;"",N529&lt;&gt;"TBD")+AND(ISNUMBER(U529),U529&lt;=EDATE('Scoring Settings'!$B$4,'Scoring Settings'!$B$8))+AND(ISNUMBER(L529),L529&lt;='Scoring Settings'!$B$7))</f>
        <v>1</v>
      </c>
      <c r="AL529" s="5" t="s">
        <v>111</v>
      </c>
      <c r="AM529" s="8" t="str">
        <f>IF(B529="","",IF(Z529="N","Easy",IF(OR(AND(ISNUMBER(AB529),AB529&gt;'Scoring Settings'!$B$11),AND(ISNUMBER(W529),W529&gt;'Scoring Settings'!$B$12),AND(ISNUMBER(M529),M529&lt;='Scoring Settings'!$B$13)),"High","Medium")))</f>
        <v>High</v>
      </c>
      <c r="AN529" s="5"/>
      <c r="AO529" s="7"/>
      <c r="AP529" s="5" t="s">
        <v>98</v>
      </c>
      <c r="AQ529" s="29" t="s">
        <v>124</v>
      </c>
    </row>
    <row r="530" spans="1:43" hidden="1">
      <c r="A530" s="28">
        <v>13014</v>
      </c>
      <c r="B530" s="5" t="s">
        <v>345</v>
      </c>
      <c r="C530" s="5" t="s">
        <v>293</v>
      </c>
      <c r="D530" s="5" t="s">
        <v>162</v>
      </c>
      <c r="E530" s="5" t="s">
        <v>68</v>
      </c>
      <c r="F530" s="5" t="s">
        <v>346</v>
      </c>
      <c r="G530" s="5" t="s">
        <v>267</v>
      </c>
      <c r="H530" s="5" t="s">
        <v>129</v>
      </c>
      <c r="I530" s="6">
        <v>24</v>
      </c>
      <c r="J530" s="7">
        <v>44240</v>
      </c>
      <c r="K530" s="8" t="str">
        <f>IF(B530="","",IF(AND(I530="",J530=""),"Unknown",IF(OR(AND(ISNUMBER(I530),I530=0),AND(ISNUMBER(J530),J530&lt;=EDATE('Scoring Settings'!$B$4,-'Scoring Settings'!$B$5))),"Not in use",IF(AND(ISNUMBER(I530),I530&lt;'Scoring Settings'!$B$6),"Low use","Active"))))</f>
        <v>Low use</v>
      </c>
      <c r="L530" s="5">
        <v>5</v>
      </c>
      <c r="M530" s="5">
        <v>2</v>
      </c>
      <c r="N530" s="5"/>
      <c r="O530" s="5" t="s">
        <v>191</v>
      </c>
      <c r="P530" s="5" t="s">
        <v>192</v>
      </c>
      <c r="Q530" s="9">
        <v>0</v>
      </c>
      <c r="R530" s="5" t="s">
        <v>193</v>
      </c>
      <c r="S530" s="5" t="s">
        <v>318</v>
      </c>
      <c r="T530" s="5" t="s">
        <v>195</v>
      </c>
      <c r="U530" s="7"/>
      <c r="V530" s="5" t="s">
        <v>95</v>
      </c>
      <c r="W530" s="6">
        <v>26</v>
      </c>
      <c r="X530" s="5" t="s">
        <v>79</v>
      </c>
      <c r="Y530" s="9">
        <v>3</v>
      </c>
      <c r="Z530" s="5" t="s">
        <v>80</v>
      </c>
      <c r="AA530" s="5" t="s">
        <v>185</v>
      </c>
      <c r="AB530" s="9">
        <v>18</v>
      </c>
      <c r="AC530" s="5" t="s">
        <v>82</v>
      </c>
      <c r="AD530" s="5" t="s">
        <v>79</v>
      </c>
      <c r="AE530" s="5" t="s">
        <v>82</v>
      </c>
      <c r="AF530" s="10">
        <v>43000</v>
      </c>
      <c r="AG530" s="7">
        <v>46904</v>
      </c>
      <c r="AH530" s="10"/>
      <c r="AI530" s="10"/>
      <c r="AJ530" s="11" t="str">
        <f t="shared" si="8"/>
        <v/>
      </c>
      <c r="AK530" s="12">
        <f>IF(B530="","",OR(K530="Not in use",K530="Low use")+AND(N530&lt;&gt;"",N530&lt;&gt;"TBD")+AND(ISNUMBER(U530),U530&lt;=EDATE('Scoring Settings'!$B$4,'Scoring Settings'!$B$8))+AND(ISNUMBER(L530),L530&lt;='Scoring Settings'!$B$7))</f>
        <v>1</v>
      </c>
      <c r="AL530" s="5" t="s">
        <v>83</v>
      </c>
      <c r="AM530" s="8" t="str">
        <f>IF(B530="","",IF(Z530="N","Easy",IF(OR(AND(ISNUMBER(AB530),AB530&gt;'Scoring Settings'!$B$11),AND(ISNUMBER(W530),W530&gt;'Scoring Settings'!$B$12),AND(ISNUMBER(M530),M530&lt;='Scoring Settings'!$B$13)),"High","Medium")))</f>
        <v>High</v>
      </c>
      <c r="AN530" s="5"/>
      <c r="AO530" s="7"/>
      <c r="AP530" s="5" t="s">
        <v>98</v>
      </c>
      <c r="AQ530" s="29" t="s">
        <v>273</v>
      </c>
    </row>
    <row r="531" spans="1:43" hidden="1">
      <c r="A531" s="28">
        <v>164654</v>
      </c>
      <c r="B531" s="5" t="s">
        <v>347</v>
      </c>
      <c r="C531" s="5" t="s">
        <v>270</v>
      </c>
      <c r="D531" s="5" t="s">
        <v>139</v>
      </c>
      <c r="E531" s="5" t="s">
        <v>311</v>
      </c>
      <c r="F531" s="5" t="s">
        <v>209</v>
      </c>
      <c r="G531" s="5" t="s">
        <v>271</v>
      </c>
      <c r="H531" s="5" t="s">
        <v>189</v>
      </c>
      <c r="I531" s="6">
        <v>174</v>
      </c>
      <c r="J531" s="7">
        <v>44306</v>
      </c>
      <c r="K531" s="8" t="str">
        <f>IF(B531="","",IF(AND(I531="",J531=""),"Unknown",IF(OR(AND(ISNUMBER(I531),I531=0),AND(ISNUMBER(J531),J531&lt;=EDATE('Scoring Settings'!$B$4,-'Scoring Settings'!$B$5))),"Not in use",IF(AND(ISNUMBER(I531),I531&lt;'Scoring Settings'!$B$6),"Low use","Active"))))</f>
        <v>Active</v>
      </c>
      <c r="L531" s="5">
        <v>5</v>
      </c>
      <c r="M531" s="5">
        <v>1</v>
      </c>
      <c r="N531" s="5"/>
      <c r="O531" s="5" t="s">
        <v>73</v>
      </c>
      <c r="P531" s="5" t="s">
        <v>348</v>
      </c>
      <c r="Q531" s="9">
        <v>5</v>
      </c>
      <c r="R531" s="5" t="s">
        <v>72</v>
      </c>
      <c r="S531" s="5" t="s">
        <v>240</v>
      </c>
      <c r="T531" s="5" t="s">
        <v>109</v>
      </c>
      <c r="U531" s="7">
        <v>44316</v>
      </c>
      <c r="V531" s="5" t="s">
        <v>135</v>
      </c>
      <c r="W531" s="6">
        <v>5</v>
      </c>
      <c r="X531" s="5" t="s">
        <v>79</v>
      </c>
      <c r="Y531" s="9">
        <v>2</v>
      </c>
      <c r="Z531" s="5" t="s">
        <v>80</v>
      </c>
      <c r="AA531" s="5" t="s">
        <v>185</v>
      </c>
      <c r="AB531" s="9">
        <v>79</v>
      </c>
      <c r="AC531" s="5" t="s">
        <v>80</v>
      </c>
      <c r="AD531" s="5" t="s">
        <v>79</v>
      </c>
      <c r="AE531" s="5" t="s">
        <v>82</v>
      </c>
      <c r="AF531" s="10">
        <v>275000</v>
      </c>
      <c r="AG531" s="7">
        <v>49490</v>
      </c>
      <c r="AH531" s="10"/>
      <c r="AI531" s="10"/>
      <c r="AJ531" s="11" t="str">
        <f t="shared" si="8"/>
        <v/>
      </c>
      <c r="AK531" s="12">
        <f>IF(B531="","",OR(K531="Not in use",K531="Low use")+AND(N531&lt;&gt;"",N531&lt;&gt;"TBD")+AND(ISNUMBER(U531),U531&lt;=EDATE('Scoring Settings'!$B$4,'Scoring Settings'!$B$8))+AND(ISNUMBER(L531),L531&lt;='Scoring Settings'!$B$7))</f>
        <v>1</v>
      </c>
      <c r="AL531" s="5" t="s">
        <v>83</v>
      </c>
      <c r="AM531" s="8" t="str">
        <f>IF(B531="","",IF(Z531="N","Easy",IF(OR(AND(ISNUMBER(AB531),AB531&gt;'Scoring Settings'!$B$11),AND(ISNUMBER(W531),W531&gt;'Scoring Settings'!$B$12),AND(ISNUMBER(M531),M531&lt;='Scoring Settings'!$B$13)),"High","Medium")))</f>
        <v>High</v>
      </c>
      <c r="AN531" s="5"/>
      <c r="AO531" s="7"/>
      <c r="AP531" s="5" t="s">
        <v>84</v>
      </c>
      <c r="AQ531" s="29" t="s">
        <v>247</v>
      </c>
    </row>
    <row r="532" spans="1:43" hidden="1">
      <c r="A532" s="28">
        <v>93870</v>
      </c>
      <c r="B532" s="5" t="s">
        <v>361</v>
      </c>
      <c r="C532" s="5" t="s">
        <v>172</v>
      </c>
      <c r="D532" s="5" t="s">
        <v>162</v>
      </c>
      <c r="E532" s="5" t="s">
        <v>298</v>
      </c>
      <c r="F532" s="5" t="s">
        <v>249</v>
      </c>
      <c r="G532" s="5" t="s">
        <v>226</v>
      </c>
      <c r="H532" s="5" t="s">
        <v>118</v>
      </c>
      <c r="I532" s="6">
        <v>7</v>
      </c>
      <c r="J532" s="7">
        <v>44268</v>
      </c>
      <c r="K532" s="8" t="str">
        <f>IF(B532="","",IF(AND(I532="",J532=""),"Unknown",IF(OR(AND(ISNUMBER(I532),I532=0),AND(ISNUMBER(J532),J532&lt;=EDATE('Scoring Settings'!$B$4,-'Scoring Settings'!$B$5))),"Not in use",IF(AND(ISNUMBER(I532),I532&lt;'Scoring Settings'!$B$6),"Low use","Active"))))</f>
        <v>Low use</v>
      </c>
      <c r="L532" s="5">
        <v>3</v>
      </c>
      <c r="M532" s="5">
        <v>4</v>
      </c>
      <c r="N532" s="5"/>
      <c r="O532" s="5" t="s">
        <v>73</v>
      </c>
      <c r="P532" s="5" t="s">
        <v>362</v>
      </c>
      <c r="Q532" s="9">
        <v>2</v>
      </c>
      <c r="R532" s="5" t="s">
        <v>182</v>
      </c>
      <c r="S532" s="5" t="s">
        <v>183</v>
      </c>
      <c r="T532" s="5" t="s">
        <v>72</v>
      </c>
      <c r="U532" s="7">
        <v>42855</v>
      </c>
      <c r="V532" s="5" t="s">
        <v>135</v>
      </c>
      <c r="W532" s="6">
        <v>480</v>
      </c>
      <c r="X532" s="5" t="s">
        <v>79</v>
      </c>
      <c r="Y532" s="9">
        <v>7</v>
      </c>
      <c r="Z532" s="5" t="s">
        <v>80</v>
      </c>
      <c r="AA532" s="5" t="s">
        <v>205</v>
      </c>
      <c r="AB532" s="9">
        <v>0</v>
      </c>
      <c r="AC532" s="5" t="s">
        <v>82</v>
      </c>
      <c r="AD532" s="5" t="s">
        <v>79</v>
      </c>
      <c r="AE532" s="5" t="s">
        <v>80</v>
      </c>
      <c r="AF532" s="10">
        <v>30000</v>
      </c>
      <c r="AG532" s="7">
        <v>49460</v>
      </c>
      <c r="AH532" s="10"/>
      <c r="AI532" s="10"/>
      <c r="AJ532" s="11" t="str">
        <f t="shared" si="8"/>
        <v/>
      </c>
      <c r="AK532" s="12">
        <f>IF(B532="","",OR(K532="Not in use",K532="Low use")+AND(N532&lt;&gt;"",N532&lt;&gt;"TBD")+AND(ISNUMBER(U532),U532&lt;=EDATE('Scoring Settings'!$B$4,'Scoring Settings'!$B$8))+AND(ISNUMBER(L532),L532&lt;='Scoring Settings'!$B$7))</f>
        <v>2</v>
      </c>
      <c r="AL532" s="5" t="s">
        <v>111</v>
      </c>
      <c r="AM532" s="8" t="str">
        <f>IF(B532="","",IF(Z532="N","Easy",IF(OR(AND(ISNUMBER(AB532),AB532&gt;'Scoring Settings'!$B$11),AND(ISNUMBER(W532),W532&gt;'Scoring Settings'!$B$12),AND(ISNUMBER(M532),M532&lt;='Scoring Settings'!$B$13)),"High","Medium")))</f>
        <v>Medium</v>
      </c>
      <c r="AN532" s="5"/>
      <c r="AO532" s="7"/>
      <c r="AP532" s="5" t="s">
        <v>98</v>
      </c>
      <c r="AQ532" s="29" t="s">
        <v>159</v>
      </c>
    </row>
    <row r="533" spans="1:43" ht="42.75" hidden="1">
      <c r="A533" s="28">
        <v>186564</v>
      </c>
      <c r="B533" s="5" t="s">
        <v>365</v>
      </c>
      <c r="C533" s="5" t="s">
        <v>338</v>
      </c>
      <c r="D533" s="5" t="s">
        <v>139</v>
      </c>
      <c r="E533" s="5" t="s">
        <v>68</v>
      </c>
      <c r="F533" s="5" t="s">
        <v>140</v>
      </c>
      <c r="G533" s="5" t="s">
        <v>153</v>
      </c>
      <c r="H533" s="5" t="s">
        <v>189</v>
      </c>
      <c r="I533" s="6">
        <v>1578</v>
      </c>
      <c r="J533" s="7">
        <v>44305</v>
      </c>
      <c r="K533" s="8" t="str">
        <f>IF(B533="","",IF(AND(I533="",J533=""),"Unknown",IF(OR(AND(ISNUMBER(I533),I533=0),AND(ISNUMBER(J533),J533&lt;=EDATE('Scoring Settings'!$B$4,-'Scoring Settings'!$B$5))),"Not in use",IF(AND(ISNUMBER(I533),I533&lt;'Scoring Settings'!$B$6),"Low use","Active"))))</f>
        <v>Active</v>
      </c>
      <c r="L533" s="5">
        <v>4</v>
      </c>
      <c r="M533" s="5">
        <v>1</v>
      </c>
      <c r="N533" s="5" t="s">
        <v>366</v>
      </c>
      <c r="O533" s="5" t="s">
        <v>73</v>
      </c>
      <c r="P533" s="5" t="s">
        <v>367</v>
      </c>
      <c r="Q533" s="9">
        <v>1</v>
      </c>
      <c r="R533" s="5" t="s">
        <v>107</v>
      </c>
      <c r="S533" s="5" t="s">
        <v>108</v>
      </c>
      <c r="T533" s="5" t="s">
        <v>184</v>
      </c>
      <c r="U533" s="7">
        <v>43655</v>
      </c>
      <c r="V533" s="5" t="s">
        <v>135</v>
      </c>
      <c r="W533" s="6">
        <v>1200</v>
      </c>
      <c r="X533" s="5" t="s">
        <v>79</v>
      </c>
      <c r="Y533" s="9">
        <v>1</v>
      </c>
      <c r="Z533" s="5" t="s">
        <v>79</v>
      </c>
      <c r="AA533" s="5" t="s">
        <v>110</v>
      </c>
      <c r="AB533" s="9">
        <v>32</v>
      </c>
      <c r="AC533" s="5" t="s">
        <v>79</v>
      </c>
      <c r="AD533" s="5" t="s">
        <v>82</v>
      </c>
      <c r="AE533" s="5" t="s">
        <v>79</v>
      </c>
      <c r="AF533" s="10">
        <v>65000</v>
      </c>
      <c r="AG533" s="7">
        <v>48182</v>
      </c>
      <c r="AH533" s="10"/>
      <c r="AI533" s="10"/>
      <c r="AJ533" s="11" t="str">
        <f t="shared" si="8"/>
        <v/>
      </c>
      <c r="AK533" s="12">
        <f>IF(B533="","",OR(K533="Not in use",K533="Low use")+AND(N533&lt;&gt;"",N533&lt;&gt;"TBD")+AND(ISNUMBER(U533),U533&lt;=EDATE('Scoring Settings'!$B$4,'Scoring Settings'!$B$8))+AND(ISNUMBER(L533),L533&lt;='Scoring Settings'!$B$7))</f>
        <v>2</v>
      </c>
      <c r="AL533" s="5" t="s">
        <v>111</v>
      </c>
      <c r="AM533" s="8" t="str">
        <f>IF(B533="","",IF(Z533="N","Easy",IF(OR(AND(ISNUMBER(AB533),AB533&gt;'Scoring Settings'!$B$11),AND(ISNUMBER(W533),W533&gt;'Scoring Settings'!$B$12),AND(ISNUMBER(M533),M533&lt;='Scoring Settings'!$B$13)),"High","Medium")))</f>
        <v>Easy</v>
      </c>
      <c r="AN533" s="5"/>
      <c r="AO533" s="7"/>
      <c r="AP533" s="5" t="s">
        <v>98</v>
      </c>
      <c r="AQ533" s="29" t="s">
        <v>368</v>
      </c>
    </row>
    <row r="534" spans="1:43" hidden="1">
      <c r="A534" s="28">
        <v>86183</v>
      </c>
      <c r="B534" s="5" t="s">
        <v>369</v>
      </c>
      <c r="C534" s="5" t="s">
        <v>161</v>
      </c>
      <c r="D534" s="5" t="s">
        <v>162</v>
      </c>
      <c r="E534" s="5" t="s">
        <v>311</v>
      </c>
      <c r="F534" s="5" t="s">
        <v>243</v>
      </c>
      <c r="G534" s="5" t="s">
        <v>356</v>
      </c>
      <c r="H534" s="5" t="s">
        <v>174</v>
      </c>
      <c r="I534" s="6">
        <v>0</v>
      </c>
      <c r="J534" s="7">
        <v>44082</v>
      </c>
      <c r="K534" s="8" t="str">
        <f>IF(B534="","",IF(AND(I534="",J534=""),"Unknown",IF(OR(AND(ISNUMBER(I534),I534=0),AND(ISNUMBER(J534),J534&lt;=EDATE('Scoring Settings'!$B$4,-'Scoring Settings'!$B$5))),"Not in use",IF(AND(ISNUMBER(I534),I534&lt;'Scoring Settings'!$B$6),"Low use","Active"))))</f>
        <v>Not in use</v>
      </c>
      <c r="L534" s="5">
        <v>4</v>
      </c>
      <c r="M534" s="5">
        <v>2</v>
      </c>
      <c r="N534" s="5" t="s">
        <v>72</v>
      </c>
      <c r="O534" s="5" t="s">
        <v>191</v>
      </c>
      <c r="P534" s="5" t="s">
        <v>192</v>
      </c>
      <c r="Q534" s="9">
        <v>0</v>
      </c>
      <c r="R534" s="5" t="s">
        <v>193</v>
      </c>
      <c r="S534" s="5" t="s">
        <v>194</v>
      </c>
      <c r="T534" s="5" t="s">
        <v>195</v>
      </c>
      <c r="U534" s="7"/>
      <c r="V534" s="5" t="s">
        <v>135</v>
      </c>
      <c r="W534" s="6">
        <v>1270</v>
      </c>
      <c r="X534" s="5" t="s">
        <v>79</v>
      </c>
      <c r="Y534" s="9">
        <v>2</v>
      </c>
      <c r="Z534" s="5" t="s">
        <v>80</v>
      </c>
      <c r="AA534" s="5" t="s">
        <v>185</v>
      </c>
      <c r="AB534" s="9">
        <v>30</v>
      </c>
      <c r="AC534" s="5" t="s">
        <v>80</v>
      </c>
      <c r="AD534" s="5" t="s">
        <v>80</v>
      </c>
      <c r="AE534" s="5" t="s">
        <v>80</v>
      </c>
      <c r="AF534" s="10">
        <v>9000</v>
      </c>
      <c r="AG534" s="7">
        <v>49156</v>
      </c>
      <c r="AH534" s="10">
        <v>11000</v>
      </c>
      <c r="AI534" s="10">
        <v>8500</v>
      </c>
      <c r="AJ534" s="11">
        <f t="shared" si="8"/>
        <v>15.529411764705884</v>
      </c>
      <c r="AK534" s="12">
        <f>IF(B534="","",OR(K534="Not in use",K534="Low use")+AND(N534&lt;&gt;"",N534&lt;&gt;"TBD")+AND(ISNUMBER(U534),U534&lt;=EDATE('Scoring Settings'!$B$4,'Scoring Settings'!$B$8))+AND(ISNUMBER(L534),L534&lt;='Scoring Settings'!$B$7))</f>
        <v>1</v>
      </c>
      <c r="AL534" s="5" t="s">
        <v>111</v>
      </c>
      <c r="AM534" s="8" t="str">
        <f>IF(B534="","",IF(Z534="N","Easy",IF(OR(AND(ISNUMBER(AB534),AB534&gt;'Scoring Settings'!$B$11),AND(ISNUMBER(W534),W534&gt;'Scoring Settings'!$B$12),AND(ISNUMBER(M534),M534&lt;='Scoring Settings'!$B$13)),"High","Medium")))</f>
        <v>High</v>
      </c>
      <c r="AN534" s="5"/>
      <c r="AO534" s="7"/>
      <c r="AP534" s="5" t="s">
        <v>98</v>
      </c>
      <c r="AQ534" s="29" t="s">
        <v>159</v>
      </c>
    </row>
    <row r="535" spans="1:43" hidden="1">
      <c r="A535" s="28">
        <v>50513</v>
      </c>
      <c r="B535" s="5" t="s">
        <v>384</v>
      </c>
      <c r="C535" s="5" t="s">
        <v>138</v>
      </c>
      <c r="D535" s="5" t="s">
        <v>139</v>
      </c>
      <c r="E535" s="5" t="s">
        <v>298</v>
      </c>
      <c r="F535" s="5" t="s">
        <v>152</v>
      </c>
      <c r="G535" s="5" t="s">
        <v>221</v>
      </c>
      <c r="H535" s="5" t="s">
        <v>142</v>
      </c>
      <c r="I535" s="6">
        <v>0</v>
      </c>
      <c r="J535" s="7">
        <v>43803</v>
      </c>
      <c r="K535" s="8" t="str">
        <f>IF(B535="","",IF(AND(I535="",J535=""),"Unknown",IF(OR(AND(ISNUMBER(I535),I535=0),AND(ISNUMBER(J535),J535&lt;=EDATE('Scoring Settings'!$B$4,-'Scoring Settings'!$B$5))),"Not in use",IF(AND(ISNUMBER(I535),I535&lt;'Scoring Settings'!$B$6),"Low use","Active"))))</f>
        <v>Not in use</v>
      </c>
      <c r="L535" s="5">
        <v>4</v>
      </c>
      <c r="M535" s="5">
        <v>3</v>
      </c>
      <c r="N535" s="5" t="s">
        <v>72</v>
      </c>
      <c r="O535" s="5" t="s">
        <v>143</v>
      </c>
      <c r="P535" s="5" t="s">
        <v>144</v>
      </c>
      <c r="Q535" s="9">
        <v>0</v>
      </c>
      <c r="R535" s="5" t="s">
        <v>145</v>
      </c>
      <c r="S535" s="5" t="s">
        <v>145</v>
      </c>
      <c r="T535" s="5" t="s">
        <v>146</v>
      </c>
      <c r="U535" s="7">
        <v>46295</v>
      </c>
      <c r="V535" s="5" t="s">
        <v>135</v>
      </c>
      <c r="W535" s="6">
        <v>34</v>
      </c>
      <c r="X535" s="5" t="s">
        <v>79</v>
      </c>
      <c r="Y535" s="9">
        <v>3</v>
      </c>
      <c r="Z535" s="5" t="s">
        <v>79</v>
      </c>
      <c r="AA535" s="5" t="s">
        <v>110</v>
      </c>
      <c r="AB535" s="9">
        <v>6</v>
      </c>
      <c r="AC535" s="5" t="s">
        <v>82</v>
      </c>
      <c r="AD535" s="5" t="s">
        <v>80</v>
      </c>
      <c r="AE535" s="5" t="s">
        <v>79</v>
      </c>
      <c r="AF535" s="10">
        <v>105000</v>
      </c>
      <c r="AG535" s="7">
        <v>48760</v>
      </c>
      <c r="AH535" s="10">
        <v>93500</v>
      </c>
      <c r="AI535" s="10">
        <v>72000</v>
      </c>
      <c r="AJ535" s="11">
        <f t="shared" si="8"/>
        <v>15.583333333333334</v>
      </c>
      <c r="AK535" s="12">
        <f>IF(B535="","",OR(K535="Not in use",K535="Low use")+AND(N535&lt;&gt;"",N535&lt;&gt;"TBD")+AND(ISNUMBER(U535),U535&lt;=EDATE('Scoring Settings'!$B$4,'Scoring Settings'!$B$8))+AND(ISNUMBER(L535),L535&lt;='Scoring Settings'!$B$7))</f>
        <v>1</v>
      </c>
      <c r="AL535" s="5" t="s">
        <v>111</v>
      </c>
      <c r="AM535" s="8" t="str">
        <f>IF(B535="","",IF(Z535="N","Easy",IF(OR(AND(ISNUMBER(AB535),AB535&gt;'Scoring Settings'!$B$11),AND(ISNUMBER(W535),W535&gt;'Scoring Settings'!$B$12),AND(ISNUMBER(M535),M535&lt;='Scoring Settings'!$B$13)),"High","Medium")))</f>
        <v>Easy</v>
      </c>
      <c r="AN535" s="5"/>
      <c r="AO535" s="7"/>
      <c r="AP535" s="5" t="s">
        <v>98</v>
      </c>
      <c r="AQ535" s="29" t="s">
        <v>124</v>
      </c>
    </row>
    <row r="536" spans="1:43" hidden="1">
      <c r="A536" s="28">
        <v>158493</v>
      </c>
      <c r="B536" s="5" t="s">
        <v>385</v>
      </c>
      <c r="C536" s="5" t="s">
        <v>208</v>
      </c>
      <c r="D536" s="5" t="s">
        <v>67</v>
      </c>
      <c r="E536" s="5" t="s">
        <v>68</v>
      </c>
      <c r="F536" s="5" t="s">
        <v>188</v>
      </c>
      <c r="G536" s="5" t="s">
        <v>141</v>
      </c>
      <c r="H536" s="5" t="s">
        <v>142</v>
      </c>
      <c r="I536" s="6">
        <v>137</v>
      </c>
      <c r="J536" s="7">
        <v>44314</v>
      </c>
      <c r="K536" s="8" t="str">
        <f>IF(B536="","",IF(AND(I536="",J536=""),"Unknown",IF(OR(AND(ISNUMBER(I536),I536=0),AND(ISNUMBER(J536),J536&lt;=EDATE('Scoring Settings'!$B$4,-'Scoring Settings'!$B$5))),"Not in use",IF(AND(ISNUMBER(I536),I536&lt;'Scoring Settings'!$B$6),"Low use","Active"))))</f>
        <v>Active</v>
      </c>
      <c r="L536" s="5">
        <v>5</v>
      </c>
      <c r="M536" s="5">
        <v>1</v>
      </c>
      <c r="N536" s="5"/>
      <c r="O536" s="5" t="s">
        <v>143</v>
      </c>
      <c r="P536" s="5" t="s">
        <v>144</v>
      </c>
      <c r="Q536" s="9">
        <v>0</v>
      </c>
      <c r="R536" s="5" t="s">
        <v>145</v>
      </c>
      <c r="S536" s="5" t="s">
        <v>145</v>
      </c>
      <c r="T536" s="5" t="s">
        <v>146</v>
      </c>
      <c r="U536" s="7"/>
      <c r="V536" s="5" t="s">
        <v>95</v>
      </c>
      <c r="W536" s="6">
        <v>160</v>
      </c>
      <c r="X536" s="5" t="s">
        <v>80</v>
      </c>
      <c r="Y536" s="9">
        <v>5</v>
      </c>
      <c r="Z536" s="5" t="s">
        <v>79</v>
      </c>
      <c r="AA536" s="5" t="s">
        <v>110</v>
      </c>
      <c r="AB536" s="9">
        <v>85</v>
      </c>
      <c r="AC536" s="5" t="s">
        <v>79</v>
      </c>
      <c r="AD536" s="5" t="s">
        <v>80</v>
      </c>
      <c r="AE536" s="5" t="s">
        <v>79</v>
      </c>
      <c r="AF536" s="10">
        <v>200000</v>
      </c>
      <c r="AG536" s="7">
        <v>47299</v>
      </c>
      <c r="AH536" s="10">
        <v>847500</v>
      </c>
      <c r="AI536" s="10">
        <v>134000</v>
      </c>
      <c r="AJ536" s="11">
        <f t="shared" si="8"/>
        <v>75.895522388059703</v>
      </c>
      <c r="AK536" s="12">
        <f>IF(B536="","",OR(K536="Not in use",K536="Low use")+AND(N536&lt;&gt;"",N536&lt;&gt;"TBD")+AND(ISNUMBER(U536),U536&lt;=EDATE('Scoring Settings'!$B$4,'Scoring Settings'!$B$8))+AND(ISNUMBER(L536),L536&lt;='Scoring Settings'!$B$7))</f>
        <v>0</v>
      </c>
      <c r="AL536" s="5" t="s">
        <v>111</v>
      </c>
      <c r="AM536" s="8" t="str">
        <f>IF(B536="","",IF(Z536="N","Easy",IF(OR(AND(ISNUMBER(AB536),AB536&gt;'Scoring Settings'!$B$11),AND(ISNUMBER(W536),W536&gt;'Scoring Settings'!$B$12),AND(ISNUMBER(M536),M536&lt;='Scoring Settings'!$B$13)),"High","Medium")))</f>
        <v>Easy</v>
      </c>
      <c r="AN536" s="5"/>
      <c r="AO536" s="7"/>
      <c r="AP536" s="5" t="s">
        <v>98</v>
      </c>
      <c r="AQ536" s="29" t="s">
        <v>124</v>
      </c>
    </row>
    <row r="537" spans="1:43" hidden="1">
      <c r="A537" s="28">
        <v>87167</v>
      </c>
      <c r="B537" s="5" t="s">
        <v>386</v>
      </c>
      <c r="C537" s="5" t="s">
        <v>230</v>
      </c>
      <c r="D537" s="5" t="s">
        <v>115</v>
      </c>
      <c r="E537" s="5" t="s">
        <v>68</v>
      </c>
      <c r="F537" s="5" t="s">
        <v>387</v>
      </c>
      <c r="G537" s="5" t="s">
        <v>104</v>
      </c>
      <c r="H537" s="5" t="s">
        <v>129</v>
      </c>
      <c r="I537" s="6">
        <v>161</v>
      </c>
      <c r="J537" s="7">
        <v>44295</v>
      </c>
      <c r="K537" s="8" t="str">
        <f>IF(B537="","",IF(AND(I537="",J537=""),"Unknown",IF(OR(AND(ISNUMBER(I537),I537=0),AND(ISNUMBER(J537),J537&lt;=EDATE('Scoring Settings'!$B$4,-'Scoring Settings'!$B$5))),"Not in use",IF(AND(ISNUMBER(I537),I537&lt;'Scoring Settings'!$B$6),"Low use","Active"))))</f>
        <v>Active</v>
      </c>
      <c r="L537" s="5">
        <v>3</v>
      </c>
      <c r="M537" s="5">
        <v>3</v>
      </c>
      <c r="N537" s="5"/>
      <c r="O537" s="5" t="s">
        <v>130</v>
      </c>
      <c r="P537" s="5" t="s">
        <v>388</v>
      </c>
      <c r="Q537" s="9">
        <v>1</v>
      </c>
      <c r="R537" s="5" t="s">
        <v>352</v>
      </c>
      <c r="S537" s="5" t="s">
        <v>353</v>
      </c>
      <c r="T537" s="5" t="s">
        <v>195</v>
      </c>
      <c r="U537" s="7">
        <v>47127</v>
      </c>
      <c r="V537" s="5" t="s">
        <v>95</v>
      </c>
      <c r="W537" s="6">
        <v>190</v>
      </c>
      <c r="X537" s="5" t="s">
        <v>79</v>
      </c>
      <c r="Y537" s="9">
        <v>3</v>
      </c>
      <c r="Z537" s="5" t="s">
        <v>79</v>
      </c>
      <c r="AA537" s="5" t="s">
        <v>110</v>
      </c>
      <c r="AB537" s="9">
        <v>8</v>
      </c>
      <c r="AC537" s="5" t="s">
        <v>80</v>
      </c>
      <c r="AD537" s="5" t="s">
        <v>82</v>
      </c>
      <c r="AE537" s="5" t="s">
        <v>82</v>
      </c>
      <c r="AF537" s="10">
        <v>10000</v>
      </c>
      <c r="AG537" s="7">
        <v>46477</v>
      </c>
      <c r="AH537" s="10"/>
      <c r="AI537" s="10"/>
      <c r="AJ537" s="11" t="str">
        <f t="shared" si="8"/>
        <v/>
      </c>
      <c r="AK537" s="12">
        <f>IF(B537="","",OR(K537="Not in use",K537="Low use")+AND(N537&lt;&gt;"",N537&lt;&gt;"TBD")+AND(ISNUMBER(U537),U537&lt;=EDATE('Scoring Settings'!$B$4,'Scoring Settings'!$B$8))+AND(ISNUMBER(L537),L537&lt;='Scoring Settings'!$B$7))</f>
        <v>0</v>
      </c>
      <c r="AL537" s="5" t="s">
        <v>83</v>
      </c>
      <c r="AM537" s="8" t="str">
        <f>IF(B537="","",IF(Z537="N","Easy",IF(OR(AND(ISNUMBER(AB537),AB537&gt;'Scoring Settings'!$B$11),AND(ISNUMBER(W537),W537&gt;'Scoring Settings'!$B$12),AND(ISNUMBER(M537),M537&lt;='Scoring Settings'!$B$13)),"High","Medium")))</f>
        <v>Easy</v>
      </c>
      <c r="AN537" s="5"/>
      <c r="AO537" s="7"/>
      <c r="AP537" s="5" t="s">
        <v>98</v>
      </c>
      <c r="AQ537" s="29" t="s">
        <v>273</v>
      </c>
    </row>
    <row r="538" spans="1:43" hidden="1">
      <c r="A538" s="28">
        <v>167107</v>
      </c>
      <c r="B538" s="5" t="s">
        <v>389</v>
      </c>
      <c r="C538" s="5" t="s">
        <v>390</v>
      </c>
      <c r="D538" s="5" t="s">
        <v>88</v>
      </c>
      <c r="E538" s="5" t="s">
        <v>68</v>
      </c>
      <c r="F538" s="5" t="s">
        <v>249</v>
      </c>
      <c r="G538" s="5" t="s">
        <v>117</v>
      </c>
      <c r="H538" s="5" t="s">
        <v>118</v>
      </c>
      <c r="I538" s="6">
        <v>180</v>
      </c>
      <c r="J538" s="7">
        <v>44303</v>
      </c>
      <c r="K538" s="8" t="str">
        <f>IF(B538="","",IF(AND(I538="",J538=""),"Unknown",IF(OR(AND(ISNUMBER(I538),I538=0),AND(ISNUMBER(J538),J538&lt;=EDATE('Scoring Settings'!$B$4,-'Scoring Settings'!$B$5))),"Not in use",IF(AND(ISNUMBER(I538),I538&lt;'Scoring Settings'!$B$6),"Low use","Active"))))</f>
        <v>Active</v>
      </c>
      <c r="L538" s="5">
        <v>5</v>
      </c>
      <c r="M538" s="5">
        <v>1</v>
      </c>
      <c r="N538" s="5"/>
      <c r="O538" s="5" t="s">
        <v>73</v>
      </c>
      <c r="P538" s="5" t="s">
        <v>391</v>
      </c>
      <c r="Q538" s="9">
        <v>7</v>
      </c>
      <c r="R538" s="5" t="s">
        <v>132</v>
      </c>
      <c r="S538" s="5" t="s">
        <v>133</v>
      </c>
      <c r="T538" s="5" t="s">
        <v>122</v>
      </c>
      <c r="U538" s="7">
        <v>44227</v>
      </c>
      <c r="V538" s="5" t="s">
        <v>78</v>
      </c>
      <c r="W538" s="6">
        <v>130</v>
      </c>
      <c r="X538" s="5" t="s">
        <v>79</v>
      </c>
      <c r="Y538" s="9">
        <v>7</v>
      </c>
      <c r="Z538" s="5" t="s">
        <v>80</v>
      </c>
      <c r="AA538" s="5" t="s">
        <v>81</v>
      </c>
      <c r="AB538" s="9">
        <v>74</v>
      </c>
      <c r="AC538" s="5" t="s">
        <v>79</v>
      </c>
      <c r="AD538" s="5" t="s">
        <v>82</v>
      </c>
      <c r="AE538" s="5" t="s">
        <v>80</v>
      </c>
      <c r="AF538" s="10">
        <v>365000</v>
      </c>
      <c r="AG538" s="7">
        <v>49156</v>
      </c>
      <c r="AH538" s="10"/>
      <c r="AI538" s="10"/>
      <c r="AJ538" s="11" t="str">
        <f t="shared" si="8"/>
        <v/>
      </c>
      <c r="AK538" s="12">
        <f>IF(B538="","",OR(K538="Not in use",K538="Low use")+AND(N538&lt;&gt;"",N538&lt;&gt;"TBD")+AND(ISNUMBER(U538),U538&lt;=EDATE('Scoring Settings'!$B$4,'Scoring Settings'!$B$8))+AND(ISNUMBER(L538),L538&lt;='Scoring Settings'!$B$7))</f>
        <v>1</v>
      </c>
      <c r="AL538" s="5" t="s">
        <v>83</v>
      </c>
      <c r="AM538" s="8" t="str">
        <f>IF(B538="","",IF(Z538="N","Easy",IF(OR(AND(ISNUMBER(AB538),AB538&gt;'Scoring Settings'!$B$11),AND(ISNUMBER(W538),W538&gt;'Scoring Settings'!$B$12),AND(ISNUMBER(M538),M538&lt;='Scoring Settings'!$B$13)),"High","Medium")))</f>
        <v>High</v>
      </c>
      <c r="AN538" s="5"/>
      <c r="AO538" s="7"/>
      <c r="AP538" s="5" t="s">
        <v>84</v>
      </c>
      <c r="AQ538" s="29" t="s">
        <v>247</v>
      </c>
    </row>
    <row r="539" spans="1:43" hidden="1">
      <c r="A539" s="28">
        <v>186523</v>
      </c>
      <c r="B539" s="5" t="s">
        <v>392</v>
      </c>
      <c r="C539" s="5" t="s">
        <v>333</v>
      </c>
      <c r="D539" s="5" t="s">
        <v>115</v>
      </c>
      <c r="E539" s="5" t="s">
        <v>68</v>
      </c>
      <c r="F539" s="5" t="s">
        <v>299</v>
      </c>
      <c r="G539" s="5" t="s">
        <v>117</v>
      </c>
      <c r="H539" s="5" t="s">
        <v>71</v>
      </c>
      <c r="I539" s="6">
        <v>1563</v>
      </c>
      <c r="J539" s="7">
        <v>44302</v>
      </c>
      <c r="K539" s="8" t="str">
        <f>IF(B539="","",IF(AND(I539="",J539=""),"Unknown",IF(OR(AND(ISNUMBER(I539),I539=0),AND(ISNUMBER(J539),J539&lt;=EDATE('Scoring Settings'!$B$4,-'Scoring Settings'!$B$5))),"Not in use",IF(AND(ISNUMBER(I539),I539&lt;'Scoring Settings'!$B$6),"Low use","Active"))))</f>
        <v>Active</v>
      </c>
      <c r="L539" s="5">
        <v>5</v>
      </c>
      <c r="M539" s="5">
        <v>2</v>
      </c>
      <c r="N539" s="5" t="s">
        <v>72</v>
      </c>
      <c r="O539" s="5" t="s">
        <v>73</v>
      </c>
      <c r="P539" s="5" t="s">
        <v>393</v>
      </c>
      <c r="Q539" s="9">
        <v>1</v>
      </c>
      <c r="R539" s="5" t="s">
        <v>166</v>
      </c>
      <c r="S539" s="5" t="s">
        <v>308</v>
      </c>
      <c r="T539" s="5" t="s">
        <v>122</v>
      </c>
      <c r="U539" s="7">
        <v>45209</v>
      </c>
      <c r="V539" s="5" t="s">
        <v>135</v>
      </c>
      <c r="W539" s="6">
        <v>8</v>
      </c>
      <c r="X539" s="5" t="s">
        <v>80</v>
      </c>
      <c r="Y539" s="9">
        <v>7</v>
      </c>
      <c r="Z539" s="5" t="s">
        <v>80</v>
      </c>
      <c r="AA539" s="5" t="s">
        <v>185</v>
      </c>
      <c r="AB539" s="9">
        <v>24</v>
      </c>
      <c r="AC539" s="5" t="s">
        <v>79</v>
      </c>
      <c r="AD539" s="5" t="s">
        <v>82</v>
      </c>
      <c r="AE539" s="5" t="s">
        <v>79</v>
      </c>
      <c r="AF539" s="10">
        <v>45500</v>
      </c>
      <c r="AG539" s="7">
        <v>47208</v>
      </c>
      <c r="AH539" s="10"/>
      <c r="AI539" s="10"/>
      <c r="AJ539" s="11" t="str">
        <f t="shared" si="8"/>
        <v/>
      </c>
      <c r="AK539" s="12">
        <f>IF(B539="","",OR(K539="Not in use",K539="Low use")+AND(N539&lt;&gt;"",N539&lt;&gt;"TBD")+AND(ISNUMBER(U539),U539&lt;=EDATE('Scoring Settings'!$B$4,'Scoring Settings'!$B$8))+AND(ISNUMBER(L539),L539&lt;='Scoring Settings'!$B$7))</f>
        <v>0</v>
      </c>
      <c r="AL539" s="5" t="s">
        <v>83</v>
      </c>
      <c r="AM539" s="8" t="str">
        <f>IF(B539="","",IF(Z539="N","Easy",IF(OR(AND(ISNUMBER(AB539),AB539&gt;'Scoring Settings'!$B$11),AND(ISNUMBER(W539),W539&gt;'Scoring Settings'!$B$12),AND(ISNUMBER(M539),M539&lt;='Scoring Settings'!$B$13)),"High","Medium")))</f>
        <v>High</v>
      </c>
      <c r="AN539" s="5"/>
      <c r="AO539" s="7"/>
      <c r="AP539" s="5" t="s">
        <v>84</v>
      </c>
      <c r="AQ539" s="29" t="s">
        <v>273</v>
      </c>
    </row>
    <row r="540" spans="1:43" hidden="1">
      <c r="A540" s="28">
        <v>50897</v>
      </c>
      <c r="B540" s="5" t="s">
        <v>394</v>
      </c>
      <c r="C540" s="5" t="s">
        <v>395</v>
      </c>
      <c r="D540" s="5" t="s">
        <v>88</v>
      </c>
      <c r="E540" s="5" t="s">
        <v>298</v>
      </c>
      <c r="F540" s="5" t="s">
        <v>396</v>
      </c>
      <c r="G540" s="5" t="s">
        <v>356</v>
      </c>
      <c r="H540" s="5" t="s">
        <v>71</v>
      </c>
      <c r="I540" s="6">
        <v>40</v>
      </c>
      <c r="J540" s="7">
        <v>44278</v>
      </c>
      <c r="K540" s="8" t="str">
        <f>IF(B540="","",IF(AND(I540="",J540=""),"Unknown",IF(OR(AND(ISNUMBER(I540),I540=0),AND(ISNUMBER(J540),J540&lt;=EDATE('Scoring Settings'!$B$4,-'Scoring Settings'!$B$5))),"Not in use",IF(AND(ISNUMBER(I540),I540&lt;'Scoring Settings'!$B$6),"Low use","Active"))))</f>
        <v>Active</v>
      </c>
      <c r="L540" s="5">
        <v>4</v>
      </c>
      <c r="M540" s="5">
        <v>3</v>
      </c>
      <c r="N540" s="5"/>
      <c r="O540" s="5" t="s">
        <v>191</v>
      </c>
      <c r="P540" s="5" t="s">
        <v>192</v>
      </c>
      <c r="Q540" s="9">
        <v>0</v>
      </c>
      <c r="R540" s="5" t="s">
        <v>193</v>
      </c>
      <c r="S540" s="5" t="s">
        <v>318</v>
      </c>
      <c r="T540" s="5" t="s">
        <v>195</v>
      </c>
      <c r="U540" s="7">
        <v>44742</v>
      </c>
      <c r="V540" s="5" t="s">
        <v>135</v>
      </c>
      <c r="W540" s="6">
        <v>84</v>
      </c>
      <c r="X540" s="5" t="s">
        <v>79</v>
      </c>
      <c r="Y540" s="9">
        <v>2</v>
      </c>
      <c r="Z540" s="5" t="s">
        <v>80</v>
      </c>
      <c r="AA540" s="5" t="s">
        <v>205</v>
      </c>
      <c r="AB540" s="9">
        <v>5</v>
      </c>
      <c r="AC540" s="5" t="s">
        <v>82</v>
      </c>
      <c r="AD540" s="5" t="s">
        <v>80</v>
      </c>
      <c r="AE540" s="5" t="s">
        <v>82</v>
      </c>
      <c r="AF540" s="10">
        <v>12500</v>
      </c>
      <c r="AG540" s="7">
        <v>47299</v>
      </c>
      <c r="AH540" s="10">
        <v>22500</v>
      </c>
      <c r="AI540" s="10">
        <v>12000</v>
      </c>
      <c r="AJ540" s="11">
        <f t="shared" si="8"/>
        <v>22.5</v>
      </c>
      <c r="AK540" s="12">
        <f>IF(B540="","",OR(K540="Not in use",K540="Low use")+AND(N540&lt;&gt;"",N540&lt;&gt;"TBD")+AND(ISNUMBER(U540),U540&lt;=EDATE('Scoring Settings'!$B$4,'Scoring Settings'!$B$8))+AND(ISNUMBER(L540),L540&lt;='Scoring Settings'!$B$7))</f>
        <v>0</v>
      </c>
      <c r="AL540" s="5" t="s">
        <v>111</v>
      </c>
      <c r="AM540" s="8" t="str">
        <f>IF(B540="","",IF(Z540="N","Easy",IF(OR(AND(ISNUMBER(AB540),AB540&gt;'Scoring Settings'!$B$11),AND(ISNUMBER(W540),W540&gt;'Scoring Settings'!$B$12),AND(ISNUMBER(M540),M540&lt;='Scoring Settings'!$B$13)),"High","Medium")))</f>
        <v>Medium</v>
      </c>
      <c r="AN540" s="5"/>
      <c r="AO540" s="7"/>
      <c r="AP540" s="5" t="s">
        <v>98</v>
      </c>
      <c r="AQ540" s="29" t="s">
        <v>159</v>
      </c>
    </row>
    <row r="541" spans="1:43" hidden="1">
      <c r="A541" s="28">
        <v>190657</v>
      </c>
      <c r="B541" s="5" t="s">
        <v>397</v>
      </c>
      <c r="C541" s="5" t="s">
        <v>156</v>
      </c>
      <c r="D541" s="5" t="s">
        <v>139</v>
      </c>
      <c r="E541" s="5" t="s">
        <v>68</v>
      </c>
      <c r="F541" s="5" t="s">
        <v>326</v>
      </c>
      <c r="G541" s="5" t="s">
        <v>117</v>
      </c>
      <c r="H541" s="5" t="s">
        <v>91</v>
      </c>
      <c r="I541" s="6">
        <v>4</v>
      </c>
      <c r="J541" s="7">
        <v>44209</v>
      </c>
      <c r="K541" s="8" t="str">
        <f>IF(B541="","",IF(AND(I541="",J541=""),"Unknown",IF(OR(AND(ISNUMBER(I541),I541=0),AND(ISNUMBER(J541),J541&lt;=EDATE('Scoring Settings'!$B$4,-'Scoring Settings'!$B$5))),"Not in use",IF(AND(ISNUMBER(I541),I541&lt;'Scoring Settings'!$B$6),"Low use","Active"))))</f>
        <v>Low use</v>
      </c>
      <c r="L541" s="5">
        <v>5</v>
      </c>
      <c r="M541" s="5">
        <v>2</v>
      </c>
      <c r="N541" s="5"/>
      <c r="O541" s="5" t="s">
        <v>191</v>
      </c>
      <c r="P541" s="5" t="s">
        <v>192</v>
      </c>
      <c r="Q541" s="9">
        <v>0</v>
      </c>
      <c r="R541" s="5" t="s">
        <v>193</v>
      </c>
      <c r="S541" s="5" t="s">
        <v>318</v>
      </c>
      <c r="T541" s="5" t="s">
        <v>195</v>
      </c>
      <c r="U541" s="7"/>
      <c r="V541" s="5" t="s">
        <v>95</v>
      </c>
      <c r="W541" s="6">
        <v>650</v>
      </c>
      <c r="X541" s="5" t="s">
        <v>79</v>
      </c>
      <c r="Y541" s="9">
        <v>3</v>
      </c>
      <c r="Z541" s="5" t="s">
        <v>80</v>
      </c>
      <c r="AA541" s="5" t="s">
        <v>123</v>
      </c>
      <c r="AB541" s="9">
        <v>30</v>
      </c>
      <c r="AC541" s="5" t="s">
        <v>80</v>
      </c>
      <c r="AD541" s="5" t="s">
        <v>80</v>
      </c>
      <c r="AE541" s="5" t="s">
        <v>80</v>
      </c>
      <c r="AF541" s="10">
        <v>47000</v>
      </c>
      <c r="AG541" s="7">
        <v>49490</v>
      </c>
      <c r="AH541" s="10"/>
      <c r="AI541" s="10"/>
      <c r="AJ541" s="11" t="str">
        <f t="shared" si="8"/>
        <v/>
      </c>
      <c r="AK541" s="12">
        <f>IF(B541="","",OR(K541="Not in use",K541="Low use")+AND(N541&lt;&gt;"",N541&lt;&gt;"TBD")+AND(ISNUMBER(U541),U541&lt;=EDATE('Scoring Settings'!$B$4,'Scoring Settings'!$B$8))+AND(ISNUMBER(L541),L541&lt;='Scoring Settings'!$B$7))</f>
        <v>1</v>
      </c>
      <c r="AL541" s="5" t="s">
        <v>83</v>
      </c>
      <c r="AM541" s="8" t="str">
        <f>IF(B541="","",IF(Z541="N","Easy",IF(OR(AND(ISNUMBER(AB541),AB541&gt;'Scoring Settings'!$B$11),AND(ISNUMBER(W541),W541&gt;'Scoring Settings'!$B$12),AND(ISNUMBER(M541),M541&lt;='Scoring Settings'!$B$13)),"High","Medium")))</f>
        <v>High</v>
      </c>
      <c r="AN541" s="5"/>
      <c r="AO541" s="7"/>
      <c r="AP541" s="5" t="s">
        <v>84</v>
      </c>
      <c r="AQ541" s="29" t="s">
        <v>206</v>
      </c>
    </row>
    <row r="542" spans="1:43" hidden="1">
      <c r="A542" s="28">
        <v>21468</v>
      </c>
      <c r="B542" s="5" t="s">
        <v>408</v>
      </c>
      <c r="C542" s="5" t="s">
        <v>409</v>
      </c>
      <c r="D542" s="5" t="s">
        <v>115</v>
      </c>
      <c r="E542" s="5" t="s">
        <v>298</v>
      </c>
      <c r="F542" s="5" t="s">
        <v>103</v>
      </c>
      <c r="G542" s="5" t="s">
        <v>179</v>
      </c>
      <c r="H542" s="5" t="s">
        <v>71</v>
      </c>
      <c r="I542" s="6">
        <v>91</v>
      </c>
      <c r="J542" s="7">
        <v>44309</v>
      </c>
      <c r="K542" s="8" t="str">
        <f>IF(B542="","",IF(AND(I542="",J542=""),"Unknown",IF(OR(AND(ISNUMBER(I542),I542=0),AND(ISNUMBER(J542),J542&lt;=EDATE('Scoring Settings'!$B$4,-'Scoring Settings'!$B$5))),"Not in use",IF(AND(ISNUMBER(I542),I542&lt;'Scoring Settings'!$B$6),"Low use","Active"))))</f>
        <v>Active</v>
      </c>
      <c r="L542" s="5">
        <v>4</v>
      </c>
      <c r="M542" s="5">
        <v>3</v>
      </c>
      <c r="N542" s="5"/>
      <c r="O542" s="5" t="s">
        <v>73</v>
      </c>
      <c r="P542" s="5" t="s">
        <v>410</v>
      </c>
      <c r="Q542" s="9">
        <v>4</v>
      </c>
      <c r="R542" s="5" t="s">
        <v>72</v>
      </c>
      <c r="S542" s="5" t="s">
        <v>133</v>
      </c>
      <c r="T542" s="5" t="s">
        <v>72</v>
      </c>
      <c r="U542" s="7">
        <v>44165</v>
      </c>
      <c r="V542" s="5" t="s">
        <v>95</v>
      </c>
      <c r="W542" s="6">
        <v>35</v>
      </c>
      <c r="X542" s="5" t="s">
        <v>79</v>
      </c>
      <c r="Y542" s="9">
        <v>3</v>
      </c>
      <c r="Z542" s="5" t="s">
        <v>80</v>
      </c>
      <c r="AA542" s="5" t="s">
        <v>123</v>
      </c>
      <c r="AB542" s="9">
        <v>7</v>
      </c>
      <c r="AC542" s="5" t="s">
        <v>82</v>
      </c>
      <c r="AD542" s="5" t="s">
        <v>80</v>
      </c>
      <c r="AE542" s="5" t="s">
        <v>79</v>
      </c>
      <c r="AF542" s="10">
        <v>70000</v>
      </c>
      <c r="AG542" s="7">
        <v>48152</v>
      </c>
      <c r="AH542" s="10">
        <v>56000</v>
      </c>
      <c r="AI542" s="10">
        <v>50500</v>
      </c>
      <c r="AJ542" s="11">
        <f t="shared" si="8"/>
        <v>13.306930693069308</v>
      </c>
      <c r="AK542" s="12">
        <f>IF(B542="","",OR(K542="Not in use",K542="Low use")+AND(N542&lt;&gt;"",N542&lt;&gt;"TBD")+AND(ISNUMBER(U542),U542&lt;=EDATE('Scoring Settings'!$B$4,'Scoring Settings'!$B$8))+AND(ISNUMBER(L542),L542&lt;='Scoring Settings'!$B$7))</f>
        <v>1</v>
      </c>
      <c r="AL542" s="5" t="s">
        <v>111</v>
      </c>
      <c r="AM542" s="8" t="str">
        <f>IF(B542="","",IF(Z542="N","Easy",IF(OR(AND(ISNUMBER(AB542),AB542&gt;'Scoring Settings'!$B$11),AND(ISNUMBER(W542),W542&gt;'Scoring Settings'!$B$12),AND(ISNUMBER(M542),M542&lt;='Scoring Settings'!$B$13)),"High","Medium")))</f>
        <v>High</v>
      </c>
      <c r="AN542" s="5"/>
      <c r="AO542" s="7"/>
      <c r="AP542" s="5" t="s">
        <v>98</v>
      </c>
      <c r="AQ542" s="29" t="s">
        <v>218</v>
      </c>
    </row>
    <row r="543" spans="1:43" hidden="1">
      <c r="A543" s="28">
        <v>184659</v>
      </c>
      <c r="B543" s="5" t="s">
        <v>413</v>
      </c>
      <c r="C543" s="5" t="s">
        <v>187</v>
      </c>
      <c r="D543" s="5" t="s">
        <v>67</v>
      </c>
      <c r="E543" s="5" t="s">
        <v>68</v>
      </c>
      <c r="F543" s="5" t="s">
        <v>236</v>
      </c>
      <c r="G543" s="5" t="s">
        <v>237</v>
      </c>
      <c r="H543" s="5" t="s">
        <v>189</v>
      </c>
      <c r="I543" s="6">
        <v>11</v>
      </c>
      <c r="J543" s="7">
        <v>44206</v>
      </c>
      <c r="K543" s="8" t="str">
        <f>IF(B543="","",IF(AND(I543="",J543=""),"Unknown",IF(OR(AND(ISNUMBER(I543),I543=0),AND(ISNUMBER(J543),J543&lt;=EDATE('Scoring Settings'!$B$4,-'Scoring Settings'!$B$5))),"Not in use",IF(AND(ISNUMBER(I543),I543&lt;'Scoring Settings'!$B$6),"Low use","Active"))))</f>
        <v>Low use</v>
      </c>
      <c r="L543" s="5">
        <v>4</v>
      </c>
      <c r="M543" s="5">
        <v>3</v>
      </c>
      <c r="N543" s="5"/>
      <c r="O543" s="5" t="s">
        <v>130</v>
      </c>
      <c r="P543" s="5" t="s">
        <v>414</v>
      </c>
      <c r="Q543" s="9">
        <v>3</v>
      </c>
      <c r="R543" s="5" t="s">
        <v>239</v>
      </c>
      <c r="S543" s="5" t="s">
        <v>240</v>
      </c>
      <c r="T543" s="5" t="s">
        <v>195</v>
      </c>
      <c r="U543" s="7">
        <v>44316</v>
      </c>
      <c r="V543" s="5" t="s">
        <v>95</v>
      </c>
      <c r="W543" s="6">
        <v>150</v>
      </c>
      <c r="X543" s="5" t="s">
        <v>80</v>
      </c>
      <c r="Y543" s="9">
        <v>7</v>
      </c>
      <c r="Z543" s="5" t="s">
        <v>80</v>
      </c>
      <c r="AA543" s="5" t="s">
        <v>205</v>
      </c>
      <c r="AB543" s="9">
        <v>5</v>
      </c>
      <c r="AC543" s="5" t="s">
        <v>79</v>
      </c>
      <c r="AD543" s="5" t="s">
        <v>82</v>
      </c>
      <c r="AE543" s="5" t="s">
        <v>79</v>
      </c>
      <c r="AF543" s="10">
        <v>34000</v>
      </c>
      <c r="AG543" s="7">
        <v>46477</v>
      </c>
      <c r="AH543" s="10"/>
      <c r="AI543" s="10"/>
      <c r="AJ543" s="11" t="str">
        <f t="shared" si="8"/>
        <v/>
      </c>
      <c r="AK543" s="12">
        <f>IF(B543="","",OR(K543="Not in use",K543="Low use")+AND(N543&lt;&gt;"",N543&lt;&gt;"TBD")+AND(ISNUMBER(U543),U543&lt;=EDATE('Scoring Settings'!$B$4,'Scoring Settings'!$B$8))+AND(ISNUMBER(L543),L543&lt;='Scoring Settings'!$B$7))</f>
        <v>2</v>
      </c>
      <c r="AL543" s="5" t="s">
        <v>83</v>
      </c>
      <c r="AM543" s="8" t="str">
        <f>IF(B543="","",IF(Z543="N","Easy",IF(OR(AND(ISNUMBER(AB543),AB543&gt;'Scoring Settings'!$B$11),AND(ISNUMBER(W543),W543&gt;'Scoring Settings'!$B$12),AND(ISNUMBER(M543),M543&lt;='Scoring Settings'!$B$13)),"High","Medium")))</f>
        <v>Medium</v>
      </c>
      <c r="AN543" s="5"/>
      <c r="AO543" s="7"/>
      <c r="AP543" s="5" t="s">
        <v>98</v>
      </c>
      <c r="AQ543" s="29" t="s">
        <v>314</v>
      </c>
    </row>
    <row r="544" spans="1:43" hidden="1">
      <c r="A544" s="28">
        <v>101614</v>
      </c>
      <c r="B544" s="5" t="s">
        <v>422</v>
      </c>
      <c r="C544" s="5" t="s">
        <v>423</v>
      </c>
      <c r="D544" s="5" t="s">
        <v>67</v>
      </c>
      <c r="E544" s="5" t="s">
        <v>68</v>
      </c>
      <c r="F544" s="5" t="s">
        <v>116</v>
      </c>
      <c r="G544" s="5" t="s">
        <v>404</v>
      </c>
      <c r="H544" s="5" t="s">
        <v>174</v>
      </c>
      <c r="I544" s="6">
        <v>5</v>
      </c>
      <c r="J544" s="7">
        <v>44090</v>
      </c>
      <c r="K544" s="8" t="str">
        <f>IF(B544="","",IF(AND(I544="",J544=""),"Unknown",IF(OR(AND(ISNUMBER(I544),I544=0),AND(ISNUMBER(J544),J544&lt;=EDATE('Scoring Settings'!$B$4,-'Scoring Settings'!$B$5))),"Not in use",IF(AND(ISNUMBER(I544),I544&lt;'Scoring Settings'!$B$6),"Low use","Active"))))</f>
        <v>Not in use</v>
      </c>
      <c r="L544" s="5">
        <v>4</v>
      </c>
      <c r="M544" s="5">
        <v>3</v>
      </c>
      <c r="N544" s="5" t="s">
        <v>72</v>
      </c>
      <c r="O544" s="5" t="s">
        <v>191</v>
      </c>
      <c r="P544" s="5" t="s">
        <v>192</v>
      </c>
      <c r="Q544" s="9">
        <v>0</v>
      </c>
      <c r="R544" s="5" t="s">
        <v>193</v>
      </c>
      <c r="S544" s="5" t="s">
        <v>194</v>
      </c>
      <c r="T544" s="5" t="s">
        <v>195</v>
      </c>
      <c r="U544" s="7"/>
      <c r="V544" s="5" t="s">
        <v>135</v>
      </c>
      <c r="W544" s="6">
        <v>1380</v>
      </c>
      <c r="X544" s="5" t="s">
        <v>80</v>
      </c>
      <c r="Y544" s="9">
        <v>10</v>
      </c>
      <c r="Z544" s="5" t="s">
        <v>80</v>
      </c>
      <c r="AA544" s="5" t="s">
        <v>185</v>
      </c>
      <c r="AB544" s="9">
        <v>7</v>
      </c>
      <c r="AC544" s="5" t="s">
        <v>82</v>
      </c>
      <c r="AD544" s="5" t="s">
        <v>79</v>
      </c>
      <c r="AE544" s="5" t="s">
        <v>80</v>
      </c>
      <c r="AF544" s="10">
        <v>20000</v>
      </c>
      <c r="AG544" s="7">
        <v>46691</v>
      </c>
      <c r="AH544" s="10"/>
      <c r="AI544" s="10"/>
      <c r="AJ544" s="11" t="str">
        <f t="shared" si="8"/>
        <v/>
      </c>
      <c r="AK544" s="12">
        <f>IF(B544="","",OR(K544="Not in use",K544="Low use")+AND(N544&lt;&gt;"",N544&lt;&gt;"TBD")+AND(ISNUMBER(U544),U544&lt;=EDATE('Scoring Settings'!$B$4,'Scoring Settings'!$B$8))+AND(ISNUMBER(L544),L544&lt;='Scoring Settings'!$B$7))</f>
        <v>1</v>
      </c>
      <c r="AL544" s="5" t="s">
        <v>111</v>
      </c>
      <c r="AM544" s="8" t="str">
        <f>IF(B544="","",IF(Z544="N","Easy",IF(OR(AND(ISNUMBER(AB544),AB544&gt;'Scoring Settings'!$B$11),AND(ISNUMBER(W544),W544&gt;'Scoring Settings'!$B$12),AND(ISNUMBER(M544),M544&lt;='Scoring Settings'!$B$13)),"High","Medium")))</f>
        <v>High</v>
      </c>
      <c r="AN544" s="5"/>
      <c r="AO544" s="7"/>
      <c r="AP544" s="5" t="s">
        <v>98</v>
      </c>
      <c r="AQ544" s="29" t="s">
        <v>159</v>
      </c>
    </row>
    <row r="545" spans="1:43" hidden="1">
      <c r="A545" s="28">
        <v>121883</v>
      </c>
      <c r="B545" s="5" t="s">
        <v>426</v>
      </c>
      <c r="C545" s="5" t="s">
        <v>234</v>
      </c>
      <c r="D545" s="5" t="s">
        <v>102</v>
      </c>
      <c r="E545" s="5" t="s">
        <v>311</v>
      </c>
      <c r="F545" s="5" t="s">
        <v>249</v>
      </c>
      <c r="G545" s="5" t="s">
        <v>404</v>
      </c>
      <c r="H545" s="5" t="s">
        <v>189</v>
      </c>
      <c r="I545" s="6"/>
      <c r="J545" s="7"/>
      <c r="K545" s="8" t="str">
        <f>IF(B545="","",IF(AND(I545="",J545=""),"Unknown",IF(OR(AND(ISNUMBER(I545),I545=0),AND(ISNUMBER(J545),J545&lt;=EDATE('Scoring Settings'!$B$4,-'Scoring Settings'!$B$5))),"Not in use",IF(AND(ISNUMBER(I545),I545&lt;'Scoring Settings'!$B$6),"Low use","Active"))))</f>
        <v>Unknown</v>
      </c>
      <c r="L545" s="5">
        <v>4</v>
      </c>
      <c r="M545" s="5">
        <v>2</v>
      </c>
      <c r="N545" s="5"/>
      <c r="O545" s="5" t="s">
        <v>73</v>
      </c>
      <c r="P545" s="5" t="s">
        <v>427</v>
      </c>
      <c r="Q545" s="9">
        <v>7</v>
      </c>
      <c r="R545" s="5" t="s">
        <v>182</v>
      </c>
      <c r="S545" s="5" t="s">
        <v>183</v>
      </c>
      <c r="T545" s="5" t="s">
        <v>77</v>
      </c>
      <c r="U545" s="7" t="s">
        <v>72</v>
      </c>
      <c r="V545" s="5" t="s">
        <v>95</v>
      </c>
      <c r="W545" s="6">
        <v>1100</v>
      </c>
      <c r="X545" s="5" t="s">
        <v>80</v>
      </c>
      <c r="Y545" s="9">
        <v>5</v>
      </c>
      <c r="Z545" s="5" t="s">
        <v>80</v>
      </c>
      <c r="AA545" s="5" t="s">
        <v>205</v>
      </c>
      <c r="AB545" s="9">
        <v>26</v>
      </c>
      <c r="AC545" s="5" t="s">
        <v>80</v>
      </c>
      <c r="AD545" s="5" t="s">
        <v>79</v>
      </c>
      <c r="AE545" s="5" t="s">
        <v>80</v>
      </c>
      <c r="AF545" s="10">
        <v>100000</v>
      </c>
      <c r="AG545" s="7">
        <v>47483</v>
      </c>
      <c r="AH545" s="10"/>
      <c r="AI545" s="10"/>
      <c r="AJ545" s="11" t="str">
        <f t="shared" si="8"/>
        <v/>
      </c>
      <c r="AK545" s="12">
        <f>IF(B545="","",OR(K545="Not in use",K545="Low use")+AND(N545&lt;&gt;"",N545&lt;&gt;"TBD")+AND(ISNUMBER(U545),U545&lt;=EDATE('Scoring Settings'!$B$4,'Scoring Settings'!$B$8))+AND(ISNUMBER(L545),L545&lt;='Scoring Settings'!$B$7))</f>
        <v>0</v>
      </c>
      <c r="AL545" s="5" t="s">
        <v>111</v>
      </c>
      <c r="AM545" s="8" t="str">
        <f>IF(B545="","",IF(Z545="N","Easy",IF(OR(AND(ISNUMBER(AB545),AB545&gt;'Scoring Settings'!$B$11),AND(ISNUMBER(W545),W545&gt;'Scoring Settings'!$B$12),AND(ISNUMBER(M545),M545&lt;='Scoring Settings'!$B$13)),"High","Medium")))</f>
        <v>High</v>
      </c>
      <c r="AN545" s="5"/>
      <c r="AO545" s="7"/>
      <c r="AP545" s="5" t="s">
        <v>98</v>
      </c>
      <c r="AQ545" s="29" t="s">
        <v>218</v>
      </c>
    </row>
    <row r="546" spans="1:43" hidden="1">
      <c r="A546" s="28">
        <v>189283</v>
      </c>
      <c r="B546" s="5" t="s">
        <v>428</v>
      </c>
      <c r="C546" s="5" t="s">
        <v>390</v>
      </c>
      <c r="D546" s="5" t="s">
        <v>88</v>
      </c>
      <c r="E546" s="5" t="s">
        <v>68</v>
      </c>
      <c r="F546" s="5" t="s">
        <v>69</v>
      </c>
      <c r="G546" s="5" t="s">
        <v>267</v>
      </c>
      <c r="H546" s="5" t="s">
        <v>189</v>
      </c>
      <c r="I546" s="6">
        <v>14</v>
      </c>
      <c r="J546" s="7">
        <v>44242</v>
      </c>
      <c r="K546" s="8" t="str">
        <f>IF(B546="","",IF(AND(I546="",J546=""),"Unknown",IF(OR(AND(ISNUMBER(I546),I546=0),AND(ISNUMBER(J546),J546&lt;=EDATE('Scoring Settings'!$B$4,-'Scoring Settings'!$B$5))),"Not in use",IF(AND(ISNUMBER(I546),I546&lt;'Scoring Settings'!$B$6),"Low use","Active"))))</f>
        <v>Low use</v>
      </c>
      <c r="L546" s="5">
        <v>4</v>
      </c>
      <c r="M546" s="5">
        <v>2</v>
      </c>
      <c r="N546" s="5"/>
      <c r="O546" s="5" t="s">
        <v>73</v>
      </c>
      <c r="P546" s="5" t="s">
        <v>429</v>
      </c>
      <c r="Q546" s="9">
        <v>1</v>
      </c>
      <c r="R546" s="5" t="s">
        <v>251</v>
      </c>
      <c r="S546" s="5" t="s">
        <v>133</v>
      </c>
      <c r="T546" s="5" t="s">
        <v>109</v>
      </c>
      <c r="U546" s="7">
        <v>44165</v>
      </c>
      <c r="V546" s="5" t="s">
        <v>95</v>
      </c>
      <c r="W546" s="6">
        <v>69</v>
      </c>
      <c r="X546" s="5" t="s">
        <v>79</v>
      </c>
      <c r="Y546" s="9">
        <v>3</v>
      </c>
      <c r="Z546" s="5" t="s">
        <v>80</v>
      </c>
      <c r="AA546" s="5" t="s">
        <v>81</v>
      </c>
      <c r="AB546" s="9">
        <v>25</v>
      </c>
      <c r="AC546" s="5" t="s">
        <v>82</v>
      </c>
      <c r="AD546" s="5" t="s">
        <v>80</v>
      </c>
      <c r="AE546" s="5" t="s">
        <v>79</v>
      </c>
      <c r="AF546" s="10">
        <v>45500</v>
      </c>
      <c r="AG546" s="7">
        <v>45900</v>
      </c>
      <c r="AH546" s="10"/>
      <c r="AI546" s="10"/>
      <c r="AJ546" s="11" t="str">
        <f t="shared" si="8"/>
        <v/>
      </c>
      <c r="AK546" s="12">
        <f>IF(B546="","",OR(K546="Not in use",K546="Low use")+AND(N546&lt;&gt;"",N546&lt;&gt;"TBD")+AND(ISNUMBER(U546),U546&lt;=EDATE('Scoring Settings'!$B$4,'Scoring Settings'!$B$8))+AND(ISNUMBER(L546),L546&lt;='Scoring Settings'!$B$7))</f>
        <v>2</v>
      </c>
      <c r="AL546" s="5" t="s">
        <v>111</v>
      </c>
      <c r="AM546" s="8" t="str">
        <f>IF(B546="","",IF(Z546="N","Easy",IF(OR(AND(ISNUMBER(AB546),AB546&gt;'Scoring Settings'!$B$11),AND(ISNUMBER(W546),W546&gt;'Scoring Settings'!$B$12),AND(ISNUMBER(M546),M546&lt;='Scoring Settings'!$B$13)),"High","Medium")))</f>
        <v>High</v>
      </c>
      <c r="AN546" s="5"/>
      <c r="AO546" s="7"/>
      <c r="AP546" s="5" t="s">
        <v>98</v>
      </c>
      <c r="AQ546" s="29" t="s">
        <v>218</v>
      </c>
    </row>
    <row r="547" spans="1:43" hidden="1">
      <c r="A547" s="28">
        <v>94910</v>
      </c>
      <c r="B547" s="5" t="s">
        <v>430</v>
      </c>
      <c r="C547" s="5" t="s">
        <v>371</v>
      </c>
      <c r="D547" s="5" t="s">
        <v>162</v>
      </c>
      <c r="E547" s="5" t="s">
        <v>68</v>
      </c>
      <c r="F547" s="5" t="s">
        <v>312</v>
      </c>
      <c r="G547" s="5" t="s">
        <v>70</v>
      </c>
      <c r="H547" s="5" t="s">
        <v>129</v>
      </c>
      <c r="I547" s="6">
        <v>185</v>
      </c>
      <c r="J547" s="7">
        <v>44271</v>
      </c>
      <c r="K547" s="8" t="str">
        <f>IF(B547="","",IF(AND(I547="",J547=""),"Unknown",IF(OR(AND(ISNUMBER(I547),I547=0),AND(ISNUMBER(J547),J547&lt;=EDATE('Scoring Settings'!$B$4,-'Scoring Settings'!$B$5))),"Not in use",IF(AND(ISNUMBER(I547),I547&lt;'Scoring Settings'!$B$6),"Low use","Active"))))</f>
        <v>Active</v>
      </c>
      <c r="L547" s="5">
        <v>4</v>
      </c>
      <c r="M547" s="5">
        <v>2</v>
      </c>
      <c r="N547" s="5"/>
      <c r="O547" s="5" t="s">
        <v>73</v>
      </c>
      <c r="P547" s="5" t="s">
        <v>431</v>
      </c>
      <c r="Q547" s="9">
        <v>1</v>
      </c>
      <c r="R547" s="5" t="s">
        <v>166</v>
      </c>
      <c r="S547" s="5" t="s">
        <v>308</v>
      </c>
      <c r="T547" s="5" t="s">
        <v>184</v>
      </c>
      <c r="U547" s="7">
        <v>45209</v>
      </c>
      <c r="V547" s="5" t="s">
        <v>135</v>
      </c>
      <c r="W547" s="6">
        <v>18490</v>
      </c>
      <c r="X547" s="5" t="s">
        <v>79</v>
      </c>
      <c r="Y547" s="9">
        <v>3</v>
      </c>
      <c r="Z547" s="5" t="s">
        <v>80</v>
      </c>
      <c r="AA547" s="5" t="s">
        <v>205</v>
      </c>
      <c r="AB547" s="9">
        <v>5</v>
      </c>
      <c r="AC547" s="5" t="s">
        <v>79</v>
      </c>
      <c r="AD547" s="5" t="s">
        <v>82</v>
      </c>
      <c r="AE547" s="5" t="s">
        <v>82</v>
      </c>
      <c r="AF547" s="10">
        <v>25500</v>
      </c>
      <c r="AG547" s="7">
        <v>48457</v>
      </c>
      <c r="AH547" s="10">
        <v>105000</v>
      </c>
      <c r="AI547" s="10">
        <v>15500</v>
      </c>
      <c r="AJ547" s="11">
        <f t="shared" si="8"/>
        <v>81.290322580645167</v>
      </c>
      <c r="AK547" s="12">
        <f>IF(B547="","",OR(K547="Not in use",K547="Low use")+AND(N547&lt;&gt;"",N547&lt;&gt;"TBD")+AND(ISNUMBER(U547),U547&lt;=EDATE('Scoring Settings'!$B$4,'Scoring Settings'!$B$8))+AND(ISNUMBER(L547),L547&lt;='Scoring Settings'!$B$7))</f>
        <v>0</v>
      </c>
      <c r="AL547" s="5" t="s">
        <v>111</v>
      </c>
      <c r="AM547" s="8" t="str">
        <f>IF(B547="","",IF(Z547="N","Easy",IF(OR(AND(ISNUMBER(AB547),AB547&gt;'Scoring Settings'!$B$11),AND(ISNUMBER(W547),W547&gt;'Scoring Settings'!$B$12),AND(ISNUMBER(M547),M547&lt;='Scoring Settings'!$B$13)),"High","Medium")))</f>
        <v>High</v>
      </c>
      <c r="AN547" s="5"/>
      <c r="AO547" s="7"/>
      <c r="AP547" s="5" t="s">
        <v>98</v>
      </c>
      <c r="AQ547" s="29" t="s">
        <v>218</v>
      </c>
    </row>
    <row r="548" spans="1:43" hidden="1">
      <c r="A548" s="28">
        <v>76979</v>
      </c>
      <c r="B548" s="5" t="s">
        <v>434</v>
      </c>
      <c r="C548" s="5" t="s">
        <v>265</v>
      </c>
      <c r="D548" s="5" t="s">
        <v>102</v>
      </c>
      <c r="E548" s="5" t="s">
        <v>298</v>
      </c>
      <c r="F548" s="5" t="s">
        <v>163</v>
      </c>
      <c r="G548" s="5" t="s">
        <v>278</v>
      </c>
      <c r="H548" s="5" t="s">
        <v>142</v>
      </c>
      <c r="I548" s="6">
        <v>25</v>
      </c>
      <c r="J548" s="7">
        <v>44278</v>
      </c>
      <c r="K548" s="8" t="str">
        <f>IF(B548="","",IF(AND(I548="",J548=""),"Unknown",IF(OR(AND(ISNUMBER(I548),I548=0),AND(ISNUMBER(J548),J548&lt;=EDATE('Scoring Settings'!$B$4,-'Scoring Settings'!$B$5))),"Not in use",IF(AND(ISNUMBER(I548),I548&lt;'Scoring Settings'!$B$6),"Low use","Active"))))</f>
        <v>Active</v>
      </c>
      <c r="L548" s="5">
        <v>3</v>
      </c>
      <c r="M548" s="5">
        <v>3</v>
      </c>
      <c r="N548" s="5"/>
      <c r="O548" s="5" t="s">
        <v>143</v>
      </c>
      <c r="P548" s="5" t="s">
        <v>144</v>
      </c>
      <c r="Q548" s="9">
        <v>0</v>
      </c>
      <c r="R548" s="5" t="s">
        <v>145</v>
      </c>
      <c r="S548" s="5" t="s">
        <v>145</v>
      </c>
      <c r="T548" s="5" t="s">
        <v>146</v>
      </c>
      <c r="U548" s="7"/>
      <c r="V548" s="5" t="s">
        <v>95</v>
      </c>
      <c r="W548" s="6">
        <v>210</v>
      </c>
      <c r="X548" s="5" t="s">
        <v>79</v>
      </c>
      <c r="Y548" s="9">
        <v>1</v>
      </c>
      <c r="Z548" s="5" t="s">
        <v>80</v>
      </c>
      <c r="AA548" s="5" t="s">
        <v>205</v>
      </c>
      <c r="AB548" s="9">
        <v>6</v>
      </c>
      <c r="AC548" s="5" t="s">
        <v>80</v>
      </c>
      <c r="AD548" s="5" t="s">
        <v>79</v>
      </c>
      <c r="AE548" s="5" t="s">
        <v>79</v>
      </c>
      <c r="AF548" s="10">
        <v>75000</v>
      </c>
      <c r="AG548" s="7">
        <v>49095</v>
      </c>
      <c r="AH548" s="10"/>
      <c r="AI548" s="10"/>
      <c r="AJ548" s="11" t="str">
        <f t="shared" si="8"/>
        <v/>
      </c>
      <c r="AK548" s="12">
        <f>IF(B548="","",OR(K548="Not in use",K548="Low use")+AND(N548&lt;&gt;"",N548&lt;&gt;"TBD")+AND(ISNUMBER(U548),U548&lt;=EDATE('Scoring Settings'!$B$4,'Scoring Settings'!$B$8))+AND(ISNUMBER(L548),L548&lt;='Scoring Settings'!$B$7))</f>
        <v>0</v>
      </c>
      <c r="AL548" s="5" t="s">
        <v>83</v>
      </c>
      <c r="AM548" s="8" t="str">
        <f>IF(B548="","",IF(Z548="N","Easy",IF(OR(AND(ISNUMBER(AB548),AB548&gt;'Scoring Settings'!$B$11),AND(ISNUMBER(W548),W548&gt;'Scoring Settings'!$B$12),AND(ISNUMBER(M548),M548&lt;='Scoring Settings'!$B$13)),"High","Medium")))</f>
        <v>High</v>
      </c>
      <c r="AN548" s="5"/>
      <c r="AO548" s="7"/>
      <c r="AP548" s="5" t="s">
        <v>84</v>
      </c>
      <c r="AQ548" s="29" t="s">
        <v>273</v>
      </c>
    </row>
    <row r="549" spans="1:43" hidden="1">
      <c r="A549" s="28">
        <v>177780</v>
      </c>
      <c r="B549" s="5" t="s">
        <v>435</v>
      </c>
      <c r="C549" s="5" t="s">
        <v>287</v>
      </c>
      <c r="D549" s="5" t="s">
        <v>162</v>
      </c>
      <c r="E549" s="5" t="s">
        <v>68</v>
      </c>
      <c r="F549" s="5" t="s">
        <v>312</v>
      </c>
      <c r="G549" s="5" t="s">
        <v>278</v>
      </c>
      <c r="H549" s="5" t="s">
        <v>71</v>
      </c>
      <c r="I549" s="6">
        <v>3</v>
      </c>
      <c r="J549" s="7">
        <v>44295</v>
      </c>
      <c r="K549" s="8" t="str">
        <f>IF(B549="","",IF(AND(I549="",J549=""),"Unknown",IF(OR(AND(ISNUMBER(I549),I549=0),AND(ISNUMBER(J549),J549&lt;=EDATE('Scoring Settings'!$B$4,-'Scoring Settings'!$B$5))),"Not in use",IF(AND(ISNUMBER(I549),I549&lt;'Scoring Settings'!$B$6),"Low use","Active"))))</f>
        <v>Low use</v>
      </c>
      <c r="L549" s="5">
        <v>5</v>
      </c>
      <c r="M549" s="5">
        <v>2</v>
      </c>
      <c r="N549" s="5" t="s">
        <v>289</v>
      </c>
      <c r="O549" s="5" t="s">
        <v>73</v>
      </c>
      <c r="P549" s="5" t="s">
        <v>436</v>
      </c>
      <c r="Q549" s="9">
        <v>2</v>
      </c>
      <c r="R549" s="5" t="s">
        <v>75</v>
      </c>
      <c r="S549" s="5" t="s">
        <v>121</v>
      </c>
      <c r="T549" s="5" t="s">
        <v>77</v>
      </c>
      <c r="U549" s="7">
        <v>46217</v>
      </c>
      <c r="V549" s="5" t="s">
        <v>135</v>
      </c>
      <c r="W549" s="6">
        <v>750</v>
      </c>
      <c r="X549" s="5" t="s">
        <v>80</v>
      </c>
      <c r="Y549" s="9">
        <v>7</v>
      </c>
      <c r="Z549" s="5" t="s">
        <v>80</v>
      </c>
      <c r="AA549" s="5" t="s">
        <v>205</v>
      </c>
      <c r="AB549" s="9">
        <v>23</v>
      </c>
      <c r="AC549" s="5" t="s">
        <v>80</v>
      </c>
      <c r="AD549" s="5" t="s">
        <v>79</v>
      </c>
      <c r="AE549" s="5" t="s">
        <v>82</v>
      </c>
      <c r="AF549" s="10">
        <v>75000</v>
      </c>
      <c r="AG549" s="7">
        <v>47634</v>
      </c>
      <c r="AH549" s="10">
        <v>124000</v>
      </c>
      <c r="AI549" s="10">
        <v>63500</v>
      </c>
      <c r="AJ549" s="11">
        <f t="shared" si="8"/>
        <v>23.433070866141733</v>
      </c>
      <c r="AK549" s="12">
        <f>IF(B549="","",OR(K549="Not in use",K549="Low use")+AND(N549&lt;&gt;"",N549&lt;&gt;"TBD")+AND(ISNUMBER(U549),U549&lt;=EDATE('Scoring Settings'!$B$4,'Scoring Settings'!$B$8))+AND(ISNUMBER(L549),L549&lt;='Scoring Settings'!$B$7))</f>
        <v>2</v>
      </c>
      <c r="AL549" s="5" t="s">
        <v>111</v>
      </c>
      <c r="AM549" s="8" t="str">
        <f>IF(B549="","",IF(Z549="N","Easy",IF(OR(AND(ISNUMBER(AB549),AB549&gt;'Scoring Settings'!$B$11),AND(ISNUMBER(W549),W549&gt;'Scoring Settings'!$B$12),AND(ISNUMBER(M549),M549&lt;='Scoring Settings'!$B$13)),"High","Medium")))</f>
        <v>High</v>
      </c>
      <c r="AN549" s="5"/>
      <c r="AO549" s="7"/>
      <c r="AP549" s="5" t="s">
        <v>98</v>
      </c>
      <c r="AQ549" s="29" t="s">
        <v>218</v>
      </c>
    </row>
    <row r="550" spans="1:43" hidden="1">
      <c r="A550" s="28">
        <v>171890</v>
      </c>
      <c r="B550" s="5" t="s">
        <v>437</v>
      </c>
      <c r="C550" s="5" t="s">
        <v>316</v>
      </c>
      <c r="D550" s="5" t="s">
        <v>67</v>
      </c>
      <c r="E550" s="5" t="s">
        <v>68</v>
      </c>
      <c r="F550" s="5" t="s">
        <v>299</v>
      </c>
      <c r="G550" s="5" t="s">
        <v>117</v>
      </c>
      <c r="H550" s="5" t="s">
        <v>105</v>
      </c>
      <c r="I550" s="6">
        <v>322</v>
      </c>
      <c r="J550" s="7">
        <v>44312</v>
      </c>
      <c r="K550" s="8" t="str">
        <f>IF(B550="","",IF(AND(I550="",J550=""),"Unknown",IF(OR(AND(ISNUMBER(I550),I550=0),AND(ISNUMBER(J550),J550&lt;=EDATE('Scoring Settings'!$B$4,-'Scoring Settings'!$B$5))),"Not in use",IF(AND(ISNUMBER(I550),I550&lt;'Scoring Settings'!$B$6),"Low use","Active"))))</f>
        <v>Active</v>
      </c>
      <c r="L550" s="5">
        <v>2</v>
      </c>
      <c r="M550" s="5">
        <v>4</v>
      </c>
      <c r="N550" s="5"/>
      <c r="O550" s="5" t="s">
        <v>73</v>
      </c>
      <c r="P550" s="5" t="s">
        <v>438</v>
      </c>
      <c r="Q550" s="9">
        <v>3</v>
      </c>
      <c r="R550" s="5" t="s">
        <v>93</v>
      </c>
      <c r="S550" s="5" t="s">
        <v>94</v>
      </c>
      <c r="T550" s="5" t="s">
        <v>184</v>
      </c>
      <c r="U550" s="7">
        <v>44561</v>
      </c>
      <c r="V550" s="5" t="s">
        <v>78</v>
      </c>
      <c r="W550" s="6">
        <v>100</v>
      </c>
      <c r="X550" s="5" t="s">
        <v>80</v>
      </c>
      <c r="Y550" s="9">
        <v>10</v>
      </c>
      <c r="Z550" s="5" t="s">
        <v>79</v>
      </c>
      <c r="AA550" s="5" t="s">
        <v>110</v>
      </c>
      <c r="AB550" s="9">
        <v>2</v>
      </c>
      <c r="AC550" s="5" t="s">
        <v>79</v>
      </c>
      <c r="AD550" s="5" t="s">
        <v>80</v>
      </c>
      <c r="AE550" s="5" t="s">
        <v>79</v>
      </c>
      <c r="AF550" s="10">
        <v>37500</v>
      </c>
      <c r="AG550" s="7">
        <v>47573</v>
      </c>
      <c r="AH550" s="10">
        <v>19000</v>
      </c>
      <c r="AI550" s="10">
        <v>24500</v>
      </c>
      <c r="AJ550" s="11">
        <f t="shared" si="8"/>
        <v>9.3061224489795915</v>
      </c>
      <c r="AK550" s="12">
        <f>IF(B550="","",OR(K550="Not in use",K550="Low use")+AND(N550&lt;&gt;"",N550&lt;&gt;"TBD")+AND(ISNUMBER(U550),U550&lt;=EDATE('Scoring Settings'!$B$4,'Scoring Settings'!$B$8))+AND(ISNUMBER(L550),L550&lt;='Scoring Settings'!$B$7))</f>
        <v>2</v>
      </c>
      <c r="AL550" s="5" t="s">
        <v>111</v>
      </c>
      <c r="AM550" s="8" t="str">
        <f>IF(B550="","",IF(Z550="N","Easy",IF(OR(AND(ISNUMBER(AB550),AB550&gt;'Scoring Settings'!$B$11),AND(ISNUMBER(W550),W550&gt;'Scoring Settings'!$B$12),AND(ISNUMBER(M550),M550&lt;='Scoring Settings'!$B$13)),"High","Medium")))</f>
        <v>Easy</v>
      </c>
      <c r="AN550" s="5"/>
      <c r="AO550" s="7"/>
      <c r="AP550" s="5" t="s">
        <v>98</v>
      </c>
      <c r="AQ550" s="29" t="s">
        <v>124</v>
      </c>
    </row>
    <row r="551" spans="1:43" hidden="1">
      <c r="A551" s="28">
        <v>147133</v>
      </c>
      <c r="B551" s="5" t="s">
        <v>439</v>
      </c>
      <c r="C551" s="5" t="s">
        <v>296</v>
      </c>
      <c r="D551" s="5" t="s">
        <v>297</v>
      </c>
      <c r="E551" s="5" t="s">
        <v>311</v>
      </c>
      <c r="F551" s="5" t="s">
        <v>152</v>
      </c>
      <c r="G551" s="5" t="s">
        <v>117</v>
      </c>
      <c r="H551" s="5" t="s">
        <v>142</v>
      </c>
      <c r="I551" s="6">
        <v>111</v>
      </c>
      <c r="J551" s="7">
        <v>44286</v>
      </c>
      <c r="K551" s="8" t="str">
        <f>IF(B551="","",IF(AND(I551="",J551=""),"Unknown",IF(OR(AND(ISNUMBER(I551),I551=0),AND(ISNUMBER(J551),J551&lt;=EDATE('Scoring Settings'!$B$4,-'Scoring Settings'!$B$5))),"Not in use",IF(AND(ISNUMBER(I551),I551&lt;'Scoring Settings'!$B$6),"Low use","Active"))))</f>
        <v>Active</v>
      </c>
      <c r="L551" s="5">
        <v>5</v>
      </c>
      <c r="M551" s="5">
        <v>1</v>
      </c>
      <c r="N551" s="5"/>
      <c r="O551" s="5" t="s">
        <v>143</v>
      </c>
      <c r="P551" s="5" t="s">
        <v>144</v>
      </c>
      <c r="Q551" s="9">
        <v>0</v>
      </c>
      <c r="R551" s="5" t="s">
        <v>145</v>
      </c>
      <c r="S551" s="5" t="s">
        <v>145</v>
      </c>
      <c r="T551" s="5" t="s">
        <v>146</v>
      </c>
      <c r="U551" s="7">
        <v>45626</v>
      </c>
      <c r="V551" s="5" t="s">
        <v>95</v>
      </c>
      <c r="W551" s="6">
        <v>320</v>
      </c>
      <c r="X551" s="5" t="s">
        <v>80</v>
      </c>
      <c r="Y551" s="9">
        <v>5</v>
      </c>
      <c r="Z551" s="5" t="s">
        <v>79</v>
      </c>
      <c r="AA551" s="5" t="s">
        <v>110</v>
      </c>
      <c r="AB551" s="9">
        <v>19</v>
      </c>
      <c r="AC551" s="5" t="s">
        <v>80</v>
      </c>
      <c r="AD551" s="5" t="s">
        <v>80</v>
      </c>
      <c r="AE551" s="5" t="s">
        <v>82</v>
      </c>
      <c r="AF551" s="10">
        <v>150000</v>
      </c>
      <c r="AG551" s="7">
        <v>47848</v>
      </c>
      <c r="AH551" s="10"/>
      <c r="AI551" s="10"/>
      <c r="AJ551" s="11" t="str">
        <f t="shared" si="8"/>
        <v/>
      </c>
      <c r="AK551" s="12">
        <f>IF(B551="","",OR(K551="Not in use",K551="Low use")+AND(N551&lt;&gt;"",N551&lt;&gt;"TBD")+AND(ISNUMBER(U551),U551&lt;=EDATE('Scoring Settings'!$B$4,'Scoring Settings'!$B$8))+AND(ISNUMBER(L551),L551&lt;='Scoring Settings'!$B$7))</f>
        <v>0</v>
      </c>
      <c r="AL551" s="5" t="s">
        <v>83</v>
      </c>
      <c r="AM551" s="8" t="str">
        <f>IF(B551="","",IF(Z551="N","Easy",IF(OR(AND(ISNUMBER(AB551),AB551&gt;'Scoring Settings'!$B$11),AND(ISNUMBER(W551),W551&gt;'Scoring Settings'!$B$12),AND(ISNUMBER(M551),M551&lt;='Scoring Settings'!$B$13)),"High","Medium")))</f>
        <v>Easy</v>
      </c>
      <c r="AN551" s="5"/>
      <c r="AO551" s="7"/>
      <c r="AP551" s="5" t="s">
        <v>84</v>
      </c>
      <c r="AQ551" s="29" t="s">
        <v>314</v>
      </c>
    </row>
    <row r="552" spans="1:43" hidden="1">
      <c r="A552" s="28">
        <v>161960</v>
      </c>
      <c r="B552" s="5" t="s">
        <v>440</v>
      </c>
      <c r="C552" s="5" t="s">
        <v>270</v>
      </c>
      <c r="D552" s="5" t="s">
        <v>139</v>
      </c>
      <c r="E552" s="5" t="s">
        <v>68</v>
      </c>
      <c r="F552" s="5" t="s">
        <v>387</v>
      </c>
      <c r="G552" s="5" t="s">
        <v>267</v>
      </c>
      <c r="H552" s="5" t="s">
        <v>105</v>
      </c>
      <c r="I552" s="6">
        <v>1039</v>
      </c>
      <c r="J552" s="7">
        <v>44293</v>
      </c>
      <c r="K552" s="8" t="str">
        <f>IF(B552="","",IF(AND(I552="",J552=""),"Unknown",IF(OR(AND(ISNUMBER(I552),I552=0),AND(ISNUMBER(J552),J552&lt;=EDATE('Scoring Settings'!$B$4,-'Scoring Settings'!$B$5))),"Not in use",IF(AND(ISNUMBER(I552),I552&lt;'Scoring Settings'!$B$6),"Low use","Active"))))</f>
        <v>Active</v>
      </c>
      <c r="L552" s="5">
        <v>4</v>
      </c>
      <c r="M552" s="5">
        <v>3</v>
      </c>
      <c r="N552" s="5"/>
      <c r="O552" s="5" t="s">
        <v>191</v>
      </c>
      <c r="P552" s="5" t="s">
        <v>192</v>
      </c>
      <c r="Q552" s="9">
        <v>0</v>
      </c>
      <c r="R552" s="5" t="s">
        <v>193</v>
      </c>
      <c r="S552" s="5" t="s">
        <v>318</v>
      </c>
      <c r="T552" s="5" t="s">
        <v>195</v>
      </c>
      <c r="U552" s="7"/>
      <c r="V552" s="5" t="s">
        <v>135</v>
      </c>
      <c r="W552" s="6">
        <v>230</v>
      </c>
      <c r="X552" s="5" t="s">
        <v>79</v>
      </c>
      <c r="Y552" s="9">
        <v>5</v>
      </c>
      <c r="Z552" s="5" t="s">
        <v>80</v>
      </c>
      <c r="AA552" s="5" t="s">
        <v>123</v>
      </c>
      <c r="AB552" s="9">
        <v>5</v>
      </c>
      <c r="AC552" s="5" t="s">
        <v>80</v>
      </c>
      <c r="AD552" s="5" t="s">
        <v>82</v>
      </c>
      <c r="AE552" s="5" t="s">
        <v>80</v>
      </c>
      <c r="AF552" s="10">
        <v>6500</v>
      </c>
      <c r="AG552" s="7">
        <v>49309</v>
      </c>
      <c r="AH552" s="10"/>
      <c r="AI552" s="10"/>
      <c r="AJ552" s="11" t="str">
        <f t="shared" si="8"/>
        <v/>
      </c>
      <c r="AK552" s="12">
        <f>IF(B552="","",OR(K552="Not in use",K552="Low use")+AND(N552&lt;&gt;"",N552&lt;&gt;"TBD")+AND(ISNUMBER(U552),U552&lt;=EDATE('Scoring Settings'!$B$4,'Scoring Settings'!$B$8))+AND(ISNUMBER(L552),L552&lt;='Scoring Settings'!$B$7))</f>
        <v>0</v>
      </c>
      <c r="AL552" s="5" t="s">
        <v>83</v>
      </c>
      <c r="AM552" s="8" t="str">
        <f>IF(B552="","",IF(Z552="N","Easy",IF(OR(AND(ISNUMBER(AB552),AB552&gt;'Scoring Settings'!$B$11),AND(ISNUMBER(W552),W552&gt;'Scoring Settings'!$B$12),AND(ISNUMBER(M552),M552&lt;='Scoring Settings'!$B$13)),"High","Medium")))</f>
        <v>Medium</v>
      </c>
      <c r="AN552" s="5"/>
      <c r="AO552" s="7"/>
      <c r="AP552" s="5" t="s">
        <v>84</v>
      </c>
      <c r="AQ552" s="29" t="s">
        <v>206</v>
      </c>
    </row>
    <row r="553" spans="1:43" hidden="1">
      <c r="A553" s="28">
        <v>95342</v>
      </c>
      <c r="B553" s="5" t="s">
        <v>446</v>
      </c>
      <c r="C553" s="5" t="s">
        <v>343</v>
      </c>
      <c r="D553" s="5" t="s">
        <v>102</v>
      </c>
      <c r="E553" s="5" t="s">
        <v>298</v>
      </c>
      <c r="F553" s="5" t="s">
        <v>209</v>
      </c>
      <c r="G553" s="5" t="s">
        <v>179</v>
      </c>
      <c r="H553" s="5" t="s">
        <v>91</v>
      </c>
      <c r="I553" s="6">
        <v>71</v>
      </c>
      <c r="J553" s="7">
        <v>44284</v>
      </c>
      <c r="K553" s="8" t="str">
        <f>IF(B553="","",IF(AND(I553="",J553=""),"Unknown",IF(OR(AND(ISNUMBER(I553),I553=0),AND(ISNUMBER(J553),J553&lt;=EDATE('Scoring Settings'!$B$4,-'Scoring Settings'!$B$5))),"Not in use",IF(AND(ISNUMBER(I553),I553&lt;'Scoring Settings'!$B$6),"Low use","Active"))))</f>
        <v>Active</v>
      </c>
      <c r="L553" s="5">
        <v>4</v>
      </c>
      <c r="M553" s="5">
        <v>1</v>
      </c>
      <c r="N553" s="5" t="s">
        <v>72</v>
      </c>
      <c r="O553" s="5" t="s">
        <v>73</v>
      </c>
      <c r="P553" s="5" t="s">
        <v>447</v>
      </c>
      <c r="Q553" s="9">
        <v>5</v>
      </c>
      <c r="R553" s="5" t="s">
        <v>182</v>
      </c>
      <c r="S553" s="5" t="s">
        <v>183</v>
      </c>
      <c r="T553" s="5" t="s">
        <v>72</v>
      </c>
      <c r="U553" s="7">
        <v>42855</v>
      </c>
      <c r="V553" s="5" t="s">
        <v>135</v>
      </c>
      <c r="W553" s="6">
        <v>24</v>
      </c>
      <c r="X553" s="5" t="s">
        <v>79</v>
      </c>
      <c r="Y553" s="9">
        <v>3</v>
      </c>
      <c r="Z553" s="5" t="s">
        <v>79</v>
      </c>
      <c r="AA553" s="5" t="s">
        <v>110</v>
      </c>
      <c r="AB553" s="9">
        <v>32</v>
      </c>
      <c r="AC553" s="5" t="s">
        <v>79</v>
      </c>
      <c r="AD553" s="5" t="s">
        <v>79</v>
      </c>
      <c r="AE553" s="5" t="s">
        <v>79</v>
      </c>
      <c r="AF553" s="10">
        <v>265000</v>
      </c>
      <c r="AG553" s="7">
        <v>46418</v>
      </c>
      <c r="AH553" s="10"/>
      <c r="AI553" s="10"/>
      <c r="AJ553" s="11" t="str">
        <f t="shared" si="8"/>
        <v/>
      </c>
      <c r="AK553" s="12">
        <f>IF(B553="","",OR(K553="Not in use",K553="Low use")+AND(N553&lt;&gt;"",N553&lt;&gt;"TBD")+AND(ISNUMBER(U553),U553&lt;=EDATE('Scoring Settings'!$B$4,'Scoring Settings'!$B$8))+AND(ISNUMBER(L553),L553&lt;='Scoring Settings'!$B$7))</f>
        <v>1</v>
      </c>
      <c r="AL553" s="5" t="s">
        <v>111</v>
      </c>
      <c r="AM553" s="8" t="str">
        <f>IF(B553="","",IF(Z553="N","Easy",IF(OR(AND(ISNUMBER(AB553),AB553&gt;'Scoring Settings'!$B$11),AND(ISNUMBER(W553),W553&gt;'Scoring Settings'!$B$12),AND(ISNUMBER(M553),M553&lt;='Scoring Settings'!$B$13)),"High","Medium")))</f>
        <v>Easy</v>
      </c>
      <c r="AN553" s="5"/>
      <c r="AO553" s="7"/>
      <c r="AP553" s="5" t="s">
        <v>98</v>
      </c>
      <c r="AQ553" s="29" t="s">
        <v>218</v>
      </c>
    </row>
    <row r="554" spans="1:43" hidden="1">
      <c r="A554" s="28">
        <v>90659</v>
      </c>
      <c r="B554" s="5" t="s">
        <v>448</v>
      </c>
      <c r="C554" s="5" t="s">
        <v>371</v>
      </c>
      <c r="D554" s="5" t="s">
        <v>162</v>
      </c>
      <c r="E554" s="5" t="s">
        <v>68</v>
      </c>
      <c r="F554" s="5" t="s">
        <v>178</v>
      </c>
      <c r="G554" s="5" t="s">
        <v>141</v>
      </c>
      <c r="H554" s="5" t="s">
        <v>189</v>
      </c>
      <c r="I554" s="6">
        <v>189</v>
      </c>
      <c r="J554" s="7">
        <v>44283</v>
      </c>
      <c r="K554" s="8" t="str">
        <f>IF(B554="","",IF(AND(I554="",J554=""),"Unknown",IF(OR(AND(ISNUMBER(I554),I554=0),AND(ISNUMBER(J554),J554&lt;=EDATE('Scoring Settings'!$B$4,-'Scoring Settings'!$B$5))),"Not in use",IF(AND(ISNUMBER(I554),I554&lt;'Scoring Settings'!$B$6),"Low use","Active"))))</f>
        <v>Active</v>
      </c>
      <c r="L554" s="5">
        <v>4</v>
      </c>
      <c r="M554" s="5">
        <v>2</v>
      </c>
      <c r="N554" s="5"/>
      <c r="O554" s="5" t="s">
        <v>130</v>
      </c>
      <c r="P554" s="5" t="s">
        <v>449</v>
      </c>
      <c r="Q554" s="9">
        <v>1</v>
      </c>
      <c r="R554" s="5" t="s">
        <v>352</v>
      </c>
      <c r="S554" s="5" t="s">
        <v>353</v>
      </c>
      <c r="T554" s="5" t="s">
        <v>134</v>
      </c>
      <c r="U554" s="7">
        <v>47127</v>
      </c>
      <c r="V554" s="5" t="s">
        <v>95</v>
      </c>
      <c r="W554" s="6">
        <v>840</v>
      </c>
      <c r="X554" s="5" t="s">
        <v>79</v>
      </c>
      <c r="Y554" s="9">
        <v>1</v>
      </c>
      <c r="Z554" s="5" t="s">
        <v>80</v>
      </c>
      <c r="AA554" s="5" t="s">
        <v>81</v>
      </c>
      <c r="AB554" s="9">
        <v>18</v>
      </c>
      <c r="AC554" s="5" t="s">
        <v>82</v>
      </c>
      <c r="AD554" s="5" t="s">
        <v>82</v>
      </c>
      <c r="AE554" s="5" t="s">
        <v>79</v>
      </c>
      <c r="AF554" s="10">
        <v>14500</v>
      </c>
      <c r="AG554" s="7">
        <v>47938</v>
      </c>
      <c r="AH554" s="10"/>
      <c r="AI554" s="10"/>
      <c r="AJ554" s="11" t="str">
        <f t="shared" si="8"/>
        <v/>
      </c>
      <c r="AK554" s="12">
        <f>IF(B554="","",OR(K554="Not in use",K554="Low use")+AND(N554&lt;&gt;"",N554&lt;&gt;"TBD")+AND(ISNUMBER(U554),U554&lt;=EDATE('Scoring Settings'!$B$4,'Scoring Settings'!$B$8))+AND(ISNUMBER(L554),L554&lt;='Scoring Settings'!$B$7))</f>
        <v>0</v>
      </c>
      <c r="AL554" s="5" t="s">
        <v>83</v>
      </c>
      <c r="AM554" s="8" t="str">
        <f>IF(B554="","",IF(Z554="N","Easy",IF(OR(AND(ISNUMBER(AB554),AB554&gt;'Scoring Settings'!$B$11),AND(ISNUMBER(W554),W554&gt;'Scoring Settings'!$B$12),AND(ISNUMBER(M554),M554&lt;='Scoring Settings'!$B$13)),"High","Medium")))</f>
        <v>High</v>
      </c>
      <c r="AN554" s="5"/>
      <c r="AO554" s="7"/>
      <c r="AP554" s="5" t="s">
        <v>84</v>
      </c>
      <c r="AQ554" s="29" t="s">
        <v>247</v>
      </c>
    </row>
    <row r="555" spans="1:43" ht="42.75" hidden="1">
      <c r="A555" s="28">
        <v>152565</v>
      </c>
      <c r="B555" s="5" t="s">
        <v>452</v>
      </c>
      <c r="C555" s="5" t="s">
        <v>453</v>
      </c>
      <c r="D555" s="5" t="s">
        <v>67</v>
      </c>
      <c r="E555" s="5" t="s">
        <v>68</v>
      </c>
      <c r="F555" s="5" t="s">
        <v>249</v>
      </c>
      <c r="G555" s="5" t="s">
        <v>90</v>
      </c>
      <c r="H555" s="5" t="s">
        <v>129</v>
      </c>
      <c r="I555" s="6"/>
      <c r="J555" s="7"/>
      <c r="K555" s="8" t="str">
        <f>IF(B555="","",IF(AND(I555="",J555=""),"Unknown",IF(OR(AND(ISNUMBER(I555),I555=0),AND(ISNUMBER(J555),J555&lt;=EDATE('Scoring Settings'!$B$4,-'Scoring Settings'!$B$5))),"Not in use",IF(AND(ISNUMBER(I555),I555&lt;'Scoring Settings'!$B$6),"Low use","Active"))))</f>
        <v>Unknown</v>
      </c>
      <c r="L555" s="5">
        <v>3</v>
      </c>
      <c r="M555" s="5">
        <v>3</v>
      </c>
      <c r="N555" s="5" t="s">
        <v>454</v>
      </c>
      <c r="O555" s="5" t="s">
        <v>130</v>
      </c>
      <c r="P555" s="5" t="s">
        <v>455</v>
      </c>
      <c r="Q555" s="9">
        <v>4</v>
      </c>
      <c r="R555" s="5" t="s">
        <v>93</v>
      </c>
      <c r="S555" s="5" t="s">
        <v>94</v>
      </c>
      <c r="T555" s="5" t="s">
        <v>195</v>
      </c>
      <c r="U555" s="7">
        <v>44561</v>
      </c>
      <c r="V555" s="5" t="s">
        <v>135</v>
      </c>
      <c r="W555" s="6">
        <v>68</v>
      </c>
      <c r="X555" s="5" t="s">
        <v>80</v>
      </c>
      <c r="Y555" s="9">
        <v>10</v>
      </c>
      <c r="Z555" s="5" t="s">
        <v>79</v>
      </c>
      <c r="AA555" s="5" t="s">
        <v>110</v>
      </c>
      <c r="AB555" s="9">
        <v>5</v>
      </c>
      <c r="AC555" s="5" t="s">
        <v>79</v>
      </c>
      <c r="AD555" s="5" t="s">
        <v>80</v>
      </c>
      <c r="AE555" s="5" t="s">
        <v>82</v>
      </c>
      <c r="AF555" s="10">
        <v>25000</v>
      </c>
      <c r="AG555" s="7">
        <v>49064</v>
      </c>
      <c r="AH555" s="10">
        <v>25500</v>
      </c>
      <c r="AI555" s="10">
        <v>24500</v>
      </c>
      <c r="AJ555" s="11">
        <f t="shared" si="8"/>
        <v>12.489795918367347</v>
      </c>
      <c r="AK555" s="12">
        <f>IF(B555="","",OR(K555="Not in use",K555="Low use")+AND(N555&lt;&gt;"",N555&lt;&gt;"TBD")+AND(ISNUMBER(U555),U555&lt;=EDATE('Scoring Settings'!$B$4,'Scoring Settings'!$B$8))+AND(ISNUMBER(L555),L555&lt;='Scoring Settings'!$B$7))</f>
        <v>2</v>
      </c>
      <c r="AL555" s="5" t="s">
        <v>111</v>
      </c>
      <c r="AM555" s="8" t="str">
        <f>IF(B555="","",IF(Z555="N","Easy",IF(OR(AND(ISNUMBER(AB555),AB555&gt;'Scoring Settings'!$B$11),AND(ISNUMBER(W555),W555&gt;'Scoring Settings'!$B$12),AND(ISNUMBER(M555),M555&lt;='Scoring Settings'!$B$13)),"High","Medium")))</f>
        <v>Easy</v>
      </c>
      <c r="AN555" s="5"/>
      <c r="AO555" s="7"/>
      <c r="AP555" s="5" t="s">
        <v>98</v>
      </c>
      <c r="AQ555" s="29" t="s">
        <v>456</v>
      </c>
    </row>
    <row r="556" spans="1:43" hidden="1">
      <c r="A556" s="28">
        <v>179962</v>
      </c>
      <c r="B556" s="5" t="s">
        <v>461</v>
      </c>
      <c r="C556" s="5" t="s">
        <v>220</v>
      </c>
      <c r="D556" s="5" t="s">
        <v>139</v>
      </c>
      <c r="E556" s="5" t="s">
        <v>298</v>
      </c>
      <c r="F556" s="5" t="s">
        <v>312</v>
      </c>
      <c r="G556" s="5" t="s">
        <v>284</v>
      </c>
      <c r="H556" s="5" t="s">
        <v>129</v>
      </c>
      <c r="I556" s="6">
        <v>22</v>
      </c>
      <c r="J556" s="7">
        <v>44190</v>
      </c>
      <c r="K556" s="8" t="str">
        <f>IF(B556="","",IF(AND(I556="",J556=""),"Unknown",IF(OR(AND(ISNUMBER(I556),I556=0),AND(ISNUMBER(J556),J556&lt;=EDATE('Scoring Settings'!$B$4,-'Scoring Settings'!$B$5))),"Not in use",IF(AND(ISNUMBER(I556),I556&lt;'Scoring Settings'!$B$6),"Low use","Active"))))</f>
        <v>Low use</v>
      </c>
      <c r="L556" s="5">
        <v>4</v>
      </c>
      <c r="M556" s="5">
        <v>2</v>
      </c>
      <c r="N556" s="5" t="s">
        <v>72</v>
      </c>
      <c r="O556" s="5" t="s">
        <v>130</v>
      </c>
      <c r="P556" s="5" t="s">
        <v>462</v>
      </c>
      <c r="Q556" s="9">
        <v>2</v>
      </c>
      <c r="R556" s="5" t="s">
        <v>75</v>
      </c>
      <c r="S556" s="5" t="s">
        <v>76</v>
      </c>
      <c r="T556" s="5" t="s">
        <v>134</v>
      </c>
      <c r="U556" s="7">
        <v>46399</v>
      </c>
      <c r="V556" s="5" t="s">
        <v>95</v>
      </c>
      <c r="W556" s="6">
        <v>210</v>
      </c>
      <c r="X556" s="5" t="s">
        <v>80</v>
      </c>
      <c r="Y556" s="9">
        <v>10</v>
      </c>
      <c r="Z556" s="5" t="s">
        <v>79</v>
      </c>
      <c r="AA556" s="5" t="s">
        <v>110</v>
      </c>
      <c r="AB556" s="9">
        <v>18</v>
      </c>
      <c r="AC556" s="5" t="s">
        <v>80</v>
      </c>
      <c r="AD556" s="5" t="s">
        <v>79</v>
      </c>
      <c r="AE556" s="5" t="s">
        <v>80</v>
      </c>
      <c r="AF556" s="10">
        <v>48000</v>
      </c>
      <c r="AG556" s="7">
        <v>46843</v>
      </c>
      <c r="AH556" s="10"/>
      <c r="AI556" s="10"/>
      <c r="AJ556" s="11" t="str">
        <f t="shared" si="8"/>
        <v/>
      </c>
      <c r="AK556" s="12">
        <f>IF(B556="","",OR(K556="Not in use",K556="Low use")+AND(N556&lt;&gt;"",N556&lt;&gt;"TBD")+AND(ISNUMBER(U556),U556&lt;=EDATE('Scoring Settings'!$B$4,'Scoring Settings'!$B$8))+AND(ISNUMBER(L556),L556&lt;='Scoring Settings'!$B$7))</f>
        <v>1</v>
      </c>
      <c r="AL556" s="5" t="s">
        <v>83</v>
      </c>
      <c r="AM556" s="8" t="str">
        <f>IF(B556="","",IF(Z556="N","Easy",IF(OR(AND(ISNUMBER(AB556),AB556&gt;'Scoring Settings'!$B$11),AND(ISNUMBER(W556),W556&gt;'Scoring Settings'!$B$12),AND(ISNUMBER(M556),M556&lt;='Scoring Settings'!$B$13)),"High","Medium")))</f>
        <v>Easy</v>
      </c>
      <c r="AN556" s="5"/>
      <c r="AO556" s="7"/>
      <c r="AP556" s="5" t="s">
        <v>84</v>
      </c>
      <c r="AQ556" s="29" t="s">
        <v>314</v>
      </c>
    </row>
    <row r="557" spans="1:43" hidden="1">
      <c r="A557" s="28">
        <v>167629</v>
      </c>
      <c r="B557" s="5" t="s">
        <v>466</v>
      </c>
      <c r="C557" s="5" t="s">
        <v>467</v>
      </c>
      <c r="D557" s="5" t="s">
        <v>297</v>
      </c>
      <c r="E557" s="5" t="s">
        <v>68</v>
      </c>
      <c r="F557" s="5" t="s">
        <v>419</v>
      </c>
      <c r="G557" s="5" t="s">
        <v>356</v>
      </c>
      <c r="H557" s="5" t="s">
        <v>71</v>
      </c>
      <c r="I557" s="6">
        <v>98</v>
      </c>
      <c r="J557" s="7">
        <v>44302</v>
      </c>
      <c r="K557" s="8" t="str">
        <f>IF(B557="","",IF(AND(I557="",J557=""),"Unknown",IF(OR(AND(ISNUMBER(I557),I557=0),AND(ISNUMBER(J557),J557&lt;=EDATE('Scoring Settings'!$B$4,-'Scoring Settings'!$B$5))),"Not in use",IF(AND(ISNUMBER(I557),I557&lt;'Scoring Settings'!$B$6),"Low use","Active"))))</f>
        <v>Active</v>
      </c>
      <c r="L557" s="5">
        <v>3</v>
      </c>
      <c r="M557" s="5">
        <v>2</v>
      </c>
      <c r="N557" s="5"/>
      <c r="O557" s="5" t="s">
        <v>73</v>
      </c>
      <c r="P557" s="5" t="s">
        <v>468</v>
      </c>
      <c r="Q557" s="9">
        <v>2</v>
      </c>
      <c r="R557" s="5" t="s">
        <v>352</v>
      </c>
      <c r="S557" s="5" t="s">
        <v>353</v>
      </c>
      <c r="T557" s="5" t="s">
        <v>77</v>
      </c>
      <c r="U557" s="7">
        <v>47127</v>
      </c>
      <c r="V557" s="5" t="s">
        <v>135</v>
      </c>
      <c r="W557" s="6">
        <v>790</v>
      </c>
      <c r="X557" s="5" t="s">
        <v>80</v>
      </c>
      <c r="Y557" s="9">
        <v>10</v>
      </c>
      <c r="Z557" s="5" t="s">
        <v>80</v>
      </c>
      <c r="AA557" s="5" t="s">
        <v>185</v>
      </c>
      <c r="AB557" s="9">
        <v>11</v>
      </c>
      <c r="AC557" s="5" t="s">
        <v>79</v>
      </c>
      <c r="AD557" s="5" t="s">
        <v>82</v>
      </c>
      <c r="AE557" s="5" t="s">
        <v>80</v>
      </c>
      <c r="AF557" s="10">
        <v>65000</v>
      </c>
      <c r="AG557" s="7">
        <v>47726</v>
      </c>
      <c r="AH557" s="10">
        <v>44000</v>
      </c>
      <c r="AI557" s="10">
        <v>60500</v>
      </c>
      <c r="AJ557" s="11">
        <f t="shared" si="8"/>
        <v>8.7272727272727266</v>
      </c>
      <c r="AK557" s="12">
        <f>IF(B557="","",OR(K557="Not in use",K557="Low use")+AND(N557&lt;&gt;"",N557&lt;&gt;"TBD")+AND(ISNUMBER(U557),U557&lt;=EDATE('Scoring Settings'!$B$4,'Scoring Settings'!$B$8))+AND(ISNUMBER(L557),L557&lt;='Scoring Settings'!$B$7))</f>
        <v>0</v>
      </c>
      <c r="AL557" s="5" t="s">
        <v>111</v>
      </c>
      <c r="AM557" s="8" t="str">
        <f>IF(B557="","",IF(Z557="N","Easy",IF(OR(AND(ISNUMBER(AB557),AB557&gt;'Scoring Settings'!$B$11),AND(ISNUMBER(W557),W557&gt;'Scoring Settings'!$B$12),AND(ISNUMBER(M557),M557&lt;='Scoring Settings'!$B$13)),"High","Medium")))</f>
        <v>High</v>
      </c>
      <c r="AN557" s="5"/>
      <c r="AO557" s="7"/>
      <c r="AP557" s="5" t="s">
        <v>98</v>
      </c>
      <c r="AQ557" s="29" t="s">
        <v>218</v>
      </c>
    </row>
    <row r="558" spans="1:43" hidden="1">
      <c r="A558" s="28">
        <v>150090</v>
      </c>
      <c r="B558" s="5" t="s">
        <v>471</v>
      </c>
      <c r="C558" s="5" t="s">
        <v>270</v>
      </c>
      <c r="D558" s="5" t="s">
        <v>139</v>
      </c>
      <c r="E558" s="5" t="s">
        <v>68</v>
      </c>
      <c r="F558" s="5" t="s">
        <v>288</v>
      </c>
      <c r="G558" s="5" t="s">
        <v>141</v>
      </c>
      <c r="H558" s="5" t="s">
        <v>118</v>
      </c>
      <c r="I558" s="6">
        <v>602</v>
      </c>
      <c r="J558" s="7">
        <v>44288</v>
      </c>
      <c r="K558" s="8" t="str">
        <f>IF(B558="","",IF(AND(I558="",J558=""),"Unknown",IF(OR(AND(ISNUMBER(I558),I558=0),AND(ISNUMBER(J558),J558&lt;=EDATE('Scoring Settings'!$B$4,-'Scoring Settings'!$B$5))),"Not in use",IF(AND(ISNUMBER(I558),I558&lt;'Scoring Settings'!$B$6),"Low use","Active"))))</f>
        <v>Active</v>
      </c>
      <c r="L558" s="5">
        <v>2</v>
      </c>
      <c r="M558" s="5">
        <v>4</v>
      </c>
      <c r="N558" s="5" t="s">
        <v>279</v>
      </c>
      <c r="O558" s="5" t="s">
        <v>130</v>
      </c>
      <c r="P558" s="5" t="s">
        <v>472</v>
      </c>
      <c r="Q558" s="9">
        <v>1</v>
      </c>
      <c r="R558" s="5" t="s">
        <v>182</v>
      </c>
      <c r="S558" s="5" t="s">
        <v>183</v>
      </c>
      <c r="T558" s="5" t="s">
        <v>134</v>
      </c>
      <c r="U558" s="7">
        <v>42855</v>
      </c>
      <c r="V558" s="5" t="s">
        <v>135</v>
      </c>
      <c r="W558" s="6">
        <v>87</v>
      </c>
      <c r="X558" s="5" t="s">
        <v>79</v>
      </c>
      <c r="Y558" s="9">
        <v>7</v>
      </c>
      <c r="Z558" s="5" t="s">
        <v>79</v>
      </c>
      <c r="AA558" s="5" t="s">
        <v>110</v>
      </c>
      <c r="AB558" s="9">
        <v>0</v>
      </c>
      <c r="AC558" s="5" t="s">
        <v>80</v>
      </c>
      <c r="AD558" s="5" t="s">
        <v>79</v>
      </c>
      <c r="AE558" s="5" t="s">
        <v>79</v>
      </c>
      <c r="AF558" s="10">
        <v>16500</v>
      </c>
      <c r="AG558" s="7">
        <v>46418</v>
      </c>
      <c r="AH558" s="10">
        <v>12000</v>
      </c>
      <c r="AI558" s="10">
        <v>16000</v>
      </c>
      <c r="AJ558" s="11">
        <f t="shared" si="8"/>
        <v>9</v>
      </c>
      <c r="AK558" s="12">
        <f>IF(B558="","",OR(K558="Not in use",K558="Low use")+AND(N558&lt;&gt;"",N558&lt;&gt;"TBD")+AND(ISNUMBER(U558),U558&lt;=EDATE('Scoring Settings'!$B$4,'Scoring Settings'!$B$8))+AND(ISNUMBER(L558),L558&lt;='Scoring Settings'!$B$7))</f>
        <v>3</v>
      </c>
      <c r="AL558" s="5" t="s">
        <v>111</v>
      </c>
      <c r="AM558" s="8" t="str">
        <f>IF(B558="","",IF(Z558="N","Easy",IF(OR(AND(ISNUMBER(AB558),AB558&gt;'Scoring Settings'!$B$11),AND(ISNUMBER(W558),W558&gt;'Scoring Settings'!$B$12),AND(ISNUMBER(M558),M558&lt;='Scoring Settings'!$B$13)),"High","Medium")))</f>
        <v>Easy</v>
      </c>
      <c r="AN558" s="5"/>
      <c r="AO558" s="7"/>
      <c r="AP558" s="5" t="s">
        <v>98</v>
      </c>
      <c r="AQ558" s="29" t="s">
        <v>112</v>
      </c>
    </row>
    <row r="559" spans="1:43" hidden="1">
      <c r="A559" s="28">
        <v>73991</v>
      </c>
      <c r="B559" s="5" t="s">
        <v>482</v>
      </c>
      <c r="C559" s="5" t="s">
        <v>483</v>
      </c>
      <c r="D559" s="5" t="s">
        <v>88</v>
      </c>
      <c r="E559" s="5" t="s">
        <v>68</v>
      </c>
      <c r="F559" s="5" t="s">
        <v>103</v>
      </c>
      <c r="G559" s="5" t="s">
        <v>90</v>
      </c>
      <c r="H559" s="5" t="s">
        <v>142</v>
      </c>
      <c r="I559" s="6">
        <v>38</v>
      </c>
      <c r="J559" s="7">
        <v>44278</v>
      </c>
      <c r="K559" s="8" t="str">
        <f>IF(B559="","",IF(AND(I559="",J559=""),"Unknown",IF(OR(AND(ISNUMBER(I559),I559=0),AND(ISNUMBER(J559),J559&lt;=EDATE('Scoring Settings'!$B$4,-'Scoring Settings'!$B$5))),"Not in use",IF(AND(ISNUMBER(I559),I559&lt;'Scoring Settings'!$B$6),"Low use","Active"))))</f>
        <v>Active</v>
      </c>
      <c r="L559" s="5">
        <v>5</v>
      </c>
      <c r="M559" s="5">
        <v>1</v>
      </c>
      <c r="N559" s="5"/>
      <c r="O559" s="5" t="s">
        <v>143</v>
      </c>
      <c r="P559" s="5" t="s">
        <v>144</v>
      </c>
      <c r="Q559" s="9">
        <v>0</v>
      </c>
      <c r="R559" s="5" t="s">
        <v>145</v>
      </c>
      <c r="S559" s="5" t="s">
        <v>145</v>
      </c>
      <c r="T559" s="5" t="s">
        <v>146</v>
      </c>
      <c r="U559" s="7">
        <v>45077</v>
      </c>
      <c r="V559" s="5" t="s">
        <v>95</v>
      </c>
      <c r="W559" s="6">
        <v>420</v>
      </c>
      <c r="X559" s="5" t="s">
        <v>80</v>
      </c>
      <c r="Y559" s="9">
        <v>7</v>
      </c>
      <c r="Z559" s="5" t="s">
        <v>80</v>
      </c>
      <c r="AA559" s="5" t="s">
        <v>81</v>
      </c>
      <c r="AB559" s="9">
        <v>37</v>
      </c>
      <c r="AC559" s="5" t="s">
        <v>80</v>
      </c>
      <c r="AD559" s="5" t="s">
        <v>79</v>
      </c>
      <c r="AE559" s="5" t="s">
        <v>79</v>
      </c>
      <c r="AF559" s="10">
        <v>180000</v>
      </c>
      <c r="AG559" s="7">
        <v>48395</v>
      </c>
      <c r="AH559" s="10"/>
      <c r="AI559" s="10"/>
      <c r="AJ559" s="11" t="str">
        <f t="shared" si="8"/>
        <v/>
      </c>
      <c r="AK559" s="12">
        <f>IF(B559="","",OR(K559="Not in use",K559="Low use")+AND(N559&lt;&gt;"",N559&lt;&gt;"TBD")+AND(ISNUMBER(U559),U559&lt;=EDATE('Scoring Settings'!$B$4,'Scoring Settings'!$B$8))+AND(ISNUMBER(L559),L559&lt;='Scoring Settings'!$B$7))</f>
        <v>0</v>
      </c>
      <c r="AL559" s="5" t="s">
        <v>83</v>
      </c>
      <c r="AM559" s="8" t="str">
        <f>IF(B559="","",IF(Z559="N","Easy",IF(OR(AND(ISNUMBER(AB559),AB559&gt;'Scoring Settings'!$B$11),AND(ISNUMBER(W559),W559&gt;'Scoring Settings'!$B$12),AND(ISNUMBER(M559),M559&lt;='Scoring Settings'!$B$13)),"High","Medium")))</f>
        <v>High</v>
      </c>
      <c r="AN559" s="5"/>
      <c r="AO559" s="7"/>
      <c r="AP559" s="5" t="s">
        <v>98</v>
      </c>
      <c r="AQ559" s="29" t="s">
        <v>247</v>
      </c>
    </row>
    <row r="560" spans="1:43" hidden="1">
      <c r="A560" s="28">
        <v>108793</v>
      </c>
      <c r="B560" s="5" t="s">
        <v>487</v>
      </c>
      <c r="C560" s="5" t="s">
        <v>483</v>
      </c>
      <c r="D560" s="5" t="s">
        <v>88</v>
      </c>
      <c r="E560" s="5" t="s">
        <v>68</v>
      </c>
      <c r="F560" s="5" t="s">
        <v>89</v>
      </c>
      <c r="G560" s="5" t="s">
        <v>226</v>
      </c>
      <c r="H560" s="5" t="s">
        <v>142</v>
      </c>
      <c r="I560" s="6">
        <v>520</v>
      </c>
      <c r="J560" s="7">
        <v>44310</v>
      </c>
      <c r="K560" s="8" t="str">
        <f>IF(B560="","",IF(AND(I560="",J560=""),"Unknown",IF(OR(AND(ISNUMBER(I560),I560=0),AND(ISNUMBER(J560),J560&lt;=EDATE('Scoring Settings'!$B$4,-'Scoring Settings'!$B$5))),"Not in use",IF(AND(ISNUMBER(I560),I560&lt;'Scoring Settings'!$B$6),"Low use","Active"))))</f>
        <v>Active</v>
      </c>
      <c r="L560" s="5">
        <v>4</v>
      </c>
      <c r="M560" s="5">
        <v>1</v>
      </c>
      <c r="N560" s="5"/>
      <c r="O560" s="5" t="s">
        <v>143</v>
      </c>
      <c r="P560" s="5" t="s">
        <v>144</v>
      </c>
      <c r="Q560" s="9">
        <v>0</v>
      </c>
      <c r="R560" s="5" t="s">
        <v>145</v>
      </c>
      <c r="S560" s="5" t="s">
        <v>145</v>
      </c>
      <c r="T560" s="5" t="s">
        <v>146</v>
      </c>
      <c r="U560" s="7"/>
      <c r="V560" s="5" t="s">
        <v>135</v>
      </c>
      <c r="W560" s="6">
        <v>940</v>
      </c>
      <c r="X560" s="5" t="s">
        <v>79</v>
      </c>
      <c r="Y560" s="9">
        <v>3</v>
      </c>
      <c r="Z560" s="5" t="s">
        <v>80</v>
      </c>
      <c r="AA560" s="5" t="s">
        <v>205</v>
      </c>
      <c r="AB560" s="9">
        <v>64</v>
      </c>
      <c r="AC560" s="5" t="s">
        <v>79</v>
      </c>
      <c r="AD560" s="5" t="s">
        <v>79</v>
      </c>
      <c r="AE560" s="5" t="s">
        <v>82</v>
      </c>
      <c r="AF560" s="10">
        <v>155000</v>
      </c>
      <c r="AG560" s="7">
        <v>46053</v>
      </c>
      <c r="AH560" s="10"/>
      <c r="AI560" s="10"/>
      <c r="AJ560" s="11" t="str">
        <f t="shared" si="8"/>
        <v/>
      </c>
      <c r="AK560" s="12">
        <f>IF(B560="","",OR(K560="Not in use",K560="Low use")+AND(N560&lt;&gt;"",N560&lt;&gt;"TBD")+AND(ISNUMBER(U560),U560&lt;=EDATE('Scoring Settings'!$B$4,'Scoring Settings'!$B$8))+AND(ISNUMBER(L560),L560&lt;='Scoring Settings'!$B$7))</f>
        <v>0</v>
      </c>
      <c r="AL560" s="5" t="s">
        <v>83</v>
      </c>
      <c r="AM560" s="8" t="str">
        <f>IF(B560="","",IF(Z560="N","Easy",IF(OR(AND(ISNUMBER(AB560),AB560&gt;'Scoring Settings'!$B$11),AND(ISNUMBER(W560),W560&gt;'Scoring Settings'!$B$12),AND(ISNUMBER(M560),M560&lt;='Scoring Settings'!$B$13)),"High","Medium")))</f>
        <v>High</v>
      </c>
      <c r="AN560" s="5"/>
      <c r="AO560" s="7"/>
      <c r="AP560" s="5" t="s">
        <v>84</v>
      </c>
      <c r="AQ560" s="29" t="s">
        <v>206</v>
      </c>
    </row>
    <row r="561" spans="1:43" hidden="1">
      <c r="A561" s="28">
        <v>15528</v>
      </c>
      <c r="B561" s="5" t="s">
        <v>488</v>
      </c>
      <c r="C561" s="5" t="s">
        <v>467</v>
      </c>
      <c r="D561" s="5" t="s">
        <v>297</v>
      </c>
      <c r="E561" s="5" t="s">
        <v>311</v>
      </c>
      <c r="F561" s="5" t="s">
        <v>201</v>
      </c>
      <c r="G561" s="5" t="s">
        <v>404</v>
      </c>
      <c r="H561" s="5" t="s">
        <v>189</v>
      </c>
      <c r="I561" s="6">
        <v>0</v>
      </c>
      <c r="J561" s="7">
        <v>43842</v>
      </c>
      <c r="K561" s="8" t="str">
        <f>IF(B561="","",IF(AND(I561="",J561=""),"Unknown",IF(OR(AND(ISNUMBER(I561),I561=0),AND(ISNUMBER(J561),J561&lt;=EDATE('Scoring Settings'!$B$4,-'Scoring Settings'!$B$5))),"Not in use",IF(AND(ISNUMBER(I561),I561&lt;'Scoring Settings'!$B$6),"Low use","Active"))))</f>
        <v>Not in use</v>
      </c>
      <c r="L561" s="5">
        <v>3</v>
      </c>
      <c r="M561" s="5">
        <v>2</v>
      </c>
      <c r="N561" s="5"/>
      <c r="O561" s="5" t="s">
        <v>73</v>
      </c>
      <c r="P561" s="5" t="s">
        <v>489</v>
      </c>
      <c r="Q561" s="9">
        <v>2</v>
      </c>
      <c r="R561" s="5" t="s">
        <v>256</v>
      </c>
      <c r="S561" s="5" t="s">
        <v>257</v>
      </c>
      <c r="T561" s="5" t="s">
        <v>109</v>
      </c>
      <c r="U561" s="7">
        <v>45077</v>
      </c>
      <c r="V561" s="5" t="s">
        <v>95</v>
      </c>
      <c r="W561" s="6">
        <v>2410</v>
      </c>
      <c r="X561" s="5" t="s">
        <v>80</v>
      </c>
      <c r="Y561" s="9">
        <v>7</v>
      </c>
      <c r="Z561" s="5" t="s">
        <v>80</v>
      </c>
      <c r="AA561" s="5" t="s">
        <v>185</v>
      </c>
      <c r="AB561" s="9">
        <v>15</v>
      </c>
      <c r="AC561" s="5" t="s">
        <v>82</v>
      </c>
      <c r="AD561" s="5" t="s">
        <v>80</v>
      </c>
      <c r="AE561" s="5" t="s">
        <v>80</v>
      </c>
      <c r="AF561" s="10">
        <v>24000</v>
      </c>
      <c r="AG561" s="7">
        <v>48029</v>
      </c>
      <c r="AH561" s="10"/>
      <c r="AI561" s="10"/>
      <c r="AJ561" s="11" t="str">
        <f t="shared" si="8"/>
        <v/>
      </c>
      <c r="AK561" s="12">
        <f>IF(B561="","",OR(K561="Not in use",K561="Low use")+AND(N561&lt;&gt;"",N561&lt;&gt;"TBD")+AND(ISNUMBER(U561),U561&lt;=EDATE('Scoring Settings'!$B$4,'Scoring Settings'!$B$8))+AND(ISNUMBER(L561),L561&lt;='Scoring Settings'!$B$7))</f>
        <v>1</v>
      </c>
      <c r="AL561" s="5" t="s">
        <v>111</v>
      </c>
      <c r="AM561" s="8" t="str">
        <f>IF(B561="","",IF(Z561="N","Easy",IF(OR(AND(ISNUMBER(AB561),AB561&gt;'Scoring Settings'!$B$11),AND(ISNUMBER(W561),W561&gt;'Scoring Settings'!$B$12),AND(ISNUMBER(M561),M561&lt;='Scoring Settings'!$B$13)),"High","Medium")))</f>
        <v>High</v>
      </c>
      <c r="AN561" s="5"/>
      <c r="AO561" s="7"/>
      <c r="AP561" s="5" t="s">
        <v>98</v>
      </c>
      <c r="AQ561" s="29" t="s">
        <v>112</v>
      </c>
    </row>
    <row r="562" spans="1:43" hidden="1">
      <c r="A562" s="28">
        <v>171780</v>
      </c>
      <c r="B562" s="5" t="s">
        <v>503</v>
      </c>
      <c r="C562" s="5" t="s">
        <v>338</v>
      </c>
      <c r="D562" s="5" t="s">
        <v>139</v>
      </c>
      <c r="E562" s="5" t="s">
        <v>68</v>
      </c>
      <c r="F562" s="5" t="s">
        <v>288</v>
      </c>
      <c r="G562" s="5" t="s">
        <v>271</v>
      </c>
      <c r="H562" s="5" t="s">
        <v>142</v>
      </c>
      <c r="I562" s="6">
        <v>43</v>
      </c>
      <c r="J562" s="7">
        <v>44285</v>
      </c>
      <c r="K562" s="8" t="str">
        <f>IF(B562="","",IF(AND(I562="",J562=""),"Unknown",IF(OR(AND(ISNUMBER(I562),I562=0),AND(ISNUMBER(J562),J562&lt;=EDATE('Scoring Settings'!$B$4,-'Scoring Settings'!$B$5))),"Not in use",IF(AND(ISNUMBER(I562),I562&lt;'Scoring Settings'!$B$6),"Low use","Active"))))</f>
        <v>Active</v>
      </c>
      <c r="L562" s="5">
        <v>4</v>
      </c>
      <c r="M562" s="5">
        <v>2</v>
      </c>
      <c r="N562" s="5"/>
      <c r="O562" s="5" t="s">
        <v>143</v>
      </c>
      <c r="P562" s="5" t="s">
        <v>144</v>
      </c>
      <c r="Q562" s="9">
        <v>0</v>
      </c>
      <c r="R562" s="5" t="s">
        <v>145</v>
      </c>
      <c r="S562" s="5" t="s">
        <v>145</v>
      </c>
      <c r="T562" s="5" t="s">
        <v>146</v>
      </c>
      <c r="U562" s="7"/>
      <c r="V562" s="5" t="s">
        <v>95</v>
      </c>
      <c r="W562" s="6">
        <v>73</v>
      </c>
      <c r="X562" s="5" t="s">
        <v>80</v>
      </c>
      <c r="Y562" s="9">
        <v>10</v>
      </c>
      <c r="Z562" s="5" t="s">
        <v>79</v>
      </c>
      <c r="AA562" s="5" t="s">
        <v>110</v>
      </c>
      <c r="AB562" s="9">
        <v>8</v>
      </c>
      <c r="AC562" s="5" t="s">
        <v>79</v>
      </c>
      <c r="AD562" s="5" t="s">
        <v>79</v>
      </c>
      <c r="AE562" s="5" t="s">
        <v>80</v>
      </c>
      <c r="AF562" s="10">
        <v>85000</v>
      </c>
      <c r="AG562" s="7">
        <v>47422</v>
      </c>
      <c r="AH562" s="10"/>
      <c r="AI562" s="10"/>
      <c r="AJ562" s="11" t="str">
        <f t="shared" si="8"/>
        <v/>
      </c>
      <c r="AK562" s="12">
        <f>IF(B562="","",OR(K562="Not in use",K562="Low use")+AND(N562&lt;&gt;"",N562&lt;&gt;"TBD")+AND(ISNUMBER(U562),U562&lt;=EDATE('Scoring Settings'!$B$4,'Scoring Settings'!$B$8))+AND(ISNUMBER(L562),L562&lt;='Scoring Settings'!$B$7))</f>
        <v>0</v>
      </c>
      <c r="AL562" s="5" t="s">
        <v>83</v>
      </c>
      <c r="AM562" s="8" t="str">
        <f>IF(B562="","",IF(Z562="N","Easy",IF(OR(AND(ISNUMBER(AB562),AB562&gt;'Scoring Settings'!$B$11),AND(ISNUMBER(W562),W562&gt;'Scoring Settings'!$B$12),AND(ISNUMBER(M562),M562&lt;='Scoring Settings'!$B$13)),"High","Medium")))</f>
        <v>Easy</v>
      </c>
      <c r="AN562" s="5"/>
      <c r="AO562" s="7"/>
      <c r="AP562" s="5" t="s">
        <v>84</v>
      </c>
      <c r="AQ562" s="29" t="s">
        <v>247</v>
      </c>
    </row>
    <row r="563" spans="1:43" hidden="1">
      <c r="A563" s="28">
        <v>189560</v>
      </c>
      <c r="B563" s="5" t="s">
        <v>506</v>
      </c>
      <c r="C563" s="5" t="s">
        <v>101</v>
      </c>
      <c r="D563" s="5" t="s">
        <v>102</v>
      </c>
      <c r="E563" s="5" t="s">
        <v>68</v>
      </c>
      <c r="F563" s="5" t="s">
        <v>243</v>
      </c>
      <c r="G563" s="5" t="s">
        <v>210</v>
      </c>
      <c r="H563" s="5" t="s">
        <v>174</v>
      </c>
      <c r="I563" s="6">
        <v>61</v>
      </c>
      <c r="J563" s="7">
        <v>44270</v>
      </c>
      <c r="K563" s="8" t="str">
        <f>IF(B563="","",IF(AND(I563="",J563=""),"Unknown",IF(OR(AND(ISNUMBER(I563),I563=0),AND(ISNUMBER(J563),J563&lt;=EDATE('Scoring Settings'!$B$4,-'Scoring Settings'!$B$5))),"Not in use",IF(AND(ISNUMBER(I563),I563&lt;'Scoring Settings'!$B$6),"Low use","Active"))))</f>
        <v>Active</v>
      </c>
      <c r="L563" s="5">
        <v>4</v>
      </c>
      <c r="M563" s="5">
        <v>3</v>
      </c>
      <c r="N563" s="5"/>
      <c r="O563" s="5" t="s">
        <v>130</v>
      </c>
      <c r="P563" s="5" t="s">
        <v>507</v>
      </c>
      <c r="Q563" s="9">
        <v>1</v>
      </c>
      <c r="R563" s="5" t="s">
        <v>203</v>
      </c>
      <c r="S563" s="5" t="s">
        <v>508</v>
      </c>
      <c r="T563" s="5" t="s">
        <v>168</v>
      </c>
      <c r="U563" s="7">
        <v>47269</v>
      </c>
      <c r="V563" s="5" t="s">
        <v>78</v>
      </c>
      <c r="W563" s="6">
        <v>72</v>
      </c>
      <c r="X563" s="5" t="s">
        <v>79</v>
      </c>
      <c r="Y563" s="9">
        <v>3</v>
      </c>
      <c r="Z563" s="5" t="s">
        <v>80</v>
      </c>
      <c r="AA563" s="5" t="s">
        <v>81</v>
      </c>
      <c r="AB563" s="9">
        <v>6</v>
      </c>
      <c r="AC563" s="5" t="s">
        <v>80</v>
      </c>
      <c r="AD563" s="5" t="s">
        <v>80</v>
      </c>
      <c r="AE563" s="5" t="s">
        <v>82</v>
      </c>
      <c r="AF563" s="10">
        <v>20000</v>
      </c>
      <c r="AG563" s="7">
        <v>48669</v>
      </c>
      <c r="AH563" s="10"/>
      <c r="AI563" s="10"/>
      <c r="AJ563" s="11" t="str">
        <f t="shared" si="8"/>
        <v/>
      </c>
      <c r="AK563" s="12">
        <f>IF(B563="","",OR(K563="Not in use",K563="Low use")+AND(N563&lt;&gt;"",N563&lt;&gt;"TBD")+AND(ISNUMBER(U563),U563&lt;=EDATE('Scoring Settings'!$B$4,'Scoring Settings'!$B$8))+AND(ISNUMBER(L563),L563&lt;='Scoring Settings'!$B$7))</f>
        <v>0</v>
      </c>
      <c r="AL563" s="5" t="s">
        <v>83</v>
      </c>
      <c r="AM563" s="8" t="str">
        <f>IF(B563="","",IF(Z563="N","Easy",IF(OR(AND(ISNUMBER(AB563),AB563&gt;'Scoring Settings'!$B$11),AND(ISNUMBER(W563),W563&gt;'Scoring Settings'!$B$12),AND(ISNUMBER(M563),M563&lt;='Scoring Settings'!$B$13)),"High","Medium")))</f>
        <v>High</v>
      </c>
      <c r="AN563" s="5"/>
      <c r="AO563" s="7"/>
      <c r="AP563" s="5" t="s">
        <v>84</v>
      </c>
      <c r="AQ563" s="29" t="s">
        <v>314</v>
      </c>
    </row>
    <row r="564" spans="1:43" hidden="1">
      <c r="A564" s="28">
        <v>142036</v>
      </c>
      <c r="B564" s="5" t="s">
        <v>509</v>
      </c>
      <c r="C564" s="5" t="s">
        <v>187</v>
      </c>
      <c r="D564" s="5" t="s">
        <v>67</v>
      </c>
      <c r="E564" s="5" t="s">
        <v>68</v>
      </c>
      <c r="F564" s="5" t="s">
        <v>103</v>
      </c>
      <c r="G564" s="5" t="s">
        <v>117</v>
      </c>
      <c r="H564" s="5" t="s">
        <v>105</v>
      </c>
      <c r="I564" s="6">
        <v>924</v>
      </c>
      <c r="J564" s="7">
        <v>44312</v>
      </c>
      <c r="K564" s="8" t="str">
        <f>IF(B564="","",IF(AND(I564="",J564=""),"Unknown",IF(OR(AND(ISNUMBER(I564),I564=0),AND(ISNUMBER(J564),J564&lt;=EDATE('Scoring Settings'!$B$4,-'Scoring Settings'!$B$5))),"Not in use",IF(AND(ISNUMBER(I564),I564&lt;'Scoring Settings'!$B$6),"Low use","Active"))))</f>
        <v>Active</v>
      </c>
      <c r="L564" s="5">
        <v>5</v>
      </c>
      <c r="M564" s="5">
        <v>1</v>
      </c>
      <c r="N564" s="5"/>
      <c r="O564" s="5" t="s">
        <v>73</v>
      </c>
      <c r="P564" s="5" t="s">
        <v>510</v>
      </c>
      <c r="Q564" s="9">
        <v>1</v>
      </c>
      <c r="R564" s="5" t="s">
        <v>330</v>
      </c>
      <c r="S564" s="5" t="s">
        <v>331</v>
      </c>
      <c r="T564" s="5" t="s">
        <v>122</v>
      </c>
      <c r="U564" s="7">
        <v>45046</v>
      </c>
      <c r="V564" s="5" t="s">
        <v>135</v>
      </c>
      <c r="W564" s="6">
        <v>39</v>
      </c>
      <c r="X564" s="5" t="s">
        <v>79</v>
      </c>
      <c r="Y564" s="9">
        <v>3</v>
      </c>
      <c r="Z564" s="5" t="s">
        <v>80</v>
      </c>
      <c r="AA564" s="5" t="s">
        <v>123</v>
      </c>
      <c r="AB564" s="9">
        <v>23</v>
      </c>
      <c r="AC564" s="5" t="s">
        <v>79</v>
      </c>
      <c r="AD564" s="5" t="s">
        <v>82</v>
      </c>
      <c r="AE564" s="5" t="s">
        <v>80</v>
      </c>
      <c r="AF564" s="10">
        <v>60000</v>
      </c>
      <c r="AG564" s="7">
        <v>45838</v>
      </c>
      <c r="AH564" s="10"/>
      <c r="AI564" s="10"/>
      <c r="AJ564" s="11" t="str">
        <f t="shared" si="8"/>
        <v/>
      </c>
      <c r="AK564" s="12">
        <f>IF(B564="","",OR(K564="Not in use",K564="Low use")+AND(N564&lt;&gt;"",N564&lt;&gt;"TBD")+AND(ISNUMBER(U564),U564&lt;=EDATE('Scoring Settings'!$B$4,'Scoring Settings'!$B$8))+AND(ISNUMBER(L564),L564&lt;='Scoring Settings'!$B$7))</f>
        <v>0</v>
      </c>
      <c r="AL564" s="5" t="s">
        <v>83</v>
      </c>
      <c r="AM564" s="8" t="str">
        <f>IF(B564="","",IF(Z564="N","Easy",IF(OR(AND(ISNUMBER(AB564),AB564&gt;'Scoring Settings'!$B$11),AND(ISNUMBER(W564),W564&gt;'Scoring Settings'!$B$12),AND(ISNUMBER(M564),M564&lt;='Scoring Settings'!$B$13)),"High","Medium")))</f>
        <v>High</v>
      </c>
      <c r="AN564" s="5"/>
      <c r="AO564" s="7"/>
      <c r="AP564" s="5" t="s">
        <v>84</v>
      </c>
      <c r="AQ564" s="29" t="s">
        <v>273</v>
      </c>
    </row>
    <row r="565" spans="1:43" hidden="1">
      <c r="A565" s="28">
        <v>12586</v>
      </c>
      <c r="B565" s="5" t="s">
        <v>514</v>
      </c>
      <c r="C565" s="5" t="s">
        <v>515</v>
      </c>
      <c r="D565" s="5" t="s">
        <v>102</v>
      </c>
      <c r="E565" s="5" t="s">
        <v>68</v>
      </c>
      <c r="F565" s="5" t="s">
        <v>236</v>
      </c>
      <c r="G565" s="5" t="s">
        <v>179</v>
      </c>
      <c r="H565" s="5" t="s">
        <v>118</v>
      </c>
      <c r="I565" s="6">
        <v>78</v>
      </c>
      <c r="J565" s="7">
        <v>44289</v>
      </c>
      <c r="K565" s="8" t="str">
        <f>IF(B565="","",IF(AND(I565="",J565=""),"Unknown",IF(OR(AND(ISNUMBER(I565),I565=0),AND(ISNUMBER(J565),J565&lt;=EDATE('Scoring Settings'!$B$4,-'Scoring Settings'!$B$5))),"Not in use",IF(AND(ISNUMBER(I565),I565&lt;'Scoring Settings'!$B$6),"Low use","Active"))))</f>
        <v>Active</v>
      </c>
      <c r="L565" s="5">
        <v>4</v>
      </c>
      <c r="M565" s="5">
        <v>1</v>
      </c>
      <c r="N565" s="5"/>
      <c r="O565" s="5" t="s">
        <v>130</v>
      </c>
      <c r="P565" s="5" t="s">
        <v>516</v>
      </c>
      <c r="Q565" s="9">
        <v>1</v>
      </c>
      <c r="R565" s="5" t="s">
        <v>358</v>
      </c>
      <c r="S565" s="5" t="s">
        <v>133</v>
      </c>
      <c r="T565" s="5" t="s">
        <v>168</v>
      </c>
      <c r="U565" s="7">
        <v>43555</v>
      </c>
      <c r="V565" s="5" t="s">
        <v>135</v>
      </c>
      <c r="W565" s="6">
        <v>450</v>
      </c>
      <c r="X565" s="5" t="s">
        <v>80</v>
      </c>
      <c r="Y565" s="9">
        <v>5</v>
      </c>
      <c r="Z565" s="5" t="s">
        <v>79</v>
      </c>
      <c r="AA565" s="5" t="s">
        <v>110</v>
      </c>
      <c r="AB565" s="9">
        <v>16</v>
      </c>
      <c r="AC565" s="5" t="s">
        <v>80</v>
      </c>
      <c r="AD565" s="5" t="s">
        <v>79</v>
      </c>
      <c r="AE565" s="5" t="s">
        <v>80</v>
      </c>
      <c r="AF565" s="10">
        <v>100000</v>
      </c>
      <c r="AG565" s="7">
        <v>47542</v>
      </c>
      <c r="AH565" s="10"/>
      <c r="AI565" s="10"/>
      <c r="AJ565" s="11" t="str">
        <f t="shared" si="8"/>
        <v/>
      </c>
      <c r="AK565" s="12">
        <f>IF(B565="","",OR(K565="Not in use",K565="Low use")+AND(N565&lt;&gt;"",N565&lt;&gt;"TBD")+AND(ISNUMBER(U565),U565&lt;=EDATE('Scoring Settings'!$B$4,'Scoring Settings'!$B$8))+AND(ISNUMBER(L565),L565&lt;='Scoring Settings'!$B$7))</f>
        <v>1</v>
      </c>
      <c r="AL565" s="5" t="s">
        <v>111</v>
      </c>
      <c r="AM565" s="8" t="str">
        <f>IF(B565="","",IF(Z565="N","Easy",IF(OR(AND(ISNUMBER(AB565),AB565&gt;'Scoring Settings'!$B$11),AND(ISNUMBER(W565),W565&gt;'Scoring Settings'!$B$12),AND(ISNUMBER(M565),M565&lt;='Scoring Settings'!$B$13)),"High","Medium")))</f>
        <v>Easy</v>
      </c>
      <c r="AN565" s="5"/>
      <c r="AO565" s="7"/>
      <c r="AP565" s="5" t="s">
        <v>98</v>
      </c>
      <c r="AQ565" s="29" t="s">
        <v>159</v>
      </c>
    </row>
    <row r="566" spans="1:43" hidden="1">
      <c r="A566" s="28">
        <v>44884</v>
      </c>
      <c r="B566" s="5" t="s">
        <v>517</v>
      </c>
      <c r="C566" s="5" t="s">
        <v>161</v>
      </c>
      <c r="D566" s="5" t="s">
        <v>162</v>
      </c>
      <c r="E566" s="5" t="s">
        <v>68</v>
      </c>
      <c r="F566" s="5" t="s">
        <v>236</v>
      </c>
      <c r="G566" s="5" t="s">
        <v>210</v>
      </c>
      <c r="H566" s="5" t="s">
        <v>71</v>
      </c>
      <c r="I566" s="6">
        <v>222</v>
      </c>
      <c r="J566" s="7">
        <v>44314</v>
      </c>
      <c r="K566" s="8" t="str">
        <f>IF(B566="","",IF(AND(I566="",J566=""),"Unknown",IF(OR(AND(ISNUMBER(I566),I566=0),AND(ISNUMBER(J566),J566&lt;=EDATE('Scoring Settings'!$B$4,-'Scoring Settings'!$B$5))),"Not in use",IF(AND(ISNUMBER(I566),I566&lt;'Scoring Settings'!$B$6),"Low use","Active"))))</f>
        <v>Active</v>
      </c>
      <c r="L566" s="5">
        <v>3</v>
      </c>
      <c r="M566" s="5">
        <v>3</v>
      </c>
      <c r="N566" s="5"/>
      <c r="O566" s="5" t="s">
        <v>73</v>
      </c>
      <c r="P566" s="5" t="s">
        <v>518</v>
      </c>
      <c r="Q566" s="9">
        <v>4</v>
      </c>
      <c r="R566" s="5" t="s">
        <v>245</v>
      </c>
      <c r="S566" s="5" t="s">
        <v>246</v>
      </c>
      <c r="T566" s="5" t="s">
        <v>184</v>
      </c>
      <c r="U566" s="7">
        <v>45777</v>
      </c>
      <c r="V566" s="5" t="s">
        <v>78</v>
      </c>
      <c r="W566" s="6">
        <v>290</v>
      </c>
      <c r="X566" s="5" t="s">
        <v>79</v>
      </c>
      <c r="Y566" s="9">
        <v>3</v>
      </c>
      <c r="Z566" s="5" t="s">
        <v>79</v>
      </c>
      <c r="AA566" s="5" t="s">
        <v>110</v>
      </c>
      <c r="AB566" s="9">
        <v>5</v>
      </c>
      <c r="AC566" s="5" t="s">
        <v>79</v>
      </c>
      <c r="AD566" s="5" t="s">
        <v>82</v>
      </c>
      <c r="AE566" s="5" t="s">
        <v>79</v>
      </c>
      <c r="AF566" s="10">
        <v>44500</v>
      </c>
      <c r="AG566" s="7">
        <v>45869</v>
      </c>
      <c r="AH566" s="10"/>
      <c r="AI566" s="10"/>
      <c r="AJ566" s="11" t="str">
        <f t="shared" si="8"/>
        <v/>
      </c>
      <c r="AK566" s="12">
        <f>IF(B566="","",OR(K566="Not in use",K566="Low use")+AND(N566&lt;&gt;"",N566&lt;&gt;"TBD")+AND(ISNUMBER(U566),U566&lt;=EDATE('Scoring Settings'!$B$4,'Scoring Settings'!$B$8))+AND(ISNUMBER(L566),L566&lt;='Scoring Settings'!$B$7))</f>
        <v>0</v>
      </c>
      <c r="AL566" s="5" t="s">
        <v>83</v>
      </c>
      <c r="AM566" s="8" t="str">
        <f>IF(B566="","",IF(Z566="N","Easy",IF(OR(AND(ISNUMBER(AB566),AB566&gt;'Scoring Settings'!$B$11),AND(ISNUMBER(W566),W566&gt;'Scoring Settings'!$B$12),AND(ISNUMBER(M566),M566&lt;='Scoring Settings'!$B$13)),"High","Medium")))</f>
        <v>Easy</v>
      </c>
      <c r="AN566" s="5"/>
      <c r="AO566" s="7"/>
      <c r="AP566" s="5" t="s">
        <v>84</v>
      </c>
      <c r="AQ566" s="29" t="s">
        <v>206</v>
      </c>
    </row>
    <row r="567" spans="1:43" hidden="1">
      <c r="A567" s="28">
        <v>63686</v>
      </c>
      <c r="B567" s="5" t="s">
        <v>521</v>
      </c>
      <c r="C567" s="5" t="s">
        <v>522</v>
      </c>
      <c r="D567" s="5" t="s">
        <v>297</v>
      </c>
      <c r="E567" s="5" t="s">
        <v>68</v>
      </c>
      <c r="F567" s="5" t="s">
        <v>140</v>
      </c>
      <c r="G567" s="5" t="s">
        <v>226</v>
      </c>
      <c r="H567" s="5" t="s">
        <v>71</v>
      </c>
      <c r="I567" s="6">
        <v>113</v>
      </c>
      <c r="J567" s="7">
        <v>44280</v>
      </c>
      <c r="K567" s="8" t="str">
        <f>IF(B567="","",IF(AND(I567="",J567=""),"Unknown",IF(OR(AND(ISNUMBER(I567),I567=0),AND(ISNUMBER(J567),J567&lt;=EDATE('Scoring Settings'!$B$4,-'Scoring Settings'!$B$5))),"Not in use",IF(AND(ISNUMBER(I567),I567&lt;'Scoring Settings'!$B$6),"Low use","Active"))))</f>
        <v>Active</v>
      </c>
      <c r="L567" s="5">
        <v>4</v>
      </c>
      <c r="M567" s="5">
        <v>2</v>
      </c>
      <c r="N567" s="5"/>
      <c r="O567" s="5" t="s">
        <v>73</v>
      </c>
      <c r="P567" s="5" t="s">
        <v>523</v>
      </c>
      <c r="Q567" s="9">
        <v>1</v>
      </c>
      <c r="R567" s="5" t="s">
        <v>75</v>
      </c>
      <c r="S567" s="5" t="s">
        <v>76</v>
      </c>
      <c r="T567" s="5" t="s">
        <v>184</v>
      </c>
      <c r="U567" s="7">
        <v>46399</v>
      </c>
      <c r="V567" s="5" t="s">
        <v>135</v>
      </c>
      <c r="W567" s="6">
        <v>110</v>
      </c>
      <c r="X567" s="5" t="s">
        <v>79</v>
      </c>
      <c r="Y567" s="9">
        <v>2</v>
      </c>
      <c r="Z567" s="5" t="s">
        <v>79</v>
      </c>
      <c r="AA567" s="5" t="s">
        <v>110</v>
      </c>
      <c r="AB567" s="9">
        <v>22</v>
      </c>
      <c r="AC567" s="5" t="s">
        <v>82</v>
      </c>
      <c r="AD567" s="5" t="s">
        <v>82</v>
      </c>
      <c r="AE567" s="5" t="s">
        <v>79</v>
      </c>
      <c r="AF567" s="10">
        <v>20000</v>
      </c>
      <c r="AG567" s="7">
        <v>48579</v>
      </c>
      <c r="AH567" s="10"/>
      <c r="AI567" s="10"/>
      <c r="AJ567" s="11" t="str">
        <f t="shared" si="8"/>
        <v/>
      </c>
      <c r="AK567" s="12">
        <f>IF(B567="","",OR(K567="Not in use",K567="Low use")+AND(N567&lt;&gt;"",N567&lt;&gt;"TBD")+AND(ISNUMBER(U567),U567&lt;=EDATE('Scoring Settings'!$B$4,'Scoring Settings'!$B$8))+AND(ISNUMBER(L567),L567&lt;='Scoring Settings'!$B$7))</f>
        <v>0</v>
      </c>
      <c r="AL567" s="5" t="s">
        <v>83</v>
      </c>
      <c r="AM567" s="8" t="str">
        <f>IF(B567="","",IF(Z567="N","Easy",IF(OR(AND(ISNUMBER(AB567),AB567&gt;'Scoring Settings'!$B$11),AND(ISNUMBER(W567),W567&gt;'Scoring Settings'!$B$12),AND(ISNUMBER(M567),M567&lt;='Scoring Settings'!$B$13)),"High","Medium")))</f>
        <v>Easy</v>
      </c>
      <c r="AN567" s="5"/>
      <c r="AO567" s="7"/>
      <c r="AP567" s="5" t="s">
        <v>84</v>
      </c>
      <c r="AQ567" s="29" t="s">
        <v>314</v>
      </c>
    </row>
    <row r="568" spans="1:43" hidden="1">
      <c r="A568" s="28">
        <v>196599</v>
      </c>
      <c r="B568" s="5" t="s">
        <v>525</v>
      </c>
      <c r="C568" s="5" t="s">
        <v>287</v>
      </c>
      <c r="D568" s="5" t="s">
        <v>162</v>
      </c>
      <c r="E568" s="5" t="s">
        <v>68</v>
      </c>
      <c r="F568" s="5" t="s">
        <v>302</v>
      </c>
      <c r="G568" s="5" t="s">
        <v>153</v>
      </c>
      <c r="H568" s="5" t="s">
        <v>189</v>
      </c>
      <c r="I568" s="6">
        <v>474</v>
      </c>
      <c r="J568" s="7">
        <v>44308</v>
      </c>
      <c r="K568" s="8" t="str">
        <f>IF(B568="","",IF(AND(I568="",J568=""),"Unknown",IF(OR(AND(ISNUMBER(I568),I568=0),AND(ISNUMBER(J568),J568&lt;=EDATE('Scoring Settings'!$B$4,-'Scoring Settings'!$B$5))),"Not in use",IF(AND(ISNUMBER(I568),I568&lt;'Scoring Settings'!$B$6),"Low use","Active"))))</f>
        <v>Active</v>
      </c>
      <c r="L568" s="5">
        <v>3</v>
      </c>
      <c r="M568" s="5">
        <v>4</v>
      </c>
      <c r="N568" s="5" t="s">
        <v>164</v>
      </c>
      <c r="O568" s="5" t="s">
        <v>130</v>
      </c>
      <c r="P568" s="5" t="s">
        <v>526</v>
      </c>
      <c r="Q568" s="9">
        <v>3</v>
      </c>
      <c r="R568" s="5" t="s">
        <v>203</v>
      </c>
      <c r="S568" s="5" t="s">
        <v>204</v>
      </c>
      <c r="T568" s="5" t="s">
        <v>168</v>
      </c>
      <c r="U568" s="7">
        <v>47269</v>
      </c>
      <c r="V568" s="5" t="s">
        <v>135</v>
      </c>
      <c r="W568" s="6">
        <v>35</v>
      </c>
      <c r="X568" s="5" t="s">
        <v>80</v>
      </c>
      <c r="Y568" s="9">
        <v>10</v>
      </c>
      <c r="Z568" s="5" t="s">
        <v>80</v>
      </c>
      <c r="AA568" s="5" t="s">
        <v>205</v>
      </c>
      <c r="AB568" s="9">
        <v>2</v>
      </c>
      <c r="AC568" s="5" t="s">
        <v>80</v>
      </c>
      <c r="AD568" s="5" t="s">
        <v>80</v>
      </c>
      <c r="AE568" s="5" t="s">
        <v>82</v>
      </c>
      <c r="AF568" s="10">
        <v>24000</v>
      </c>
      <c r="AG568" s="7">
        <v>49156</v>
      </c>
      <c r="AH568" s="10">
        <v>34000</v>
      </c>
      <c r="AI568" s="10">
        <v>20000</v>
      </c>
      <c r="AJ568" s="11">
        <f t="shared" si="8"/>
        <v>20.399999999999999</v>
      </c>
      <c r="AK568" s="12">
        <f>IF(B568="","",OR(K568="Not in use",K568="Low use")+AND(N568&lt;&gt;"",N568&lt;&gt;"TBD")+AND(ISNUMBER(U568),U568&lt;=EDATE('Scoring Settings'!$B$4,'Scoring Settings'!$B$8))+AND(ISNUMBER(L568),L568&lt;='Scoring Settings'!$B$7))</f>
        <v>1</v>
      </c>
      <c r="AL568" s="5" t="s">
        <v>111</v>
      </c>
      <c r="AM568" s="8" t="str">
        <f>IF(B568="","",IF(Z568="N","Easy",IF(OR(AND(ISNUMBER(AB568),AB568&gt;'Scoring Settings'!$B$11),AND(ISNUMBER(W568),W568&gt;'Scoring Settings'!$B$12),AND(ISNUMBER(M568),M568&lt;='Scoring Settings'!$B$13)),"High","Medium")))</f>
        <v>Medium</v>
      </c>
      <c r="AN568" s="5"/>
      <c r="AO568" s="7"/>
      <c r="AP568" s="5" t="s">
        <v>98</v>
      </c>
      <c r="AQ568" s="29" t="s">
        <v>218</v>
      </c>
    </row>
    <row r="569" spans="1:43" hidden="1">
      <c r="A569" s="28">
        <v>113031</v>
      </c>
      <c r="B569" s="5" t="s">
        <v>527</v>
      </c>
      <c r="C569" s="5" t="s">
        <v>390</v>
      </c>
      <c r="D569" s="5" t="s">
        <v>88</v>
      </c>
      <c r="E569" s="5" t="s">
        <v>68</v>
      </c>
      <c r="F569" s="5" t="s">
        <v>243</v>
      </c>
      <c r="G569" s="5" t="s">
        <v>278</v>
      </c>
      <c r="H569" s="5" t="s">
        <v>105</v>
      </c>
      <c r="I569" s="6">
        <v>184</v>
      </c>
      <c r="J569" s="7">
        <v>44285</v>
      </c>
      <c r="K569" s="8" t="str">
        <f>IF(B569="","",IF(AND(I569="",J569=""),"Unknown",IF(OR(AND(ISNUMBER(I569),I569=0),AND(ISNUMBER(J569),J569&lt;=EDATE('Scoring Settings'!$B$4,-'Scoring Settings'!$B$5))),"Not in use",IF(AND(ISNUMBER(I569),I569&lt;'Scoring Settings'!$B$6),"Low use","Active"))))</f>
        <v>Active</v>
      </c>
      <c r="L569" s="5">
        <v>5</v>
      </c>
      <c r="M569" s="5">
        <v>2</v>
      </c>
      <c r="N569" s="5" t="s">
        <v>180</v>
      </c>
      <c r="O569" s="5" t="s">
        <v>73</v>
      </c>
      <c r="P569" s="5" t="s">
        <v>528</v>
      </c>
      <c r="Q569" s="9">
        <v>4</v>
      </c>
      <c r="R569" s="5" t="s">
        <v>239</v>
      </c>
      <c r="S569" s="5" t="s">
        <v>240</v>
      </c>
      <c r="T569" s="5" t="s">
        <v>72</v>
      </c>
      <c r="U569" s="7">
        <v>44316</v>
      </c>
      <c r="V569" s="5" t="s">
        <v>135</v>
      </c>
      <c r="W569" s="6">
        <v>15</v>
      </c>
      <c r="X569" s="5" t="s">
        <v>79</v>
      </c>
      <c r="Y569" s="9">
        <v>7</v>
      </c>
      <c r="Z569" s="5" t="s">
        <v>80</v>
      </c>
      <c r="AA569" s="5" t="s">
        <v>185</v>
      </c>
      <c r="AB569" s="9">
        <v>27</v>
      </c>
      <c r="AC569" s="5" t="s">
        <v>82</v>
      </c>
      <c r="AD569" s="5" t="s">
        <v>79</v>
      </c>
      <c r="AE569" s="5" t="s">
        <v>82</v>
      </c>
      <c r="AF569" s="10">
        <v>100000</v>
      </c>
      <c r="AG569" s="7">
        <v>48730</v>
      </c>
      <c r="AH569" s="10">
        <v>172000</v>
      </c>
      <c r="AI569" s="10">
        <v>80000</v>
      </c>
      <c r="AJ569" s="11">
        <f t="shared" si="8"/>
        <v>25.799999999999997</v>
      </c>
      <c r="AK569" s="12">
        <f>IF(B569="","",OR(K569="Not in use",K569="Low use")+AND(N569&lt;&gt;"",N569&lt;&gt;"TBD")+AND(ISNUMBER(U569),U569&lt;=EDATE('Scoring Settings'!$B$4,'Scoring Settings'!$B$8))+AND(ISNUMBER(L569),L569&lt;='Scoring Settings'!$B$7))</f>
        <v>2</v>
      </c>
      <c r="AL569" s="5" t="s">
        <v>111</v>
      </c>
      <c r="AM569" s="8" t="str">
        <f>IF(B569="","",IF(Z569="N","Easy",IF(OR(AND(ISNUMBER(AB569),AB569&gt;'Scoring Settings'!$B$11),AND(ISNUMBER(W569),W569&gt;'Scoring Settings'!$B$12),AND(ISNUMBER(M569),M569&lt;='Scoring Settings'!$B$13)),"High","Medium")))</f>
        <v>High</v>
      </c>
      <c r="AN569" s="5"/>
      <c r="AO569" s="7"/>
      <c r="AP569" s="5" t="s">
        <v>98</v>
      </c>
      <c r="AQ569" s="29" t="s">
        <v>124</v>
      </c>
    </row>
    <row r="570" spans="1:43" hidden="1">
      <c r="A570" s="28">
        <v>162610</v>
      </c>
      <c r="B570" s="5" t="s">
        <v>530</v>
      </c>
      <c r="C570" s="5" t="s">
        <v>172</v>
      </c>
      <c r="D570" s="5" t="s">
        <v>162</v>
      </c>
      <c r="E570" s="5" t="s">
        <v>68</v>
      </c>
      <c r="F570" s="5" t="s">
        <v>188</v>
      </c>
      <c r="G570" s="5" t="s">
        <v>267</v>
      </c>
      <c r="H570" s="5" t="s">
        <v>142</v>
      </c>
      <c r="I570" s="6">
        <v>225</v>
      </c>
      <c r="J570" s="7">
        <v>44308</v>
      </c>
      <c r="K570" s="8" t="str">
        <f>IF(B570="","",IF(AND(I570="",J570=""),"Unknown",IF(OR(AND(ISNUMBER(I570),I570=0),AND(ISNUMBER(J570),J570&lt;=EDATE('Scoring Settings'!$B$4,-'Scoring Settings'!$B$5))),"Not in use",IF(AND(ISNUMBER(I570),I570&lt;'Scoring Settings'!$B$6),"Low use","Active"))))</f>
        <v>Active</v>
      </c>
      <c r="L570" s="5">
        <v>4</v>
      </c>
      <c r="M570" s="5">
        <v>3</v>
      </c>
      <c r="N570" s="5"/>
      <c r="O570" s="5" t="s">
        <v>143</v>
      </c>
      <c r="P570" s="5" t="s">
        <v>144</v>
      </c>
      <c r="Q570" s="9">
        <v>0</v>
      </c>
      <c r="R570" s="5" t="s">
        <v>145</v>
      </c>
      <c r="S570" s="5" t="s">
        <v>145</v>
      </c>
      <c r="T570" s="5" t="s">
        <v>146</v>
      </c>
      <c r="U570" s="7">
        <v>45838</v>
      </c>
      <c r="V570" s="5" t="s">
        <v>95</v>
      </c>
      <c r="W570" s="6">
        <v>410</v>
      </c>
      <c r="X570" s="5" t="s">
        <v>79</v>
      </c>
      <c r="Y570" s="9">
        <v>3</v>
      </c>
      <c r="Z570" s="5" t="s">
        <v>80</v>
      </c>
      <c r="AA570" s="5" t="s">
        <v>205</v>
      </c>
      <c r="AB570" s="9">
        <v>3</v>
      </c>
      <c r="AC570" s="5" t="s">
        <v>80</v>
      </c>
      <c r="AD570" s="5" t="s">
        <v>80</v>
      </c>
      <c r="AE570" s="5" t="s">
        <v>79</v>
      </c>
      <c r="AF570" s="10">
        <v>47000</v>
      </c>
      <c r="AG570" s="7">
        <v>47361</v>
      </c>
      <c r="AH570" s="10"/>
      <c r="AI570" s="10"/>
      <c r="AJ570" s="11" t="str">
        <f t="shared" si="8"/>
        <v/>
      </c>
      <c r="AK570" s="12">
        <f>IF(B570="","",OR(K570="Not in use",K570="Low use")+AND(N570&lt;&gt;"",N570&lt;&gt;"TBD")+AND(ISNUMBER(U570),U570&lt;=EDATE('Scoring Settings'!$B$4,'Scoring Settings'!$B$8))+AND(ISNUMBER(L570),L570&lt;='Scoring Settings'!$B$7))</f>
        <v>0</v>
      </c>
      <c r="AL570" s="5" t="s">
        <v>83</v>
      </c>
      <c r="AM570" s="8" t="str">
        <f>IF(B570="","",IF(Z570="N","Easy",IF(OR(AND(ISNUMBER(AB570),AB570&gt;'Scoring Settings'!$B$11),AND(ISNUMBER(W570),W570&gt;'Scoring Settings'!$B$12),AND(ISNUMBER(M570),M570&lt;='Scoring Settings'!$B$13)),"High","Medium")))</f>
        <v>Medium</v>
      </c>
      <c r="AN570" s="5"/>
      <c r="AO570" s="7"/>
      <c r="AP570" s="5" t="s">
        <v>84</v>
      </c>
      <c r="AQ570" s="29" t="s">
        <v>273</v>
      </c>
    </row>
    <row r="571" spans="1:43" hidden="1">
      <c r="A571" s="28">
        <v>12673</v>
      </c>
      <c r="B571" s="5" t="s">
        <v>531</v>
      </c>
      <c r="C571" s="5" t="s">
        <v>470</v>
      </c>
      <c r="D571" s="5" t="s">
        <v>297</v>
      </c>
      <c r="E571" s="5" t="s">
        <v>68</v>
      </c>
      <c r="F571" s="5" t="s">
        <v>209</v>
      </c>
      <c r="G571" s="5" t="s">
        <v>179</v>
      </c>
      <c r="H571" s="5" t="s">
        <v>142</v>
      </c>
      <c r="I571" s="6">
        <v>593</v>
      </c>
      <c r="J571" s="7">
        <v>44301</v>
      </c>
      <c r="K571" s="8" t="str">
        <f>IF(B571="","",IF(AND(I571="",J571=""),"Unknown",IF(OR(AND(ISNUMBER(I571),I571=0),AND(ISNUMBER(J571),J571&lt;=EDATE('Scoring Settings'!$B$4,-'Scoring Settings'!$B$5))),"Not in use",IF(AND(ISNUMBER(I571),I571&lt;'Scoring Settings'!$B$6),"Low use","Active"))))</f>
        <v>Active</v>
      </c>
      <c r="L571" s="5">
        <v>5</v>
      </c>
      <c r="M571" s="5">
        <v>1</v>
      </c>
      <c r="N571" s="5"/>
      <c r="O571" s="5" t="s">
        <v>143</v>
      </c>
      <c r="P571" s="5" t="s">
        <v>144</v>
      </c>
      <c r="Q571" s="9">
        <v>0</v>
      </c>
      <c r="R571" s="5" t="s">
        <v>145</v>
      </c>
      <c r="S571" s="5" t="s">
        <v>145</v>
      </c>
      <c r="T571" s="5" t="s">
        <v>146</v>
      </c>
      <c r="U571" s="7"/>
      <c r="V571" s="5" t="s">
        <v>135</v>
      </c>
      <c r="W571" s="6">
        <v>560</v>
      </c>
      <c r="X571" s="5" t="s">
        <v>80</v>
      </c>
      <c r="Y571" s="9">
        <v>5</v>
      </c>
      <c r="Z571" s="5" t="s">
        <v>79</v>
      </c>
      <c r="AA571" s="5" t="s">
        <v>110</v>
      </c>
      <c r="AB571" s="9">
        <v>88</v>
      </c>
      <c r="AC571" s="5" t="s">
        <v>79</v>
      </c>
      <c r="AD571" s="5" t="s">
        <v>79</v>
      </c>
      <c r="AE571" s="5" t="s">
        <v>80</v>
      </c>
      <c r="AF571" s="10">
        <v>215000</v>
      </c>
      <c r="AG571" s="7">
        <v>48121</v>
      </c>
      <c r="AH571" s="10"/>
      <c r="AI571" s="10"/>
      <c r="AJ571" s="11" t="str">
        <f t="shared" si="8"/>
        <v/>
      </c>
      <c r="AK571" s="12">
        <f>IF(B571="","",OR(K571="Not in use",K571="Low use")+AND(N571&lt;&gt;"",N571&lt;&gt;"TBD")+AND(ISNUMBER(U571),U571&lt;=EDATE('Scoring Settings'!$B$4,'Scoring Settings'!$B$8))+AND(ISNUMBER(L571),L571&lt;='Scoring Settings'!$B$7))</f>
        <v>0</v>
      </c>
      <c r="AL571" s="5" t="s">
        <v>83</v>
      </c>
      <c r="AM571" s="8" t="str">
        <f>IF(B571="","",IF(Z571="N","Easy",IF(OR(AND(ISNUMBER(AB571),AB571&gt;'Scoring Settings'!$B$11),AND(ISNUMBER(W571),W571&gt;'Scoring Settings'!$B$12),AND(ISNUMBER(M571),M571&lt;='Scoring Settings'!$B$13)),"High","Medium")))</f>
        <v>Easy</v>
      </c>
      <c r="AN571" s="5"/>
      <c r="AO571" s="7"/>
      <c r="AP571" s="5" t="s">
        <v>98</v>
      </c>
      <c r="AQ571" s="29" t="s">
        <v>85</v>
      </c>
    </row>
    <row r="572" spans="1:43" hidden="1">
      <c r="A572" s="28">
        <v>138900</v>
      </c>
      <c r="B572" s="5" t="s">
        <v>540</v>
      </c>
      <c r="C572" s="5" t="s">
        <v>453</v>
      </c>
      <c r="D572" s="5" t="s">
        <v>67</v>
      </c>
      <c r="E572" s="5" t="s">
        <v>298</v>
      </c>
      <c r="F572" s="5" t="s">
        <v>419</v>
      </c>
      <c r="G572" s="5" t="s">
        <v>356</v>
      </c>
      <c r="H572" s="5" t="s">
        <v>71</v>
      </c>
      <c r="I572" s="6">
        <v>60</v>
      </c>
      <c r="J572" s="7">
        <v>44314</v>
      </c>
      <c r="K572" s="8" t="str">
        <f>IF(B572="","",IF(AND(I572="",J572=""),"Unknown",IF(OR(AND(ISNUMBER(I572),I572=0),AND(ISNUMBER(J572),J572&lt;=EDATE('Scoring Settings'!$B$4,-'Scoring Settings'!$B$5))),"Not in use",IF(AND(ISNUMBER(I572),I572&lt;'Scoring Settings'!$B$6),"Low use","Active"))))</f>
        <v>Active</v>
      </c>
      <c r="L572" s="5">
        <v>5</v>
      </c>
      <c r="M572" s="5">
        <v>1</v>
      </c>
      <c r="N572" s="5"/>
      <c r="O572" s="5" t="s">
        <v>130</v>
      </c>
      <c r="P572" s="5" t="s">
        <v>541</v>
      </c>
      <c r="Q572" s="9">
        <v>3</v>
      </c>
      <c r="R572" s="5" t="s">
        <v>75</v>
      </c>
      <c r="S572" s="5" t="s">
        <v>121</v>
      </c>
      <c r="T572" s="5" t="s">
        <v>134</v>
      </c>
      <c r="U572" s="7">
        <v>46217</v>
      </c>
      <c r="V572" s="5" t="s">
        <v>135</v>
      </c>
      <c r="W572" s="6">
        <v>1610</v>
      </c>
      <c r="X572" s="5" t="s">
        <v>79</v>
      </c>
      <c r="Y572" s="9">
        <v>7</v>
      </c>
      <c r="Z572" s="5" t="s">
        <v>79</v>
      </c>
      <c r="AA572" s="5" t="s">
        <v>110</v>
      </c>
      <c r="AB572" s="9">
        <v>37</v>
      </c>
      <c r="AC572" s="5" t="s">
        <v>82</v>
      </c>
      <c r="AD572" s="5" t="s">
        <v>82</v>
      </c>
      <c r="AE572" s="5" t="s">
        <v>80</v>
      </c>
      <c r="AF572" s="10">
        <v>80000</v>
      </c>
      <c r="AG572" s="7">
        <v>46721</v>
      </c>
      <c r="AH572" s="10"/>
      <c r="AI572" s="10"/>
      <c r="AJ572" s="11" t="str">
        <f t="shared" si="8"/>
        <v/>
      </c>
      <c r="AK572" s="12">
        <f>IF(B572="","",OR(K572="Not in use",K572="Low use")+AND(N572&lt;&gt;"",N572&lt;&gt;"TBD")+AND(ISNUMBER(U572),U572&lt;=EDATE('Scoring Settings'!$B$4,'Scoring Settings'!$B$8))+AND(ISNUMBER(L572),L572&lt;='Scoring Settings'!$B$7))</f>
        <v>0</v>
      </c>
      <c r="AL572" s="5" t="s">
        <v>83</v>
      </c>
      <c r="AM572" s="8" t="str">
        <f>IF(B572="","",IF(Z572="N","Easy",IF(OR(AND(ISNUMBER(AB572),AB572&gt;'Scoring Settings'!$B$11),AND(ISNUMBER(W572),W572&gt;'Scoring Settings'!$B$12),AND(ISNUMBER(M572),M572&lt;='Scoring Settings'!$B$13)),"High","Medium")))</f>
        <v>Easy</v>
      </c>
      <c r="AN572" s="5"/>
      <c r="AO572" s="7"/>
      <c r="AP572" s="5" t="s">
        <v>84</v>
      </c>
      <c r="AQ572" s="29" t="s">
        <v>314</v>
      </c>
    </row>
    <row r="573" spans="1:43" hidden="1">
      <c r="A573" s="28">
        <v>131022</v>
      </c>
      <c r="B573" s="5" t="s">
        <v>548</v>
      </c>
      <c r="C573" s="5" t="s">
        <v>333</v>
      </c>
      <c r="D573" s="5" t="s">
        <v>115</v>
      </c>
      <c r="E573" s="5" t="s">
        <v>311</v>
      </c>
      <c r="F573" s="5" t="s">
        <v>236</v>
      </c>
      <c r="G573" s="5" t="s">
        <v>237</v>
      </c>
      <c r="H573" s="5" t="s">
        <v>129</v>
      </c>
      <c r="I573" s="6">
        <v>416</v>
      </c>
      <c r="J573" s="7">
        <v>44276</v>
      </c>
      <c r="K573" s="8" t="str">
        <f>IF(B573="","",IF(AND(I573="",J573=""),"Unknown",IF(OR(AND(ISNUMBER(I573),I573=0),AND(ISNUMBER(J573),J573&lt;=EDATE('Scoring Settings'!$B$4,-'Scoring Settings'!$B$5))),"Not in use",IF(AND(ISNUMBER(I573),I573&lt;'Scoring Settings'!$B$6),"Low use","Active"))))</f>
        <v>Active</v>
      </c>
      <c r="L573" s="5">
        <v>4</v>
      </c>
      <c r="M573" s="5">
        <v>3</v>
      </c>
      <c r="N573" s="5" t="s">
        <v>549</v>
      </c>
      <c r="O573" s="5" t="s">
        <v>73</v>
      </c>
      <c r="P573" s="5" t="s">
        <v>550</v>
      </c>
      <c r="Q573" s="9">
        <v>2</v>
      </c>
      <c r="R573" s="5" t="s">
        <v>93</v>
      </c>
      <c r="S573" s="5" t="s">
        <v>94</v>
      </c>
      <c r="T573" s="5" t="s">
        <v>109</v>
      </c>
      <c r="U573" s="7">
        <v>44561</v>
      </c>
      <c r="V573" s="5" t="s">
        <v>135</v>
      </c>
      <c r="W573" s="6">
        <v>650</v>
      </c>
      <c r="X573" s="5" t="s">
        <v>80</v>
      </c>
      <c r="Y573" s="9">
        <v>10</v>
      </c>
      <c r="Z573" s="5" t="s">
        <v>79</v>
      </c>
      <c r="AA573" s="5" t="s">
        <v>110</v>
      </c>
      <c r="AB573" s="9">
        <v>2</v>
      </c>
      <c r="AC573" s="5" t="s">
        <v>79</v>
      </c>
      <c r="AD573" s="5" t="s">
        <v>82</v>
      </c>
      <c r="AE573" s="5" t="s">
        <v>80</v>
      </c>
      <c r="AF573" s="10">
        <v>50000</v>
      </c>
      <c r="AG573" s="7">
        <v>48638</v>
      </c>
      <c r="AH573" s="10"/>
      <c r="AI573" s="10"/>
      <c r="AJ573" s="11" t="str">
        <f t="shared" si="8"/>
        <v/>
      </c>
      <c r="AK573" s="12">
        <f>IF(B573="","",OR(K573="Not in use",K573="Low use")+AND(N573&lt;&gt;"",N573&lt;&gt;"TBD")+AND(ISNUMBER(U573),U573&lt;=EDATE('Scoring Settings'!$B$4,'Scoring Settings'!$B$8))+AND(ISNUMBER(L573),L573&lt;='Scoring Settings'!$B$7))</f>
        <v>2</v>
      </c>
      <c r="AL573" s="5" t="s">
        <v>111</v>
      </c>
      <c r="AM573" s="8" t="str">
        <f>IF(B573="","",IF(Z573="N","Easy",IF(OR(AND(ISNUMBER(AB573),AB573&gt;'Scoring Settings'!$B$11),AND(ISNUMBER(W573),W573&gt;'Scoring Settings'!$B$12),AND(ISNUMBER(M573),M573&lt;='Scoring Settings'!$B$13)),"High","Medium")))</f>
        <v>Easy</v>
      </c>
      <c r="AN573" s="5"/>
      <c r="AO573" s="7"/>
      <c r="AP573" s="5" t="s">
        <v>98</v>
      </c>
      <c r="AQ573" s="29" t="s">
        <v>112</v>
      </c>
    </row>
    <row r="574" spans="1:43" ht="42.75" hidden="1">
      <c r="A574" s="28">
        <v>58965</v>
      </c>
      <c r="B574" s="5" t="s">
        <v>552</v>
      </c>
      <c r="C574" s="5" t="s">
        <v>522</v>
      </c>
      <c r="D574" s="5" t="s">
        <v>297</v>
      </c>
      <c r="E574" s="5" t="s">
        <v>68</v>
      </c>
      <c r="F574" s="5" t="s">
        <v>299</v>
      </c>
      <c r="G574" s="5" t="s">
        <v>117</v>
      </c>
      <c r="H574" s="5" t="s">
        <v>142</v>
      </c>
      <c r="I574" s="6">
        <v>261</v>
      </c>
      <c r="J574" s="7">
        <v>44297</v>
      </c>
      <c r="K574" s="8" t="str">
        <f>IF(B574="","",IF(AND(I574="",J574=""),"Unknown",IF(OR(AND(ISNUMBER(I574),I574=0),AND(ISNUMBER(J574),J574&lt;=EDATE('Scoring Settings'!$B$4,-'Scoring Settings'!$B$5))),"Not in use",IF(AND(ISNUMBER(I574),I574&lt;'Scoring Settings'!$B$6),"Low use","Active"))))</f>
        <v>Active</v>
      </c>
      <c r="L574" s="5">
        <v>2</v>
      </c>
      <c r="M574" s="5">
        <v>4</v>
      </c>
      <c r="N574" s="5"/>
      <c r="O574" s="5" t="s">
        <v>143</v>
      </c>
      <c r="P574" s="5" t="s">
        <v>144</v>
      </c>
      <c r="Q574" s="9">
        <v>0</v>
      </c>
      <c r="R574" s="5" t="s">
        <v>145</v>
      </c>
      <c r="S574" s="5" t="s">
        <v>145</v>
      </c>
      <c r="T574" s="5" t="s">
        <v>146</v>
      </c>
      <c r="U574" s="7"/>
      <c r="V574" s="5" t="s">
        <v>95</v>
      </c>
      <c r="W574" s="6">
        <v>30</v>
      </c>
      <c r="X574" s="5" t="s">
        <v>80</v>
      </c>
      <c r="Y574" s="9">
        <v>10</v>
      </c>
      <c r="Z574" s="5" t="s">
        <v>79</v>
      </c>
      <c r="AA574" s="5" t="s">
        <v>110</v>
      </c>
      <c r="AB574" s="9">
        <v>3</v>
      </c>
      <c r="AC574" s="5" t="s">
        <v>79</v>
      </c>
      <c r="AD574" s="5" t="s">
        <v>79</v>
      </c>
      <c r="AE574" s="5" t="s">
        <v>79</v>
      </c>
      <c r="AF574" s="10">
        <v>70000</v>
      </c>
      <c r="AG574" s="7">
        <v>46446</v>
      </c>
      <c r="AH574" s="10">
        <v>78500</v>
      </c>
      <c r="AI574" s="10">
        <v>46000</v>
      </c>
      <c r="AJ574" s="11">
        <f t="shared" si="8"/>
        <v>20.478260869565219</v>
      </c>
      <c r="AK574" s="12">
        <f>IF(B574="","",OR(K574="Not in use",K574="Low use")+AND(N574&lt;&gt;"",N574&lt;&gt;"TBD")+AND(ISNUMBER(U574),U574&lt;=EDATE('Scoring Settings'!$B$4,'Scoring Settings'!$B$8))+AND(ISNUMBER(L574),L574&lt;='Scoring Settings'!$B$7))</f>
        <v>1</v>
      </c>
      <c r="AL574" s="5" t="s">
        <v>111</v>
      </c>
      <c r="AM574" s="8" t="str">
        <f>IF(B574="","",IF(Z574="N","Easy",IF(OR(AND(ISNUMBER(AB574),AB574&gt;'Scoring Settings'!$B$11),AND(ISNUMBER(W574),W574&gt;'Scoring Settings'!$B$12),AND(ISNUMBER(M574),M574&lt;='Scoring Settings'!$B$13)),"High","Medium")))</f>
        <v>Easy</v>
      </c>
      <c r="AN574" s="5"/>
      <c r="AO574" s="7"/>
      <c r="AP574" s="5" t="s">
        <v>98</v>
      </c>
      <c r="AQ574" s="29" t="s">
        <v>553</v>
      </c>
    </row>
    <row r="575" spans="1:43" hidden="1">
      <c r="A575" s="28">
        <v>188582</v>
      </c>
      <c r="B575" s="5" t="s">
        <v>554</v>
      </c>
      <c r="C575" s="5" t="s">
        <v>265</v>
      </c>
      <c r="D575" s="5" t="s">
        <v>102</v>
      </c>
      <c r="E575" s="5" t="s">
        <v>68</v>
      </c>
      <c r="F575" s="5" t="s">
        <v>69</v>
      </c>
      <c r="G575" s="5" t="s">
        <v>210</v>
      </c>
      <c r="H575" s="5" t="s">
        <v>174</v>
      </c>
      <c r="I575" s="6">
        <v>972</v>
      </c>
      <c r="J575" s="7">
        <v>44310</v>
      </c>
      <c r="K575" s="8" t="str">
        <f>IF(B575="","",IF(AND(I575="",J575=""),"Unknown",IF(OR(AND(ISNUMBER(I575),I575=0),AND(ISNUMBER(J575),J575&lt;=EDATE('Scoring Settings'!$B$4,-'Scoring Settings'!$B$5))),"Not in use",IF(AND(ISNUMBER(I575),I575&lt;'Scoring Settings'!$B$6),"Low use","Active"))))</f>
        <v>Active</v>
      </c>
      <c r="L575" s="5">
        <v>2</v>
      </c>
      <c r="M575" s="5">
        <v>4</v>
      </c>
      <c r="N575" s="5"/>
      <c r="O575" s="5" t="s">
        <v>73</v>
      </c>
      <c r="P575" s="5" t="s">
        <v>555</v>
      </c>
      <c r="Q575" s="9">
        <v>1</v>
      </c>
      <c r="R575" s="5" t="s">
        <v>132</v>
      </c>
      <c r="S575" s="5" t="s">
        <v>133</v>
      </c>
      <c r="T575" s="5" t="s">
        <v>109</v>
      </c>
      <c r="U575" s="7">
        <v>44227</v>
      </c>
      <c r="V575" s="5" t="s">
        <v>135</v>
      </c>
      <c r="W575" s="6">
        <v>98</v>
      </c>
      <c r="X575" s="5" t="s">
        <v>79</v>
      </c>
      <c r="Y575" s="9">
        <v>3</v>
      </c>
      <c r="Z575" s="5" t="s">
        <v>79</v>
      </c>
      <c r="AA575" s="5" t="s">
        <v>110</v>
      </c>
      <c r="AB575" s="9">
        <v>0</v>
      </c>
      <c r="AC575" s="5" t="s">
        <v>80</v>
      </c>
      <c r="AD575" s="5" t="s">
        <v>79</v>
      </c>
      <c r="AE575" s="5" t="s">
        <v>80</v>
      </c>
      <c r="AF575" s="10">
        <v>32000</v>
      </c>
      <c r="AG575" s="7">
        <v>49309</v>
      </c>
      <c r="AH575" s="10">
        <v>18000</v>
      </c>
      <c r="AI575" s="10">
        <v>24000</v>
      </c>
      <c r="AJ575" s="11">
        <f t="shared" si="8"/>
        <v>9</v>
      </c>
      <c r="AK575" s="12">
        <f>IF(B575="","",OR(K575="Not in use",K575="Low use")+AND(N575&lt;&gt;"",N575&lt;&gt;"TBD")+AND(ISNUMBER(U575),U575&lt;=EDATE('Scoring Settings'!$B$4,'Scoring Settings'!$B$8))+AND(ISNUMBER(L575),L575&lt;='Scoring Settings'!$B$7))</f>
        <v>2</v>
      </c>
      <c r="AL575" s="5" t="s">
        <v>111</v>
      </c>
      <c r="AM575" s="8" t="str">
        <f>IF(B575="","",IF(Z575="N","Easy",IF(OR(AND(ISNUMBER(AB575),AB575&gt;'Scoring Settings'!$B$11),AND(ISNUMBER(W575),W575&gt;'Scoring Settings'!$B$12),AND(ISNUMBER(M575),M575&lt;='Scoring Settings'!$B$13)),"High","Medium")))</f>
        <v>Easy</v>
      </c>
      <c r="AN575" s="5"/>
      <c r="AO575" s="7"/>
      <c r="AP575" s="5" t="s">
        <v>98</v>
      </c>
      <c r="AQ575" s="29" t="s">
        <v>159</v>
      </c>
    </row>
    <row r="576" spans="1:43" hidden="1">
      <c r="A576" s="28">
        <v>119469</v>
      </c>
      <c r="B576" s="5" t="s">
        <v>556</v>
      </c>
      <c r="C576" s="5" t="s">
        <v>557</v>
      </c>
      <c r="D576" s="5" t="s">
        <v>297</v>
      </c>
      <c r="E576" s="5" t="s">
        <v>68</v>
      </c>
      <c r="F576" s="5" t="s">
        <v>419</v>
      </c>
      <c r="G576" s="5" t="s">
        <v>70</v>
      </c>
      <c r="H576" s="5" t="s">
        <v>118</v>
      </c>
      <c r="I576" s="6">
        <v>120</v>
      </c>
      <c r="J576" s="7">
        <v>44299</v>
      </c>
      <c r="K576" s="8" t="str">
        <f>IF(B576="","",IF(AND(I576="",J576=""),"Unknown",IF(OR(AND(ISNUMBER(I576),I576=0),AND(ISNUMBER(J576),J576&lt;=EDATE('Scoring Settings'!$B$4,-'Scoring Settings'!$B$5))),"Not in use",IF(AND(ISNUMBER(I576),I576&lt;'Scoring Settings'!$B$6),"Low use","Active"))))</f>
        <v>Active</v>
      </c>
      <c r="L576" s="5">
        <v>3</v>
      </c>
      <c r="M576" s="5">
        <v>2</v>
      </c>
      <c r="N576" s="5" t="s">
        <v>72</v>
      </c>
      <c r="O576" s="5" t="s">
        <v>191</v>
      </c>
      <c r="P576" s="5" t="s">
        <v>192</v>
      </c>
      <c r="Q576" s="9">
        <v>0</v>
      </c>
      <c r="R576" s="5" t="s">
        <v>193</v>
      </c>
      <c r="S576" s="5" t="s">
        <v>318</v>
      </c>
      <c r="T576" s="5" t="s">
        <v>195</v>
      </c>
      <c r="U576" s="7"/>
      <c r="V576" s="5" t="s">
        <v>95</v>
      </c>
      <c r="W576" s="6">
        <v>1010</v>
      </c>
      <c r="X576" s="5" t="s">
        <v>80</v>
      </c>
      <c r="Y576" s="9">
        <v>7</v>
      </c>
      <c r="Z576" s="5" t="s">
        <v>80</v>
      </c>
      <c r="AA576" s="5" t="s">
        <v>123</v>
      </c>
      <c r="AB576" s="9">
        <v>27</v>
      </c>
      <c r="AC576" s="5" t="s">
        <v>79</v>
      </c>
      <c r="AD576" s="5" t="s">
        <v>82</v>
      </c>
      <c r="AE576" s="5" t="s">
        <v>82</v>
      </c>
      <c r="AF576" s="10">
        <v>39000</v>
      </c>
      <c r="AG576" s="7">
        <v>46904</v>
      </c>
      <c r="AH576" s="10"/>
      <c r="AI576" s="10"/>
      <c r="AJ576" s="11" t="str">
        <f t="shared" si="8"/>
        <v/>
      </c>
      <c r="AK576" s="12">
        <f>IF(B576="","",OR(K576="Not in use",K576="Low use")+AND(N576&lt;&gt;"",N576&lt;&gt;"TBD")+AND(ISNUMBER(U576),U576&lt;=EDATE('Scoring Settings'!$B$4,'Scoring Settings'!$B$8))+AND(ISNUMBER(L576),L576&lt;='Scoring Settings'!$B$7))</f>
        <v>0</v>
      </c>
      <c r="AL576" s="5" t="s">
        <v>83</v>
      </c>
      <c r="AM576" s="8" t="str">
        <f>IF(B576="","",IF(Z576="N","Easy",IF(OR(AND(ISNUMBER(AB576),AB576&gt;'Scoring Settings'!$B$11),AND(ISNUMBER(W576),W576&gt;'Scoring Settings'!$B$12),AND(ISNUMBER(M576),M576&lt;='Scoring Settings'!$B$13)),"High","Medium")))</f>
        <v>High</v>
      </c>
      <c r="AN576" s="5"/>
      <c r="AO576" s="7"/>
      <c r="AP576" s="5" t="s">
        <v>84</v>
      </c>
      <c r="AQ576" s="29" t="s">
        <v>206</v>
      </c>
    </row>
    <row r="577" spans="1:43" hidden="1">
      <c r="A577" s="28">
        <v>189855</v>
      </c>
      <c r="B577" s="5" t="s">
        <v>558</v>
      </c>
      <c r="C577" s="5" t="s">
        <v>287</v>
      </c>
      <c r="D577" s="5" t="s">
        <v>162</v>
      </c>
      <c r="E577" s="5" t="s">
        <v>298</v>
      </c>
      <c r="F577" s="5" t="s">
        <v>263</v>
      </c>
      <c r="G577" s="5" t="s">
        <v>179</v>
      </c>
      <c r="H577" s="5" t="s">
        <v>91</v>
      </c>
      <c r="I577" s="6">
        <v>424</v>
      </c>
      <c r="J577" s="7">
        <v>44303</v>
      </c>
      <c r="K577" s="8" t="str">
        <f>IF(B577="","",IF(AND(I577="",J577=""),"Unknown",IF(OR(AND(ISNUMBER(I577),I577=0),AND(ISNUMBER(J577),J577&lt;=EDATE('Scoring Settings'!$B$4,-'Scoring Settings'!$B$5))),"Not in use",IF(AND(ISNUMBER(I577),I577&lt;'Scoring Settings'!$B$6),"Low use","Active"))))</f>
        <v>Active</v>
      </c>
      <c r="L577" s="5">
        <v>3</v>
      </c>
      <c r="M577" s="5">
        <v>3</v>
      </c>
      <c r="N577" s="5"/>
      <c r="O577" s="5" t="s">
        <v>191</v>
      </c>
      <c r="P577" s="5" t="s">
        <v>192</v>
      </c>
      <c r="Q577" s="9">
        <v>0</v>
      </c>
      <c r="R577" s="5" t="s">
        <v>193</v>
      </c>
      <c r="S577" s="5" t="s">
        <v>318</v>
      </c>
      <c r="T577" s="5" t="s">
        <v>195</v>
      </c>
      <c r="U577" s="7">
        <v>44742</v>
      </c>
      <c r="V577" s="5" t="s">
        <v>135</v>
      </c>
      <c r="W577" s="6">
        <v>11</v>
      </c>
      <c r="X577" s="5" t="s">
        <v>79</v>
      </c>
      <c r="Y577" s="9">
        <v>5</v>
      </c>
      <c r="Z577" s="5" t="s">
        <v>80</v>
      </c>
      <c r="AA577" s="5" t="s">
        <v>205</v>
      </c>
      <c r="AB577" s="9">
        <v>4</v>
      </c>
      <c r="AC577" s="5" t="s">
        <v>82</v>
      </c>
      <c r="AD577" s="5" t="s">
        <v>80</v>
      </c>
      <c r="AE577" s="5" t="s">
        <v>79</v>
      </c>
      <c r="AF577" s="10">
        <v>15500</v>
      </c>
      <c r="AG577" s="7">
        <v>49552</v>
      </c>
      <c r="AH577" s="10"/>
      <c r="AI577" s="10"/>
      <c r="AJ577" s="11" t="str">
        <f t="shared" si="8"/>
        <v/>
      </c>
      <c r="AK577" s="12">
        <f>IF(B577="","",OR(K577="Not in use",K577="Low use")+AND(N577&lt;&gt;"",N577&lt;&gt;"TBD")+AND(ISNUMBER(U577),U577&lt;=EDATE('Scoring Settings'!$B$4,'Scoring Settings'!$B$8))+AND(ISNUMBER(L577),L577&lt;='Scoring Settings'!$B$7))</f>
        <v>0</v>
      </c>
      <c r="AL577" s="5" t="s">
        <v>83</v>
      </c>
      <c r="AM577" s="8" t="str">
        <f>IF(B577="","",IF(Z577="N","Easy",IF(OR(AND(ISNUMBER(AB577),AB577&gt;'Scoring Settings'!$B$11),AND(ISNUMBER(W577),W577&gt;'Scoring Settings'!$B$12),AND(ISNUMBER(M577),M577&lt;='Scoring Settings'!$B$13)),"High","Medium")))</f>
        <v>Medium</v>
      </c>
      <c r="AN577" s="5"/>
      <c r="AO577" s="7"/>
      <c r="AP577" s="5" t="s">
        <v>98</v>
      </c>
      <c r="AQ577" s="29" t="s">
        <v>247</v>
      </c>
    </row>
    <row r="578" spans="1:43" hidden="1">
      <c r="A578" s="28">
        <v>57765</v>
      </c>
      <c r="B578" s="5" t="s">
        <v>559</v>
      </c>
      <c r="C578" s="5" t="s">
        <v>200</v>
      </c>
      <c r="D578" s="5" t="s">
        <v>115</v>
      </c>
      <c r="E578" s="5" t="s">
        <v>311</v>
      </c>
      <c r="F578" s="5" t="s">
        <v>560</v>
      </c>
      <c r="G578" s="5" t="s">
        <v>104</v>
      </c>
      <c r="H578" s="5" t="s">
        <v>174</v>
      </c>
      <c r="I578" s="6">
        <v>0</v>
      </c>
      <c r="J578" s="7">
        <v>43787</v>
      </c>
      <c r="K578" s="8" t="str">
        <f>IF(B578="","",IF(AND(I578="",J578=""),"Unknown",IF(OR(AND(ISNUMBER(I578),I578=0),AND(ISNUMBER(J578),J578&lt;=EDATE('Scoring Settings'!$B$4,-'Scoring Settings'!$B$5))),"Not in use",IF(AND(ISNUMBER(I578),I578&lt;'Scoring Settings'!$B$6),"Low use","Active"))))</f>
        <v>Not in use</v>
      </c>
      <c r="L578" s="5">
        <v>4</v>
      </c>
      <c r="M578" s="5">
        <v>2</v>
      </c>
      <c r="N578" s="5" t="s">
        <v>119</v>
      </c>
      <c r="O578" s="5" t="s">
        <v>73</v>
      </c>
      <c r="P578" s="5" t="s">
        <v>561</v>
      </c>
      <c r="Q578" s="9">
        <v>6</v>
      </c>
      <c r="R578" s="5" t="s">
        <v>182</v>
      </c>
      <c r="S578" s="5" t="s">
        <v>183</v>
      </c>
      <c r="T578" s="5" t="s">
        <v>77</v>
      </c>
      <c r="U578" s="7">
        <v>42855</v>
      </c>
      <c r="V578" s="5" t="s">
        <v>135</v>
      </c>
      <c r="W578" s="6">
        <v>36</v>
      </c>
      <c r="X578" s="5" t="s">
        <v>80</v>
      </c>
      <c r="Y578" s="9">
        <v>7</v>
      </c>
      <c r="Z578" s="5" t="s">
        <v>80</v>
      </c>
      <c r="AA578" s="5" t="s">
        <v>123</v>
      </c>
      <c r="AB578" s="9">
        <v>13</v>
      </c>
      <c r="AC578" s="5" t="s">
        <v>79</v>
      </c>
      <c r="AD578" s="5" t="s">
        <v>82</v>
      </c>
      <c r="AE578" s="5" t="s">
        <v>80</v>
      </c>
      <c r="AF578" s="10">
        <v>125000</v>
      </c>
      <c r="AG578" s="7">
        <v>47968</v>
      </c>
      <c r="AH578" s="10">
        <v>107500</v>
      </c>
      <c r="AI578" s="10">
        <v>121000</v>
      </c>
      <c r="AJ578" s="11">
        <f t="shared" si="8"/>
        <v>10.66115702479339</v>
      </c>
      <c r="AK578" s="12">
        <f>IF(B578="","",OR(K578="Not in use",K578="Low use")+AND(N578&lt;&gt;"",N578&lt;&gt;"TBD")+AND(ISNUMBER(U578),U578&lt;=EDATE('Scoring Settings'!$B$4,'Scoring Settings'!$B$8))+AND(ISNUMBER(L578),L578&lt;='Scoring Settings'!$B$7))</f>
        <v>3</v>
      </c>
      <c r="AL578" s="5" t="s">
        <v>111</v>
      </c>
      <c r="AM578" s="8" t="str">
        <f>IF(B578="","",IF(Z578="N","Easy",IF(OR(AND(ISNUMBER(AB578),AB578&gt;'Scoring Settings'!$B$11),AND(ISNUMBER(W578),W578&gt;'Scoring Settings'!$B$12),AND(ISNUMBER(M578),M578&lt;='Scoring Settings'!$B$13)),"High","Medium")))</f>
        <v>High</v>
      </c>
      <c r="AN578" s="5"/>
      <c r="AO578" s="7"/>
      <c r="AP578" s="5" t="s">
        <v>98</v>
      </c>
      <c r="AQ578" s="29" t="s">
        <v>159</v>
      </c>
    </row>
    <row r="579" spans="1:43" hidden="1">
      <c r="A579" s="28">
        <v>137857</v>
      </c>
      <c r="B579" s="5" t="s">
        <v>562</v>
      </c>
      <c r="C579" s="5" t="s">
        <v>380</v>
      </c>
      <c r="D579" s="5" t="s">
        <v>102</v>
      </c>
      <c r="E579" s="5" t="s">
        <v>68</v>
      </c>
      <c r="F579" s="5" t="s">
        <v>263</v>
      </c>
      <c r="G579" s="5" t="s">
        <v>267</v>
      </c>
      <c r="H579" s="5" t="s">
        <v>174</v>
      </c>
      <c r="I579" s="6">
        <v>5395</v>
      </c>
      <c r="J579" s="7">
        <v>44311</v>
      </c>
      <c r="K579" s="8" t="str">
        <f>IF(B579="","",IF(AND(I579="",J579=""),"Unknown",IF(OR(AND(ISNUMBER(I579),I579=0),AND(ISNUMBER(J579),J579&lt;=EDATE('Scoring Settings'!$B$4,-'Scoring Settings'!$B$5))),"Not in use",IF(AND(ISNUMBER(I579),I579&lt;'Scoring Settings'!$B$6),"Low use","Active"))))</f>
        <v>Active</v>
      </c>
      <c r="L579" s="5">
        <v>4</v>
      </c>
      <c r="M579" s="5">
        <v>2</v>
      </c>
      <c r="N579" s="5"/>
      <c r="O579" s="5" t="s">
        <v>73</v>
      </c>
      <c r="P579" s="5" t="s">
        <v>563</v>
      </c>
      <c r="Q579" s="9">
        <v>4</v>
      </c>
      <c r="R579" s="5" t="s">
        <v>166</v>
      </c>
      <c r="S579" s="5" t="s">
        <v>564</v>
      </c>
      <c r="T579" s="5" t="s">
        <v>122</v>
      </c>
      <c r="U579" s="7">
        <v>44754</v>
      </c>
      <c r="V579" s="5" t="s">
        <v>95</v>
      </c>
      <c r="W579" s="6">
        <v>88</v>
      </c>
      <c r="X579" s="5" t="s">
        <v>79</v>
      </c>
      <c r="Y579" s="9">
        <v>7</v>
      </c>
      <c r="Z579" s="5" t="s">
        <v>79</v>
      </c>
      <c r="AA579" s="5" t="s">
        <v>110</v>
      </c>
      <c r="AB579" s="9">
        <v>16</v>
      </c>
      <c r="AC579" s="5" t="s">
        <v>82</v>
      </c>
      <c r="AD579" s="5" t="s">
        <v>82</v>
      </c>
      <c r="AE579" s="5" t="s">
        <v>82</v>
      </c>
      <c r="AF579" s="10">
        <v>85000</v>
      </c>
      <c r="AG579" s="7">
        <v>46721</v>
      </c>
      <c r="AH579" s="10">
        <v>119500</v>
      </c>
      <c r="AI579" s="10">
        <v>84000</v>
      </c>
      <c r="AJ579" s="11">
        <f t="shared" si="8"/>
        <v>17.071428571428573</v>
      </c>
      <c r="AK579" s="12">
        <f>IF(B579="","",OR(K579="Not in use",K579="Low use")+AND(N579&lt;&gt;"",N579&lt;&gt;"TBD")+AND(ISNUMBER(U579),U579&lt;=EDATE('Scoring Settings'!$B$4,'Scoring Settings'!$B$8))+AND(ISNUMBER(L579),L579&lt;='Scoring Settings'!$B$7))</f>
        <v>0</v>
      </c>
      <c r="AL579" s="5" t="s">
        <v>111</v>
      </c>
      <c r="AM579" s="8" t="str">
        <f>IF(B579="","",IF(Z579="N","Easy",IF(OR(AND(ISNUMBER(AB579),AB579&gt;'Scoring Settings'!$B$11),AND(ISNUMBER(W579),W579&gt;'Scoring Settings'!$B$12),AND(ISNUMBER(M579),M579&lt;='Scoring Settings'!$B$13)),"High","Medium")))</f>
        <v>Easy</v>
      </c>
      <c r="AN579" s="5"/>
      <c r="AO579" s="7"/>
      <c r="AP579" s="5" t="s">
        <v>98</v>
      </c>
      <c r="AQ579" s="29" t="s">
        <v>112</v>
      </c>
    </row>
    <row r="580" spans="1:43" hidden="1">
      <c r="A580" s="28">
        <v>169734</v>
      </c>
      <c r="B580" s="5" t="s">
        <v>565</v>
      </c>
      <c r="C580" s="5" t="s">
        <v>287</v>
      </c>
      <c r="D580" s="5" t="s">
        <v>162</v>
      </c>
      <c r="E580" s="5" t="s">
        <v>68</v>
      </c>
      <c r="F580" s="5" t="s">
        <v>178</v>
      </c>
      <c r="G580" s="5" t="s">
        <v>210</v>
      </c>
      <c r="H580" s="5" t="s">
        <v>105</v>
      </c>
      <c r="I580" s="6">
        <v>23</v>
      </c>
      <c r="J580" s="7">
        <v>44279</v>
      </c>
      <c r="K580" s="8" t="str">
        <f>IF(B580="","",IF(AND(I580="",J580=""),"Unknown",IF(OR(AND(ISNUMBER(I580),I580=0),AND(ISNUMBER(J580),J580&lt;=EDATE('Scoring Settings'!$B$4,-'Scoring Settings'!$B$5))),"Not in use",IF(AND(ISNUMBER(I580),I580&lt;'Scoring Settings'!$B$6),"Low use","Active"))))</f>
        <v>Low use</v>
      </c>
      <c r="L580" s="5">
        <v>5</v>
      </c>
      <c r="M580" s="5">
        <v>1</v>
      </c>
      <c r="N580" s="5"/>
      <c r="O580" s="5" t="s">
        <v>73</v>
      </c>
      <c r="P580" s="5" t="s">
        <v>566</v>
      </c>
      <c r="Q580" s="9">
        <v>3</v>
      </c>
      <c r="R580" s="5" t="s">
        <v>330</v>
      </c>
      <c r="S580" s="5" t="s">
        <v>331</v>
      </c>
      <c r="T580" s="5" t="s">
        <v>72</v>
      </c>
      <c r="U580" s="7">
        <v>45046</v>
      </c>
      <c r="V580" s="5" t="s">
        <v>135</v>
      </c>
      <c r="W580" s="6">
        <v>2510</v>
      </c>
      <c r="X580" s="5" t="s">
        <v>79</v>
      </c>
      <c r="Y580" s="9">
        <v>2</v>
      </c>
      <c r="Z580" s="5" t="s">
        <v>80</v>
      </c>
      <c r="AA580" s="5" t="s">
        <v>123</v>
      </c>
      <c r="AB580" s="9">
        <v>86</v>
      </c>
      <c r="AC580" s="5" t="s">
        <v>82</v>
      </c>
      <c r="AD580" s="5" t="s">
        <v>82</v>
      </c>
      <c r="AE580" s="5" t="s">
        <v>80</v>
      </c>
      <c r="AF580" s="10">
        <v>155000</v>
      </c>
      <c r="AG580" s="7">
        <v>47573</v>
      </c>
      <c r="AH580" s="10">
        <v>1009500</v>
      </c>
      <c r="AI580" s="10">
        <v>103500</v>
      </c>
      <c r="AJ580" s="11">
        <f t="shared" si="8"/>
        <v>117.04347826086956</v>
      </c>
      <c r="AK580" s="12">
        <f>IF(B580="","",OR(K580="Not in use",K580="Low use")+AND(N580&lt;&gt;"",N580&lt;&gt;"TBD")+AND(ISNUMBER(U580),U580&lt;=EDATE('Scoring Settings'!$B$4,'Scoring Settings'!$B$8))+AND(ISNUMBER(L580),L580&lt;='Scoring Settings'!$B$7))</f>
        <v>1</v>
      </c>
      <c r="AL580" s="5" t="s">
        <v>111</v>
      </c>
      <c r="AM580" s="8" t="str">
        <f>IF(B580="","",IF(Z580="N","Easy",IF(OR(AND(ISNUMBER(AB580),AB580&gt;'Scoring Settings'!$B$11),AND(ISNUMBER(W580),W580&gt;'Scoring Settings'!$B$12),AND(ISNUMBER(M580),M580&lt;='Scoring Settings'!$B$13)),"High","Medium")))</f>
        <v>High</v>
      </c>
      <c r="AN580" s="5"/>
      <c r="AO580" s="7"/>
      <c r="AP580" s="5" t="s">
        <v>98</v>
      </c>
      <c r="AQ580" s="29" t="s">
        <v>124</v>
      </c>
    </row>
    <row r="581" spans="1:43" hidden="1">
      <c r="A581" s="28">
        <v>96367</v>
      </c>
      <c r="B581" s="5" t="s">
        <v>567</v>
      </c>
      <c r="C581" s="5" t="s">
        <v>338</v>
      </c>
      <c r="D581" s="5" t="s">
        <v>139</v>
      </c>
      <c r="E581" s="5" t="s">
        <v>68</v>
      </c>
      <c r="F581" s="5" t="s">
        <v>299</v>
      </c>
      <c r="G581" s="5" t="s">
        <v>70</v>
      </c>
      <c r="H581" s="5" t="s">
        <v>105</v>
      </c>
      <c r="I581" s="6">
        <v>6</v>
      </c>
      <c r="J581" s="7">
        <v>44073</v>
      </c>
      <c r="K581" s="8" t="str">
        <f>IF(B581="","",IF(AND(I581="",J581=""),"Unknown",IF(OR(AND(ISNUMBER(I581),I581=0),AND(ISNUMBER(J581),J581&lt;=EDATE('Scoring Settings'!$B$4,-'Scoring Settings'!$B$5))),"Not in use",IF(AND(ISNUMBER(I581),I581&lt;'Scoring Settings'!$B$6),"Low use","Active"))))</f>
        <v>Not in use</v>
      </c>
      <c r="L581" s="5">
        <v>3</v>
      </c>
      <c r="M581" s="5">
        <v>3</v>
      </c>
      <c r="N581" s="5"/>
      <c r="O581" s="5" t="s">
        <v>73</v>
      </c>
      <c r="P581" s="5" t="s">
        <v>568</v>
      </c>
      <c r="Q581" s="9">
        <v>4</v>
      </c>
      <c r="R581" s="5" t="s">
        <v>478</v>
      </c>
      <c r="S581" s="5" t="s">
        <v>479</v>
      </c>
      <c r="T581" s="5" t="s">
        <v>72</v>
      </c>
      <c r="U581" s="7">
        <v>43844</v>
      </c>
      <c r="V581" s="5" t="s">
        <v>135</v>
      </c>
      <c r="W581" s="6">
        <v>100</v>
      </c>
      <c r="X581" s="5" t="s">
        <v>79</v>
      </c>
      <c r="Y581" s="9">
        <v>3</v>
      </c>
      <c r="Z581" s="5" t="s">
        <v>80</v>
      </c>
      <c r="AA581" s="5" t="s">
        <v>205</v>
      </c>
      <c r="AB581" s="9">
        <v>8</v>
      </c>
      <c r="AC581" s="5" t="s">
        <v>79</v>
      </c>
      <c r="AD581" s="5" t="s">
        <v>80</v>
      </c>
      <c r="AE581" s="5" t="s">
        <v>79</v>
      </c>
      <c r="AF581" s="10">
        <v>55000</v>
      </c>
      <c r="AG581" s="7">
        <v>47087</v>
      </c>
      <c r="AH581" s="10"/>
      <c r="AI581" s="10"/>
      <c r="AJ581" s="11" t="str">
        <f t="shared" ref="AJ581:AJ644" si="9">IF(AND(ISNUMBER(AH581),ISNUMBER(AI581),N(AI581)&gt;0),AH581/AI581*12,"")</f>
        <v/>
      </c>
      <c r="AK581" s="12">
        <f>IF(B581="","",OR(K581="Not in use",K581="Low use")+AND(N581&lt;&gt;"",N581&lt;&gt;"TBD")+AND(ISNUMBER(U581),U581&lt;=EDATE('Scoring Settings'!$B$4,'Scoring Settings'!$B$8))+AND(ISNUMBER(L581),L581&lt;='Scoring Settings'!$B$7))</f>
        <v>2</v>
      </c>
      <c r="AL581" s="5" t="s">
        <v>111</v>
      </c>
      <c r="AM581" s="8" t="str">
        <f>IF(B581="","",IF(Z581="N","Easy",IF(OR(AND(ISNUMBER(AB581),AB581&gt;'Scoring Settings'!$B$11),AND(ISNUMBER(W581),W581&gt;'Scoring Settings'!$B$12),AND(ISNUMBER(M581),M581&lt;='Scoring Settings'!$B$13)),"High","Medium")))</f>
        <v>High</v>
      </c>
      <c r="AN581" s="5"/>
      <c r="AO581" s="7"/>
      <c r="AP581" s="5" t="s">
        <v>98</v>
      </c>
      <c r="AQ581" s="29" t="s">
        <v>218</v>
      </c>
    </row>
    <row r="582" spans="1:43" hidden="1">
      <c r="A582" s="28">
        <v>166141</v>
      </c>
      <c r="B582" s="5" t="s">
        <v>569</v>
      </c>
      <c r="C582" s="5" t="s">
        <v>225</v>
      </c>
      <c r="D582" s="5" t="s">
        <v>67</v>
      </c>
      <c r="E582" s="5" t="s">
        <v>68</v>
      </c>
      <c r="F582" s="5" t="s">
        <v>116</v>
      </c>
      <c r="G582" s="5" t="s">
        <v>271</v>
      </c>
      <c r="H582" s="5" t="s">
        <v>174</v>
      </c>
      <c r="I582" s="6">
        <v>1632</v>
      </c>
      <c r="J582" s="7">
        <v>44303</v>
      </c>
      <c r="K582" s="8" t="str">
        <f>IF(B582="","",IF(AND(I582="",J582=""),"Unknown",IF(OR(AND(ISNUMBER(I582),I582=0),AND(ISNUMBER(J582),J582&lt;=EDATE('Scoring Settings'!$B$4,-'Scoring Settings'!$B$5))),"Not in use",IF(AND(ISNUMBER(I582),I582&lt;'Scoring Settings'!$B$6),"Low use","Active"))))</f>
        <v>Active</v>
      </c>
      <c r="L582" s="5">
        <v>5</v>
      </c>
      <c r="M582" s="5">
        <v>1</v>
      </c>
      <c r="N582" s="5"/>
      <c r="O582" s="5" t="s">
        <v>130</v>
      </c>
      <c r="P582" s="5" t="s">
        <v>570</v>
      </c>
      <c r="Q582" s="9">
        <v>1</v>
      </c>
      <c r="R582" s="5" t="s">
        <v>245</v>
      </c>
      <c r="S582" s="5" t="s">
        <v>246</v>
      </c>
      <c r="T582" s="5" t="s">
        <v>134</v>
      </c>
      <c r="U582" s="7">
        <v>45777</v>
      </c>
      <c r="V582" s="5" t="s">
        <v>135</v>
      </c>
      <c r="W582" s="6">
        <v>32</v>
      </c>
      <c r="X582" s="5" t="s">
        <v>79</v>
      </c>
      <c r="Y582" s="9">
        <v>1</v>
      </c>
      <c r="Z582" s="5" t="s">
        <v>80</v>
      </c>
      <c r="AA582" s="5" t="s">
        <v>205</v>
      </c>
      <c r="AB582" s="9">
        <v>56</v>
      </c>
      <c r="AC582" s="5" t="s">
        <v>82</v>
      </c>
      <c r="AD582" s="5" t="s">
        <v>82</v>
      </c>
      <c r="AE582" s="5" t="s">
        <v>79</v>
      </c>
      <c r="AF582" s="10">
        <v>55000</v>
      </c>
      <c r="AG582" s="7">
        <v>47879</v>
      </c>
      <c r="AH582" s="10"/>
      <c r="AI582" s="10"/>
      <c r="AJ582" s="11" t="str">
        <f t="shared" si="9"/>
        <v/>
      </c>
      <c r="AK582" s="12">
        <f>IF(B582="","",OR(K582="Not in use",K582="Low use")+AND(N582&lt;&gt;"",N582&lt;&gt;"TBD")+AND(ISNUMBER(U582),U582&lt;=EDATE('Scoring Settings'!$B$4,'Scoring Settings'!$B$8))+AND(ISNUMBER(L582),L582&lt;='Scoring Settings'!$B$7))</f>
        <v>0</v>
      </c>
      <c r="AL582" s="5" t="s">
        <v>83</v>
      </c>
      <c r="AM582" s="8" t="str">
        <f>IF(B582="","",IF(Z582="N","Easy",IF(OR(AND(ISNUMBER(AB582),AB582&gt;'Scoring Settings'!$B$11),AND(ISNUMBER(W582),W582&gt;'Scoring Settings'!$B$12),AND(ISNUMBER(M582),M582&lt;='Scoring Settings'!$B$13)),"High","Medium")))</f>
        <v>High</v>
      </c>
      <c r="AN582" s="5"/>
      <c r="AO582" s="7"/>
      <c r="AP582" s="5" t="s">
        <v>84</v>
      </c>
      <c r="AQ582" s="29" t="s">
        <v>273</v>
      </c>
    </row>
    <row r="583" spans="1:43" hidden="1">
      <c r="A583" s="28">
        <v>17133</v>
      </c>
      <c r="B583" s="5" t="s">
        <v>571</v>
      </c>
      <c r="C583" s="5" t="s">
        <v>301</v>
      </c>
      <c r="D583" s="5" t="s">
        <v>162</v>
      </c>
      <c r="E583" s="5" t="s">
        <v>68</v>
      </c>
      <c r="F583" s="5" t="s">
        <v>173</v>
      </c>
      <c r="G583" s="5" t="s">
        <v>356</v>
      </c>
      <c r="H583" s="5" t="s">
        <v>142</v>
      </c>
      <c r="I583" s="6">
        <v>2403</v>
      </c>
      <c r="J583" s="7">
        <v>44298</v>
      </c>
      <c r="K583" s="8" t="str">
        <f>IF(B583="","",IF(AND(I583="",J583=""),"Unknown",IF(OR(AND(ISNUMBER(I583),I583=0),AND(ISNUMBER(J583),J583&lt;=EDATE('Scoring Settings'!$B$4,-'Scoring Settings'!$B$5))),"Not in use",IF(AND(ISNUMBER(I583),I583&lt;'Scoring Settings'!$B$6),"Low use","Active"))))</f>
        <v>Active</v>
      </c>
      <c r="L583" s="5">
        <v>3</v>
      </c>
      <c r="M583" s="5">
        <v>3</v>
      </c>
      <c r="N583" s="5"/>
      <c r="O583" s="5" t="s">
        <v>143</v>
      </c>
      <c r="P583" s="5" t="s">
        <v>144</v>
      </c>
      <c r="Q583" s="9">
        <v>0</v>
      </c>
      <c r="R583" s="5" t="s">
        <v>145</v>
      </c>
      <c r="S583" s="5" t="s">
        <v>145</v>
      </c>
      <c r="T583" s="5" t="s">
        <v>146</v>
      </c>
      <c r="U583" s="7"/>
      <c r="V583" s="5" t="s">
        <v>135</v>
      </c>
      <c r="W583" s="6">
        <v>50</v>
      </c>
      <c r="X583" s="5" t="s">
        <v>79</v>
      </c>
      <c r="Y583" s="9">
        <v>5</v>
      </c>
      <c r="Z583" s="5" t="s">
        <v>79</v>
      </c>
      <c r="AA583" s="5" t="s">
        <v>110</v>
      </c>
      <c r="AB583" s="9">
        <v>1</v>
      </c>
      <c r="AC583" s="5" t="s">
        <v>80</v>
      </c>
      <c r="AD583" s="5" t="s">
        <v>79</v>
      </c>
      <c r="AE583" s="5" t="s">
        <v>79</v>
      </c>
      <c r="AF583" s="10">
        <v>110000</v>
      </c>
      <c r="AG583" s="7">
        <v>48852</v>
      </c>
      <c r="AH583" s="10"/>
      <c r="AI583" s="10"/>
      <c r="AJ583" s="11" t="str">
        <f t="shared" si="9"/>
        <v/>
      </c>
      <c r="AK583" s="12">
        <f>IF(B583="","",OR(K583="Not in use",K583="Low use")+AND(N583&lt;&gt;"",N583&lt;&gt;"TBD")+AND(ISNUMBER(U583),U583&lt;=EDATE('Scoring Settings'!$B$4,'Scoring Settings'!$B$8))+AND(ISNUMBER(L583),L583&lt;='Scoring Settings'!$B$7))</f>
        <v>0</v>
      </c>
      <c r="AL583" s="5" t="s">
        <v>83</v>
      </c>
      <c r="AM583" s="8" t="str">
        <f>IF(B583="","",IF(Z583="N","Easy",IF(OR(AND(ISNUMBER(AB583),AB583&gt;'Scoring Settings'!$B$11),AND(ISNUMBER(W583),W583&gt;'Scoring Settings'!$B$12),AND(ISNUMBER(M583),M583&lt;='Scoring Settings'!$B$13)),"High","Medium")))</f>
        <v>Easy</v>
      </c>
      <c r="AN583" s="5"/>
      <c r="AO583" s="7"/>
      <c r="AP583" s="5" t="s">
        <v>98</v>
      </c>
      <c r="AQ583" s="29" t="s">
        <v>273</v>
      </c>
    </row>
    <row r="584" spans="1:43" hidden="1">
      <c r="A584" s="28">
        <v>11057</v>
      </c>
      <c r="B584" s="5" t="s">
        <v>572</v>
      </c>
      <c r="C584" s="5" t="s">
        <v>495</v>
      </c>
      <c r="D584" s="5" t="s">
        <v>162</v>
      </c>
      <c r="E584" s="5" t="s">
        <v>68</v>
      </c>
      <c r="F584" s="5" t="s">
        <v>243</v>
      </c>
      <c r="G584" s="5" t="s">
        <v>104</v>
      </c>
      <c r="H584" s="5" t="s">
        <v>118</v>
      </c>
      <c r="I584" s="6">
        <v>3183</v>
      </c>
      <c r="J584" s="7">
        <v>44295</v>
      </c>
      <c r="K584" s="8" t="str">
        <f>IF(B584="","",IF(AND(I584="",J584=""),"Unknown",IF(OR(AND(ISNUMBER(I584),I584=0),AND(ISNUMBER(J584),J584&lt;=EDATE('Scoring Settings'!$B$4,-'Scoring Settings'!$B$5))),"Not in use",IF(AND(ISNUMBER(I584),I584&lt;'Scoring Settings'!$B$6),"Low use","Active"))))</f>
        <v>Active</v>
      </c>
      <c r="L584" s="5">
        <v>2</v>
      </c>
      <c r="M584" s="5">
        <v>4</v>
      </c>
      <c r="N584" s="5"/>
      <c r="O584" s="5" t="s">
        <v>73</v>
      </c>
      <c r="P584" s="5" t="s">
        <v>573</v>
      </c>
      <c r="Q584" s="9">
        <v>4</v>
      </c>
      <c r="R584" s="5" t="s">
        <v>352</v>
      </c>
      <c r="S584" s="5" t="s">
        <v>353</v>
      </c>
      <c r="T584" s="5" t="s">
        <v>72</v>
      </c>
      <c r="U584" s="7">
        <v>47127</v>
      </c>
      <c r="V584" s="5" t="s">
        <v>135</v>
      </c>
      <c r="W584" s="6">
        <v>470</v>
      </c>
      <c r="X584" s="5" t="s">
        <v>79</v>
      </c>
      <c r="Y584" s="9">
        <v>7</v>
      </c>
      <c r="Z584" s="5" t="s">
        <v>80</v>
      </c>
      <c r="AA584" s="5" t="s">
        <v>205</v>
      </c>
      <c r="AB584" s="9">
        <v>0</v>
      </c>
      <c r="AC584" s="5" t="s">
        <v>82</v>
      </c>
      <c r="AD584" s="5" t="s">
        <v>82</v>
      </c>
      <c r="AE584" s="5" t="s">
        <v>80</v>
      </c>
      <c r="AF584" s="10">
        <v>41500</v>
      </c>
      <c r="AG584" s="7">
        <v>49490</v>
      </c>
      <c r="AH584" s="10">
        <v>24500</v>
      </c>
      <c r="AI584" s="10">
        <v>41000</v>
      </c>
      <c r="AJ584" s="11">
        <f t="shared" si="9"/>
        <v>7.1707317073170724</v>
      </c>
      <c r="AK584" s="12">
        <f>IF(B584="","",OR(K584="Not in use",K584="Low use")+AND(N584&lt;&gt;"",N584&lt;&gt;"TBD")+AND(ISNUMBER(U584),U584&lt;=EDATE('Scoring Settings'!$B$4,'Scoring Settings'!$B$8))+AND(ISNUMBER(L584),L584&lt;='Scoring Settings'!$B$7))</f>
        <v>1</v>
      </c>
      <c r="AL584" s="5" t="s">
        <v>111</v>
      </c>
      <c r="AM584" s="8" t="str">
        <f>IF(B584="","",IF(Z584="N","Easy",IF(OR(AND(ISNUMBER(AB584),AB584&gt;'Scoring Settings'!$B$11),AND(ISNUMBER(W584),W584&gt;'Scoring Settings'!$B$12),AND(ISNUMBER(M584),M584&lt;='Scoring Settings'!$B$13)),"High","Medium")))</f>
        <v>Medium</v>
      </c>
      <c r="AN584" s="5"/>
      <c r="AO584" s="7"/>
      <c r="AP584" s="5" t="s">
        <v>98</v>
      </c>
      <c r="AQ584" s="29" t="s">
        <v>124</v>
      </c>
    </row>
    <row r="585" spans="1:43" hidden="1">
      <c r="A585" s="28">
        <v>98726</v>
      </c>
      <c r="B585" s="5" t="s">
        <v>580</v>
      </c>
      <c r="C585" s="5" t="s">
        <v>423</v>
      </c>
      <c r="D585" s="5" t="s">
        <v>67</v>
      </c>
      <c r="E585" s="5" t="s">
        <v>298</v>
      </c>
      <c r="F585" s="5" t="s">
        <v>152</v>
      </c>
      <c r="G585" s="5" t="s">
        <v>153</v>
      </c>
      <c r="H585" s="5" t="s">
        <v>71</v>
      </c>
      <c r="I585" s="6">
        <v>91</v>
      </c>
      <c r="J585" s="7">
        <v>44274</v>
      </c>
      <c r="K585" s="8" t="str">
        <f>IF(B585="","",IF(AND(I585="",J585=""),"Unknown",IF(OR(AND(ISNUMBER(I585),I585=0),AND(ISNUMBER(J585),J585&lt;=EDATE('Scoring Settings'!$B$4,-'Scoring Settings'!$B$5))),"Not in use",IF(AND(ISNUMBER(I585),I585&lt;'Scoring Settings'!$B$6),"Low use","Active"))))</f>
        <v>Active</v>
      </c>
      <c r="L585" s="5">
        <v>5</v>
      </c>
      <c r="M585" s="5">
        <v>1</v>
      </c>
      <c r="N585" s="5"/>
      <c r="O585" s="5" t="s">
        <v>130</v>
      </c>
      <c r="P585" s="5" t="s">
        <v>581</v>
      </c>
      <c r="Q585" s="9">
        <v>1</v>
      </c>
      <c r="R585" s="5" t="s">
        <v>330</v>
      </c>
      <c r="S585" s="5" t="s">
        <v>331</v>
      </c>
      <c r="T585" s="5" t="s">
        <v>195</v>
      </c>
      <c r="U585" s="7">
        <v>45046</v>
      </c>
      <c r="V585" s="5" t="s">
        <v>78</v>
      </c>
      <c r="W585" s="6">
        <v>290</v>
      </c>
      <c r="X585" s="5" t="s">
        <v>80</v>
      </c>
      <c r="Y585" s="9">
        <v>10</v>
      </c>
      <c r="Z585" s="5" t="s">
        <v>80</v>
      </c>
      <c r="AA585" s="5" t="s">
        <v>185</v>
      </c>
      <c r="AB585" s="9">
        <v>71</v>
      </c>
      <c r="AC585" s="5" t="s">
        <v>79</v>
      </c>
      <c r="AD585" s="5" t="s">
        <v>82</v>
      </c>
      <c r="AE585" s="5" t="s">
        <v>82</v>
      </c>
      <c r="AF585" s="10">
        <v>24000</v>
      </c>
      <c r="AG585" s="7">
        <v>46022</v>
      </c>
      <c r="AH585" s="10"/>
      <c r="AI585" s="10"/>
      <c r="AJ585" s="11" t="str">
        <f t="shared" si="9"/>
        <v/>
      </c>
      <c r="AK585" s="12">
        <f>IF(B585="","",OR(K585="Not in use",K585="Low use")+AND(N585&lt;&gt;"",N585&lt;&gt;"TBD")+AND(ISNUMBER(U585),U585&lt;=EDATE('Scoring Settings'!$B$4,'Scoring Settings'!$B$8))+AND(ISNUMBER(L585),L585&lt;='Scoring Settings'!$B$7))</f>
        <v>0</v>
      </c>
      <c r="AL585" s="5" t="s">
        <v>111</v>
      </c>
      <c r="AM585" s="8" t="str">
        <f>IF(B585="","",IF(Z585="N","Easy",IF(OR(AND(ISNUMBER(AB585),AB585&gt;'Scoring Settings'!$B$11),AND(ISNUMBER(W585),W585&gt;'Scoring Settings'!$B$12),AND(ISNUMBER(M585),M585&lt;='Scoring Settings'!$B$13)),"High","Medium")))</f>
        <v>High</v>
      </c>
      <c r="AN585" s="5"/>
      <c r="AO585" s="7"/>
      <c r="AP585" s="5" t="s">
        <v>98</v>
      </c>
      <c r="AQ585" s="29" t="s">
        <v>159</v>
      </c>
    </row>
    <row r="586" spans="1:43" hidden="1">
      <c r="A586" s="28">
        <v>112470</v>
      </c>
      <c r="B586" s="5" t="s">
        <v>585</v>
      </c>
      <c r="C586" s="5" t="s">
        <v>333</v>
      </c>
      <c r="D586" s="5" t="s">
        <v>115</v>
      </c>
      <c r="E586" s="5" t="s">
        <v>68</v>
      </c>
      <c r="F586" s="5" t="s">
        <v>188</v>
      </c>
      <c r="G586" s="5" t="s">
        <v>90</v>
      </c>
      <c r="H586" s="5" t="s">
        <v>118</v>
      </c>
      <c r="I586" s="6">
        <v>483</v>
      </c>
      <c r="J586" s="7">
        <v>44281</v>
      </c>
      <c r="K586" s="8" t="str">
        <f>IF(B586="","",IF(AND(I586="",J586=""),"Unknown",IF(OR(AND(ISNUMBER(I586),I586=0),AND(ISNUMBER(J586),J586&lt;=EDATE('Scoring Settings'!$B$4,-'Scoring Settings'!$B$5))),"Not in use",IF(AND(ISNUMBER(I586),I586&lt;'Scoring Settings'!$B$6),"Low use","Active"))))</f>
        <v>Active</v>
      </c>
      <c r="L586" s="5">
        <v>3</v>
      </c>
      <c r="M586" s="5">
        <v>2</v>
      </c>
      <c r="N586" s="5" t="s">
        <v>72</v>
      </c>
      <c r="O586" s="5" t="s">
        <v>73</v>
      </c>
      <c r="P586" s="5" t="s">
        <v>586</v>
      </c>
      <c r="Q586" s="9">
        <v>3</v>
      </c>
      <c r="R586" s="5" t="s">
        <v>239</v>
      </c>
      <c r="S586" s="5" t="s">
        <v>240</v>
      </c>
      <c r="T586" s="5" t="s">
        <v>72</v>
      </c>
      <c r="U586" s="7">
        <v>44316</v>
      </c>
      <c r="V586" s="5" t="s">
        <v>78</v>
      </c>
      <c r="W586" s="6">
        <v>28</v>
      </c>
      <c r="X586" s="5" t="s">
        <v>80</v>
      </c>
      <c r="Y586" s="9">
        <v>10</v>
      </c>
      <c r="Z586" s="5" t="s">
        <v>80</v>
      </c>
      <c r="AA586" s="5" t="s">
        <v>185</v>
      </c>
      <c r="AB586" s="9">
        <v>18</v>
      </c>
      <c r="AC586" s="5" t="s">
        <v>82</v>
      </c>
      <c r="AD586" s="5" t="s">
        <v>79</v>
      </c>
      <c r="AE586" s="5" t="s">
        <v>79</v>
      </c>
      <c r="AF586" s="10">
        <v>60000</v>
      </c>
      <c r="AG586" s="7">
        <v>47238</v>
      </c>
      <c r="AH586" s="10">
        <v>94000</v>
      </c>
      <c r="AI586" s="10">
        <v>55500</v>
      </c>
      <c r="AJ586" s="11">
        <f t="shared" si="9"/>
        <v>20.324324324324323</v>
      </c>
      <c r="AK586" s="12">
        <f>IF(B586="","",OR(K586="Not in use",K586="Low use")+AND(N586&lt;&gt;"",N586&lt;&gt;"TBD")+AND(ISNUMBER(U586),U586&lt;=EDATE('Scoring Settings'!$B$4,'Scoring Settings'!$B$8))+AND(ISNUMBER(L586),L586&lt;='Scoring Settings'!$B$7))</f>
        <v>1</v>
      </c>
      <c r="AL586" s="5" t="s">
        <v>111</v>
      </c>
      <c r="AM586" s="8" t="str">
        <f>IF(B586="","",IF(Z586="N","Easy",IF(OR(AND(ISNUMBER(AB586),AB586&gt;'Scoring Settings'!$B$11),AND(ISNUMBER(W586),W586&gt;'Scoring Settings'!$B$12),AND(ISNUMBER(M586),M586&lt;='Scoring Settings'!$B$13)),"High","Medium")))</f>
        <v>High</v>
      </c>
      <c r="AN586" s="5"/>
      <c r="AO586" s="7"/>
      <c r="AP586" s="5" t="s">
        <v>98</v>
      </c>
      <c r="AQ586" s="29" t="s">
        <v>124</v>
      </c>
    </row>
    <row r="587" spans="1:43" ht="42.75" hidden="1">
      <c r="A587" s="28">
        <v>96052</v>
      </c>
      <c r="B587" s="5" t="s">
        <v>587</v>
      </c>
      <c r="C587" s="5" t="s">
        <v>343</v>
      </c>
      <c r="D587" s="5" t="s">
        <v>102</v>
      </c>
      <c r="E587" s="5" t="s">
        <v>68</v>
      </c>
      <c r="F587" s="5" t="s">
        <v>302</v>
      </c>
      <c r="G587" s="5" t="s">
        <v>284</v>
      </c>
      <c r="H587" s="5" t="s">
        <v>142</v>
      </c>
      <c r="I587" s="6">
        <v>202</v>
      </c>
      <c r="J587" s="7">
        <v>44281</v>
      </c>
      <c r="K587" s="8" t="str">
        <f>IF(B587="","",IF(AND(I587="",J587=""),"Unknown",IF(OR(AND(ISNUMBER(I587),I587=0),AND(ISNUMBER(J587),J587&lt;=EDATE('Scoring Settings'!$B$4,-'Scoring Settings'!$B$5))),"Not in use",IF(AND(ISNUMBER(I587),I587&lt;'Scoring Settings'!$B$6),"Low use","Active"))))</f>
        <v>Active</v>
      </c>
      <c r="L587" s="5">
        <v>3</v>
      </c>
      <c r="M587" s="5">
        <v>4</v>
      </c>
      <c r="N587" s="5"/>
      <c r="O587" s="5" t="s">
        <v>143</v>
      </c>
      <c r="P587" s="5" t="s">
        <v>144</v>
      </c>
      <c r="Q587" s="9">
        <v>0</v>
      </c>
      <c r="R587" s="5" t="s">
        <v>145</v>
      </c>
      <c r="S587" s="5" t="s">
        <v>145</v>
      </c>
      <c r="T587" s="5" t="s">
        <v>146</v>
      </c>
      <c r="U587" s="7">
        <v>44742</v>
      </c>
      <c r="V587" s="5" t="s">
        <v>95</v>
      </c>
      <c r="W587" s="6">
        <v>260</v>
      </c>
      <c r="X587" s="5" t="s">
        <v>80</v>
      </c>
      <c r="Y587" s="9">
        <v>7</v>
      </c>
      <c r="Z587" s="5" t="s">
        <v>79</v>
      </c>
      <c r="AA587" s="5" t="s">
        <v>110</v>
      </c>
      <c r="AB587" s="9">
        <v>1</v>
      </c>
      <c r="AC587" s="5" t="s">
        <v>79</v>
      </c>
      <c r="AD587" s="5" t="s">
        <v>80</v>
      </c>
      <c r="AE587" s="5" t="s">
        <v>80</v>
      </c>
      <c r="AF587" s="10">
        <v>55000</v>
      </c>
      <c r="AG587" s="7">
        <v>46326</v>
      </c>
      <c r="AH587" s="10"/>
      <c r="AI587" s="10"/>
      <c r="AJ587" s="11" t="str">
        <f t="shared" si="9"/>
        <v/>
      </c>
      <c r="AK587" s="12">
        <f>IF(B587="","",OR(K587="Not in use",K587="Low use")+AND(N587&lt;&gt;"",N587&lt;&gt;"TBD")+AND(ISNUMBER(U587),U587&lt;=EDATE('Scoring Settings'!$B$4,'Scoring Settings'!$B$8))+AND(ISNUMBER(L587),L587&lt;='Scoring Settings'!$B$7))</f>
        <v>0</v>
      </c>
      <c r="AL587" s="5" t="s">
        <v>111</v>
      </c>
      <c r="AM587" s="8" t="str">
        <f>IF(B587="","",IF(Z587="N","Easy",IF(OR(AND(ISNUMBER(AB587),AB587&gt;'Scoring Settings'!$B$11),AND(ISNUMBER(W587),W587&gt;'Scoring Settings'!$B$12),AND(ISNUMBER(M587),M587&lt;='Scoring Settings'!$B$13)),"High","Medium")))</f>
        <v>Easy</v>
      </c>
      <c r="AN587" s="5"/>
      <c r="AO587" s="7"/>
      <c r="AP587" s="5" t="s">
        <v>98</v>
      </c>
      <c r="AQ587" s="29" t="s">
        <v>588</v>
      </c>
    </row>
    <row r="588" spans="1:43" hidden="1">
      <c r="A588" s="28">
        <v>153595</v>
      </c>
      <c r="B588" s="5" t="s">
        <v>589</v>
      </c>
      <c r="C588" s="5" t="s">
        <v>301</v>
      </c>
      <c r="D588" s="5" t="s">
        <v>162</v>
      </c>
      <c r="E588" s="5" t="s">
        <v>311</v>
      </c>
      <c r="F588" s="5" t="s">
        <v>152</v>
      </c>
      <c r="G588" s="5" t="s">
        <v>104</v>
      </c>
      <c r="H588" s="5" t="s">
        <v>142</v>
      </c>
      <c r="I588" s="6">
        <v>245</v>
      </c>
      <c r="J588" s="7">
        <v>44315</v>
      </c>
      <c r="K588" s="8" t="str">
        <f>IF(B588="","",IF(AND(I588="",J588=""),"Unknown",IF(OR(AND(ISNUMBER(I588),I588=0),AND(ISNUMBER(J588),J588&lt;=EDATE('Scoring Settings'!$B$4,-'Scoring Settings'!$B$5))),"Not in use",IF(AND(ISNUMBER(I588),I588&lt;'Scoring Settings'!$B$6),"Low use","Active"))))</f>
        <v>Active</v>
      </c>
      <c r="L588" s="5">
        <v>4</v>
      </c>
      <c r="M588" s="5">
        <v>2</v>
      </c>
      <c r="N588" s="5"/>
      <c r="O588" s="5" t="s">
        <v>143</v>
      </c>
      <c r="P588" s="5" t="s">
        <v>144</v>
      </c>
      <c r="Q588" s="9">
        <v>0</v>
      </c>
      <c r="R588" s="5" t="s">
        <v>145</v>
      </c>
      <c r="S588" s="5" t="s">
        <v>145</v>
      </c>
      <c r="T588" s="5" t="s">
        <v>146</v>
      </c>
      <c r="U588" s="7"/>
      <c r="V588" s="5" t="s">
        <v>78</v>
      </c>
      <c r="W588" s="6">
        <v>380</v>
      </c>
      <c r="X588" s="5" t="s">
        <v>79</v>
      </c>
      <c r="Y588" s="9">
        <v>5</v>
      </c>
      <c r="Z588" s="5" t="s">
        <v>80</v>
      </c>
      <c r="AA588" s="5" t="s">
        <v>123</v>
      </c>
      <c r="AB588" s="9">
        <v>6</v>
      </c>
      <c r="AC588" s="5" t="s">
        <v>80</v>
      </c>
      <c r="AD588" s="5" t="s">
        <v>82</v>
      </c>
      <c r="AE588" s="5" t="s">
        <v>82</v>
      </c>
      <c r="AF588" s="10">
        <v>35000</v>
      </c>
      <c r="AG588" s="7">
        <v>47026</v>
      </c>
      <c r="AH588" s="10"/>
      <c r="AI588" s="10"/>
      <c r="AJ588" s="11" t="str">
        <f t="shared" si="9"/>
        <v/>
      </c>
      <c r="AK588" s="12">
        <f>IF(B588="","",OR(K588="Not in use",K588="Low use")+AND(N588&lt;&gt;"",N588&lt;&gt;"TBD")+AND(ISNUMBER(U588),U588&lt;=EDATE('Scoring Settings'!$B$4,'Scoring Settings'!$B$8))+AND(ISNUMBER(L588),L588&lt;='Scoring Settings'!$B$7))</f>
        <v>0</v>
      </c>
      <c r="AL588" s="5" t="s">
        <v>111</v>
      </c>
      <c r="AM588" s="8" t="str">
        <f>IF(B588="","",IF(Z588="N","Easy",IF(OR(AND(ISNUMBER(AB588),AB588&gt;'Scoring Settings'!$B$11),AND(ISNUMBER(W588),W588&gt;'Scoring Settings'!$B$12),AND(ISNUMBER(M588),M588&lt;='Scoring Settings'!$B$13)),"High","Medium")))</f>
        <v>High</v>
      </c>
      <c r="AN588" s="5"/>
      <c r="AO588" s="7"/>
      <c r="AP588" s="5" t="s">
        <v>98</v>
      </c>
      <c r="AQ588" s="29" t="s">
        <v>112</v>
      </c>
    </row>
    <row r="589" spans="1:43" hidden="1">
      <c r="A589" s="28">
        <v>13905</v>
      </c>
      <c r="B589" s="5" t="s">
        <v>596</v>
      </c>
      <c r="C589" s="5" t="s">
        <v>395</v>
      </c>
      <c r="D589" s="5" t="s">
        <v>88</v>
      </c>
      <c r="E589" s="5" t="s">
        <v>68</v>
      </c>
      <c r="F589" s="5" t="s">
        <v>299</v>
      </c>
      <c r="G589" s="5" t="s">
        <v>267</v>
      </c>
      <c r="H589" s="5" t="s">
        <v>142</v>
      </c>
      <c r="I589" s="6">
        <v>145</v>
      </c>
      <c r="J589" s="7">
        <v>44300</v>
      </c>
      <c r="K589" s="8" t="str">
        <f>IF(B589="","",IF(AND(I589="",J589=""),"Unknown",IF(OR(AND(ISNUMBER(I589),I589=0),AND(ISNUMBER(J589),J589&lt;=EDATE('Scoring Settings'!$B$4,-'Scoring Settings'!$B$5))),"Not in use",IF(AND(ISNUMBER(I589),I589&lt;'Scoring Settings'!$B$6),"Low use","Active"))))</f>
        <v>Active</v>
      </c>
      <c r="L589" s="5">
        <v>3</v>
      </c>
      <c r="M589" s="5">
        <v>4</v>
      </c>
      <c r="N589" s="5"/>
      <c r="O589" s="5" t="s">
        <v>143</v>
      </c>
      <c r="P589" s="5" t="s">
        <v>144</v>
      </c>
      <c r="Q589" s="9">
        <v>0</v>
      </c>
      <c r="R589" s="5" t="s">
        <v>145</v>
      </c>
      <c r="S589" s="5" t="s">
        <v>145</v>
      </c>
      <c r="T589" s="5" t="s">
        <v>146</v>
      </c>
      <c r="U589" s="7"/>
      <c r="V589" s="5" t="s">
        <v>135</v>
      </c>
      <c r="W589" s="6">
        <v>2730</v>
      </c>
      <c r="X589" s="5" t="s">
        <v>79</v>
      </c>
      <c r="Y589" s="9">
        <v>1</v>
      </c>
      <c r="Z589" s="5" t="s">
        <v>79</v>
      </c>
      <c r="AA589" s="5" t="s">
        <v>110</v>
      </c>
      <c r="AB589" s="9">
        <v>2</v>
      </c>
      <c r="AC589" s="5" t="s">
        <v>82</v>
      </c>
      <c r="AD589" s="5" t="s">
        <v>79</v>
      </c>
      <c r="AE589" s="5" t="s">
        <v>79</v>
      </c>
      <c r="AF589" s="10">
        <v>75000</v>
      </c>
      <c r="AG589" s="7">
        <v>46965</v>
      </c>
      <c r="AH589" s="10"/>
      <c r="AI589" s="10"/>
      <c r="AJ589" s="11" t="str">
        <f t="shared" si="9"/>
        <v/>
      </c>
      <c r="AK589" s="12">
        <f>IF(B589="","",OR(K589="Not in use",K589="Low use")+AND(N589&lt;&gt;"",N589&lt;&gt;"TBD")+AND(ISNUMBER(U589),U589&lt;=EDATE('Scoring Settings'!$B$4,'Scoring Settings'!$B$8))+AND(ISNUMBER(L589),L589&lt;='Scoring Settings'!$B$7))</f>
        <v>0</v>
      </c>
      <c r="AL589" s="5" t="s">
        <v>83</v>
      </c>
      <c r="AM589" s="8" t="str">
        <f>IF(B589="","",IF(Z589="N","Easy",IF(OR(AND(ISNUMBER(AB589),AB589&gt;'Scoring Settings'!$B$11),AND(ISNUMBER(W589),W589&gt;'Scoring Settings'!$B$12),AND(ISNUMBER(M589),M589&lt;='Scoring Settings'!$B$13)),"High","Medium")))</f>
        <v>Easy</v>
      </c>
      <c r="AN589" s="5"/>
      <c r="AO589" s="7"/>
      <c r="AP589" s="5" t="s">
        <v>84</v>
      </c>
      <c r="AQ589" s="29" t="s">
        <v>314</v>
      </c>
    </row>
    <row r="590" spans="1:43" hidden="1">
      <c r="A590" s="28">
        <v>164098</v>
      </c>
      <c r="B590" s="5" t="s">
        <v>597</v>
      </c>
      <c r="C590" s="5" t="s">
        <v>270</v>
      </c>
      <c r="D590" s="5" t="s">
        <v>139</v>
      </c>
      <c r="E590" s="5" t="s">
        <v>68</v>
      </c>
      <c r="F590" s="5" t="s">
        <v>249</v>
      </c>
      <c r="G590" s="5" t="s">
        <v>210</v>
      </c>
      <c r="H590" s="5" t="s">
        <v>142</v>
      </c>
      <c r="I590" s="6">
        <v>821</v>
      </c>
      <c r="J590" s="7">
        <v>44289</v>
      </c>
      <c r="K590" s="8" t="str">
        <f>IF(B590="","",IF(AND(I590="",J590=""),"Unknown",IF(OR(AND(ISNUMBER(I590),I590=0),AND(ISNUMBER(J590),J590&lt;=EDATE('Scoring Settings'!$B$4,-'Scoring Settings'!$B$5))),"Not in use",IF(AND(ISNUMBER(I590),I590&lt;'Scoring Settings'!$B$6),"Low use","Active"))))</f>
        <v>Active</v>
      </c>
      <c r="L590" s="5">
        <v>4</v>
      </c>
      <c r="M590" s="5">
        <v>2</v>
      </c>
      <c r="N590" s="5"/>
      <c r="O590" s="5" t="s">
        <v>143</v>
      </c>
      <c r="P590" s="5" t="s">
        <v>144</v>
      </c>
      <c r="Q590" s="9">
        <v>0</v>
      </c>
      <c r="R590" s="5" t="s">
        <v>145</v>
      </c>
      <c r="S590" s="5" t="s">
        <v>145</v>
      </c>
      <c r="T590" s="5" t="s">
        <v>146</v>
      </c>
      <c r="U590" s="7"/>
      <c r="V590" s="5" t="s">
        <v>135</v>
      </c>
      <c r="W590" s="6">
        <v>120</v>
      </c>
      <c r="X590" s="5" t="s">
        <v>79</v>
      </c>
      <c r="Y590" s="9">
        <v>2</v>
      </c>
      <c r="Z590" s="5" t="s">
        <v>79</v>
      </c>
      <c r="AA590" s="5" t="s">
        <v>110</v>
      </c>
      <c r="AB590" s="9">
        <v>5</v>
      </c>
      <c r="AC590" s="5" t="s">
        <v>82</v>
      </c>
      <c r="AD590" s="5" t="s">
        <v>82</v>
      </c>
      <c r="AE590" s="5" t="s">
        <v>82</v>
      </c>
      <c r="AF590" s="10">
        <v>24000</v>
      </c>
      <c r="AG590" s="7">
        <v>45900</v>
      </c>
      <c r="AH590" s="10"/>
      <c r="AI590" s="10"/>
      <c r="AJ590" s="11" t="str">
        <f t="shared" si="9"/>
        <v/>
      </c>
      <c r="AK590" s="12">
        <f>IF(B590="","",OR(K590="Not in use",K590="Low use")+AND(N590&lt;&gt;"",N590&lt;&gt;"TBD")+AND(ISNUMBER(U590),U590&lt;=EDATE('Scoring Settings'!$B$4,'Scoring Settings'!$B$8))+AND(ISNUMBER(L590),L590&lt;='Scoring Settings'!$B$7))</f>
        <v>0</v>
      </c>
      <c r="AL590" s="5" t="s">
        <v>83</v>
      </c>
      <c r="AM590" s="8" t="str">
        <f>IF(B590="","",IF(Z590="N","Easy",IF(OR(AND(ISNUMBER(AB590),AB590&gt;'Scoring Settings'!$B$11),AND(ISNUMBER(W590),W590&gt;'Scoring Settings'!$B$12),AND(ISNUMBER(M590),M590&lt;='Scoring Settings'!$B$13)),"High","Medium")))</f>
        <v>Easy</v>
      </c>
      <c r="AN590" s="5"/>
      <c r="AO590" s="7"/>
      <c r="AP590" s="5" t="s">
        <v>84</v>
      </c>
      <c r="AQ590" s="29" t="s">
        <v>206</v>
      </c>
    </row>
    <row r="591" spans="1:43" hidden="1">
      <c r="A591" s="28">
        <v>140182</v>
      </c>
      <c r="B591" s="5" t="s">
        <v>598</v>
      </c>
      <c r="C591" s="5" t="s">
        <v>599</v>
      </c>
      <c r="D591" s="5" t="s">
        <v>67</v>
      </c>
      <c r="E591" s="5" t="s">
        <v>68</v>
      </c>
      <c r="F591" s="5" t="s">
        <v>127</v>
      </c>
      <c r="G591" s="5" t="s">
        <v>90</v>
      </c>
      <c r="H591" s="5" t="s">
        <v>71</v>
      </c>
      <c r="I591" s="6">
        <v>103</v>
      </c>
      <c r="J591" s="7">
        <v>44302</v>
      </c>
      <c r="K591" s="8" t="str">
        <f>IF(B591="","",IF(AND(I591="",J591=""),"Unknown",IF(OR(AND(ISNUMBER(I591),I591=0),AND(ISNUMBER(J591),J591&lt;=EDATE('Scoring Settings'!$B$4,-'Scoring Settings'!$B$5))),"Not in use",IF(AND(ISNUMBER(I591),I591&lt;'Scoring Settings'!$B$6),"Low use","Active"))))</f>
        <v>Active</v>
      </c>
      <c r="L591" s="5">
        <v>4</v>
      </c>
      <c r="M591" s="5">
        <v>2</v>
      </c>
      <c r="N591" s="5"/>
      <c r="O591" s="5" t="s">
        <v>73</v>
      </c>
      <c r="P591" s="5" t="s">
        <v>600</v>
      </c>
      <c r="Q591" s="9">
        <v>4</v>
      </c>
      <c r="R591" s="5" t="s">
        <v>478</v>
      </c>
      <c r="S591" s="5" t="s">
        <v>479</v>
      </c>
      <c r="T591" s="5" t="s">
        <v>109</v>
      </c>
      <c r="U591" s="7">
        <v>43844</v>
      </c>
      <c r="V591" s="5" t="s">
        <v>78</v>
      </c>
      <c r="W591" s="6">
        <v>59</v>
      </c>
      <c r="X591" s="5" t="s">
        <v>80</v>
      </c>
      <c r="Y591" s="9">
        <v>10</v>
      </c>
      <c r="Z591" s="5" t="s">
        <v>79</v>
      </c>
      <c r="AA591" s="5" t="s">
        <v>110</v>
      </c>
      <c r="AB591" s="9">
        <v>19</v>
      </c>
      <c r="AC591" s="5" t="s">
        <v>82</v>
      </c>
      <c r="AD591" s="5" t="s">
        <v>82</v>
      </c>
      <c r="AE591" s="5" t="s">
        <v>80</v>
      </c>
      <c r="AF591" s="10">
        <v>90000</v>
      </c>
      <c r="AG591" s="7">
        <v>48121</v>
      </c>
      <c r="AH591" s="10"/>
      <c r="AI591" s="10"/>
      <c r="AJ591" s="11" t="str">
        <f t="shared" si="9"/>
        <v/>
      </c>
      <c r="AK591" s="12">
        <f>IF(B591="","",OR(K591="Not in use",K591="Low use")+AND(N591&lt;&gt;"",N591&lt;&gt;"TBD")+AND(ISNUMBER(U591),U591&lt;=EDATE('Scoring Settings'!$B$4,'Scoring Settings'!$B$8))+AND(ISNUMBER(L591),L591&lt;='Scoring Settings'!$B$7))</f>
        <v>1</v>
      </c>
      <c r="AL591" s="5" t="s">
        <v>111</v>
      </c>
      <c r="AM591" s="8" t="str">
        <f>IF(B591="","",IF(Z591="N","Easy",IF(OR(AND(ISNUMBER(AB591),AB591&gt;'Scoring Settings'!$B$11),AND(ISNUMBER(W591),W591&gt;'Scoring Settings'!$B$12),AND(ISNUMBER(M591),M591&lt;='Scoring Settings'!$B$13)),"High","Medium")))</f>
        <v>Easy</v>
      </c>
      <c r="AN591" s="5"/>
      <c r="AO591" s="7"/>
      <c r="AP591" s="5" t="s">
        <v>98</v>
      </c>
      <c r="AQ591" s="29" t="s">
        <v>218</v>
      </c>
    </row>
    <row r="592" spans="1:43" ht="42.75" hidden="1">
      <c r="A592" s="28">
        <v>125964</v>
      </c>
      <c r="B592" s="5" t="s">
        <v>601</v>
      </c>
      <c r="C592" s="5" t="s">
        <v>172</v>
      </c>
      <c r="D592" s="5" t="s">
        <v>162</v>
      </c>
      <c r="E592" s="5" t="s">
        <v>68</v>
      </c>
      <c r="F592" s="5" t="s">
        <v>157</v>
      </c>
      <c r="G592" s="5" t="s">
        <v>117</v>
      </c>
      <c r="H592" s="5" t="s">
        <v>105</v>
      </c>
      <c r="I592" s="6">
        <v>922</v>
      </c>
      <c r="J592" s="7">
        <v>44304</v>
      </c>
      <c r="K592" s="8" t="str">
        <f>IF(B592="","",IF(AND(I592="",J592=""),"Unknown",IF(OR(AND(ISNUMBER(I592),I592=0),AND(ISNUMBER(J592),J592&lt;=EDATE('Scoring Settings'!$B$4,-'Scoring Settings'!$B$5))),"Not in use",IF(AND(ISNUMBER(I592),I592&lt;'Scoring Settings'!$B$6),"Low use","Active"))))</f>
        <v>Active</v>
      </c>
      <c r="L592" s="5">
        <v>3</v>
      </c>
      <c r="M592" s="5">
        <v>3</v>
      </c>
      <c r="N592" s="5"/>
      <c r="O592" s="5" t="s">
        <v>73</v>
      </c>
      <c r="P592" s="5" t="s">
        <v>602</v>
      </c>
      <c r="Q592" s="9">
        <v>4</v>
      </c>
      <c r="R592" s="5" t="s">
        <v>93</v>
      </c>
      <c r="S592" s="5" t="s">
        <v>94</v>
      </c>
      <c r="T592" s="5" t="s">
        <v>72</v>
      </c>
      <c r="U592" s="7">
        <v>44561</v>
      </c>
      <c r="V592" s="5" t="s">
        <v>135</v>
      </c>
      <c r="W592" s="6">
        <v>190</v>
      </c>
      <c r="X592" s="5" t="s">
        <v>79</v>
      </c>
      <c r="Y592" s="9">
        <v>7</v>
      </c>
      <c r="Z592" s="5" t="s">
        <v>80</v>
      </c>
      <c r="AA592" s="5" t="s">
        <v>123</v>
      </c>
      <c r="AB592" s="9">
        <v>8</v>
      </c>
      <c r="AC592" s="5" t="s">
        <v>82</v>
      </c>
      <c r="AD592" s="5" t="s">
        <v>79</v>
      </c>
      <c r="AE592" s="5" t="s">
        <v>79</v>
      </c>
      <c r="AF592" s="10">
        <v>39000</v>
      </c>
      <c r="AG592" s="7">
        <v>47879</v>
      </c>
      <c r="AH592" s="10"/>
      <c r="AI592" s="10"/>
      <c r="AJ592" s="11" t="str">
        <f t="shared" si="9"/>
        <v/>
      </c>
      <c r="AK592" s="12">
        <f>IF(B592="","",OR(K592="Not in use",K592="Low use")+AND(N592&lt;&gt;"",N592&lt;&gt;"TBD")+AND(ISNUMBER(U592),U592&lt;=EDATE('Scoring Settings'!$B$4,'Scoring Settings'!$B$8))+AND(ISNUMBER(L592),L592&lt;='Scoring Settings'!$B$7))</f>
        <v>1</v>
      </c>
      <c r="AL592" s="5" t="s">
        <v>111</v>
      </c>
      <c r="AM592" s="8" t="str">
        <f>IF(B592="","",IF(Z592="N","Easy",IF(OR(AND(ISNUMBER(AB592),AB592&gt;'Scoring Settings'!$B$11),AND(ISNUMBER(W592),W592&gt;'Scoring Settings'!$B$12),AND(ISNUMBER(M592),M592&lt;='Scoring Settings'!$B$13)),"High","Medium")))</f>
        <v>High</v>
      </c>
      <c r="AN592" s="5"/>
      <c r="AO592" s="7"/>
      <c r="AP592" s="5" t="s">
        <v>98</v>
      </c>
      <c r="AQ592" s="29" t="s">
        <v>603</v>
      </c>
    </row>
    <row r="593" spans="1:43" hidden="1">
      <c r="A593" s="28">
        <v>29189</v>
      </c>
      <c r="B593" s="5" t="s">
        <v>612</v>
      </c>
      <c r="C593" s="5" t="s">
        <v>151</v>
      </c>
      <c r="D593" s="5" t="s">
        <v>102</v>
      </c>
      <c r="E593" s="5" t="s">
        <v>68</v>
      </c>
      <c r="F593" s="5" t="s">
        <v>419</v>
      </c>
      <c r="G593" s="5" t="s">
        <v>404</v>
      </c>
      <c r="H593" s="5" t="s">
        <v>71</v>
      </c>
      <c r="I593" s="6">
        <v>25</v>
      </c>
      <c r="J593" s="7">
        <v>44287</v>
      </c>
      <c r="K593" s="8" t="str">
        <f>IF(B593="","",IF(AND(I593="",J593=""),"Unknown",IF(OR(AND(ISNUMBER(I593),I593=0),AND(ISNUMBER(J593),J593&lt;=EDATE('Scoring Settings'!$B$4,-'Scoring Settings'!$B$5))),"Not in use",IF(AND(ISNUMBER(I593),I593&lt;'Scoring Settings'!$B$6),"Low use","Active"))))</f>
        <v>Active</v>
      </c>
      <c r="L593" s="5">
        <v>4</v>
      </c>
      <c r="M593" s="5">
        <v>2</v>
      </c>
      <c r="N593" s="5"/>
      <c r="O593" s="5" t="s">
        <v>191</v>
      </c>
      <c r="P593" s="5" t="s">
        <v>192</v>
      </c>
      <c r="Q593" s="9">
        <v>0</v>
      </c>
      <c r="R593" s="5" t="s">
        <v>193</v>
      </c>
      <c r="S593" s="5" t="s">
        <v>318</v>
      </c>
      <c r="T593" s="5" t="s">
        <v>195</v>
      </c>
      <c r="U593" s="7"/>
      <c r="V593" s="5" t="s">
        <v>95</v>
      </c>
      <c r="W593" s="6">
        <v>63</v>
      </c>
      <c r="X593" s="5" t="s">
        <v>79</v>
      </c>
      <c r="Y593" s="9">
        <v>1</v>
      </c>
      <c r="Z593" s="5" t="s">
        <v>80</v>
      </c>
      <c r="AA593" s="5" t="s">
        <v>123</v>
      </c>
      <c r="AB593" s="9">
        <v>21</v>
      </c>
      <c r="AC593" s="5" t="s">
        <v>79</v>
      </c>
      <c r="AD593" s="5" t="s">
        <v>80</v>
      </c>
      <c r="AE593" s="5" t="s">
        <v>80</v>
      </c>
      <c r="AF593" s="10">
        <v>42000</v>
      </c>
      <c r="AG593" s="7">
        <v>46203</v>
      </c>
      <c r="AH593" s="10"/>
      <c r="AI593" s="10"/>
      <c r="AJ593" s="11" t="str">
        <f t="shared" si="9"/>
        <v/>
      </c>
      <c r="AK593" s="12">
        <f>IF(B593="","",OR(K593="Not in use",K593="Low use")+AND(N593&lt;&gt;"",N593&lt;&gt;"TBD")+AND(ISNUMBER(U593),U593&lt;=EDATE('Scoring Settings'!$B$4,'Scoring Settings'!$B$8))+AND(ISNUMBER(L593),L593&lt;='Scoring Settings'!$B$7))</f>
        <v>0</v>
      </c>
      <c r="AL593" s="5" t="s">
        <v>83</v>
      </c>
      <c r="AM593" s="8" t="str">
        <f>IF(B593="","",IF(Z593="N","Easy",IF(OR(AND(ISNUMBER(AB593),AB593&gt;'Scoring Settings'!$B$11),AND(ISNUMBER(W593),W593&gt;'Scoring Settings'!$B$12),AND(ISNUMBER(M593),M593&lt;='Scoring Settings'!$B$13)),"High","Medium")))</f>
        <v>High</v>
      </c>
      <c r="AN593" s="5"/>
      <c r="AO593" s="7"/>
      <c r="AP593" s="5" t="s">
        <v>84</v>
      </c>
      <c r="AQ593" s="29" t="s">
        <v>85</v>
      </c>
    </row>
    <row r="594" spans="1:43" hidden="1">
      <c r="A594" s="28">
        <v>141308</v>
      </c>
      <c r="B594" s="5" t="s">
        <v>623</v>
      </c>
      <c r="C594" s="5" t="s">
        <v>296</v>
      </c>
      <c r="D594" s="5" t="s">
        <v>297</v>
      </c>
      <c r="E594" s="5" t="s">
        <v>68</v>
      </c>
      <c r="F594" s="5" t="s">
        <v>103</v>
      </c>
      <c r="G594" s="5" t="s">
        <v>226</v>
      </c>
      <c r="H594" s="5" t="s">
        <v>105</v>
      </c>
      <c r="I594" s="6">
        <v>2054</v>
      </c>
      <c r="J594" s="7">
        <v>44291</v>
      </c>
      <c r="K594" s="8" t="str">
        <f>IF(B594="","",IF(AND(I594="",J594=""),"Unknown",IF(OR(AND(ISNUMBER(I594),I594=0),AND(ISNUMBER(J594),J594&lt;=EDATE('Scoring Settings'!$B$4,-'Scoring Settings'!$B$5))),"Not in use",IF(AND(ISNUMBER(I594),I594&lt;'Scoring Settings'!$B$6),"Low use","Active"))))</f>
        <v>Active</v>
      </c>
      <c r="L594" s="5">
        <v>5</v>
      </c>
      <c r="M594" s="5">
        <v>2</v>
      </c>
      <c r="N594" s="5"/>
      <c r="O594" s="5" t="s">
        <v>73</v>
      </c>
      <c r="P594" s="5" t="s">
        <v>624</v>
      </c>
      <c r="Q594" s="9">
        <v>8</v>
      </c>
      <c r="R594" s="5" t="s">
        <v>251</v>
      </c>
      <c r="S594" s="5" t="s">
        <v>133</v>
      </c>
      <c r="T594" s="5" t="s">
        <v>184</v>
      </c>
      <c r="U594" s="7">
        <v>44165</v>
      </c>
      <c r="V594" s="5" t="s">
        <v>135</v>
      </c>
      <c r="W594" s="6">
        <v>60</v>
      </c>
      <c r="X594" s="5" t="s">
        <v>80</v>
      </c>
      <c r="Y594" s="9">
        <v>7</v>
      </c>
      <c r="Z594" s="5" t="s">
        <v>80</v>
      </c>
      <c r="AA594" s="5" t="s">
        <v>123</v>
      </c>
      <c r="AB594" s="9">
        <v>26</v>
      </c>
      <c r="AC594" s="5" t="s">
        <v>80</v>
      </c>
      <c r="AD594" s="5" t="s">
        <v>80</v>
      </c>
      <c r="AE594" s="5" t="s">
        <v>80</v>
      </c>
      <c r="AF594" s="10">
        <v>150000</v>
      </c>
      <c r="AG594" s="7">
        <v>48791</v>
      </c>
      <c r="AH594" s="10">
        <v>123000</v>
      </c>
      <c r="AI594" s="10">
        <v>128000</v>
      </c>
      <c r="AJ594" s="11">
        <f t="shared" si="9"/>
        <v>11.53125</v>
      </c>
      <c r="AK594" s="12">
        <f>IF(B594="","",OR(K594="Not in use",K594="Low use")+AND(N594&lt;&gt;"",N594&lt;&gt;"TBD")+AND(ISNUMBER(U594),U594&lt;=EDATE('Scoring Settings'!$B$4,'Scoring Settings'!$B$8))+AND(ISNUMBER(L594),L594&lt;='Scoring Settings'!$B$7))</f>
        <v>1</v>
      </c>
      <c r="AL594" s="5" t="s">
        <v>111</v>
      </c>
      <c r="AM594" s="8" t="str">
        <f>IF(B594="","",IF(Z594="N","Easy",IF(OR(AND(ISNUMBER(AB594),AB594&gt;'Scoring Settings'!$B$11),AND(ISNUMBER(W594),W594&gt;'Scoring Settings'!$B$12),AND(ISNUMBER(M594),M594&lt;='Scoring Settings'!$B$13)),"High","Medium")))</f>
        <v>High</v>
      </c>
      <c r="AN594" s="5"/>
      <c r="AO594" s="7"/>
      <c r="AP594" s="5" t="s">
        <v>98</v>
      </c>
      <c r="AQ594" s="29" t="s">
        <v>124</v>
      </c>
    </row>
    <row r="595" spans="1:43" hidden="1">
      <c r="A595" s="28">
        <v>25749</v>
      </c>
      <c r="B595" s="5" t="s">
        <v>631</v>
      </c>
      <c r="C595" s="5" t="s">
        <v>316</v>
      </c>
      <c r="D595" s="5" t="s">
        <v>67</v>
      </c>
      <c r="E595" s="5" t="s">
        <v>68</v>
      </c>
      <c r="F595" s="5" t="s">
        <v>173</v>
      </c>
      <c r="G595" s="5" t="s">
        <v>271</v>
      </c>
      <c r="H595" s="5" t="s">
        <v>129</v>
      </c>
      <c r="I595" s="6">
        <v>37</v>
      </c>
      <c r="J595" s="7">
        <v>44285</v>
      </c>
      <c r="K595" s="8" t="str">
        <f>IF(B595="","",IF(AND(I595="",J595=""),"Unknown",IF(OR(AND(ISNUMBER(I595),I595=0),AND(ISNUMBER(J595),J595&lt;=EDATE('Scoring Settings'!$B$4,-'Scoring Settings'!$B$5))),"Not in use",IF(AND(ISNUMBER(I595),I595&lt;'Scoring Settings'!$B$6),"Low use","Active"))))</f>
        <v>Active</v>
      </c>
      <c r="L595" s="5">
        <v>3</v>
      </c>
      <c r="M595" s="5">
        <v>3</v>
      </c>
      <c r="N595" s="5"/>
      <c r="O595" s="5" t="s">
        <v>73</v>
      </c>
      <c r="P595" s="5" t="s">
        <v>632</v>
      </c>
      <c r="Q595" s="9">
        <v>1</v>
      </c>
      <c r="R595" s="5" t="s">
        <v>166</v>
      </c>
      <c r="S595" s="5" t="s">
        <v>308</v>
      </c>
      <c r="T595" s="5" t="s">
        <v>72</v>
      </c>
      <c r="U595" s="7">
        <v>45209</v>
      </c>
      <c r="V595" s="5" t="s">
        <v>135</v>
      </c>
      <c r="W595" s="6">
        <v>390</v>
      </c>
      <c r="X595" s="5" t="s">
        <v>80</v>
      </c>
      <c r="Y595" s="9">
        <v>7</v>
      </c>
      <c r="Z595" s="5" t="s">
        <v>79</v>
      </c>
      <c r="AA595" s="5" t="s">
        <v>110</v>
      </c>
      <c r="AB595" s="9">
        <v>2</v>
      </c>
      <c r="AC595" s="5" t="s">
        <v>80</v>
      </c>
      <c r="AD595" s="5" t="s">
        <v>80</v>
      </c>
      <c r="AE595" s="5" t="s">
        <v>82</v>
      </c>
      <c r="AF595" s="10">
        <v>23000</v>
      </c>
      <c r="AG595" s="7">
        <v>48579</v>
      </c>
      <c r="AH595" s="10"/>
      <c r="AI595" s="10"/>
      <c r="AJ595" s="11" t="str">
        <f t="shared" si="9"/>
        <v/>
      </c>
      <c r="AK595" s="12">
        <f>IF(B595="","",OR(K595="Not in use",K595="Low use")+AND(N595&lt;&gt;"",N595&lt;&gt;"TBD")+AND(ISNUMBER(U595),U595&lt;=EDATE('Scoring Settings'!$B$4,'Scoring Settings'!$B$8))+AND(ISNUMBER(L595),L595&lt;='Scoring Settings'!$B$7))</f>
        <v>0</v>
      </c>
      <c r="AL595" s="5" t="s">
        <v>83</v>
      </c>
      <c r="AM595" s="8" t="str">
        <f>IF(B595="","",IF(Z595="N","Easy",IF(OR(AND(ISNUMBER(AB595),AB595&gt;'Scoring Settings'!$B$11),AND(ISNUMBER(W595),W595&gt;'Scoring Settings'!$B$12),AND(ISNUMBER(M595),M595&lt;='Scoring Settings'!$B$13)),"High","Medium")))</f>
        <v>Easy</v>
      </c>
      <c r="AN595" s="5"/>
      <c r="AO595" s="7"/>
      <c r="AP595" s="5" t="s">
        <v>84</v>
      </c>
      <c r="AQ595" s="29" t="s">
        <v>273</v>
      </c>
    </row>
    <row r="596" spans="1:43" hidden="1">
      <c r="A596" s="28">
        <v>148460</v>
      </c>
      <c r="B596" s="5" t="s">
        <v>647</v>
      </c>
      <c r="C596" s="5" t="s">
        <v>156</v>
      </c>
      <c r="D596" s="5" t="s">
        <v>139</v>
      </c>
      <c r="E596" s="5" t="s">
        <v>68</v>
      </c>
      <c r="F596" s="5" t="s">
        <v>312</v>
      </c>
      <c r="G596" s="5" t="s">
        <v>141</v>
      </c>
      <c r="H596" s="5" t="s">
        <v>118</v>
      </c>
      <c r="I596" s="6">
        <v>405</v>
      </c>
      <c r="J596" s="7">
        <v>44279</v>
      </c>
      <c r="K596" s="8" t="str">
        <f>IF(B596="","",IF(AND(I596="",J596=""),"Unknown",IF(OR(AND(ISNUMBER(I596),I596=0),AND(ISNUMBER(J596),J596&lt;=EDATE('Scoring Settings'!$B$4,-'Scoring Settings'!$B$5))),"Not in use",IF(AND(ISNUMBER(I596),I596&lt;'Scoring Settings'!$B$6),"Low use","Active"))))</f>
        <v>Active</v>
      </c>
      <c r="L596" s="5">
        <v>4</v>
      </c>
      <c r="M596" s="5">
        <v>1</v>
      </c>
      <c r="N596" s="5"/>
      <c r="O596" s="5" t="s">
        <v>130</v>
      </c>
      <c r="P596" s="5" t="s">
        <v>648</v>
      </c>
      <c r="Q596" s="9">
        <v>2</v>
      </c>
      <c r="R596" s="5" t="s">
        <v>203</v>
      </c>
      <c r="S596" s="5" t="s">
        <v>508</v>
      </c>
      <c r="T596" s="5" t="s">
        <v>168</v>
      </c>
      <c r="U596" s="7">
        <v>47269</v>
      </c>
      <c r="V596" s="5" t="s">
        <v>95</v>
      </c>
      <c r="W596" s="6">
        <v>110</v>
      </c>
      <c r="X596" s="5" t="s">
        <v>79</v>
      </c>
      <c r="Y596" s="9">
        <v>5</v>
      </c>
      <c r="Z596" s="5" t="s">
        <v>80</v>
      </c>
      <c r="AA596" s="5" t="s">
        <v>205</v>
      </c>
      <c r="AB596" s="9">
        <v>40</v>
      </c>
      <c r="AC596" s="5" t="s">
        <v>82</v>
      </c>
      <c r="AD596" s="5" t="s">
        <v>80</v>
      </c>
      <c r="AE596" s="5" t="s">
        <v>82</v>
      </c>
      <c r="AF596" s="10">
        <v>42000</v>
      </c>
      <c r="AG596" s="7">
        <v>46752</v>
      </c>
      <c r="AH596" s="10"/>
      <c r="AI596" s="10"/>
      <c r="AJ596" s="11" t="str">
        <f t="shared" si="9"/>
        <v/>
      </c>
      <c r="AK596" s="12">
        <f>IF(B596="","",OR(K596="Not in use",K596="Low use")+AND(N596&lt;&gt;"",N596&lt;&gt;"TBD")+AND(ISNUMBER(U596),U596&lt;=EDATE('Scoring Settings'!$B$4,'Scoring Settings'!$B$8))+AND(ISNUMBER(L596),L596&lt;='Scoring Settings'!$B$7))</f>
        <v>0</v>
      </c>
      <c r="AL596" s="5" t="s">
        <v>83</v>
      </c>
      <c r="AM596" s="8" t="str">
        <f>IF(B596="","",IF(Z596="N","Easy",IF(OR(AND(ISNUMBER(AB596),AB596&gt;'Scoring Settings'!$B$11),AND(ISNUMBER(W596),W596&gt;'Scoring Settings'!$B$12),AND(ISNUMBER(M596),M596&lt;='Scoring Settings'!$B$13)),"High","Medium")))</f>
        <v>High</v>
      </c>
      <c r="AN596" s="5"/>
      <c r="AO596" s="7"/>
      <c r="AP596" s="5" t="s">
        <v>84</v>
      </c>
      <c r="AQ596" s="29" t="s">
        <v>247</v>
      </c>
    </row>
    <row r="597" spans="1:43" hidden="1">
      <c r="A597" s="28">
        <v>170020</v>
      </c>
      <c r="B597" s="5" t="s">
        <v>655</v>
      </c>
      <c r="C597" s="5" t="s">
        <v>259</v>
      </c>
      <c r="D597" s="5" t="s">
        <v>67</v>
      </c>
      <c r="E597" s="5" t="s">
        <v>311</v>
      </c>
      <c r="F597" s="5" t="s">
        <v>302</v>
      </c>
      <c r="G597" s="5" t="s">
        <v>221</v>
      </c>
      <c r="H597" s="5" t="s">
        <v>105</v>
      </c>
      <c r="I597" s="6">
        <v>7</v>
      </c>
      <c r="J597" s="7">
        <v>44274</v>
      </c>
      <c r="K597" s="8" t="str">
        <f>IF(B597="","",IF(AND(I597="",J597=""),"Unknown",IF(OR(AND(ISNUMBER(I597),I597=0),AND(ISNUMBER(J597),J597&lt;=EDATE('Scoring Settings'!$B$4,-'Scoring Settings'!$B$5))),"Not in use",IF(AND(ISNUMBER(I597),I597&lt;'Scoring Settings'!$B$6),"Low use","Active"))))</f>
        <v>Low use</v>
      </c>
      <c r="L597" s="5">
        <v>2</v>
      </c>
      <c r="M597" s="5">
        <v>3</v>
      </c>
      <c r="N597" s="5" t="s">
        <v>72</v>
      </c>
      <c r="O597" s="5" t="s">
        <v>73</v>
      </c>
      <c r="P597" s="5" t="s">
        <v>656</v>
      </c>
      <c r="Q597" s="9">
        <v>2</v>
      </c>
      <c r="R597" s="5" t="s">
        <v>132</v>
      </c>
      <c r="S597" s="5" t="s">
        <v>133</v>
      </c>
      <c r="T597" s="5" t="s">
        <v>77</v>
      </c>
      <c r="U597" s="7">
        <v>44227</v>
      </c>
      <c r="V597" s="5" t="s">
        <v>95</v>
      </c>
      <c r="W597" s="6">
        <v>120</v>
      </c>
      <c r="X597" s="5" t="s">
        <v>80</v>
      </c>
      <c r="Y597" s="9">
        <v>10</v>
      </c>
      <c r="Z597" s="5" t="s">
        <v>79</v>
      </c>
      <c r="AA597" s="5" t="s">
        <v>110</v>
      </c>
      <c r="AB597" s="9">
        <v>4</v>
      </c>
      <c r="AC597" s="5" t="s">
        <v>80</v>
      </c>
      <c r="AD597" s="5" t="s">
        <v>80</v>
      </c>
      <c r="AE597" s="5" t="s">
        <v>80</v>
      </c>
      <c r="AF597" s="10">
        <v>24000</v>
      </c>
      <c r="AG597" s="7">
        <v>46295</v>
      </c>
      <c r="AH597" s="10"/>
      <c r="AI597" s="10"/>
      <c r="AJ597" s="11" t="str">
        <f t="shared" si="9"/>
        <v/>
      </c>
      <c r="AK597" s="12">
        <f>IF(B597="","",OR(K597="Not in use",K597="Low use")+AND(N597&lt;&gt;"",N597&lt;&gt;"TBD")+AND(ISNUMBER(U597),U597&lt;=EDATE('Scoring Settings'!$B$4,'Scoring Settings'!$B$8))+AND(ISNUMBER(L597),L597&lt;='Scoring Settings'!$B$7))</f>
        <v>3</v>
      </c>
      <c r="AL597" s="5" t="s">
        <v>111</v>
      </c>
      <c r="AM597" s="8" t="str">
        <f>IF(B597="","",IF(Z597="N","Easy",IF(OR(AND(ISNUMBER(AB597),AB597&gt;'Scoring Settings'!$B$11),AND(ISNUMBER(W597),W597&gt;'Scoring Settings'!$B$12),AND(ISNUMBER(M597),M597&lt;='Scoring Settings'!$B$13)),"High","Medium")))</f>
        <v>Easy</v>
      </c>
      <c r="AN597" s="5"/>
      <c r="AO597" s="7"/>
      <c r="AP597" s="5" t="s">
        <v>98</v>
      </c>
      <c r="AQ597" s="29" t="s">
        <v>124</v>
      </c>
    </row>
    <row r="598" spans="1:43" hidden="1">
      <c r="A598" s="28">
        <v>50780</v>
      </c>
      <c r="B598" s="5" t="s">
        <v>659</v>
      </c>
      <c r="C598" s="5" t="s">
        <v>293</v>
      </c>
      <c r="D598" s="5" t="s">
        <v>162</v>
      </c>
      <c r="E598" s="5" t="s">
        <v>298</v>
      </c>
      <c r="F598" s="5" t="s">
        <v>188</v>
      </c>
      <c r="G598" s="5" t="s">
        <v>70</v>
      </c>
      <c r="H598" s="5" t="s">
        <v>129</v>
      </c>
      <c r="I598" s="6">
        <v>0</v>
      </c>
      <c r="J598" s="7">
        <v>43723</v>
      </c>
      <c r="K598" s="8" t="str">
        <f>IF(B598="","",IF(AND(I598="",J598=""),"Unknown",IF(OR(AND(ISNUMBER(I598),I598=0),AND(ISNUMBER(J598),J598&lt;=EDATE('Scoring Settings'!$B$4,-'Scoring Settings'!$B$5))),"Not in use",IF(AND(ISNUMBER(I598),I598&lt;'Scoring Settings'!$B$6),"Low use","Active"))))</f>
        <v>Not in use</v>
      </c>
      <c r="L598" s="5">
        <v>3</v>
      </c>
      <c r="M598" s="5">
        <v>3</v>
      </c>
      <c r="N598" s="5" t="s">
        <v>164</v>
      </c>
      <c r="O598" s="5" t="s">
        <v>73</v>
      </c>
      <c r="P598" s="5" t="s">
        <v>660</v>
      </c>
      <c r="Q598" s="9">
        <v>1</v>
      </c>
      <c r="R598" s="5" t="s">
        <v>245</v>
      </c>
      <c r="S598" s="5" t="s">
        <v>246</v>
      </c>
      <c r="T598" s="5" t="s">
        <v>122</v>
      </c>
      <c r="U598" s="7">
        <v>45777</v>
      </c>
      <c r="V598" s="5" t="s">
        <v>78</v>
      </c>
      <c r="W598" s="6">
        <v>2350</v>
      </c>
      <c r="X598" s="5" t="s">
        <v>79</v>
      </c>
      <c r="Y598" s="9">
        <v>7</v>
      </c>
      <c r="Z598" s="5" t="s">
        <v>79</v>
      </c>
      <c r="AA598" s="5" t="s">
        <v>110</v>
      </c>
      <c r="AB598" s="9">
        <v>6</v>
      </c>
      <c r="AC598" s="5" t="s">
        <v>82</v>
      </c>
      <c r="AD598" s="5" t="s">
        <v>79</v>
      </c>
      <c r="AE598" s="5" t="s">
        <v>79</v>
      </c>
      <c r="AF598" s="10">
        <v>16000</v>
      </c>
      <c r="AG598" s="7">
        <v>45808</v>
      </c>
      <c r="AH598" s="10">
        <v>28000</v>
      </c>
      <c r="AI598" s="10">
        <v>10000</v>
      </c>
      <c r="AJ598" s="11">
        <f t="shared" si="9"/>
        <v>33.599999999999994</v>
      </c>
      <c r="AK598" s="12">
        <f>IF(B598="","",OR(K598="Not in use",K598="Low use")+AND(N598&lt;&gt;"",N598&lt;&gt;"TBD")+AND(ISNUMBER(U598),U598&lt;=EDATE('Scoring Settings'!$B$4,'Scoring Settings'!$B$8))+AND(ISNUMBER(L598),L598&lt;='Scoring Settings'!$B$7))</f>
        <v>2</v>
      </c>
      <c r="AL598" s="5" t="s">
        <v>111</v>
      </c>
      <c r="AM598" s="8" t="str">
        <f>IF(B598="","",IF(Z598="N","Easy",IF(OR(AND(ISNUMBER(AB598),AB598&gt;'Scoring Settings'!$B$11),AND(ISNUMBER(W598),W598&gt;'Scoring Settings'!$B$12),AND(ISNUMBER(M598),M598&lt;='Scoring Settings'!$B$13)),"High","Medium")))</f>
        <v>Easy</v>
      </c>
      <c r="AN598" s="5"/>
      <c r="AO598" s="7"/>
      <c r="AP598" s="5" t="s">
        <v>98</v>
      </c>
      <c r="AQ598" s="29" t="s">
        <v>218</v>
      </c>
    </row>
    <row r="599" spans="1:43" hidden="1">
      <c r="A599" s="28">
        <v>183796</v>
      </c>
      <c r="B599" s="5" t="s">
        <v>661</v>
      </c>
      <c r="C599" s="5" t="s">
        <v>287</v>
      </c>
      <c r="D599" s="5" t="s">
        <v>162</v>
      </c>
      <c r="E599" s="5" t="s">
        <v>68</v>
      </c>
      <c r="F599" s="5" t="s">
        <v>152</v>
      </c>
      <c r="G599" s="5" t="s">
        <v>267</v>
      </c>
      <c r="H599" s="5" t="s">
        <v>129</v>
      </c>
      <c r="I599" s="6">
        <v>7</v>
      </c>
      <c r="J599" s="7">
        <v>44222</v>
      </c>
      <c r="K599" s="8" t="str">
        <f>IF(B599="","",IF(AND(I599="",J599=""),"Unknown",IF(OR(AND(ISNUMBER(I599),I599=0),AND(ISNUMBER(J599),J599&lt;=EDATE('Scoring Settings'!$B$4,-'Scoring Settings'!$B$5))),"Not in use",IF(AND(ISNUMBER(I599),I599&lt;'Scoring Settings'!$B$6),"Low use","Active"))))</f>
        <v>Low use</v>
      </c>
      <c r="L599" s="5">
        <v>3</v>
      </c>
      <c r="M599" s="5">
        <v>3</v>
      </c>
      <c r="N599" s="5" t="s">
        <v>72</v>
      </c>
      <c r="O599" s="5" t="s">
        <v>73</v>
      </c>
      <c r="P599" s="5" t="s">
        <v>662</v>
      </c>
      <c r="Q599" s="9">
        <v>1</v>
      </c>
      <c r="R599" s="5" t="s">
        <v>107</v>
      </c>
      <c r="S599" s="5" t="s">
        <v>108</v>
      </c>
      <c r="T599" s="5" t="s">
        <v>109</v>
      </c>
      <c r="U599" s="7">
        <v>43655</v>
      </c>
      <c r="V599" s="5" t="s">
        <v>78</v>
      </c>
      <c r="W599" s="6">
        <v>210</v>
      </c>
      <c r="X599" s="5" t="s">
        <v>79</v>
      </c>
      <c r="Y599" s="9">
        <v>1</v>
      </c>
      <c r="Z599" s="5" t="s">
        <v>79</v>
      </c>
      <c r="AA599" s="5" t="s">
        <v>110</v>
      </c>
      <c r="AB599" s="9">
        <v>7</v>
      </c>
      <c r="AC599" s="5" t="s">
        <v>79</v>
      </c>
      <c r="AD599" s="5" t="s">
        <v>79</v>
      </c>
      <c r="AE599" s="5" t="s">
        <v>79</v>
      </c>
      <c r="AF599" s="10">
        <v>38000</v>
      </c>
      <c r="AG599" s="7">
        <v>48121</v>
      </c>
      <c r="AH599" s="10"/>
      <c r="AI599" s="10"/>
      <c r="AJ599" s="11" t="str">
        <f t="shared" si="9"/>
        <v/>
      </c>
      <c r="AK599" s="12">
        <f>IF(B599="","",OR(K599="Not in use",K599="Low use")+AND(N599&lt;&gt;"",N599&lt;&gt;"TBD")+AND(ISNUMBER(U599),U599&lt;=EDATE('Scoring Settings'!$B$4,'Scoring Settings'!$B$8))+AND(ISNUMBER(L599),L599&lt;='Scoring Settings'!$B$7))</f>
        <v>2</v>
      </c>
      <c r="AL599" s="5" t="s">
        <v>111</v>
      </c>
      <c r="AM599" s="8" t="str">
        <f>IF(B599="","",IF(Z599="N","Easy",IF(OR(AND(ISNUMBER(AB599),AB599&gt;'Scoring Settings'!$B$11),AND(ISNUMBER(W599),W599&gt;'Scoring Settings'!$B$12),AND(ISNUMBER(M599),M599&lt;='Scoring Settings'!$B$13)),"High","Medium")))</f>
        <v>Easy</v>
      </c>
      <c r="AN599" s="5"/>
      <c r="AO599" s="7"/>
      <c r="AP599" s="5" t="s">
        <v>98</v>
      </c>
      <c r="AQ599" s="29" t="s">
        <v>218</v>
      </c>
    </row>
    <row r="600" spans="1:43" hidden="1">
      <c r="A600" s="28">
        <v>21595</v>
      </c>
      <c r="B600" s="5" t="s">
        <v>663</v>
      </c>
      <c r="C600" s="5" t="s">
        <v>453</v>
      </c>
      <c r="D600" s="5" t="s">
        <v>67</v>
      </c>
      <c r="E600" s="5" t="s">
        <v>68</v>
      </c>
      <c r="F600" s="5" t="s">
        <v>326</v>
      </c>
      <c r="G600" s="5" t="s">
        <v>117</v>
      </c>
      <c r="H600" s="5" t="s">
        <v>129</v>
      </c>
      <c r="I600" s="6">
        <v>78</v>
      </c>
      <c r="J600" s="7">
        <v>44295</v>
      </c>
      <c r="K600" s="8" t="str">
        <f>IF(B600="","",IF(AND(I600="",J600=""),"Unknown",IF(OR(AND(ISNUMBER(I600),I600=0),AND(ISNUMBER(J600),J600&lt;=EDATE('Scoring Settings'!$B$4,-'Scoring Settings'!$B$5))),"Not in use",IF(AND(ISNUMBER(I600),I600&lt;'Scoring Settings'!$B$6),"Low use","Active"))))</f>
        <v>Active</v>
      </c>
      <c r="L600" s="5">
        <v>3</v>
      </c>
      <c r="M600" s="5">
        <v>3</v>
      </c>
      <c r="N600" s="5"/>
      <c r="O600" s="5" t="s">
        <v>73</v>
      </c>
      <c r="P600" s="5" t="s">
        <v>664</v>
      </c>
      <c r="Q600" s="9">
        <v>4</v>
      </c>
      <c r="R600" s="5" t="s">
        <v>107</v>
      </c>
      <c r="S600" s="5" t="s">
        <v>108</v>
      </c>
      <c r="T600" s="5" t="s">
        <v>184</v>
      </c>
      <c r="U600" s="7" t="s">
        <v>72</v>
      </c>
      <c r="V600" s="5" t="s">
        <v>135</v>
      </c>
      <c r="W600" s="6">
        <v>8</v>
      </c>
      <c r="X600" s="5" t="s">
        <v>79</v>
      </c>
      <c r="Y600" s="9">
        <v>3</v>
      </c>
      <c r="Z600" s="5" t="s">
        <v>80</v>
      </c>
      <c r="AA600" s="5" t="s">
        <v>205</v>
      </c>
      <c r="AB600" s="9">
        <v>1</v>
      </c>
      <c r="AC600" s="5" t="s">
        <v>82</v>
      </c>
      <c r="AD600" s="5" t="s">
        <v>79</v>
      </c>
      <c r="AE600" s="5" t="s">
        <v>79</v>
      </c>
      <c r="AF600" s="10">
        <v>34500</v>
      </c>
      <c r="AG600" s="7">
        <v>45716</v>
      </c>
      <c r="AH600" s="10">
        <v>28500</v>
      </c>
      <c r="AI600" s="10">
        <v>25500</v>
      </c>
      <c r="AJ600" s="11">
        <f t="shared" si="9"/>
        <v>13.411764705882353</v>
      </c>
      <c r="AK600" s="12">
        <f>IF(B600="","",OR(K600="Not in use",K600="Low use")+AND(N600&lt;&gt;"",N600&lt;&gt;"TBD")+AND(ISNUMBER(U600),U600&lt;=EDATE('Scoring Settings'!$B$4,'Scoring Settings'!$B$8))+AND(ISNUMBER(L600),L600&lt;='Scoring Settings'!$B$7))</f>
        <v>0</v>
      </c>
      <c r="AL600" s="5" t="s">
        <v>111</v>
      </c>
      <c r="AM600" s="8" t="str">
        <f>IF(B600="","",IF(Z600="N","Easy",IF(OR(AND(ISNUMBER(AB600),AB600&gt;'Scoring Settings'!$B$11),AND(ISNUMBER(W600),W600&gt;'Scoring Settings'!$B$12),AND(ISNUMBER(M600),M600&lt;='Scoring Settings'!$B$13)),"High","Medium")))</f>
        <v>Medium</v>
      </c>
      <c r="AN600" s="5"/>
      <c r="AO600" s="7"/>
      <c r="AP600" s="5" t="s">
        <v>98</v>
      </c>
      <c r="AQ600" s="29" t="s">
        <v>112</v>
      </c>
    </row>
    <row r="601" spans="1:43" hidden="1">
      <c r="A601" s="28">
        <v>179092</v>
      </c>
      <c r="B601" s="5" t="s">
        <v>670</v>
      </c>
      <c r="C601" s="5" t="s">
        <v>343</v>
      </c>
      <c r="D601" s="5" t="s">
        <v>102</v>
      </c>
      <c r="E601" s="5" t="s">
        <v>298</v>
      </c>
      <c r="F601" s="5" t="s">
        <v>266</v>
      </c>
      <c r="G601" s="5" t="s">
        <v>226</v>
      </c>
      <c r="H601" s="5" t="s">
        <v>71</v>
      </c>
      <c r="I601" s="6">
        <v>228</v>
      </c>
      <c r="J601" s="7">
        <v>44277</v>
      </c>
      <c r="K601" s="8" t="str">
        <f>IF(B601="","",IF(AND(I601="",J601=""),"Unknown",IF(OR(AND(ISNUMBER(I601),I601=0),AND(ISNUMBER(J601),J601&lt;=EDATE('Scoring Settings'!$B$4,-'Scoring Settings'!$B$5))),"Not in use",IF(AND(ISNUMBER(I601),I601&lt;'Scoring Settings'!$B$6),"Low use","Active"))))</f>
        <v>Active</v>
      </c>
      <c r="L601" s="5">
        <v>3</v>
      </c>
      <c r="M601" s="5">
        <v>2</v>
      </c>
      <c r="N601" s="5"/>
      <c r="O601" s="5" t="s">
        <v>73</v>
      </c>
      <c r="P601" s="5" t="s">
        <v>671</v>
      </c>
      <c r="Q601" s="9">
        <v>2</v>
      </c>
      <c r="R601" s="5" t="s">
        <v>330</v>
      </c>
      <c r="S601" s="5" t="s">
        <v>331</v>
      </c>
      <c r="T601" s="5" t="s">
        <v>77</v>
      </c>
      <c r="U601" s="7">
        <v>45046</v>
      </c>
      <c r="V601" s="5" t="s">
        <v>135</v>
      </c>
      <c r="W601" s="6">
        <v>140</v>
      </c>
      <c r="X601" s="5" t="s">
        <v>79</v>
      </c>
      <c r="Y601" s="9">
        <v>2</v>
      </c>
      <c r="Z601" s="5" t="s">
        <v>80</v>
      </c>
      <c r="AA601" s="5" t="s">
        <v>81</v>
      </c>
      <c r="AB601" s="9">
        <v>15</v>
      </c>
      <c r="AC601" s="5" t="s">
        <v>79</v>
      </c>
      <c r="AD601" s="5" t="s">
        <v>79</v>
      </c>
      <c r="AE601" s="5" t="s">
        <v>82</v>
      </c>
      <c r="AF601" s="10">
        <v>65000</v>
      </c>
      <c r="AG601" s="7">
        <v>47361</v>
      </c>
      <c r="AH601" s="10">
        <v>146500</v>
      </c>
      <c r="AI601" s="10">
        <v>53500</v>
      </c>
      <c r="AJ601" s="11">
        <f t="shared" si="9"/>
        <v>32.859813084112147</v>
      </c>
      <c r="AK601" s="12">
        <f>IF(B601="","",OR(K601="Not in use",K601="Low use")+AND(N601&lt;&gt;"",N601&lt;&gt;"TBD")+AND(ISNUMBER(U601),U601&lt;=EDATE('Scoring Settings'!$B$4,'Scoring Settings'!$B$8))+AND(ISNUMBER(L601),L601&lt;='Scoring Settings'!$B$7))</f>
        <v>0</v>
      </c>
      <c r="AL601" s="5" t="s">
        <v>111</v>
      </c>
      <c r="AM601" s="8" t="str">
        <f>IF(B601="","",IF(Z601="N","Easy",IF(OR(AND(ISNUMBER(AB601),AB601&gt;'Scoring Settings'!$B$11),AND(ISNUMBER(W601),W601&gt;'Scoring Settings'!$B$12),AND(ISNUMBER(M601),M601&lt;='Scoring Settings'!$B$13)),"High","Medium")))</f>
        <v>High</v>
      </c>
      <c r="AN601" s="5"/>
      <c r="AO601" s="7"/>
      <c r="AP601" s="5" t="s">
        <v>98</v>
      </c>
      <c r="AQ601" s="29" t="s">
        <v>112</v>
      </c>
    </row>
    <row r="602" spans="1:43" hidden="1">
      <c r="A602" s="28">
        <v>14550</v>
      </c>
      <c r="B602" s="5" t="s">
        <v>674</v>
      </c>
      <c r="C602" s="5" t="s">
        <v>242</v>
      </c>
      <c r="D602" s="5" t="s">
        <v>115</v>
      </c>
      <c r="E602" s="5" t="s">
        <v>68</v>
      </c>
      <c r="F602" s="5" t="s">
        <v>69</v>
      </c>
      <c r="G602" s="5" t="s">
        <v>226</v>
      </c>
      <c r="H602" s="5" t="s">
        <v>189</v>
      </c>
      <c r="I602" s="6">
        <v>94</v>
      </c>
      <c r="J602" s="7">
        <v>44286</v>
      </c>
      <c r="K602" s="8" t="str">
        <f>IF(B602="","",IF(AND(I602="",J602=""),"Unknown",IF(OR(AND(ISNUMBER(I602),I602=0),AND(ISNUMBER(J602),J602&lt;=EDATE('Scoring Settings'!$B$4,-'Scoring Settings'!$B$5))),"Not in use",IF(AND(ISNUMBER(I602),I602&lt;'Scoring Settings'!$B$6),"Low use","Active"))))</f>
        <v>Active</v>
      </c>
      <c r="L602" s="5">
        <v>5</v>
      </c>
      <c r="M602" s="5">
        <v>1</v>
      </c>
      <c r="N602" s="5"/>
      <c r="O602" s="5" t="s">
        <v>191</v>
      </c>
      <c r="P602" s="5" t="s">
        <v>192</v>
      </c>
      <c r="Q602" s="9">
        <v>0</v>
      </c>
      <c r="R602" s="5" t="s">
        <v>193</v>
      </c>
      <c r="S602" s="5" t="s">
        <v>318</v>
      </c>
      <c r="T602" s="5" t="s">
        <v>195</v>
      </c>
      <c r="U602" s="7"/>
      <c r="V602" s="5" t="s">
        <v>78</v>
      </c>
      <c r="W602" s="6">
        <v>4240</v>
      </c>
      <c r="X602" s="5" t="s">
        <v>80</v>
      </c>
      <c r="Y602" s="9">
        <v>10</v>
      </c>
      <c r="Z602" s="5" t="s">
        <v>79</v>
      </c>
      <c r="AA602" s="5" t="s">
        <v>110</v>
      </c>
      <c r="AB602" s="9">
        <v>72</v>
      </c>
      <c r="AC602" s="5" t="s">
        <v>80</v>
      </c>
      <c r="AD602" s="5" t="s">
        <v>82</v>
      </c>
      <c r="AE602" s="5" t="s">
        <v>79</v>
      </c>
      <c r="AF602" s="10">
        <v>130000</v>
      </c>
      <c r="AG602" s="7">
        <v>47269</v>
      </c>
      <c r="AH602" s="10"/>
      <c r="AI602" s="10"/>
      <c r="AJ602" s="11" t="str">
        <f t="shared" si="9"/>
        <v/>
      </c>
      <c r="AK602" s="12">
        <f>IF(B602="","",OR(K602="Not in use",K602="Low use")+AND(N602&lt;&gt;"",N602&lt;&gt;"TBD")+AND(ISNUMBER(U602),U602&lt;=EDATE('Scoring Settings'!$B$4,'Scoring Settings'!$B$8))+AND(ISNUMBER(L602),L602&lt;='Scoring Settings'!$B$7))</f>
        <v>0</v>
      </c>
      <c r="AL602" s="5" t="s">
        <v>83</v>
      </c>
      <c r="AM602" s="8" t="str">
        <f>IF(B602="","",IF(Z602="N","Easy",IF(OR(AND(ISNUMBER(AB602),AB602&gt;'Scoring Settings'!$B$11),AND(ISNUMBER(W602),W602&gt;'Scoring Settings'!$B$12),AND(ISNUMBER(M602),M602&lt;='Scoring Settings'!$B$13)),"High","Medium")))</f>
        <v>Easy</v>
      </c>
      <c r="AN602" s="5"/>
      <c r="AO602" s="7"/>
      <c r="AP602" s="5" t="s">
        <v>84</v>
      </c>
      <c r="AQ602" s="29" t="s">
        <v>314</v>
      </c>
    </row>
    <row r="603" spans="1:43" hidden="1">
      <c r="A603" s="28">
        <v>99357</v>
      </c>
      <c r="B603" s="5" t="s">
        <v>680</v>
      </c>
      <c r="C603" s="5" t="s">
        <v>161</v>
      </c>
      <c r="D603" s="5" t="s">
        <v>162</v>
      </c>
      <c r="E603" s="5" t="s">
        <v>68</v>
      </c>
      <c r="F603" s="5" t="s">
        <v>299</v>
      </c>
      <c r="G603" s="5" t="s">
        <v>128</v>
      </c>
      <c r="H603" s="5" t="s">
        <v>91</v>
      </c>
      <c r="I603" s="6">
        <v>547</v>
      </c>
      <c r="J603" s="7">
        <v>44288</v>
      </c>
      <c r="K603" s="8" t="str">
        <f>IF(B603="","",IF(AND(I603="",J603=""),"Unknown",IF(OR(AND(ISNUMBER(I603),I603=0),AND(ISNUMBER(J603),J603&lt;=EDATE('Scoring Settings'!$B$4,-'Scoring Settings'!$B$5))),"Not in use",IF(AND(ISNUMBER(I603),I603&lt;'Scoring Settings'!$B$6),"Low use","Active"))))</f>
        <v>Active</v>
      </c>
      <c r="L603" s="5">
        <v>1</v>
      </c>
      <c r="M603" s="5">
        <v>3</v>
      </c>
      <c r="N603" s="5"/>
      <c r="O603" s="5" t="s">
        <v>130</v>
      </c>
      <c r="P603" s="5" t="s">
        <v>681</v>
      </c>
      <c r="Q603" s="9">
        <v>2</v>
      </c>
      <c r="R603" s="5" t="s">
        <v>182</v>
      </c>
      <c r="S603" s="5" t="s">
        <v>183</v>
      </c>
      <c r="T603" s="5" t="s">
        <v>134</v>
      </c>
      <c r="U603" s="7">
        <v>42855</v>
      </c>
      <c r="V603" s="5" t="s">
        <v>95</v>
      </c>
      <c r="W603" s="6">
        <v>7740</v>
      </c>
      <c r="X603" s="5" t="s">
        <v>79</v>
      </c>
      <c r="Y603" s="9">
        <v>3</v>
      </c>
      <c r="Z603" s="5" t="s">
        <v>80</v>
      </c>
      <c r="AA603" s="5" t="s">
        <v>185</v>
      </c>
      <c r="AB603" s="9">
        <v>2</v>
      </c>
      <c r="AC603" s="5" t="s">
        <v>80</v>
      </c>
      <c r="AD603" s="5" t="s">
        <v>80</v>
      </c>
      <c r="AE603" s="5" t="s">
        <v>82</v>
      </c>
      <c r="AF603" s="10">
        <v>18500</v>
      </c>
      <c r="AG603" s="7">
        <v>48091</v>
      </c>
      <c r="AH603" s="10"/>
      <c r="AI603" s="10"/>
      <c r="AJ603" s="11" t="str">
        <f t="shared" si="9"/>
        <v/>
      </c>
      <c r="AK603" s="12">
        <f>IF(B603="","",OR(K603="Not in use",K603="Low use")+AND(N603&lt;&gt;"",N603&lt;&gt;"TBD")+AND(ISNUMBER(U603),U603&lt;=EDATE('Scoring Settings'!$B$4,'Scoring Settings'!$B$8))+AND(ISNUMBER(L603),L603&lt;='Scoring Settings'!$B$7))</f>
        <v>2</v>
      </c>
      <c r="AL603" s="5" t="s">
        <v>111</v>
      </c>
      <c r="AM603" s="8" t="str">
        <f>IF(B603="","",IF(Z603="N","Easy",IF(OR(AND(ISNUMBER(AB603),AB603&gt;'Scoring Settings'!$B$11),AND(ISNUMBER(W603),W603&gt;'Scoring Settings'!$B$12),AND(ISNUMBER(M603),M603&lt;='Scoring Settings'!$B$13)),"High","Medium")))</f>
        <v>High</v>
      </c>
      <c r="AN603" s="5"/>
      <c r="AO603" s="7"/>
      <c r="AP603" s="5" t="s">
        <v>98</v>
      </c>
      <c r="AQ603" s="29" t="s">
        <v>159</v>
      </c>
    </row>
    <row r="604" spans="1:43" hidden="1">
      <c r="A604" s="28">
        <v>56395</v>
      </c>
      <c r="B604" s="5" t="s">
        <v>682</v>
      </c>
      <c r="C604" s="5" t="s">
        <v>66</v>
      </c>
      <c r="D604" s="5" t="s">
        <v>67</v>
      </c>
      <c r="E604" s="5" t="s">
        <v>68</v>
      </c>
      <c r="F604" s="5" t="s">
        <v>69</v>
      </c>
      <c r="G604" s="5" t="s">
        <v>141</v>
      </c>
      <c r="H604" s="5" t="s">
        <v>118</v>
      </c>
      <c r="I604" s="6">
        <v>22</v>
      </c>
      <c r="J604" s="7">
        <v>44171</v>
      </c>
      <c r="K604" s="8" t="str">
        <f>IF(B604="","",IF(AND(I604="",J604=""),"Unknown",IF(OR(AND(ISNUMBER(I604),I604=0),AND(ISNUMBER(J604),J604&lt;=EDATE('Scoring Settings'!$B$4,-'Scoring Settings'!$B$5))),"Not in use",IF(AND(ISNUMBER(I604),I604&lt;'Scoring Settings'!$B$6),"Low use","Active"))))</f>
        <v>Low use</v>
      </c>
      <c r="L604" s="5">
        <v>3</v>
      </c>
      <c r="M604" s="5">
        <v>4</v>
      </c>
      <c r="N604" s="5" t="s">
        <v>227</v>
      </c>
      <c r="O604" s="5" t="s">
        <v>73</v>
      </c>
      <c r="P604" s="5" t="s">
        <v>563</v>
      </c>
      <c r="Q604" s="9">
        <v>4</v>
      </c>
      <c r="R604" s="5" t="s">
        <v>182</v>
      </c>
      <c r="S604" s="5" t="s">
        <v>183</v>
      </c>
      <c r="T604" s="5" t="s">
        <v>122</v>
      </c>
      <c r="U604" s="7">
        <v>42855</v>
      </c>
      <c r="V604" s="5" t="s">
        <v>95</v>
      </c>
      <c r="W604" s="6">
        <v>32</v>
      </c>
      <c r="X604" s="5" t="s">
        <v>80</v>
      </c>
      <c r="Y604" s="9">
        <v>10</v>
      </c>
      <c r="Z604" s="5" t="s">
        <v>79</v>
      </c>
      <c r="AA604" s="5" t="s">
        <v>110</v>
      </c>
      <c r="AB604" s="9">
        <v>3</v>
      </c>
      <c r="AC604" s="5" t="s">
        <v>82</v>
      </c>
      <c r="AD604" s="5" t="s">
        <v>82</v>
      </c>
      <c r="AE604" s="5" t="s">
        <v>82</v>
      </c>
      <c r="AF604" s="10">
        <v>70000</v>
      </c>
      <c r="AG604" s="7">
        <v>46812</v>
      </c>
      <c r="AH604" s="10"/>
      <c r="AI604" s="10"/>
      <c r="AJ604" s="11" t="str">
        <f t="shared" si="9"/>
        <v/>
      </c>
      <c r="AK604" s="12">
        <f>IF(B604="","",OR(K604="Not in use",K604="Low use")+AND(N604&lt;&gt;"",N604&lt;&gt;"TBD")+AND(ISNUMBER(U604),U604&lt;=EDATE('Scoring Settings'!$B$4,'Scoring Settings'!$B$8))+AND(ISNUMBER(L604),L604&lt;='Scoring Settings'!$B$7))</f>
        <v>3</v>
      </c>
      <c r="AL604" s="5" t="s">
        <v>111</v>
      </c>
      <c r="AM604" s="8" t="str">
        <f>IF(B604="","",IF(Z604="N","Easy",IF(OR(AND(ISNUMBER(AB604),AB604&gt;'Scoring Settings'!$B$11),AND(ISNUMBER(W604),W604&gt;'Scoring Settings'!$B$12),AND(ISNUMBER(M604),M604&lt;='Scoring Settings'!$B$13)),"High","Medium")))</f>
        <v>Easy</v>
      </c>
      <c r="AN604" s="5"/>
      <c r="AO604" s="7"/>
      <c r="AP604" s="5" t="s">
        <v>98</v>
      </c>
      <c r="AQ604" s="29" t="s">
        <v>124</v>
      </c>
    </row>
    <row r="605" spans="1:43" hidden="1">
      <c r="A605" s="28">
        <v>165672</v>
      </c>
      <c r="B605" s="5" t="s">
        <v>685</v>
      </c>
      <c r="C605" s="5" t="s">
        <v>296</v>
      </c>
      <c r="D605" s="5" t="s">
        <v>297</v>
      </c>
      <c r="E605" s="5" t="s">
        <v>68</v>
      </c>
      <c r="F605" s="5" t="s">
        <v>396</v>
      </c>
      <c r="G605" s="5" t="s">
        <v>284</v>
      </c>
      <c r="H605" s="5" t="s">
        <v>105</v>
      </c>
      <c r="I605" s="6">
        <v>493</v>
      </c>
      <c r="J605" s="7">
        <v>44283</v>
      </c>
      <c r="K605" s="8" t="str">
        <f>IF(B605="","",IF(AND(I605="",J605=""),"Unknown",IF(OR(AND(ISNUMBER(I605),I605=0),AND(ISNUMBER(J605),J605&lt;=EDATE('Scoring Settings'!$B$4,-'Scoring Settings'!$B$5))),"Not in use",IF(AND(ISNUMBER(I605),I605&lt;'Scoring Settings'!$B$6),"Low use","Active"))))</f>
        <v>Active</v>
      </c>
      <c r="L605" s="5">
        <v>4</v>
      </c>
      <c r="M605" s="5">
        <v>2</v>
      </c>
      <c r="N605" s="5"/>
      <c r="O605" s="5" t="s">
        <v>130</v>
      </c>
      <c r="P605" s="5" t="s">
        <v>686</v>
      </c>
      <c r="Q605" s="9">
        <v>1</v>
      </c>
      <c r="R605" s="5" t="s">
        <v>166</v>
      </c>
      <c r="S605" s="5" t="s">
        <v>564</v>
      </c>
      <c r="T605" s="5" t="s">
        <v>195</v>
      </c>
      <c r="U605" s="7">
        <v>44754</v>
      </c>
      <c r="V605" s="5" t="s">
        <v>135</v>
      </c>
      <c r="W605" s="6">
        <v>2020</v>
      </c>
      <c r="X605" s="5" t="s">
        <v>80</v>
      </c>
      <c r="Y605" s="9">
        <v>7</v>
      </c>
      <c r="Z605" s="5" t="s">
        <v>79</v>
      </c>
      <c r="AA605" s="5" t="s">
        <v>110</v>
      </c>
      <c r="AB605" s="9">
        <v>20</v>
      </c>
      <c r="AC605" s="5" t="s">
        <v>82</v>
      </c>
      <c r="AD605" s="5" t="s">
        <v>80</v>
      </c>
      <c r="AE605" s="5" t="s">
        <v>82</v>
      </c>
      <c r="AF605" s="10">
        <v>36500</v>
      </c>
      <c r="AG605" s="7">
        <v>48244</v>
      </c>
      <c r="AH605" s="10"/>
      <c r="AI605" s="10"/>
      <c r="AJ605" s="11" t="str">
        <f t="shared" si="9"/>
        <v/>
      </c>
      <c r="AK605" s="12">
        <f>IF(B605="","",OR(K605="Not in use",K605="Low use")+AND(N605&lt;&gt;"",N605&lt;&gt;"TBD")+AND(ISNUMBER(U605),U605&lt;=EDATE('Scoring Settings'!$B$4,'Scoring Settings'!$B$8))+AND(ISNUMBER(L605),L605&lt;='Scoring Settings'!$B$7))</f>
        <v>0</v>
      </c>
      <c r="AL605" s="5" t="s">
        <v>83</v>
      </c>
      <c r="AM605" s="8" t="str">
        <f>IF(B605="","",IF(Z605="N","Easy",IF(OR(AND(ISNUMBER(AB605),AB605&gt;'Scoring Settings'!$B$11),AND(ISNUMBER(W605),W605&gt;'Scoring Settings'!$B$12),AND(ISNUMBER(M605),M605&lt;='Scoring Settings'!$B$13)),"High","Medium")))</f>
        <v>Easy</v>
      </c>
      <c r="AN605" s="5"/>
      <c r="AO605" s="7"/>
      <c r="AP605" s="5" t="s">
        <v>84</v>
      </c>
      <c r="AQ605" s="29" t="s">
        <v>206</v>
      </c>
    </row>
    <row r="606" spans="1:43" hidden="1">
      <c r="A606" s="28">
        <v>117592</v>
      </c>
      <c r="B606" s="5" t="s">
        <v>689</v>
      </c>
      <c r="C606" s="5" t="s">
        <v>338</v>
      </c>
      <c r="D606" s="5" t="s">
        <v>139</v>
      </c>
      <c r="E606" s="5" t="s">
        <v>68</v>
      </c>
      <c r="F606" s="5" t="s">
        <v>346</v>
      </c>
      <c r="G606" s="5" t="s">
        <v>179</v>
      </c>
      <c r="H606" s="5" t="s">
        <v>142</v>
      </c>
      <c r="I606" s="6">
        <v>124</v>
      </c>
      <c r="J606" s="7">
        <v>44313</v>
      </c>
      <c r="K606" s="8" t="str">
        <f>IF(B606="","",IF(AND(I606="",J606=""),"Unknown",IF(OR(AND(ISNUMBER(I606),I606=0),AND(ISNUMBER(J606),J606&lt;=EDATE('Scoring Settings'!$B$4,-'Scoring Settings'!$B$5))),"Not in use",IF(AND(ISNUMBER(I606),I606&lt;'Scoring Settings'!$B$6),"Low use","Active"))))</f>
        <v>Active</v>
      </c>
      <c r="L606" s="5">
        <v>3</v>
      </c>
      <c r="M606" s="5">
        <v>3</v>
      </c>
      <c r="N606" s="5"/>
      <c r="O606" s="5" t="s">
        <v>143</v>
      </c>
      <c r="P606" s="5" t="s">
        <v>144</v>
      </c>
      <c r="Q606" s="9">
        <v>0</v>
      </c>
      <c r="R606" s="5" t="s">
        <v>145</v>
      </c>
      <c r="S606" s="5" t="s">
        <v>145</v>
      </c>
      <c r="T606" s="5" t="s">
        <v>146</v>
      </c>
      <c r="U606" s="7">
        <v>46053</v>
      </c>
      <c r="V606" s="5" t="s">
        <v>135</v>
      </c>
      <c r="W606" s="6">
        <v>180</v>
      </c>
      <c r="X606" s="5" t="s">
        <v>79</v>
      </c>
      <c r="Y606" s="9">
        <v>1</v>
      </c>
      <c r="Z606" s="5" t="s">
        <v>80</v>
      </c>
      <c r="AA606" s="5" t="s">
        <v>81</v>
      </c>
      <c r="AB606" s="9">
        <v>7</v>
      </c>
      <c r="AC606" s="5" t="s">
        <v>82</v>
      </c>
      <c r="AD606" s="5" t="s">
        <v>79</v>
      </c>
      <c r="AE606" s="5" t="s">
        <v>82</v>
      </c>
      <c r="AF606" s="10">
        <v>95000</v>
      </c>
      <c r="AG606" s="7">
        <v>46022</v>
      </c>
      <c r="AH606" s="10"/>
      <c r="AI606" s="10"/>
      <c r="AJ606" s="11" t="str">
        <f t="shared" si="9"/>
        <v/>
      </c>
      <c r="AK606" s="12">
        <f>IF(B606="","",OR(K606="Not in use",K606="Low use")+AND(N606&lt;&gt;"",N606&lt;&gt;"TBD")+AND(ISNUMBER(U606),U606&lt;=EDATE('Scoring Settings'!$B$4,'Scoring Settings'!$B$8))+AND(ISNUMBER(L606),L606&lt;='Scoring Settings'!$B$7))</f>
        <v>0</v>
      </c>
      <c r="AL606" s="5" t="s">
        <v>111</v>
      </c>
      <c r="AM606" s="8" t="str">
        <f>IF(B606="","",IF(Z606="N","Easy",IF(OR(AND(ISNUMBER(AB606),AB606&gt;'Scoring Settings'!$B$11),AND(ISNUMBER(W606),W606&gt;'Scoring Settings'!$B$12),AND(ISNUMBER(M606),M606&lt;='Scoring Settings'!$B$13)),"High","Medium")))</f>
        <v>High</v>
      </c>
      <c r="AN606" s="5"/>
      <c r="AO606" s="7"/>
      <c r="AP606" s="5" t="s">
        <v>98</v>
      </c>
      <c r="AQ606" s="29" t="s">
        <v>218</v>
      </c>
    </row>
    <row r="607" spans="1:43" hidden="1">
      <c r="A607" s="28">
        <v>105271</v>
      </c>
      <c r="B607" s="5" t="s">
        <v>695</v>
      </c>
      <c r="C607" s="5" t="s">
        <v>599</v>
      </c>
      <c r="D607" s="5" t="s">
        <v>67</v>
      </c>
      <c r="E607" s="5" t="s">
        <v>68</v>
      </c>
      <c r="F607" s="5" t="s">
        <v>387</v>
      </c>
      <c r="G607" s="5" t="s">
        <v>284</v>
      </c>
      <c r="H607" s="5" t="s">
        <v>174</v>
      </c>
      <c r="I607" s="6">
        <v>75</v>
      </c>
      <c r="J607" s="7">
        <v>44287</v>
      </c>
      <c r="K607" s="8" t="str">
        <f>IF(B607="","",IF(AND(I607="",J607=""),"Unknown",IF(OR(AND(ISNUMBER(I607),I607=0),AND(ISNUMBER(J607),J607&lt;=EDATE('Scoring Settings'!$B$4,-'Scoring Settings'!$B$5))),"Not in use",IF(AND(ISNUMBER(I607),I607&lt;'Scoring Settings'!$B$6),"Low use","Active"))))</f>
        <v>Active</v>
      </c>
      <c r="L607" s="5">
        <v>2</v>
      </c>
      <c r="M607" s="5">
        <v>3</v>
      </c>
      <c r="N607" s="5"/>
      <c r="O607" s="5" t="s">
        <v>73</v>
      </c>
      <c r="P607" s="5" t="s">
        <v>696</v>
      </c>
      <c r="Q607" s="9">
        <v>4</v>
      </c>
      <c r="R607" s="5" t="s">
        <v>107</v>
      </c>
      <c r="S607" s="5" t="s">
        <v>108</v>
      </c>
      <c r="T607" s="5" t="s">
        <v>122</v>
      </c>
      <c r="U607" s="7">
        <v>43655</v>
      </c>
      <c r="V607" s="5" t="s">
        <v>95</v>
      </c>
      <c r="W607" s="6">
        <v>2450</v>
      </c>
      <c r="X607" s="5" t="s">
        <v>79</v>
      </c>
      <c r="Y607" s="9">
        <v>3</v>
      </c>
      <c r="Z607" s="5" t="s">
        <v>80</v>
      </c>
      <c r="AA607" s="5" t="s">
        <v>81</v>
      </c>
      <c r="AB607" s="9">
        <v>3</v>
      </c>
      <c r="AC607" s="5" t="s">
        <v>80</v>
      </c>
      <c r="AD607" s="5" t="s">
        <v>79</v>
      </c>
      <c r="AE607" s="5" t="s">
        <v>79</v>
      </c>
      <c r="AF607" s="10">
        <v>80000</v>
      </c>
      <c r="AG607" s="7">
        <v>47848</v>
      </c>
      <c r="AH607" s="10">
        <v>192000</v>
      </c>
      <c r="AI607" s="10">
        <v>58000</v>
      </c>
      <c r="AJ607" s="11">
        <f t="shared" si="9"/>
        <v>39.724137931034484</v>
      </c>
      <c r="AK607" s="12">
        <f>IF(B607="","",OR(K607="Not in use",K607="Low use")+AND(N607&lt;&gt;"",N607&lt;&gt;"TBD")+AND(ISNUMBER(U607),U607&lt;=EDATE('Scoring Settings'!$B$4,'Scoring Settings'!$B$8))+AND(ISNUMBER(L607),L607&lt;='Scoring Settings'!$B$7))</f>
        <v>2</v>
      </c>
      <c r="AL607" s="5" t="s">
        <v>111</v>
      </c>
      <c r="AM607" s="8" t="str">
        <f>IF(B607="","",IF(Z607="N","Easy",IF(OR(AND(ISNUMBER(AB607),AB607&gt;'Scoring Settings'!$B$11),AND(ISNUMBER(W607),W607&gt;'Scoring Settings'!$B$12),AND(ISNUMBER(M607),M607&lt;='Scoring Settings'!$B$13)),"High","Medium")))</f>
        <v>High</v>
      </c>
      <c r="AN607" s="5"/>
      <c r="AO607" s="7"/>
      <c r="AP607" s="5" t="s">
        <v>98</v>
      </c>
      <c r="AQ607" s="29" t="s">
        <v>112</v>
      </c>
    </row>
    <row r="608" spans="1:43" hidden="1">
      <c r="A608" s="28">
        <v>140328</v>
      </c>
      <c r="B608" s="5" t="s">
        <v>697</v>
      </c>
      <c r="C608" s="5" t="s">
        <v>225</v>
      </c>
      <c r="D608" s="5" t="s">
        <v>67</v>
      </c>
      <c r="E608" s="5" t="s">
        <v>68</v>
      </c>
      <c r="F608" s="5" t="s">
        <v>266</v>
      </c>
      <c r="G608" s="5" t="s">
        <v>141</v>
      </c>
      <c r="H608" s="5" t="s">
        <v>129</v>
      </c>
      <c r="I608" s="6">
        <v>1643</v>
      </c>
      <c r="J608" s="7">
        <v>44315</v>
      </c>
      <c r="K608" s="8" t="str">
        <f>IF(B608="","",IF(AND(I608="",J608=""),"Unknown",IF(OR(AND(ISNUMBER(I608),I608=0),AND(ISNUMBER(J608),J608&lt;=EDATE('Scoring Settings'!$B$4,-'Scoring Settings'!$B$5))),"Not in use",IF(AND(ISNUMBER(I608),I608&lt;'Scoring Settings'!$B$6),"Low use","Active"))))</f>
        <v>Active</v>
      </c>
      <c r="L608" s="5">
        <v>5</v>
      </c>
      <c r="M608" s="5">
        <v>1</v>
      </c>
      <c r="N608" s="5"/>
      <c r="O608" s="5" t="s">
        <v>191</v>
      </c>
      <c r="P608" s="5" t="s">
        <v>192</v>
      </c>
      <c r="Q608" s="9">
        <v>0</v>
      </c>
      <c r="R608" s="5" t="s">
        <v>193</v>
      </c>
      <c r="S608" s="5" t="s">
        <v>194</v>
      </c>
      <c r="T608" s="5" t="s">
        <v>195</v>
      </c>
      <c r="U608" s="7"/>
      <c r="V608" s="5" t="s">
        <v>135</v>
      </c>
      <c r="W608" s="6">
        <v>720</v>
      </c>
      <c r="X608" s="5" t="s">
        <v>80</v>
      </c>
      <c r="Y608" s="9">
        <v>7</v>
      </c>
      <c r="Z608" s="5" t="s">
        <v>79</v>
      </c>
      <c r="AA608" s="5" t="s">
        <v>110</v>
      </c>
      <c r="AB608" s="9">
        <v>31</v>
      </c>
      <c r="AC608" s="5" t="s">
        <v>82</v>
      </c>
      <c r="AD608" s="5" t="s">
        <v>82</v>
      </c>
      <c r="AE608" s="5" t="s">
        <v>82</v>
      </c>
      <c r="AF608" s="10">
        <v>55000</v>
      </c>
      <c r="AG608" s="7">
        <v>49156</v>
      </c>
      <c r="AH608" s="10"/>
      <c r="AI608" s="10"/>
      <c r="AJ608" s="11" t="str">
        <f t="shared" si="9"/>
        <v/>
      </c>
      <c r="AK608" s="12">
        <f>IF(B608="","",OR(K608="Not in use",K608="Low use")+AND(N608&lt;&gt;"",N608&lt;&gt;"TBD")+AND(ISNUMBER(U608),U608&lt;=EDATE('Scoring Settings'!$B$4,'Scoring Settings'!$B$8))+AND(ISNUMBER(L608),L608&lt;='Scoring Settings'!$B$7))</f>
        <v>0</v>
      </c>
      <c r="AL608" s="5" t="s">
        <v>83</v>
      </c>
      <c r="AM608" s="8" t="str">
        <f>IF(B608="","",IF(Z608="N","Easy",IF(OR(AND(ISNUMBER(AB608),AB608&gt;'Scoring Settings'!$B$11),AND(ISNUMBER(W608),W608&gt;'Scoring Settings'!$B$12),AND(ISNUMBER(M608),M608&lt;='Scoring Settings'!$B$13)),"High","Medium")))</f>
        <v>Easy</v>
      </c>
      <c r="AN608" s="5"/>
      <c r="AO608" s="7"/>
      <c r="AP608" s="5" t="s">
        <v>84</v>
      </c>
      <c r="AQ608" s="29" t="s">
        <v>206</v>
      </c>
    </row>
    <row r="609" spans="1:43" hidden="1">
      <c r="A609" s="28">
        <v>189795</v>
      </c>
      <c r="B609" s="5" t="s">
        <v>701</v>
      </c>
      <c r="C609" s="5" t="s">
        <v>380</v>
      </c>
      <c r="D609" s="5" t="s">
        <v>102</v>
      </c>
      <c r="E609" s="5" t="s">
        <v>68</v>
      </c>
      <c r="F609" s="5" t="s">
        <v>302</v>
      </c>
      <c r="G609" s="5" t="s">
        <v>104</v>
      </c>
      <c r="H609" s="5" t="s">
        <v>129</v>
      </c>
      <c r="I609" s="6">
        <v>144</v>
      </c>
      <c r="J609" s="7">
        <v>44308</v>
      </c>
      <c r="K609" s="8" t="str">
        <f>IF(B609="","",IF(AND(I609="",J609=""),"Unknown",IF(OR(AND(ISNUMBER(I609),I609=0),AND(ISNUMBER(J609),J609&lt;=EDATE('Scoring Settings'!$B$4,-'Scoring Settings'!$B$5))),"Not in use",IF(AND(ISNUMBER(I609),I609&lt;'Scoring Settings'!$B$6),"Low use","Active"))))</f>
        <v>Active</v>
      </c>
      <c r="L609" s="5">
        <v>4</v>
      </c>
      <c r="M609" s="5">
        <v>2</v>
      </c>
      <c r="N609" s="5" t="s">
        <v>254</v>
      </c>
      <c r="O609" s="5" t="s">
        <v>130</v>
      </c>
      <c r="P609" s="5" t="s">
        <v>702</v>
      </c>
      <c r="Q609" s="9">
        <v>3</v>
      </c>
      <c r="R609" s="5" t="s">
        <v>239</v>
      </c>
      <c r="S609" s="5" t="s">
        <v>240</v>
      </c>
      <c r="T609" s="5" t="s">
        <v>168</v>
      </c>
      <c r="U609" s="7">
        <v>44316</v>
      </c>
      <c r="V609" s="5" t="s">
        <v>135</v>
      </c>
      <c r="W609" s="6">
        <v>2950</v>
      </c>
      <c r="X609" s="5" t="s">
        <v>80</v>
      </c>
      <c r="Y609" s="9">
        <v>7</v>
      </c>
      <c r="Z609" s="5" t="s">
        <v>79</v>
      </c>
      <c r="AA609" s="5" t="s">
        <v>110</v>
      </c>
      <c r="AB609" s="9">
        <v>12</v>
      </c>
      <c r="AC609" s="5" t="s">
        <v>80</v>
      </c>
      <c r="AD609" s="5" t="s">
        <v>79</v>
      </c>
      <c r="AE609" s="5" t="s">
        <v>79</v>
      </c>
      <c r="AF609" s="10">
        <v>30000</v>
      </c>
      <c r="AG609" s="7">
        <v>48610</v>
      </c>
      <c r="AH609" s="10">
        <v>75000</v>
      </c>
      <c r="AI609" s="10">
        <v>26000</v>
      </c>
      <c r="AJ609" s="11">
        <f t="shared" si="9"/>
        <v>34.615384615384613</v>
      </c>
      <c r="AK609" s="12">
        <f>IF(B609="","",OR(K609="Not in use",K609="Low use")+AND(N609&lt;&gt;"",N609&lt;&gt;"TBD")+AND(ISNUMBER(U609),U609&lt;=EDATE('Scoring Settings'!$B$4,'Scoring Settings'!$B$8))+AND(ISNUMBER(L609),L609&lt;='Scoring Settings'!$B$7))</f>
        <v>2</v>
      </c>
      <c r="AL609" s="5" t="s">
        <v>111</v>
      </c>
      <c r="AM609" s="8" t="str">
        <f>IF(B609="","",IF(Z609="N","Easy",IF(OR(AND(ISNUMBER(AB609),AB609&gt;'Scoring Settings'!$B$11),AND(ISNUMBER(W609),W609&gt;'Scoring Settings'!$B$12),AND(ISNUMBER(M609),M609&lt;='Scoring Settings'!$B$13)),"High","Medium")))</f>
        <v>Easy</v>
      </c>
      <c r="AN609" s="5"/>
      <c r="AO609" s="7"/>
      <c r="AP609" s="5" t="s">
        <v>98</v>
      </c>
      <c r="AQ609" s="29" t="s">
        <v>218</v>
      </c>
    </row>
    <row r="610" spans="1:43" hidden="1">
      <c r="A610" s="28">
        <v>87756</v>
      </c>
      <c r="B610" s="5" t="s">
        <v>703</v>
      </c>
      <c r="C610" s="5" t="s">
        <v>242</v>
      </c>
      <c r="D610" s="5" t="s">
        <v>115</v>
      </c>
      <c r="E610" s="5" t="s">
        <v>68</v>
      </c>
      <c r="F610" s="5" t="s">
        <v>89</v>
      </c>
      <c r="G610" s="5" t="s">
        <v>210</v>
      </c>
      <c r="H610" s="5" t="s">
        <v>118</v>
      </c>
      <c r="I610" s="6">
        <v>24</v>
      </c>
      <c r="J610" s="7">
        <v>44211</v>
      </c>
      <c r="K610" s="8" t="str">
        <f>IF(B610="","",IF(AND(I610="",J610=""),"Unknown",IF(OR(AND(ISNUMBER(I610),I610=0),AND(ISNUMBER(J610),J610&lt;=EDATE('Scoring Settings'!$B$4,-'Scoring Settings'!$B$5))),"Not in use",IF(AND(ISNUMBER(I610),I610&lt;'Scoring Settings'!$B$6),"Low use","Active"))))</f>
        <v>Low use</v>
      </c>
      <c r="L610" s="5">
        <v>2</v>
      </c>
      <c r="M610" s="5">
        <v>3</v>
      </c>
      <c r="N610" s="5"/>
      <c r="O610" s="5" t="s">
        <v>73</v>
      </c>
      <c r="P610" s="5" t="s">
        <v>704</v>
      </c>
      <c r="Q610" s="9">
        <v>4</v>
      </c>
      <c r="R610" s="5" t="s">
        <v>335</v>
      </c>
      <c r="S610" s="5" t="s">
        <v>336</v>
      </c>
      <c r="T610" s="5" t="s">
        <v>72</v>
      </c>
      <c r="U610" s="7">
        <v>45473</v>
      </c>
      <c r="V610" s="5" t="s">
        <v>135</v>
      </c>
      <c r="W610" s="6">
        <v>91</v>
      </c>
      <c r="X610" s="5" t="s">
        <v>80</v>
      </c>
      <c r="Y610" s="9">
        <v>7</v>
      </c>
      <c r="Z610" s="5" t="s">
        <v>80</v>
      </c>
      <c r="AA610" s="5" t="s">
        <v>205</v>
      </c>
      <c r="AB610" s="9">
        <v>2</v>
      </c>
      <c r="AC610" s="5" t="s">
        <v>79</v>
      </c>
      <c r="AD610" s="5" t="s">
        <v>79</v>
      </c>
      <c r="AE610" s="5" t="s">
        <v>80</v>
      </c>
      <c r="AF610" s="10">
        <v>49500</v>
      </c>
      <c r="AG610" s="7">
        <v>45930</v>
      </c>
      <c r="AH610" s="10">
        <v>81500</v>
      </c>
      <c r="AI610" s="10">
        <v>28500</v>
      </c>
      <c r="AJ610" s="11">
        <f t="shared" si="9"/>
        <v>34.315789473684212</v>
      </c>
      <c r="AK610" s="12">
        <f>IF(B610="","",OR(K610="Not in use",K610="Low use")+AND(N610&lt;&gt;"",N610&lt;&gt;"TBD")+AND(ISNUMBER(U610),U610&lt;=EDATE('Scoring Settings'!$B$4,'Scoring Settings'!$B$8))+AND(ISNUMBER(L610),L610&lt;='Scoring Settings'!$B$7))</f>
        <v>2</v>
      </c>
      <c r="AL610" s="5" t="s">
        <v>111</v>
      </c>
      <c r="AM610" s="8" t="str">
        <f>IF(B610="","",IF(Z610="N","Easy",IF(OR(AND(ISNUMBER(AB610),AB610&gt;'Scoring Settings'!$B$11),AND(ISNUMBER(W610),W610&gt;'Scoring Settings'!$B$12),AND(ISNUMBER(M610),M610&lt;='Scoring Settings'!$B$13)),"High","Medium")))</f>
        <v>Medium</v>
      </c>
      <c r="AN610" s="5"/>
      <c r="AO610" s="7"/>
      <c r="AP610" s="5" t="s">
        <v>98</v>
      </c>
      <c r="AQ610" s="29" t="s">
        <v>112</v>
      </c>
    </row>
    <row r="611" spans="1:43" hidden="1">
      <c r="A611" s="28">
        <v>16087</v>
      </c>
      <c r="B611" s="5" t="s">
        <v>705</v>
      </c>
      <c r="C611" s="5" t="s">
        <v>208</v>
      </c>
      <c r="D611" s="5" t="s">
        <v>67</v>
      </c>
      <c r="E611" s="5" t="s">
        <v>68</v>
      </c>
      <c r="F611" s="5" t="s">
        <v>326</v>
      </c>
      <c r="G611" s="5" t="s">
        <v>221</v>
      </c>
      <c r="H611" s="5" t="s">
        <v>142</v>
      </c>
      <c r="I611" s="6">
        <v>438</v>
      </c>
      <c r="J611" s="7">
        <v>44291</v>
      </c>
      <c r="K611" s="8" t="str">
        <f>IF(B611="","",IF(AND(I611="",J611=""),"Unknown",IF(OR(AND(ISNUMBER(I611),I611=0),AND(ISNUMBER(J611),J611&lt;=EDATE('Scoring Settings'!$B$4,-'Scoring Settings'!$B$5))),"Not in use",IF(AND(ISNUMBER(I611),I611&lt;'Scoring Settings'!$B$6),"Low use","Active"))))</f>
        <v>Active</v>
      </c>
      <c r="L611" s="5">
        <v>5</v>
      </c>
      <c r="M611" s="5">
        <v>1</v>
      </c>
      <c r="N611" s="5"/>
      <c r="O611" s="5" t="s">
        <v>143</v>
      </c>
      <c r="P611" s="5" t="s">
        <v>144</v>
      </c>
      <c r="Q611" s="9">
        <v>0</v>
      </c>
      <c r="R611" s="5" t="s">
        <v>145</v>
      </c>
      <c r="S611" s="5" t="s">
        <v>145</v>
      </c>
      <c r="T611" s="5" t="s">
        <v>146</v>
      </c>
      <c r="U611" s="7"/>
      <c r="V611" s="5" t="s">
        <v>78</v>
      </c>
      <c r="W611" s="6">
        <v>75</v>
      </c>
      <c r="X611" s="5" t="s">
        <v>80</v>
      </c>
      <c r="Y611" s="9">
        <v>7</v>
      </c>
      <c r="Z611" s="5" t="s">
        <v>79</v>
      </c>
      <c r="AA611" s="5" t="s">
        <v>110</v>
      </c>
      <c r="AB611" s="9">
        <v>59</v>
      </c>
      <c r="AC611" s="5" t="s">
        <v>79</v>
      </c>
      <c r="AD611" s="5" t="s">
        <v>82</v>
      </c>
      <c r="AE611" s="5" t="s">
        <v>79</v>
      </c>
      <c r="AF611" s="10">
        <v>110000</v>
      </c>
      <c r="AG611" s="7">
        <v>48121</v>
      </c>
      <c r="AH611" s="10"/>
      <c r="AI611" s="10"/>
      <c r="AJ611" s="11" t="str">
        <f t="shared" si="9"/>
        <v/>
      </c>
      <c r="AK611" s="12">
        <f>IF(B611="","",OR(K611="Not in use",K611="Low use")+AND(N611&lt;&gt;"",N611&lt;&gt;"TBD")+AND(ISNUMBER(U611),U611&lt;=EDATE('Scoring Settings'!$B$4,'Scoring Settings'!$B$8))+AND(ISNUMBER(L611),L611&lt;='Scoring Settings'!$B$7))</f>
        <v>0</v>
      </c>
      <c r="AL611" s="5" t="s">
        <v>83</v>
      </c>
      <c r="AM611" s="8" t="str">
        <f>IF(B611="","",IF(Z611="N","Easy",IF(OR(AND(ISNUMBER(AB611),AB611&gt;'Scoring Settings'!$B$11),AND(ISNUMBER(W611),W611&gt;'Scoring Settings'!$B$12),AND(ISNUMBER(M611),M611&lt;='Scoring Settings'!$B$13)),"High","Medium")))</f>
        <v>Easy</v>
      </c>
      <c r="AN611" s="5"/>
      <c r="AO611" s="7"/>
      <c r="AP611" s="5" t="s">
        <v>84</v>
      </c>
      <c r="AQ611" s="29" t="s">
        <v>85</v>
      </c>
    </row>
    <row r="612" spans="1:43" hidden="1">
      <c r="A612" s="28">
        <v>76727</v>
      </c>
      <c r="B612" s="5" t="s">
        <v>706</v>
      </c>
      <c r="C612" s="5" t="s">
        <v>464</v>
      </c>
      <c r="D612" s="5" t="s">
        <v>88</v>
      </c>
      <c r="E612" s="5" t="s">
        <v>68</v>
      </c>
      <c r="F612" s="5" t="s">
        <v>560</v>
      </c>
      <c r="G612" s="5" t="s">
        <v>141</v>
      </c>
      <c r="H612" s="5" t="s">
        <v>71</v>
      </c>
      <c r="I612" s="6">
        <v>71</v>
      </c>
      <c r="J612" s="7">
        <v>44281</v>
      </c>
      <c r="K612" s="8" t="str">
        <f>IF(B612="","",IF(AND(I612="",J612=""),"Unknown",IF(OR(AND(ISNUMBER(I612),I612=0),AND(ISNUMBER(J612),J612&lt;=EDATE('Scoring Settings'!$B$4,-'Scoring Settings'!$B$5))),"Not in use",IF(AND(ISNUMBER(I612),I612&lt;'Scoring Settings'!$B$6),"Low use","Active"))))</f>
        <v>Active</v>
      </c>
      <c r="L612" s="5">
        <v>3</v>
      </c>
      <c r="M612" s="5">
        <v>4</v>
      </c>
      <c r="N612" s="5"/>
      <c r="O612" s="5" t="s">
        <v>130</v>
      </c>
      <c r="P612" s="5" t="s">
        <v>707</v>
      </c>
      <c r="Q612" s="9">
        <v>2</v>
      </c>
      <c r="R612" s="5" t="s">
        <v>203</v>
      </c>
      <c r="S612" s="5" t="s">
        <v>508</v>
      </c>
      <c r="T612" s="5" t="s">
        <v>168</v>
      </c>
      <c r="U612" s="7">
        <v>47269</v>
      </c>
      <c r="V612" s="5" t="s">
        <v>95</v>
      </c>
      <c r="W612" s="6">
        <v>1310</v>
      </c>
      <c r="X612" s="5" t="s">
        <v>79</v>
      </c>
      <c r="Y612" s="9">
        <v>3</v>
      </c>
      <c r="Z612" s="5" t="s">
        <v>79</v>
      </c>
      <c r="AA612" s="5" t="s">
        <v>110</v>
      </c>
      <c r="AB612" s="9">
        <v>1</v>
      </c>
      <c r="AC612" s="5" t="s">
        <v>79</v>
      </c>
      <c r="AD612" s="5" t="s">
        <v>79</v>
      </c>
      <c r="AE612" s="5" t="s">
        <v>82</v>
      </c>
      <c r="AF612" s="10">
        <v>18500</v>
      </c>
      <c r="AG612" s="7">
        <v>49460</v>
      </c>
      <c r="AH612" s="10"/>
      <c r="AI612" s="10"/>
      <c r="AJ612" s="11" t="str">
        <f t="shared" si="9"/>
        <v/>
      </c>
      <c r="AK612" s="12">
        <f>IF(B612="","",OR(K612="Not in use",K612="Low use")+AND(N612&lt;&gt;"",N612&lt;&gt;"TBD")+AND(ISNUMBER(U612),U612&lt;=EDATE('Scoring Settings'!$B$4,'Scoring Settings'!$B$8))+AND(ISNUMBER(L612),L612&lt;='Scoring Settings'!$B$7))</f>
        <v>0</v>
      </c>
      <c r="AL612" s="5" t="s">
        <v>83</v>
      </c>
      <c r="AM612" s="8" t="str">
        <f>IF(B612="","",IF(Z612="N","Easy",IF(OR(AND(ISNUMBER(AB612),AB612&gt;'Scoring Settings'!$B$11),AND(ISNUMBER(W612),W612&gt;'Scoring Settings'!$B$12),AND(ISNUMBER(M612),M612&lt;='Scoring Settings'!$B$13)),"High","Medium")))</f>
        <v>Easy</v>
      </c>
      <c r="AN612" s="5"/>
      <c r="AO612" s="7"/>
      <c r="AP612" s="5" t="s">
        <v>84</v>
      </c>
      <c r="AQ612" s="29" t="s">
        <v>273</v>
      </c>
    </row>
    <row r="613" spans="1:43" hidden="1">
      <c r="A613" s="28">
        <v>90284</v>
      </c>
      <c r="B613" s="5" t="s">
        <v>710</v>
      </c>
      <c r="C613" s="5" t="s">
        <v>13</v>
      </c>
      <c r="D613" s="5" t="s">
        <v>162</v>
      </c>
      <c r="E613" s="5" t="s">
        <v>68</v>
      </c>
      <c r="F613" s="5" t="s">
        <v>163</v>
      </c>
      <c r="G613" s="5" t="s">
        <v>210</v>
      </c>
      <c r="H613" s="5" t="s">
        <v>129</v>
      </c>
      <c r="I613" s="6">
        <v>60</v>
      </c>
      <c r="J613" s="7">
        <v>44315</v>
      </c>
      <c r="K613" s="8" t="str">
        <f>IF(B613="","",IF(AND(I613="",J613=""),"Unknown",IF(OR(AND(ISNUMBER(I613),I613=0),AND(ISNUMBER(J613),J613&lt;=EDATE('Scoring Settings'!$B$4,-'Scoring Settings'!$B$5))),"Not in use",IF(AND(ISNUMBER(I613),I613&lt;'Scoring Settings'!$B$6),"Low use","Active"))))</f>
        <v>Active</v>
      </c>
      <c r="L613" s="5">
        <v>5</v>
      </c>
      <c r="M613" s="5">
        <v>2</v>
      </c>
      <c r="N613" s="5" t="s">
        <v>711</v>
      </c>
      <c r="O613" s="5" t="s">
        <v>191</v>
      </c>
      <c r="P613" s="5" t="s">
        <v>192</v>
      </c>
      <c r="Q613" s="9">
        <v>0</v>
      </c>
      <c r="R613" s="5" t="s">
        <v>193</v>
      </c>
      <c r="S613" s="5" t="s">
        <v>318</v>
      </c>
      <c r="T613" s="5" t="s">
        <v>195</v>
      </c>
      <c r="U613" s="7"/>
      <c r="V613" s="5" t="s">
        <v>78</v>
      </c>
      <c r="W613" s="6">
        <v>7</v>
      </c>
      <c r="X613" s="5" t="s">
        <v>79</v>
      </c>
      <c r="Y613" s="9">
        <v>3</v>
      </c>
      <c r="Z613" s="5" t="s">
        <v>80</v>
      </c>
      <c r="AA613" s="5" t="s">
        <v>81</v>
      </c>
      <c r="AB613" s="9">
        <v>21</v>
      </c>
      <c r="AC613" s="5" t="s">
        <v>82</v>
      </c>
      <c r="AD613" s="5" t="s">
        <v>80</v>
      </c>
      <c r="AE613" s="5" t="s">
        <v>79</v>
      </c>
      <c r="AF613" s="10">
        <v>28500</v>
      </c>
      <c r="AG613" s="7">
        <v>46387</v>
      </c>
      <c r="AH613" s="10">
        <v>50500</v>
      </c>
      <c r="AI613" s="10">
        <v>17000</v>
      </c>
      <c r="AJ613" s="11">
        <f t="shared" si="9"/>
        <v>35.647058823529413</v>
      </c>
      <c r="AK613" s="12">
        <f>IF(B613="","",OR(K613="Not in use",K613="Low use")+AND(N613&lt;&gt;"",N613&lt;&gt;"TBD")+AND(ISNUMBER(U613),U613&lt;=EDATE('Scoring Settings'!$B$4,'Scoring Settings'!$B$8))+AND(ISNUMBER(L613),L613&lt;='Scoring Settings'!$B$7))</f>
        <v>1</v>
      </c>
      <c r="AL613" s="5" t="s">
        <v>111</v>
      </c>
      <c r="AM613" s="8" t="str">
        <f>IF(B613="","",IF(Z613="N","Easy",IF(OR(AND(ISNUMBER(AB613),AB613&gt;'Scoring Settings'!$B$11),AND(ISNUMBER(W613),W613&gt;'Scoring Settings'!$B$12),AND(ISNUMBER(M613),M613&lt;='Scoring Settings'!$B$13)),"High","Medium")))</f>
        <v>High</v>
      </c>
      <c r="AN613" s="5"/>
      <c r="AO613" s="7"/>
      <c r="AP613" s="5" t="s">
        <v>98</v>
      </c>
      <c r="AQ613" s="29" t="s">
        <v>159</v>
      </c>
    </row>
    <row r="614" spans="1:43" hidden="1">
      <c r="A614" s="28">
        <v>80390</v>
      </c>
      <c r="B614" s="5" t="s">
        <v>712</v>
      </c>
      <c r="C614" s="5" t="s">
        <v>126</v>
      </c>
      <c r="D614" s="5" t="s">
        <v>88</v>
      </c>
      <c r="E614" s="5" t="s">
        <v>311</v>
      </c>
      <c r="F614" s="5" t="s">
        <v>103</v>
      </c>
      <c r="G614" s="5" t="s">
        <v>128</v>
      </c>
      <c r="H614" s="5" t="s">
        <v>129</v>
      </c>
      <c r="I614" s="6">
        <v>6</v>
      </c>
      <c r="J614" s="7">
        <v>44285</v>
      </c>
      <c r="K614" s="8" t="str">
        <f>IF(B614="","",IF(AND(I614="",J614=""),"Unknown",IF(OR(AND(ISNUMBER(I614),I614=0),AND(ISNUMBER(J614),J614&lt;=EDATE('Scoring Settings'!$B$4,-'Scoring Settings'!$B$5))),"Not in use",IF(AND(ISNUMBER(I614),I614&lt;'Scoring Settings'!$B$6),"Low use","Active"))))</f>
        <v>Low use</v>
      </c>
      <c r="L614" s="5">
        <v>4</v>
      </c>
      <c r="M614" s="5">
        <v>3</v>
      </c>
      <c r="N614" s="5" t="s">
        <v>72</v>
      </c>
      <c r="O614" s="5" t="s">
        <v>73</v>
      </c>
      <c r="P614" s="5" t="s">
        <v>713</v>
      </c>
      <c r="Q614" s="9">
        <v>2</v>
      </c>
      <c r="R614" s="5" t="s">
        <v>203</v>
      </c>
      <c r="S614" s="5" t="s">
        <v>508</v>
      </c>
      <c r="T614" s="5" t="s">
        <v>184</v>
      </c>
      <c r="U614" s="7">
        <v>47269</v>
      </c>
      <c r="V614" s="5" t="s">
        <v>95</v>
      </c>
      <c r="W614" s="6">
        <v>29</v>
      </c>
      <c r="X614" s="5" t="s">
        <v>79</v>
      </c>
      <c r="Y614" s="9">
        <v>5</v>
      </c>
      <c r="Z614" s="5" t="s">
        <v>80</v>
      </c>
      <c r="AA614" s="5" t="s">
        <v>81</v>
      </c>
      <c r="AB614" s="9">
        <v>2</v>
      </c>
      <c r="AC614" s="5" t="s">
        <v>79</v>
      </c>
      <c r="AD614" s="5" t="s">
        <v>82</v>
      </c>
      <c r="AE614" s="5" t="s">
        <v>82</v>
      </c>
      <c r="AF614" s="10">
        <v>50000</v>
      </c>
      <c r="AG614" s="7">
        <v>48913</v>
      </c>
      <c r="AH614" s="10">
        <v>61500</v>
      </c>
      <c r="AI614" s="10">
        <v>29000</v>
      </c>
      <c r="AJ614" s="11">
        <f t="shared" si="9"/>
        <v>25.448275862068964</v>
      </c>
      <c r="AK614" s="12">
        <f>IF(B614="","",OR(K614="Not in use",K614="Low use")+AND(N614&lt;&gt;"",N614&lt;&gt;"TBD")+AND(ISNUMBER(U614),U614&lt;=EDATE('Scoring Settings'!$B$4,'Scoring Settings'!$B$8))+AND(ISNUMBER(L614),L614&lt;='Scoring Settings'!$B$7))</f>
        <v>1</v>
      </c>
      <c r="AL614" s="5" t="s">
        <v>111</v>
      </c>
      <c r="AM614" s="8" t="str">
        <f>IF(B614="","",IF(Z614="N","Easy",IF(OR(AND(ISNUMBER(AB614),AB614&gt;'Scoring Settings'!$B$11),AND(ISNUMBER(W614),W614&gt;'Scoring Settings'!$B$12),AND(ISNUMBER(M614),M614&lt;='Scoring Settings'!$B$13)),"High","Medium")))</f>
        <v>Medium</v>
      </c>
      <c r="AN614" s="5"/>
      <c r="AO614" s="7"/>
      <c r="AP614" s="5" t="s">
        <v>98</v>
      </c>
      <c r="AQ614" s="29" t="s">
        <v>112</v>
      </c>
    </row>
    <row r="615" spans="1:43" hidden="1">
      <c r="A615" s="28">
        <v>131650</v>
      </c>
      <c r="B615" s="5" t="s">
        <v>722</v>
      </c>
      <c r="C615" s="5" t="s">
        <v>305</v>
      </c>
      <c r="D615" s="5" t="s">
        <v>297</v>
      </c>
      <c r="E615" s="5" t="s">
        <v>311</v>
      </c>
      <c r="F615" s="5" t="s">
        <v>263</v>
      </c>
      <c r="G615" s="5" t="s">
        <v>278</v>
      </c>
      <c r="H615" s="5" t="s">
        <v>129</v>
      </c>
      <c r="I615" s="6">
        <v>11</v>
      </c>
      <c r="J615" s="7">
        <v>44242</v>
      </c>
      <c r="K615" s="8" t="str">
        <f>IF(B615="","",IF(AND(I615="",J615=""),"Unknown",IF(OR(AND(ISNUMBER(I615),I615=0),AND(ISNUMBER(J615),J615&lt;=EDATE('Scoring Settings'!$B$4,-'Scoring Settings'!$B$5))),"Not in use",IF(AND(ISNUMBER(I615),I615&lt;'Scoring Settings'!$B$6),"Low use","Active"))))</f>
        <v>Low use</v>
      </c>
      <c r="L615" s="5">
        <v>3</v>
      </c>
      <c r="M615" s="5">
        <v>3</v>
      </c>
      <c r="N615" s="5" t="s">
        <v>723</v>
      </c>
      <c r="O615" s="5" t="s">
        <v>130</v>
      </c>
      <c r="P615" s="5" t="s">
        <v>724</v>
      </c>
      <c r="Q615" s="9">
        <v>1</v>
      </c>
      <c r="R615" s="5" t="s">
        <v>132</v>
      </c>
      <c r="S615" s="5" t="s">
        <v>133</v>
      </c>
      <c r="T615" s="5" t="s">
        <v>134</v>
      </c>
      <c r="U615" s="7">
        <v>44227</v>
      </c>
      <c r="V615" s="5" t="s">
        <v>95</v>
      </c>
      <c r="W615" s="6">
        <v>960</v>
      </c>
      <c r="X615" s="5" t="s">
        <v>80</v>
      </c>
      <c r="Y615" s="9">
        <v>7</v>
      </c>
      <c r="Z615" s="5" t="s">
        <v>80</v>
      </c>
      <c r="AA615" s="5" t="s">
        <v>205</v>
      </c>
      <c r="AB615" s="9">
        <v>8</v>
      </c>
      <c r="AC615" s="5" t="s">
        <v>80</v>
      </c>
      <c r="AD615" s="5" t="s">
        <v>79</v>
      </c>
      <c r="AE615" s="5" t="s">
        <v>80</v>
      </c>
      <c r="AF615" s="10">
        <v>15500</v>
      </c>
      <c r="AG615" s="7">
        <v>47087</v>
      </c>
      <c r="AH615" s="10">
        <v>34000</v>
      </c>
      <c r="AI615" s="10">
        <v>10500</v>
      </c>
      <c r="AJ615" s="11">
        <f t="shared" si="9"/>
        <v>38.857142857142861</v>
      </c>
      <c r="AK615" s="12">
        <f>IF(B615="","",OR(K615="Not in use",K615="Low use")+AND(N615&lt;&gt;"",N615&lt;&gt;"TBD")+AND(ISNUMBER(U615),U615&lt;=EDATE('Scoring Settings'!$B$4,'Scoring Settings'!$B$8))+AND(ISNUMBER(L615),L615&lt;='Scoring Settings'!$B$7))</f>
        <v>3</v>
      </c>
      <c r="AL615" s="5" t="s">
        <v>111</v>
      </c>
      <c r="AM615" s="8" t="str">
        <f>IF(B615="","",IF(Z615="N","Easy",IF(OR(AND(ISNUMBER(AB615),AB615&gt;'Scoring Settings'!$B$11),AND(ISNUMBER(W615),W615&gt;'Scoring Settings'!$B$12),AND(ISNUMBER(M615),M615&lt;='Scoring Settings'!$B$13)),"High","Medium")))</f>
        <v>High</v>
      </c>
      <c r="AN615" s="5"/>
      <c r="AO615" s="7"/>
      <c r="AP615" s="5" t="s">
        <v>98</v>
      </c>
      <c r="AQ615" s="29" t="s">
        <v>159</v>
      </c>
    </row>
    <row r="616" spans="1:43" hidden="1">
      <c r="A616" s="28">
        <v>79052</v>
      </c>
      <c r="B616" s="5" t="s">
        <v>727</v>
      </c>
      <c r="C616" s="5" t="s">
        <v>371</v>
      </c>
      <c r="D616" s="5" t="s">
        <v>162</v>
      </c>
      <c r="E616" s="5" t="s">
        <v>298</v>
      </c>
      <c r="F616" s="5" t="s">
        <v>288</v>
      </c>
      <c r="G616" s="5" t="s">
        <v>153</v>
      </c>
      <c r="H616" s="5" t="s">
        <v>142</v>
      </c>
      <c r="I616" s="6">
        <v>87</v>
      </c>
      <c r="J616" s="7">
        <v>44311</v>
      </c>
      <c r="K616" s="8" t="str">
        <f>IF(B616="","",IF(AND(I616="",J616=""),"Unknown",IF(OR(AND(ISNUMBER(I616),I616=0),AND(ISNUMBER(J616),J616&lt;=EDATE('Scoring Settings'!$B$4,-'Scoring Settings'!$B$5))),"Not in use",IF(AND(ISNUMBER(I616),I616&lt;'Scoring Settings'!$B$6),"Low use","Active"))))</f>
        <v>Active</v>
      </c>
      <c r="L616" s="5">
        <v>4</v>
      </c>
      <c r="M616" s="5">
        <v>2</v>
      </c>
      <c r="N616" s="5" t="s">
        <v>458</v>
      </c>
      <c r="O616" s="5" t="s">
        <v>143</v>
      </c>
      <c r="P616" s="5" t="s">
        <v>144</v>
      </c>
      <c r="Q616" s="9">
        <v>0</v>
      </c>
      <c r="R616" s="5" t="s">
        <v>145</v>
      </c>
      <c r="S616" s="5" t="s">
        <v>145</v>
      </c>
      <c r="T616" s="5" t="s">
        <v>146</v>
      </c>
      <c r="U616" s="7"/>
      <c r="V616" s="5" t="s">
        <v>78</v>
      </c>
      <c r="W616" s="6">
        <v>24</v>
      </c>
      <c r="X616" s="5" t="s">
        <v>79</v>
      </c>
      <c r="Y616" s="9">
        <v>7</v>
      </c>
      <c r="Z616" s="5" t="s">
        <v>79</v>
      </c>
      <c r="AA616" s="5" t="s">
        <v>110</v>
      </c>
      <c r="AB616" s="9">
        <v>29</v>
      </c>
      <c r="AC616" s="5" t="s">
        <v>82</v>
      </c>
      <c r="AD616" s="5" t="s">
        <v>79</v>
      </c>
      <c r="AE616" s="5" t="s">
        <v>80</v>
      </c>
      <c r="AF616" s="10">
        <v>145000</v>
      </c>
      <c r="AG616" s="7">
        <v>48304</v>
      </c>
      <c r="AH616" s="10">
        <v>195500</v>
      </c>
      <c r="AI616" s="10">
        <v>76000</v>
      </c>
      <c r="AJ616" s="11">
        <f t="shared" si="9"/>
        <v>30.868421052631575</v>
      </c>
      <c r="AK616" s="12">
        <f>IF(B616="","",OR(K616="Not in use",K616="Low use")+AND(N616&lt;&gt;"",N616&lt;&gt;"TBD")+AND(ISNUMBER(U616),U616&lt;=EDATE('Scoring Settings'!$B$4,'Scoring Settings'!$B$8))+AND(ISNUMBER(L616),L616&lt;='Scoring Settings'!$B$7))</f>
        <v>1</v>
      </c>
      <c r="AL616" s="5" t="s">
        <v>111</v>
      </c>
      <c r="AM616" s="8" t="str">
        <f>IF(B616="","",IF(Z616="N","Easy",IF(OR(AND(ISNUMBER(AB616),AB616&gt;'Scoring Settings'!$B$11),AND(ISNUMBER(W616),W616&gt;'Scoring Settings'!$B$12),AND(ISNUMBER(M616),M616&lt;='Scoring Settings'!$B$13)),"High","Medium")))</f>
        <v>Easy</v>
      </c>
      <c r="AN616" s="5"/>
      <c r="AO616" s="7"/>
      <c r="AP616" s="5" t="s">
        <v>98</v>
      </c>
      <c r="AQ616" s="29" t="s">
        <v>124</v>
      </c>
    </row>
    <row r="617" spans="1:43" hidden="1">
      <c r="A617" s="28">
        <v>158680</v>
      </c>
      <c r="B617" s="5" t="s">
        <v>730</v>
      </c>
      <c r="C617" s="5" t="s">
        <v>200</v>
      </c>
      <c r="D617" s="5" t="s">
        <v>115</v>
      </c>
      <c r="E617" s="5" t="s">
        <v>68</v>
      </c>
      <c r="F617" s="5" t="s">
        <v>173</v>
      </c>
      <c r="G617" s="5" t="s">
        <v>278</v>
      </c>
      <c r="H617" s="5" t="s">
        <v>142</v>
      </c>
      <c r="I617" s="6">
        <v>0</v>
      </c>
      <c r="J617" s="7">
        <v>43639</v>
      </c>
      <c r="K617" s="8" t="str">
        <f>IF(B617="","",IF(AND(I617="",J617=""),"Unknown",IF(OR(AND(ISNUMBER(I617),I617=0),AND(ISNUMBER(J617),J617&lt;=EDATE('Scoring Settings'!$B$4,-'Scoring Settings'!$B$5))),"Not in use",IF(AND(ISNUMBER(I617),I617&lt;'Scoring Settings'!$B$6),"Low use","Active"))))</f>
        <v>Not in use</v>
      </c>
      <c r="L617" s="5">
        <v>4</v>
      </c>
      <c r="M617" s="5">
        <v>1</v>
      </c>
      <c r="N617" s="5"/>
      <c r="O617" s="5" t="s">
        <v>143</v>
      </c>
      <c r="P617" s="5" t="s">
        <v>144</v>
      </c>
      <c r="Q617" s="9">
        <v>0</v>
      </c>
      <c r="R617" s="5" t="s">
        <v>145</v>
      </c>
      <c r="S617" s="5" t="s">
        <v>145</v>
      </c>
      <c r="T617" s="5" t="s">
        <v>146</v>
      </c>
      <c r="U617" s="7">
        <v>45688</v>
      </c>
      <c r="V617" s="5" t="s">
        <v>135</v>
      </c>
      <c r="W617" s="6">
        <v>360</v>
      </c>
      <c r="X617" s="5" t="s">
        <v>79</v>
      </c>
      <c r="Y617" s="9">
        <v>3</v>
      </c>
      <c r="Z617" s="5" t="s">
        <v>80</v>
      </c>
      <c r="AA617" s="5" t="s">
        <v>205</v>
      </c>
      <c r="AB617" s="9">
        <v>74</v>
      </c>
      <c r="AC617" s="5" t="s">
        <v>82</v>
      </c>
      <c r="AD617" s="5" t="s">
        <v>80</v>
      </c>
      <c r="AE617" s="5" t="s">
        <v>79</v>
      </c>
      <c r="AF617" s="10">
        <v>70000</v>
      </c>
      <c r="AG617" s="7">
        <v>48213</v>
      </c>
      <c r="AH617" s="10">
        <v>206000</v>
      </c>
      <c r="AI617" s="10">
        <v>35000</v>
      </c>
      <c r="AJ617" s="11">
        <f t="shared" si="9"/>
        <v>70.628571428571433</v>
      </c>
      <c r="AK617" s="12">
        <f>IF(B617="","",OR(K617="Not in use",K617="Low use")+AND(N617&lt;&gt;"",N617&lt;&gt;"TBD")+AND(ISNUMBER(U617),U617&lt;=EDATE('Scoring Settings'!$B$4,'Scoring Settings'!$B$8))+AND(ISNUMBER(L617),L617&lt;='Scoring Settings'!$B$7))</f>
        <v>1</v>
      </c>
      <c r="AL617" s="5" t="s">
        <v>111</v>
      </c>
      <c r="AM617" s="8" t="str">
        <f>IF(B617="","",IF(Z617="N","Easy",IF(OR(AND(ISNUMBER(AB617),AB617&gt;'Scoring Settings'!$B$11),AND(ISNUMBER(W617),W617&gt;'Scoring Settings'!$B$12),AND(ISNUMBER(M617),M617&lt;='Scoring Settings'!$B$13)),"High","Medium")))</f>
        <v>High</v>
      </c>
      <c r="AN617" s="5"/>
      <c r="AO617" s="7"/>
      <c r="AP617" s="5" t="s">
        <v>98</v>
      </c>
      <c r="AQ617" s="29" t="s">
        <v>124</v>
      </c>
    </row>
    <row r="618" spans="1:43" hidden="1">
      <c r="A618" s="28">
        <v>92414</v>
      </c>
      <c r="B618" s="5" t="s">
        <v>733</v>
      </c>
      <c r="C618" s="5" t="s">
        <v>220</v>
      </c>
      <c r="D618" s="5" t="s">
        <v>139</v>
      </c>
      <c r="E618" s="5" t="s">
        <v>68</v>
      </c>
      <c r="F618" s="5" t="s">
        <v>312</v>
      </c>
      <c r="G618" s="5" t="s">
        <v>104</v>
      </c>
      <c r="H618" s="5" t="s">
        <v>129</v>
      </c>
      <c r="I618" s="6">
        <v>45</v>
      </c>
      <c r="J618" s="7">
        <v>44305</v>
      </c>
      <c r="K618" s="8" t="str">
        <f>IF(B618="","",IF(AND(I618="",J618=""),"Unknown",IF(OR(AND(ISNUMBER(I618),I618=0),AND(ISNUMBER(J618),J618&lt;=EDATE('Scoring Settings'!$B$4,-'Scoring Settings'!$B$5))),"Not in use",IF(AND(ISNUMBER(I618),I618&lt;'Scoring Settings'!$B$6),"Low use","Active"))))</f>
        <v>Active</v>
      </c>
      <c r="L618" s="5">
        <v>4</v>
      </c>
      <c r="M618" s="5">
        <v>2</v>
      </c>
      <c r="N618" s="5"/>
      <c r="O618" s="5" t="s">
        <v>73</v>
      </c>
      <c r="P618" s="5" t="s">
        <v>734</v>
      </c>
      <c r="Q618" s="9">
        <v>2</v>
      </c>
      <c r="R618" s="5" t="s">
        <v>182</v>
      </c>
      <c r="S618" s="5" t="s">
        <v>183</v>
      </c>
      <c r="T618" s="5" t="s">
        <v>184</v>
      </c>
      <c r="U618" s="7">
        <v>42855</v>
      </c>
      <c r="V618" s="5" t="s">
        <v>135</v>
      </c>
      <c r="W618" s="6">
        <v>470</v>
      </c>
      <c r="X618" s="5" t="s">
        <v>79</v>
      </c>
      <c r="Y618" s="9">
        <v>5</v>
      </c>
      <c r="Z618" s="5" t="s">
        <v>80</v>
      </c>
      <c r="AA618" s="5" t="s">
        <v>205</v>
      </c>
      <c r="AB618" s="9">
        <v>8</v>
      </c>
      <c r="AC618" s="5" t="s">
        <v>79</v>
      </c>
      <c r="AD618" s="5" t="s">
        <v>82</v>
      </c>
      <c r="AE618" s="5" t="s">
        <v>80</v>
      </c>
      <c r="AF618" s="10">
        <v>70000</v>
      </c>
      <c r="AG618" s="7">
        <v>48304</v>
      </c>
      <c r="AH618" s="10"/>
      <c r="AI618" s="10"/>
      <c r="AJ618" s="11" t="str">
        <f t="shared" si="9"/>
        <v/>
      </c>
      <c r="AK618" s="12">
        <f>IF(B618="","",OR(K618="Not in use",K618="Low use")+AND(N618&lt;&gt;"",N618&lt;&gt;"TBD")+AND(ISNUMBER(U618),U618&lt;=EDATE('Scoring Settings'!$B$4,'Scoring Settings'!$B$8))+AND(ISNUMBER(L618),L618&lt;='Scoring Settings'!$B$7))</f>
        <v>1</v>
      </c>
      <c r="AL618" s="5" t="s">
        <v>111</v>
      </c>
      <c r="AM618" s="8" t="str">
        <f>IF(B618="","",IF(Z618="N","Easy",IF(OR(AND(ISNUMBER(AB618),AB618&gt;'Scoring Settings'!$B$11),AND(ISNUMBER(W618),W618&gt;'Scoring Settings'!$B$12),AND(ISNUMBER(M618),M618&lt;='Scoring Settings'!$B$13)),"High","Medium")))</f>
        <v>High</v>
      </c>
      <c r="AN618" s="5"/>
      <c r="AO618" s="7"/>
      <c r="AP618" s="5" t="s">
        <v>98</v>
      </c>
      <c r="AQ618" s="29" t="s">
        <v>159</v>
      </c>
    </row>
    <row r="619" spans="1:43" hidden="1">
      <c r="A619" s="28">
        <v>79668</v>
      </c>
      <c r="B619" s="5" t="s">
        <v>735</v>
      </c>
      <c r="C619" s="5" t="s">
        <v>87</v>
      </c>
      <c r="D619" s="5" t="s">
        <v>88</v>
      </c>
      <c r="E619" s="5" t="s">
        <v>68</v>
      </c>
      <c r="F619" s="5" t="s">
        <v>419</v>
      </c>
      <c r="G619" s="5" t="s">
        <v>404</v>
      </c>
      <c r="H619" s="5" t="s">
        <v>189</v>
      </c>
      <c r="I619" s="6">
        <v>766</v>
      </c>
      <c r="J619" s="7">
        <v>44313</v>
      </c>
      <c r="K619" s="8" t="str">
        <f>IF(B619="","",IF(AND(I619="",J619=""),"Unknown",IF(OR(AND(ISNUMBER(I619),I619=0),AND(ISNUMBER(J619),J619&lt;=EDATE('Scoring Settings'!$B$4,-'Scoring Settings'!$B$5))),"Not in use",IF(AND(ISNUMBER(I619),I619&lt;'Scoring Settings'!$B$6),"Low use","Active"))))</f>
        <v>Active</v>
      </c>
      <c r="L619" s="5">
        <v>3</v>
      </c>
      <c r="M619" s="5">
        <v>3</v>
      </c>
      <c r="N619" s="5" t="s">
        <v>72</v>
      </c>
      <c r="O619" s="5" t="s">
        <v>191</v>
      </c>
      <c r="P619" s="5" t="s">
        <v>192</v>
      </c>
      <c r="Q619" s="9">
        <v>0</v>
      </c>
      <c r="R619" s="5" t="s">
        <v>193</v>
      </c>
      <c r="S619" s="5" t="s">
        <v>194</v>
      </c>
      <c r="T619" s="5" t="s">
        <v>195</v>
      </c>
      <c r="U619" s="7"/>
      <c r="V619" s="5" t="s">
        <v>135</v>
      </c>
      <c r="W619" s="6">
        <v>420</v>
      </c>
      <c r="X619" s="5" t="s">
        <v>79</v>
      </c>
      <c r="Y619" s="9">
        <v>3</v>
      </c>
      <c r="Z619" s="5" t="s">
        <v>80</v>
      </c>
      <c r="AA619" s="5" t="s">
        <v>123</v>
      </c>
      <c r="AB619" s="9">
        <v>3</v>
      </c>
      <c r="AC619" s="5" t="s">
        <v>80</v>
      </c>
      <c r="AD619" s="5" t="s">
        <v>79</v>
      </c>
      <c r="AE619" s="5" t="s">
        <v>79</v>
      </c>
      <c r="AF619" s="10">
        <v>17000</v>
      </c>
      <c r="AG619" s="7">
        <v>47787</v>
      </c>
      <c r="AH619" s="10"/>
      <c r="AI619" s="10"/>
      <c r="AJ619" s="11" t="str">
        <f t="shared" si="9"/>
        <v/>
      </c>
      <c r="AK619" s="12">
        <f>IF(B619="","",OR(K619="Not in use",K619="Low use")+AND(N619&lt;&gt;"",N619&lt;&gt;"TBD")+AND(ISNUMBER(U619),U619&lt;=EDATE('Scoring Settings'!$B$4,'Scoring Settings'!$B$8))+AND(ISNUMBER(L619),L619&lt;='Scoring Settings'!$B$7))</f>
        <v>0</v>
      </c>
      <c r="AL619" s="5" t="s">
        <v>111</v>
      </c>
      <c r="AM619" s="8" t="str">
        <f>IF(B619="","",IF(Z619="N","Easy",IF(OR(AND(ISNUMBER(AB619),AB619&gt;'Scoring Settings'!$B$11),AND(ISNUMBER(W619),W619&gt;'Scoring Settings'!$B$12),AND(ISNUMBER(M619),M619&lt;='Scoring Settings'!$B$13)),"High","Medium")))</f>
        <v>Medium</v>
      </c>
      <c r="AN619" s="5"/>
      <c r="AO619" s="7"/>
      <c r="AP619" s="5" t="s">
        <v>98</v>
      </c>
      <c r="AQ619" s="29" t="s">
        <v>159</v>
      </c>
    </row>
    <row r="620" spans="1:43" hidden="1">
      <c r="A620" s="28">
        <v>147357</v>
      </c>
      <c r="B620" s="5" t="s">
        <v>739</v>
      </c>
      <c r="C620" s="5" t="s">
        <v>262</v>
      </c>
      <c r="D620" s="5" t="s">
        <v>67</v>
      </c>
      <c r="E620" s="5" t="s">
        <v>311</v>
      </c>
      <c r="F620" s="5" t="s">
        <v>560</v>
      </c>
      <c r="G620" s="5" t="s">
        <v>284</v>
      </c>
      <c r="H620" s="5" t="s">
        <v>118</v>
      </c>
      <c r="I620" s="6">
        <v>277</v>
      </c>
      <c r="J620" s="7">
        <v>44296</v>
      </c>
      <c r="K620" s="8" t="str">
        <f>IF(B620="","",IF(AND(I620="",J620=""),"Unknown",IF(OR(AND(ISNUMBER(I620),I620=0),AND(ISNUMBER(J620),J620&lt;=EDATE('Scoring Settings'!$B$4,-'Scoring Settings'!$B$5))),"Not in use",IF(AND(ISNUMBER(I620),I620&lt;'Scoring Settings'!$B$6),"Low use","Active"))))</f>
        <v>Active</v>
      </c>
      <c r="L620" s="5">
        <v>3</v>
      </c>
      <c r="M620" s="5">
        <v>4</v>
      </c>
      <c r="N620" s="5" t="s">
        <v>501</v>
      </c>
      <c r="O620" s="5" t="s">
        <v>130</v>
      </c>
      <c r="P620" s="5" t="s">
        <v>740</v>
      </c>
      <c r="Q620" s="9">
        <v>4</v>
      </c>
      <c r="R620" s="5" t="s">
        <v>203</v>
      </c>
      <c r="S620" s="5" t="s">
        <v>204</v>
      </c>
      <c r="T620" s="5" t="s">
        <v>134</v>
      </c>
      <c r="U620" s="7">
        <v>47269</v>
      </c>
      <c r="V620" s="5" t="s">
        <v>135</v>
      </c>
      <c r="W620" s="6">
        <v>180</v>
      </c>
      <c r="X620" s="5" t="s">
        <v>80</v>
      </c>
      <c r="Y620" s="9">
        <v>7</v>
      </c>
      <c r="Z620" s="5" t="s">
        <v>80</v>
      </c>
      <c r="AA620" s="5" t="s">
        <v>81</v>
      </c>
      <c r="AB620" s="9">
        <v>3</v>
      </c>
      <c r="AC620" s="5" t="s">
        <v>82</v>
      </c>
      <c r="AD620" s="5" t="s">
        <v>80</v>
      </c>
      <c r="AE620" s="5" t="s">
        <v>79</v>
      </c>
      <c r="AF620" s="10">
        <v>34000</v>
      </c>
      <c r="AG620" s="7">
        <v>48121</v>
      </c>
      <c r="AH620" s="10">
        <v>47500</v>
      </c>
      <c r="AI620" s="10">
        <v>25500</v>
      </c>
      <c r="AJ620" s="11">
        <f t="shared" si="9"/>
        <v>22.352941176470587</v>
      </c>
      <c r="AK620" s="12">
        <f>IF(B620="","",OR(K620="Not in use",K620="Low use")+AND(N620&lt;&gt;"",N620&lt;&gt;"TBD")+AND(ISNUMBER(U620),U620&lt;=EDATE('Scoring Settings'!$B$4,'Scoring Settings'!$B$8))+AND(ISNUMBER(L620),L620&lt;='Scoring Settings'!$B$7))</f>
        <v>1</v>
      </c>
      <c r="AL620" s="5" t="s">
        <v>111</v>
      </c>
      <c r="AM620" s="8" t="str">
        <f>IF(B620="","",IF(Z620="N","Easy",IF(OR(AND(ISNUMBER(AB620),AB620&gt;'Scoring Settings'!$B$11),AND(ISNUMBER(W620),W620&gt;'Scoring Settings'!$B$12),AND(ISNUMBER(M620),M620&lt;='Scoring Settings'!$B$13)),"High","Medium")))</f>
        <v>Medium</v>
      </c>
      <c r="AN620" s="5"/>
      <c r="AO620" s="7"/>
      <c r="AP620" s="5" t="s">
        <v>98</v>
      </c>
      <c r="AQ620" s="29" t="s">
        <v>124</v>
      </c>
    </row>
    <row r="621" spans="1:43" ht="42.75" hidden="1">
      <c r="A621" s="28">
        <v>117755</v>
      </c>
      <c r="B621" s="5" t="s">
        <v>748</v>
      </c>
      <c r="C621" s="5" t="s">
        <v>66</v>
      </c>
      <c r="D621" s="5" t="s">
        <v>67</v>
      </c>
      <c r="E621" s="5" t="s">
        <v>68</v>
      </c>
      <c r="F621" s="5" t="s">
        <v>346</v>
      </c>
      <c r="G621" s="5" t="s">
        <v>356</v>
      </c>
      <c r="H621" s="5" t="s">
        <v>105</v>
      </c>
      <c r="I621" s="6">
        <v>28</v>
      </c>
      <c r="J621" s="7">
        <v>44296</v>
      </c>
      <c r="K621" s="8" t="str">
        <f>IF(B621="","",IF(AND(I621="",J621=""),"Unknown",IF(OR(AND(ISNUMBER(I621),I621=0),AND(ISNUMBER(J621),J621&lt;=EDATE('Scoring Settings'!$B$4,-'Scoring Settings'!$B$5))),"Not in use",IF(AND(ISNUMBER(I621),I621&lt;'Scoring Settings'!$B$6),"Low use","Active"))))</f>
        <v>Active</v>
      </c>
      <c r="L621" s="5">
        <v>2</v>
      </c>
      <c r="M621" s="5">
        <v>4</v>
      </c>
      <c r="N621" s="5"/>
      <c r="O621" s="5" t="s">
        <v>73</v>
      </c>
      <c r="P621" s="5" t="s">
        <v>749</v>
      </c>
      <c r="Q621" s="9">
        <v>4</v>
      </c>
      <c r="R621" s="5" t="s">
        <v>93</v>
      </c>
      <c r="S621" s="5" t="s">
        <v>94</v>
      </c>
      <c r="T621" s="5" t="s">
        <v>184</v>
      </c>
      <c r="U621" s="7">
        <v>44561</v>
      </c>
      <c r="V621" s="5" t="s">
        <v>95</v>
      </c>
      <c r="W621" s="6">
        <v>160</v>
      </c>
      <c r="X621" s="5" t="s">
        <v>79</v>
      </c>
      <c r="Y621" s="9">
        <v>5</v>
      </c>
      <c r="Z621" s="5" t="s">
        <v>79</v>
      </c>
      <c r="AA621" s="5" t="s">
        <v>110</v>
      </c>
      <c r="AB621" s="9">
        <v>3</v>
      </c>
      <c r="AC621" s="5" t="s">
        <v>82</v>
      </c>
      <c r="AD621" s="5" t="s">
        <v>79</v>
      </c>
      <c r="AE621" s="5" t="s">
        <v>79</v>
      </c>
      <c r="AF621" s="10">
        <v>65000</v>
      </c>
      <c r="AG621" s="7">
        <v>49368</v>
      </c>
      <c r="AH621" s="10"/>
      <c r="AI621" s="10"/>
      <c r="AJ621" s="11" t="str">
        <f t="shared" si="9"/>
        <v/>
      </c>
      <c r="AK621" s="12">
        <f>IF(B621="","",OR(K621="Not in use",K621="Low use")+AND(N621&lt;&gt;"",N621&lt;&gt;"TBD")+AND(ISNUMBER(U621),U621&lt;=EDATE('Scoring Settings'!$B$4,'Scoring Settings'!$B$8))+AND(ISNUMBER(L621),L621&lt;='Scoring Settings'!$B$7))</f>
        <v>2</v>
      </c>
      <c r="AL621" s="5" t="s">
        <v>111</v>
      </c>
      <c r="AM621" s="8" t="str">
        <f>IF(B621="","",IF(Z621="N","Easy",IF(OR(AND(ISNUMBER(AB621),AB621&gt;'Scoring Settings'!$B$11),AND(ISNUMBER(W621),W621&gt;'Scoring Settings'!$B$12),AND(ISNUMBER(M621),M621&lt;='Scoring Settings'!$B$13)),"High","Medium")))</f>
        <v>Easy</v>
      </c>
      <c r="AN621" s="5"/>
      <c r="AO621" s="7"/>
      <c r="AP621" s="5" t="s">
        <v>98</v>
      </c>
      <c r="AQ621" s="29" t="s">
        <v>750</v>
      </c>
    </row>
    <row r="622" spans="1:43" hidden="1">
      <c r="A622" s="28">
        <v>162163</v>
      </c>
      <c r="B622" s="5" t="s">
        <v>751</v>
      </c>
      <c r="C622" s="5" t="s">
        <v>699</v>
      </c>
      <c r="D622" s="5" t="s">
        <v>297</v>
      </c>
      <c r="E622" s="5" t="s">
        <v>68</v>
      </c>
      <c r="F622" s="5" t="s">
        <v>302</v>
      </c>
      <c r="G622" s="5" t="s">
        <v>70</v>
      </c>
      <c r="H622" s="5" t="s">
        <v>118</v>
      </c>
      <c r="I622" s="6">
        <v>25</v>
      </c>
      <c r="J622" s="7">
        <v>44305</v>
      </c>
      <c r="K622" s="8" t="str">
        <f>IF(B622="","",IF(AND(I622="",J622=""),"Unknown",IF(OR(AND(ISNUMBER(I622),I622=0),AND(ISNUMBER(J622),J622&lt;=EDATE('Scoring Settings'!$B$4,-'Scoring Settings'!$B$5))),"Not in use",IF(AND(ISNUMBER(I622),I622&lt;'Scoring Settings'!$B$6),"Low use","Active"))))</f>
        <v>Active</v>
      </c>
      <c r="L622" s="5">
        <v>3</v>
      </c>
      <c r="M622" s="5">
        <v>3</v>
      </c>
      <c r="N622" s="5"/>
      <c r="O622" s="5" t="s">
        <v>191</v>
      </c>
      <c r="P622" s="5" t="s">
        <v>192</v>
      </c>
      <c r="Q622" s="9">
        <v>0</v>
      </c>
      <c r="R622" s="5" t="s">
        <v>193</v>
      </c>
      <c r="S622" s="5" t="s">
        <v>318</v>
      </c>
      <c r="T622" s="5" t="s">
        <v>195</v>
      </c>
      <c r="U622" s="7">
        <v>44742</v>
      </c>
      <c r="V622" s="5" t="s">
        <v>95</v>
      </c>
      <c r="W622" s="6">
        <v>61</v>
      </c>
      <c r="X622" s="5" t="s">
        <v>80</v>
      </c>
      <c r="Y622" s="9">
        <v>10</v>
      </c>
      <c r="Z622" s="5" t="s">
        <v>80</v>
      </c>
      <c r="AA622" s="5" t="s">
        <v>123</v>
      </c>
      <c r="AB622" s="9">
        <v>4</v>
      </c>
      <c r="AC622" s="5" t="s">
        <v>80</v>
      </c>
      <c r="AD622" s="5" t="s">
        <v>82</v>
      </c>
      <c r="AE622" s="5" t="s">
        <v>79</v>
      </c>
      <c r="AF622" s="10">
        <v>21500</v>
      </c>
      <c r="AG622" s="7">
        <v>48883</v>
      </c>
      <c r="AH622" s="10"/>
      <c r="AI622" s="10"/>
      <c r="AJ622" s="11" t="str">
        <f t="shared" si="9"/>
        <v/>
      </c>
      <c r="AK622" s="12">
        <f>IF(B622="","",OR(K622="Not in use",K622="Low use")+AND(N622&lt;&gt;"",N622&lt;&gt;"TBD")+AND(ISNUMBER(U622),U622&lt;=EDATE('Scoring Settings'!$B$4,'Scoring Settings'!$B$8))+AND(ISNUMBER(L622),L622&lt;='Scoring Settings'!$B$7))</f>
        <v>0</v>
      </c>
      <c r="AL622" s="5" t="s">
        <v>83</v>
      </c>
      <c r="AM622" s="8" t="str">
        <f>IF(B622="","",IF(Z622="N","Easy",IF(OR(AND(ISNUMBER(AB622),AB622&gt;'Scoring Settings'!$B$11),AND(ISNUMBER(W622),W622&gt;'Scoring Settings'!$B$12),AND(ISNUMBER(M622),M622&lt;='Scoring Settings'!$B$13)),"High","Medium")))</f>
        <v>Medium</v>
      </c>
      <c r="AN622" s="5"/>
      <c r="AO622" s="7"/>
      <c r="AP622" s="5" t="s">
        <v>84</v>
      </c>
      <c r="AQ622" s="29" t="s">
        <v>85</v>
      </c>
    </row>
    <row r="623" spans="1:43" hidden="1">
      <c r="A623" s="28">
        <v>110312</v>
      </c>
      <c r="B623" s="5" t="s">
        <v>752</v>
      </c>
      <c r="C623" s="5" t="s">
        <v>409</v>
      </c>
      <c r="D623" s="5" t="s">
        <v>115</v>
      </c>
      <c r="E623" s="5" t="s">
        <v>68</v>
      </c>
      <c r="F623" s="5" t="s">
        <v>103</v>
      </c>
      <c r="G623" s="5" t="s">
        <v>221</v>
      </c>
      <c r="H623" s="5" t="s">
        <v>105</v>
      </c>
      <c r="I623" s="6">
        <v>644</v>
      </c>
      <c r="J623" s="7">
        <v>44286</v>
      </c>
      <c r="K623" s="8" t="str">
        <f>IF(B623="","",IF(AND(I623="",J623=""),"Unknown",IF(OR(AND(ISNUMBER(I623),I623=0),AND(ISNUMBER(J623),J623&lt;=EDATE('Scoring Settings'!$B$4,-'Scoring Settings'!$B$5))),"Not in use",IF(AND(ISNUMBER(I623),I623&lt;'Scoring Settings'!$B$6),"Low use","Active"))))</f>
        <v>Active</v>
      </c>
      <c r="L623" s="5">
        <v>5</v>
      </c>
      <c r="M623" s="5">
        <v>1</v>
      </c>
      <c r="N623" s="5"/>
      <c r="O623" s="5" t="s">
        <v>191</v>
      </c>
      <c r="P623" s="5" t="s">
        <v>192</v>
      </c>
      <c r="Q623" s="9">
        <v>0</v>
      </c>
      <c r="R623" s="5" t="s">
        <v>193</v>
      </c>
      <c r="S623" s="5" t="s">
        <v>194</v>
      </c>
      <c r="T623" s="5" t="s">
        <v>195</v>
      </c>
      <c r="U623" s="7"/>
      <c r="V623" s="5" t="s">
        <v>95</v>
      </c>
      <c r="W623" s="6">
        <v>610</v>
      </c>
      <c r="X623" s="5" t="s">
        <v>80</v>
      </c>
      <c r="Y623" s="9">
        <v>5</v>
      </c>
      <c r="Z623" s="5" t="s">
        <v>80</v>
      </c>
      <c r="AA623" s="5" t="s">
        <v>205</v>
      </c>
      <c r="AB623" s="9">
        <v>18</v>
      </c>
      <c r="AC623" s="5" t="s">
        <v>79</v>
      </c>
      <c r="AD623" s="5" t="s">
        <v>79</v>
      </c>
      <c r="AE623" s="5" t="s">
        <v>79</v>
      </c>
      <c r="AF623" s="10">
        <v>37500</v>
      </c>
      <c r="AG623" s="7">
        <v>48121</v>
      </c>
      <c r="AH623" s="10"/>
      <c r="AI623" s="10"/>
      <c r="AJ623" s="11" t="str">
        <f t="shared" si="9"/>
        <v/>
      </c>
      <c r="AK623" s="12">
        <f>IF(B623="","",OR(K623="Not in use",K623="Low use")+AND(N623&lt;&gt;"",N623&lt;&gt;"TBD")+AND(ISNUMBER(U623),U623&lt;=EDATE('Scoring Settings'!$B$4,'Scoring Settings'!$B$8))+AND(ISNUMBER(L623),L623&lt;='Scoring Settings'!$B$7))</f>
        <v>0</v>
      </c>
      <c r="AL623" s="5" t="s">
        <v>83</v>
      </c>
      <c r="AM623" s="8" t="str">
        <f>IF(B623="","",IF(Z623="N","Easy",IF(OR(AND(ISNUMBER(AB623),AB623&gt;'Scoring Settings'!$B$11),AND(ISNUMBER(W623),W623&gt;'Scoring Settings'!$B$12),AND(ISNUMBER(M623),M623&lt;='Scoring Settings'!$B$13)),"High","Medium")))</f>
        <v>High</v>
      </c>
      <c r="AN623" s="5"/>
      <c r="AO623" s="7"/>
      <c r="AP623" s="5" t="s">
        <v>98</v>
      </c>
      <c r="AQ623" s="29" t="s">
        <v>85</v>
      </c>
    </row>
    <row r="624" spans="1:43" hidden="1">
      <c r="A624" s="28">
        <v>96328</v>
      </c>
      <c r="B624" s="5" t="s">
        <v>753</v>
      </c>
      <c r="C624" s="5" t="s">
        <v>557</v>
      </c>
      <c r="D624" s="5" t="s">
        <v>297</v>
      </c>
      <c r="E624" s="5" t="s">
        <v>68</v>
      </c>
      <c r="F624" s="5" t="s">
        <v>387</v>
      </c>
      <c r="G624" s="5" t="s">
        <v>117</v>
      </c>
      <c r="H624" s="5" t="s">
        <v>142</v>
      </c>
      <c r="I624" s="6">
        <v>326</v>
      </c>
      <c r="J624" s="7">
        <v>44303</v>
      </c>
      <c r="K624" s="8" t="str">
        <f>IF(B624="","",IF(AND(I624="",J624=""),"Unknown",IF(OR(AND(ISNUMBER(I624),I624=0),AND(ISNUMBER(J624),J624&lt;=EDATE('Scoring Settings'!$B$4,-'Scoring Settings'!$B$5))),"Not in use",IF(AND(ISNUMBER(I624),I624&lt;'Scoring Settings'!$B$6),"Low use","Active"))))</f>
        <v>Active</v>
      </c>
      <c r="L624" s="5">
        <v>5</v>
      </c>
      <c r="M624" s="5">
        <v>2</v>
      </c>
      <c r="N624" s="5" t="s">
        <v>617</v>
      </c>
      <c r="O624" s="5" t="s">
        <v>143</v>
      </c>
      <c r="P624" s="5" t="s">
        <v>144</v>
      </c>
      <c r="Q624" s="9">
        <v>0</v>
      </c>
      <c r="R624" s="5" t="s">
        <v>145</v>
      </c>
      <c r="S624" s="5" t="s">
        <v>145</v>
      </c>
      <c r="T624" s="5" t="s">
        <v>146</v>
      </c>
      <c r="U624" s="7"/>
      <c r="V624" s="5" t="s">
        <v>135</v>
      </c>
      <c r="W624" s="6">
        <v>130</v>
      </c>
      <c r="X624" s="5" t="s">
        <v>80</v>
      </c>
      <c r="Y624" s="9">
        <v>10</v>
      </c>
      <c r="Z624" s="5" t="s">
        <v>79</v>
      </c>
      <c r="AA624" s="5" t="s">
        <v>110</v>
      </c>
      <c r="AB624" s="9">
        <v>12</v>
      </c>
      <c r="AC624" s="5" t="s">
        <v>82</v>
      </c>
      <c r="AD624" s="5" t="s">
        <v>79</v>
      </c>
      <c r="AE624" s="5" t="s">
        <v>82</v>
      </c>
      <c r="AF624" s="10">
        <v>26500</v>
      </c>
      <c r="AG624" s="7">
        <v>47756</v>
      </c>
      <c r="AH624" s="10"/>
      <c r="AI624" s="10"/>
      <c r="AJ624" s="11" t="str">
        <f t="shared" si="9"/>
        <v/>
      </c>
      <c r="AK624" s="12">
        <f>IF(B624="","",OR(K624="Not in use",K624="Low use")+AND(N624&lt;&gt;"",N624&lt;&gt;"TBD")+AND(ISNUMBER(U624),U624&lt;=EDATE('Scoring Settings'!$B$4,'Scoring Settings'!$B$8))+AND(ISNUMBER(L624),L624&lt;='Scoring Settings'!$B$7))</f>
        <v>1</v>
      </c>
      <c r="AL624" s="5" t="s">
        <v>111</v>
      </c>
      <c r="AM624" s="8" t="str">
        <f>IF(B624="","",IF(Z624="N","Easy",IF(OR(AND(ISNUMBER(AB624),AB624&gt;'Scoring Settings'!$B$11),AND(ISNUMBER(W624),W624&gt;'Scoring Settings'!$B$12),AND(ISNUMBER(M624),M624&lt;='Scoring Settings'!$B$13)),"High","Medium")))</f>
        <v>Easy</v>
      </c>
      <c r="AN624" s="5"/>
      <c r="AO624" s="7"/>
      <c r="AP624" s="5" t="s">
        <v>98</v>
      </c>
      <c r="AQ624" s="29" t="s">
        <v>159</v>
      </c>
    </row>
    <row r="625" spans="1:43" hidden="1">
      <c r="A625" s="28">
        <v>19334</v>
      </c>
      <c r="B625" s="5" t="s">
        <v>754</v>
      </c>
      <c r="C625" s="5" t="s">
        <v>114</v>
      </c>
      <c r="D625" s="5" t="s">
        <v>115</v>
      </c>
      <c r="E625" s="5" t="s">
        <v>311</v>
      </c>
      <c r="F625" s="5" t="s">
        <v>103</v>
      </c>
      <c r="G625" s="5" t="s">
        <v>117</v>
      </c>
      <c r="H625" s="5" t="s">
        <v>174</v>
      </c>
      <c r="I625" s="6">
        <v>2914</v>
      </c>
      <c r="J625" s="7">
        <v>44275</v>
      </c>
      <c r="K625" s="8" t="str">
        <f>IF(B625="","",IF(AND(I625="",J625=""),"Unknown",IF(OR(AND(ISNUMBER(I625),I625=0),AND(ISNUMBER(J625),J625&lt;=EDATE('Scoring Settings'!$B$4,-'Scoring Settings'!$B$5))),"Not in use",IF(AND(ISNUMBER(I625),I625&lt;'Scoring Settings'!$B$6),"Low use","Active"))))</f>
        <v>Active</v>
      </c>
      <c r="L625" s="5">
        <v>5</v>
      </c>
      <c r="M625" s="5">
        <v>1</v>
      </c>
      <c r="N625" s="5" t="s">
        <v>755</v>
      </c>
      <c r="O625" s="5" t="s">
        <v>73</v>
      </c>
      <c r="P625" s="5" t="s">
        <v>756</v>
      </c>
      <c r="Q625" s="9">
        <v>6</v>
      </c>
      <c r="R625" s="5" t="s">
        <v>256</v>
      </c>
      <c r="S625" s="5" t="s">
        <v>257</v>
      </c>
      <c r="T625" s="5" t="s">
        <v>109</v>
      </c>
      <c r="U625" s="7">
        <v>45077</v>
      </c>
      <c r="V625" s="5" t="s">
        <v>135</v>
      </c>
      <c r="W625" s="6">
        <v>130</v>
      </c>
      <c r="X625" s="5" t="s">
        <v>79</v>
      </c>
      <c r="Y625" s="9">
        <v>2</v>
      </c>
      <c r="Z625" s="5" t="s">
        <v>80</v>
      </c>
      <c r="AA625" s="5" t="s">
        <v>185</v>
      </c>
      <c r="AB625" s="9">
        <v>43</v>
      </c>
      <c r="AC625" s="5" t="s">
        <v>82</v>
      </c>
      <c r="AD625" s="5" t="s">
        <v>80</v>
      </c>
      <c r="AE625" s="5" t="s">
        <v>79</v>
      </c>
      <c r="AF625" s="10">
        <v>120000</v>
      </c>
      <c r="AG625" s="7">
        <v>45900</v>
      </c>
      <c r="AH625" s="10"/>
      <c r="AI625" s="10"/>
      <c r="AJ625" s="11" t="str">
        <f t="shared" si="9"/>
        <v/>
      </c>
      <c r="AK625" s="12">
        <f>IF(B625="","",OR(K625="Not in use",K625="Low use")+AND(N625&lt;&gt;"",N625&lt;&gt;"TBD")+AND(ISNUMBER(U625),U625&lt;=EDATE('Scoring Settings'!$B$4,'Scoring Settings'!$B$8))+AND(ISNUMBER(L625),L625&lt;='Scoring Settings'!$B$7))</f>
        <v>1</v>
      </c>
      <c r="AL625" s="5" t="s">
        <v>111</v>
      </c>
      <c r="AM625" s="8" t="str">
        <f>IF(B625="","",IF(Z625="N","Easy",IF(OR(AND(ISNUMBER(AB625),AB625&gt;'Scoring Settings'!$B$11),AND(ISNUMBER(W625),W625&gt;'Scoring Settings'!$B$12),AND(ISNUMBER(M625),M625&lt;='Scoring Settings'!$B$13)),"High","Medium")))</f>
        <v>High</v>
      </c>
      <c r="AN625" s="5"/>
      <c r="AO625" s="7"/>
      <c r="AP625" s="5" t="s">
        <v>98</v>
      </c>
      <c r="AQ625" s="29" t="s">
        <v>159</v>
      </c>
    </row>
    <row r="626" spans="1:43" hidden="1">
      <c r="A626" s="28">
        <v>100347</v>
      </c>
      <c r="B626" s="5" t="s">
        <v>757</v>
      </c>
      <c r="C626" s="5" t="s">
        <v>395</v>
      </c>
      <c r="D626" s="5" t="s">
        <v>88</v>
      </c>
      <c r="E626" s="5" t="s">
        <v>68</v>
      </c>
      <c r="F626" s="5" t="s">
        <v>387</v>
      </c>
      <c r="G626" s="5" t="s">
        <v>404</v>
      </c>
      <c r="H626" s="5" t="s">
        <v>118</v>
      </c>
      <c r="I626" s="6">
        <v>335</v>
      </c>
      <c r="J626" s="7">
        <v>44277</v>
      </c>
      <c r="K626" s="8" t="str">
        <f>IF(B626="","",IF(AND(I626="",J626=""),"Unknown",IF(OR(AND(ISNUMBER(I626),I626=0),AND(ISNUMBER(J626),J626&lt;=EDATE('Scoring Settings'!$B$4,-'Scoring Settings'!$B$5))),"Not in use",IF(AND(ISNUMBER(I626),I626&lt;'Scoring Settings'!$B$6),"Low use","Active"))))</f>
        <v>Active</v>
      </c>
      <c r="L626" s="5">
        <v>5</v>
      </c>
      <c r="M626" s="5">
        <v>1</v>
      </c>
      <c r="N626" s="5"/>
      <c r="O626" s="5" t="s">
        <v>73</v>
      </c>
      <c r="P626" s="5" t="s">
        <v>758</v>
      </c>
      <c r="Q626" s="9">
        <v>8</v>
      </c>
      <c r="R626" s="5" t="s">
        <v>203</v>
      </c>
      <c r="S626" s="5" t="s">
        <v>508</v>
      </c>
      <c r="T626" s="5" t="s">
        <v>72</v>
      </c>
      <c r="U626" s="7">
        <v>47269</v>
      </c>
      <c r="V626" s="5" t="s">
        <v>78</v>
      </c>
      <c r="W626" s="6">
        <v>19</v>
      </c>
      <c r="X626" s="5" t="s">
        <v>79</v>
      </c>
      <c r="Y626" s="9">
        <v>1</v>
      </c>
      <c r="Z626" s="5" t="s">
        <v>80</v>
      </c>
      <c r="AA626" s="5" t="s">
        <v>81</v>
      </c>
      <c r="AB626" s="9">
        <v>86</v>
      </c>
      <c r="AC626" s="5" t="s">
        <v>80</v>
      </c>
      <c r="AD626" s="5" t="s">
        <v>79</v>
      </c>
      <c r="AE626" s="5" t="s">
        <v>79</v>
      </c>
      <c r="AF626" s="10">
        <v>245000</v>
      </c>
      <c r="AG626" s="7">
        <v>48760</v>
      </c>
      <c r="AH626" s="10"/>
      <c r="AI626" s="10"/>
      <c r="AJ626" s="11" t="str">
        <f t="shared" si="9"/>
        <v/>
      </c>
      <c r="AK626" s="12">
        <f>IF(B626="","",OR(K626="Not in use",K626="Low use")+AND(N626&lt;&gt;"",N626&lt;&gt;"TBD")+AND(ISNUMBER(U626),U626&lt;=EDATE('Scoring Settings'!$B$4,'Scoring Settings'!$B$8))+AND(ISNUMBER(L626),L626&lt;='Scoring Settings'!$B$7))</f>
        <v>0</v>
      </c>
      <c r="AL626" s="5" t="s">
        <v>83</v>
      </c>
      <c r="AM626" s="8" t="str">
        <f>IF(B626="","",IF(Z626="N","Easy",IF(OR(AND(ISNUMBER(AB626),AB626&gt;'Scoring Settings'!$B$11),AND(ISNUMBER(W626),W626&gt;'Scoring Settings'!$B$12),AND(ISNUMBER(M626),M626&lt;='Scoring Settings'!$B$13)),"High","Medium")))</f>
        <v>High</v>
      </c>
      <c r="AN626" s="5"/>
      <c r="AO626" s="7"/>
      <c r="AP626" s="5" t="s">
        <v>84</v>
      </c>
      <c r="AQ626" s="29" t="s">
        <v>314</v>
      </c>
    </row>
    <row r="627" spans="1:43" hidden="1">
      <c r="A627" s="28">
        <v>191634</v>
      </c>
      <c r="B627" s="5" t="s">
        <v>761</v>
      </c>
      <c r="C627" s="5" t="s">
        <v>172</v>
      </c>
      <c r="D627" s="5" t="s">
        <v>162</v>
      </c>
      <c r="E627" s="5" t="s">
        <v>311</v>
      </c>
      <c r="F627" s="5" t="s">
        <v>178</v>
      </c>
      <c r="G627" s="5" t="s">
        <v>153</v>
      </c>
      <c r="H627" s="5" t="s">
        <v>189</v>
      </c>
      <c r="I627" s="6">
        <v>513</v>
      </c>
      <c r="J627" s="7">
        <v>44314</v>
      </c>
      <c r="K627" s="8" t="str">
        <f>IF(B627="","",IF(AND(I627="",J627=""),"Unknown",IF(OR(AND(ISNUMBER(I627),I627=0),AND(ISNUMBER(J627),J627&lt;=EDATE('Scoring Settings'!$B$4,-'Scoring Settings'!$B$5))),"Not in use",IF(AND(ISNUMBER(I627),I627&lt;'Scoring Settings'!$B$6),"Low use","Active"))))</f>
        <v>Active</v>
      </c>
      <c r="L627" s="5">
        <v>4</v>
      </c>
      <c r="M627" s="5">
        <v>2</v>
      </c>
      <c r="N627" s="5"/>
      <c r="O627" s="5" t="s">
        <v>73</v>
      </c>
      <c r="P627" s="5" t="s">
        <v>762</v>
      </c>
      <c r="Q627" s="9">
        <v>2</v>
      </c>
      <c r="R627" s="5" t="s">
        <v>72</v>
      </c>
      <c r="S627" s="5" t="s">
        <v>133</v>
      </c>
      <c r="T627" s="5" t="s">
        <v>184</v>
      </c>
      <c r="U627" s="7">
        <v>44227</v>
      </c>
      <c r="V627" s="5" t="s">
        <v>78</v>
      </c>
      <c r="W627" s="6">
        <v>93</v>
      </c>
      <c r="X627" s="5" t="s">
        <v>79</v>
      </c>
      <c r="Y627" s="9">
        <v>5</v>
      </c>
      <c r="Z627" s="5" t="s">
        <v>80</v>
      </c>
      <c r="AA627" s="5" t="s">
        <v>147</v>
      </c>
      <c r="AB627" s="9">
        <v>25</v>
      </c>
      <c r="AC627" s="5" t="s">
        <v>82</v>
      </c>
      <c r="AD627" s="5" t="s">
        <v>80</v>
      </c>
      <c r="AE627" s="5" t="s">
        <v>82</v>
      </c>
      <c r="AF627" s="10">
        <v>33500</v>
      </c>
      <c r="AG627" s="7">
        <v>48822</v>
      </c>
      <c r="AH627" s="10"/>
      <c r="AI627" s="10"/>
      <c r="AJ627" s="11" t="str">
        <f t="shared" si="9"/>
        <v/>
      </c>
      <c r="AK627" s="12">
        <f>IF(B627="","",OR(K627="Not in use",K627="Low use")+AND(N627&lt;&gt;"",N627&lt;&gt;"TBD")+AND(ISNUMBER(U627),U627&lt;=EDATE('Scoring Settings'!$B$4,'Scoring Settings'!$B$8))+AND(ISNUMBER(L627),L627&lt;='Scoring Settings'!$B$7))</f>
        <v>1</v>
      </c>
      <c r="AL627" s="5" t="s">
        <v>83</v>
      </c>
      <c r="AM627" s="8" t="str">
        <f>IF(B627="","",IF(Z627="N","Easy",IF(OR(AND(ISNUMBER(AB627),AB627&gt;'Scoring Settings'!$B$11),AND(ISNUMBER(W627),W627&gt;'Scoring Settings'!$B$12),AND(ISNUMBER(M627),M627&lt;='Scoring Settings'!$B$13)),"High","Medium")))</f>
        <v>High</v>
      </c>
      <c r="AN627" s="5"/>
      <c r="AO627" s="7"/>
      <c r="AP627" s="5" t="s">
        <v>84</v>
      </c>
      <c r="AQ627" s="29" t="s">
        <v>273</v>
      </c>
    </row>
    <row r="628" spans="1:43" hidden="1">
      <c r="A628" s="28">
        <v>162043</v>
      </c>
      <c r="B628" s="5" t="s">
        <v>763</v>
      </c>
      <c r="C628" s="5" t="s">
        <v>114</v>
      </c>
      <c r="D628" s="5" t="s">
        <v>115</v>
      </c>
      <c r="E628" s="5" t="s">
        <v>68</v>
      </c>
      <c r="F628" s="5" t="s">
        <v>243</v>
      </c>
      <c r="G628" s="5" t="s">
        <v>237</v>
      </c>
      <c r="H628" s="5" t="s">
        <v>142</v>
      </c>
      <c r="I628" s="6">
        <v>223</v>
      </c>
      <c r="J628" s="7">
        <v>44312</v>
      </c>
      <c r="K628" s="8" t="str">
        <f>IF(B628="","",IF(AND(I628="",J628=""),"Unknown",IF(OR(AND(ISNUMBER(I628),I628=0),AND(ISNUMBER(J628),J628&lt;=EDATE('Scoring Settings'!$B$4,-'Scoring Settings'!$B$5))),"Not in use",IF(AND(ISNUMBER(I628),I628&lt;'Scoring Settings'!$B$6),"Low use","Active"))))</f>
        <v>Active</v>
      </c>
      <c r="L628" s="5">
        <v>3</v>
      </c>
      <c r="M628" s="5">
        <v>3</v>
      </c>
      <c r="N628" s="5"/>
      <c r="O628" s="5" t="s">
        <v>143</v>
      </c>
      <c r="P628" s="5" t="s">
        <v>144</v>
      </c>
      <c r="Q628" s="9">
        <v>0</v>
      </c>
      <c r="R628" s="5" t="s">
        <v>145</v>
      </c>
      <c r="S628" s="5" t="s">
        <v>145</v>
      </c>
      <c r="T628" s="5" t="s">
        <v>146</v>
      </c>
      <c r="U628" s="7"/>
      <c r="V628" s="5" t="s">
        <v>95</v>
      </c>
      <c r="W628" s="6">
        <v>130</v>
      </c>
      <c r="X628" s="5" t="s">
        <v>79</v>
      </c>
      <c r="Y628" s="9">
        <v>1</v>
      </c>
      <c r="Z628" s="5" t="s">
        <v>80</v>
      </c>
      <c r="AA628" s="5" t="s">
        <v>81</v>
      </c>
      <c r="AB628" s="9">
        <v>4</v>
      </c>
      <c r="AC628" s="5" t="s">
        <v>82</v>
      </c>
      <c r="AD628" s="5" t="s">
        <v>79</v>
      </c>
      <c r="AE628" s="5" t="s">
        <v>79</v>
      </c>
      <c r="AF628" s="10">
        <v>55000</v>
      </c>
      <c r="AG628" s="7">
        <v>48182</v>
      </c>
      <c r="AH628" s="10"/>
      <c r="AI628" s="10"/>
      <c r="AJ628" s="11" t="str">
        <f t="shared" si="9"/>
        <v/>
      </c>
      <c r="AK628" s="12">
        <f>IF(B628="","",OR(K628="Not in use",K628="Low use")+AND(N628&lt;&gt;"",N628&lt;&gt;"TBD")+AND(ISNUMBER(U628),U628&lt;=EDATE('Scoring Settings'!$B$4,'Scoring Settings'!$B$8))+AND(ISNUMBER(L628),L628&lt;='Scoring Settings'!$B$7))</f>
        <v>0</v>
      </c>
      <c r="AL628" s="5" t="s">
        <v>83</v>
      </c>
      <c r="AM628" s="8" t="str">
        <f>IF(B628="","",IF(Z628="N","Easy",IF(OR(AND(ISNUMBER(AB628),AB628&gt;'Scoring Settings'!$B$11),AND(ISNUMBER(W628),W628&gt;'Scoring Settings'!$B$12),AND(ISNUMBER(M628),M628&lt;='Scoring Settings'!$B$13)),"High","Medium")))</f>
        <v>Medium</v>
      </c>
      <c r="AN628" s="5"/>
      <c r="AO628" s="7"/>
      <c r="AP628" s="5" t="s">
        <v>84</v>
      </c>
      <c r="AQ628" s="29" t="s">
        <v>273</v>
      </c>
    </row>
    <row r="629" spans="1:43" hidden="1">
      <c r="A629" s="28">
        <v>24334</v>
      </c>
      <c r="B629" s="5" t="s">
        <v>764</v>
      </c>
      <c r="C629" s="5" t="s">
        <v>667</v>
      </c>
      <c r="D629" s="5" t="s">
        <v>115</v>
      </c>
      <c r="E629" s="5" t="s">
        <v>68</v>
      </c>
      <c r="F629" s="5" t="s">
        <v>243</v>
      </c>
      <c r="G629" s="5" t="s">
        <v>128</v>
      </c>
      <c r="H629" s="5" t="s">
        <v>105</v>
      </c>
      <c r="I629" s="6">
        <v>465</v>
      </c>
      <c r="J629" s="7">
        <v>44308</v>
      </c>
      <c r="K629" s="8" t="str">
        <f>IF(B629="","",IF(AND(I629="",J629=""),"Unknown",IF(OR(AND(ISNUMBER(I629),I629=0),AND(ISNUMBER(J629),J629&lt;=EDATE('Scoring Settings'!$B$4,-'Scoring Settings'!$B$5))),"Not in use",IF(AND(ISNUMBER(I629),I629&lt;'Scoring Settings'!$B$6),"Low use","Active"))))</f>
        <v>Active</v>
      </c>
      <c r="L629" s="5">
        <v>5</v>
      </c>
      <c r="M629" s="5">
        <v>2</v>
      </c>
      <c r="N629" s="5"/>
      <c r="O629" s="5" t="s">
        <v>191</v>
      </c>
      <c r="P629" s="5" t="s">
        <v>192</v>
      </c>
      <c r="Q629" s="9">
        <v>0</v>
      </c>
      <c r="R629" s="5" t="s">
        <v>193</v>
      </c>
      <c r="S629" s="5" t="s">
        <v>318</v>
      </c>
      <c r="T629" s="5" t="s">
        <v>195</v>
      </c>
      <c r="U629" s="7"/>
      <c r="V629" s="5" t="s">
        <v>95</v>
      </c>
      <c r="W629" s="6">
        <v>69</v>
      </c>
      <c r="X629" s="5" t="s">
        <v>80</v>
      </c>
      <c r="Y629" s="9">
        <v>10</v>
      </c>
      <c r="Z629" s="5" t="s">
        <v>79</v>
      </c>
      <c r="AA629" s="5" t="s">
        <v>110</v>
      </c>
      <c r="AB629" s="9">
        <v>10</v>
      </c>
      <c r="AC629" s="5" t="s">
        <v>79</v>
      </c>
      <c r="AD629" s="5" t="s">
        <v>82</v>
      </c>
      <c r="AE629" s="5" t="s">
        <v>79</v>
      </c>
      <c r="AF629" s="10">
        <v>24000</v>
      </c>
      <c r="AG629" s="7">
        <v>48457</v>
      </c>
      <c r="AH629" s="10"/>
      <c r="AI629" s="10"/>
      <c r="AJ629" s="11" t="str">
        <f t="shared" si="9"/>
        <v/>
      </c>
      <c r="AK629" s="12">
        <f>IF(B629="","",OR(K629="Not in use",K629="Low use")+AND(N629&lt;&gt;"",N629&lt;&gt;"TBD")+AND(ISNUMBER(U629),U629&lt;=EDATE('Scoring Settings'!$B$4,'Scoring Settings'!$B$8))+AND(ISNUMBER(L629),L629&lt;='Scoring Settings'!$B$7))</f>
        <v>0</v>
      </c>
      <c r="AL629" s="5" t="s">
        <v>83</v>
      </c>
      <c r="AM629" s="8" t="str">
        <f>IF(B629="","",IF(Z629="N","Easy",IF(OR(AND(ISNUMBER(AB629),AB629&gt;'Scoring Settings'!$B$11),AND(ISNUMBER(W629),W629&gt;'Scoring Settings'!$B$12),AND(ISNUMBER(M629),M629&lt;='Scoring Settings'!$B$13)),"High","Medium")))</f>
        <v>Easy</v>
      </c>
      <c r="AN629" s="5"/>
      <c r="AO629" s="7"/>
      <c r="AP629" s="5" t="s">
        <v>84</v>
      </c>
      <c r="AQ629" s="29" t="s">
        <v>206</v>
      </c>
    </row>
    <row r="630" spans="1:43" hidden="1">
      <c r="A630" s="28">
        <v>74838</v>
      </c>
      <c r="B630" s="5" t="s">
        <v>769</v>
      </c>
      <c r="C630" s="5" t="s">
        <v>325</v>
      </c>
      <c r="D630" s="5" t="s">
        <v>139</v>
      </c>
      <c r="E630" s="5" t="s">
        <v>68</v>
      </c>
      <c r="F630" s="5" t="s">
        <v>249</v>
      </c>
      <c r="G630" s="5" t="s">
        <v>210</v>
      </c>
      <c r="H630" s="5" t="s">
        <v>118</v>
      </c>
      <c r="I630" s="6">
        <v>150</v>
      </c>
      <c r="J630" s="7">
        <v>44304</v>
      </c>
      <c r="K630" s="8" t="str">
        <f>IF(B630="","",IF(AND(I630="",J630=""),"Unknown",IF(OR(AND(ISNUMBER(I630),I630=0),AND(ISNUMBER(J630),J630&lt;=EDATE('Scoring Settings'!$B$4,-'Scoring Settings'!$B$5))),"Not in use",IF(AND(ISNUMBER(I630),I630&lt;'Scoring Settings'!$B$6),"Low use","Active"))))</f>
        <v>Active</v>
      </c>
      <c r="L630" s="5">
        <v>5</v>
      </c>
      <c r="M630" s="5">
        <v>2</v>
      </c>
      <c r="N630" s="5"/>
      <c r="O630" s="5" t="s">
        <v>73</v>
      </c>
      <c r="P630" s="5" t="s">
        <v>770</v>
      </c>
      <c r="Q630" s="9">
        <v>4</v>
      </c>
      <c r="R630" s="5" t="s">
        <v>251</v>
      </c>
      <c r="S630" s="5" t="s">
        <v>133</v>
      </c>
      <c r="T630" s="5" t="s">
        <v>77</v>
      </c>
      <c r="U630" s="7">
        <v>44165</v>
      </c>
      <c r="V630" s="5" t="s">
        <v>95</v>
      </c>
      <c r="W630" s="6">
        <v>1120</v>
      </c>
      <c r="X630" s="5" t="s">
        <v>79</v>
      </c>
      <c r="Y630" s="9">
        <v>2</v>
      </c>
      <c r="Z630" s="5" t="s">
        <v>79</v>
      </c>
      <c r="AA630" s="5" t="s">
        <v>110</v>
      </c>
      <c r="AB630" s="9">
        <v>6</v>
      </c>
      <c r="AC630" s="5" t="s">
        <v>79</v>
      </c>
      <c r="AD630" s="5" t="s">
        <v>80</v>
      </c>
      <c r="AE630" s="5" t="s">
        <v>82</v>
      </c>
      <c r="AF630" s="10">
        <v>120000</v>
      </c>
      <c r="AG630" s="7">
        <v>45991</v>
      </c>
      <c r="AH630" s="10"/>
      <c r="AI630" s="10"/>
      <c r="AJ630" s="11" t="str">
        <f t="shared" si="9"/>
        <v/>
      </c>
      <c r="AK630" s="12">
        <f>IF(B630="","",OR(K630="Not in use",K630="Low use")+AND(N630&lt;&gt;"",N630&lt;&gt;"TBD")+AND(ISNUMBER(U630),U630&lt;=EDATE('Scoring Settings'!$B$4,'Scoring Settings'!$B$8))+AND(ISNUMBER(L630),L630&lt;='Scoring Settings'!$B$7))</f>
        <v>1</v>
      </c>
      <c r="AL630" s="5" t="s">
        <v>83</v>
      </c>
      <c r="AM630" s="8" t="str">
        <f>IF(B630="","",IF(Z630="N","Easy",IF(OR(AND(ISNUMBER(AB630),AB630&gt;'Scoring Settings'!$B$11),AND(ISNUMBER(W630),W630&gt;'Scoring Settings'!$B$12),AND(ISNUMBER(M630),M630&lt;='Scoring Settings'!$B$13)),"High","Medium")))</f>
        <v>Easy</v>
      </c>
      <c r="AN630" s="5"/>
      <c r="AO630" s="7"/>
      <c r="AP630" s="5" t="s">
        <v>84</v>
      </c>
      <c r="AQ630" s="29" t="s">
        <v>247</v>
      </c>
    </row>
    <row r="631" spans="1:43" hidden="1">
      <c r="A631" s="28">
        <v>100565</v>
      </c>
      <c r="B631" s="5" t="s">
        <v>771</v>
      </c>
      <c r="C631" s="5" t="s">
        <v>772</v>
      </c>
      <c r="D631" s="5" t="s">
        <v>297</v>
      </c>
      <c r="E631" s="5" t="s">
        <v>68</v>
      </c>
      <c r="F631" s="5" t="s">
        <v>249</v>
      </c>
      <c r="G631" s="5" t="s">
        <v>90</v>
      </c>
      <c r="H631" s="5" t="s">
        <v>174</v>
      </c>
      <c r="I631" s="6">
        <v>40</v>
      </c>
      <c r="J631" s="7">
        <v>44286</v>
      </c>
      <c r="K631" s="8" t="str">
        <f>IF(B631="","",IF(AND(I631="",J631=""),"Unknown",IF(OR(AND(ISNUMBER(I631),I631=0),AND(ISNUMBER(J631),J631&lt;=EDATE('Scoring Settings'!$B$4,-'Scoring Settings'!$B$5))),"Not in use",IF(AND(ISNUMBER(I631),I631&lt;'Scoring Settings'!$B$6),"Low use","Active"))))</f>
        <v>Active</v>
      </c>
      <c r="L631" s="5">
        <v>4</v>
      </c>
      <c r="M631" s="5">
        <v>3</v>
      </c>
      <c r="N631" s="5" t="s">
        <v>617</v>
      </c>
      <c r="O631" s="5" t="s">
        <v>73</v>
      </c>
      <c r="P631" s="5" t="s">
        <v>436</v>
      </c>
      <c r="Q631" s="9">
        <v>2</v>
      </c>
      <c r="R631" s="5" t="s">
        <v>107</v>
      </c>
      <c r="S631" s="5" t="s">
        <v>108</v>
      </c>
      <c r="T631" s="5" t="s">
        <v>109</v>
      </c>
      <c r="U631" s="7">
        <v>43655</v>
      </c>
      <c r="V631" s="5" t="s">
        <v>135</v>
      </c>
      <c r="W631" s="6">
        <v>7</v>
      </c>
      <c r="X631" s="5" t="s">
        <v>80</v>
      </c>
      <c r="Y631" s="9">
        <v>7</v>
      </c>
      <c r="Z631" s="5" t="s">
        <v>80</v>
      </c>
      <c r="AA631" s="5" t="s">
        <v>185</v>
      </c>
      <c r="AB631" s="9">
        <v>7</v>
      </c>
      <c r="AC631" s="5" t="s">
        <v>82</v>
      </c>
      <c r="AD631" s="5" t="s">
        <v>80</v>
      </c>
      <c r="AE631" s="5" t="s">
        <v>80</v>
      </c>
      <c r="AF631" s="10">
        <v>18500</v>
      </c>
      <c r="AG631" s="7">
        <v>46507</v>
      </c>
      <c r="AH631" s="10">
        <v>24500</v>
      </c>
      <c r="AI631" s="10">
        <v>15000</v>
      </c>
      <c r="AJ631" s="11">
        <f t="shared" si="9"/>
        <v>19.600000000000001</v>
      </c>
      <c r="AK631" s="12">
        <f>IF(B631="","",OR(K631="Not in use",K631="Low use")+AND(N631&lt;&gt;"",N631&lt;&gt;"TBD")+AND(ISNUMBER(U631),U631&lt;=EDATE('Scoring Settings'!$B$4,'Scoring Settings'!$B$8))+AND(ISNUMBER(L631),L631&lt;='Scoring Settings'!$B$7))</f>
        <v>2</v>
      </c>
      <c r="AL631" s="5" t="s">
        <v>111</v>
      </c>
      <c r="AM631" s="8" t="str">
        <f>IF(B631="","",IF(Z631="N","Easy",IF(OR(AND(ISNUMBER(AB631),AB631&gt;'Scoring Settings'!$B$11),AND(ISNUMBER(W631),W631&gt;'Scoring Settings'!$B$12),AND(ISNUMBER(M631),M631&lt;='Scoring Settings'!$B$13)),"High","Medium")))</f>
        <v>High</v>
      </c>
      <c r="AN631" s="5"/>
      <c r="AO631" s="7"/>
      <c r="AP631" s="5" t="s">
        <v>98</v>
      </c>
      <c r="AQ631" s="29" t="s">
        <v>124</v>
      </c>
    </row>
    <row r="632" spans="1:43" hidden="1">
      <c r="A632" s="28">
        <v>183956</v>
      </c>
      <c r="B632" s="5" t="s">
        <v>773</v>
      </c>
      <c r="C632" s="5" t="s">
        <v>296</v>
      </c>
      <c r="D632" s="5" t="s">
        <v>297</v>
      </c>
      <c r="E632" s="5" t="s">
        <v>68</v>
      </c>
      <c r="F632" s="5" t="s">
        <v>312</v>
      </c>
      <c r="G632" s="5" t="s">
        <v>221</v>
      </c>
      <c r="H632" s="5" t="s">
        <v>142</v>
      </c>
      <c r="I632" s="6">
        <v>216</v>
      </c>
      <c r="J632" s="7">
        <v>44279</v>
      </c>
      <c r="K632" s="8" t="str">
        <f>IF(B632="","",IF(AND(I632="",J632=""),"Unknown",IF(OR(AND(ISNUMBER(I632),I632=0),AND(ISNUMBER(J632),J632&lt;=EDATE('Scoring Settings'!$B$4,-'Scoring Settings'!$B$5))),"Not in use",IF(AND(ISNUMBER(I632),I632&lt;'Scoring Settings'!$B$6),"Low use","Active"))))</f>
        <v>Active</v>
      </c>
      <c r="L632" s="5">
        <v>3</v>
      </c>
      <c r="M632" s="5">
        <v>3</v>
      </c>
      <c r="N632" s="5"/>
      <c r="O632" s="5" t="s">
        <v>143</v>
      </c>
      <c r="P632" s="5" t="s">
        <v>144</v>
      </c>
      <c r="Q632" s="9">
        <v>0</v>
      </c>
      <c r="R632" s="5" t="s">
        <v>145</v>
      </c>
      <c r="S632" s="5" t="s">
        <v>145</v>
      </c>
      <c r="T632" s="5" t="s">
        <v>146</v>
      </c>
      <c r="U632" s="7"/>
      <c r="V632" s="5" t="s">
        <v>95</v>
      </c>
      <c r="W632" s="6">
        <v>18</v>
      </c>
      <c r="X632" s="5" t="s">
        <v>80</v>
      </c>
      <c r="Y632" s="9">
        <v>7</v>
      </c>
      <c r="Z632" s="5" t="s">
        <v>79</v>
      </c>
      <c r="AA632" s="5" t="s">
        <v>110</v>
      </c>
      <c r="AB632" s="9">
        <v>8</v>
      </c>
      <c r="AC632" s="5" t="s">
        <v>82</v>
      </c>
      <c r="AD632" s="5" t="s">
        <v>82</v>
      </c>
      <c r="AE632" s="5" t="s">
        <v>82</v>
      </c>
      <c r="AF632" s="10">
        <v>55000</v>
      </c>
      <c r="AG632" s="7">
        <v>49064</v>
      </c>
      <c r="AH632" s="10">
        <v>74500</v>
      </c>
      <c r="AI632" s="10">
        <v>31000</v>
      </c>
      <c r="AJ632" s="11">
        <f t="shared" si="9"/>
        <v>28.838709677419356</v>
      </c>
      <c r="AK632" s="12">
        <f>IF(B632="","",OR(K632="Not in use",K632="Low use")+AND(N632&lt;&gt;"",N632&lt;&gt;"TBD")+AND(ISNUMBER(U632),U632&lt;=EDATE('Scoring Settings'!$B$4,'Scoring Settings'!$B$8))+AND(ISNUMBER(L632),L632&lt;='Scoring Settings'!$B$7))</f>
        <v>0</v>
      </c>
      <c r="AL632" s="5" t="s">
        <v>111</v>
      </c>
      <c r="AM632" s="8" t="str">
        <f>IF(B632="","",IF(Z632="N","Easy",IF(OR(AND(ISNUMBER(AB632),AB632&gt;'Scoring Settings'!$B$11),AND(ISNUMBER(W632),W632&gt;'Scoring Settings'!$B$12),AND(ISNUMBER(M632),M632&lt;='Scoring Settings'!$B$13)),"High","Medium")))</f>
        <v>Easy</v>
      </c>
      <c r="AN632" s="5"/>
      <c r="AO632" s="7"/>
      <c r="AP632" s="5" t="s">
        <v>98</v>
      </c>
      <c r="AQ632" s="29" t="s">
        <v>159</v>
      </c>
    </row>
    <row r="633" spans="1:43" hidden="1">
      <c r="A633" s="28">
        <v>125067</v>
      </c>
      <c r="B633" s="5" t="s">
        <v>775</v>
      </c>
      <c r="C633" s="5" t="s">
        <v>200</v>
      </c>
      <c r="D633" s="5" t="s">
        <v>115</v>
      </c>
      <c r="E633" s="5" t="s">
        <v>68</v>
      </c>
      <c r="F633" s="5" t="s">
        <v>302</v>
      </c>
      <c r="G633" s="5" t="s">
        <v>284</v>
      </c>
      <c r="H633" s="5" t="s">
        <v>118</v>
      </c>
      <c r="I633" s="6">
        <v>272</v>
      </c>
      <c r="J633" s="7">
        <v>44311</v>
      </c>
      <c r="K633" s="8" t="str">
        <f>IF(B633="","",IF(AND(I633="",J633=""),"Unknown",IF(OR(AND(ISNUMBER(I633),I633=0),AND(ISNUMBER(J633),J633&lt;=EDATE('Scoring Settings'!$B$4,-'Scoring Settings'!$B$5))),"Not in use",IF(AND(ISNUMBER(I633),I633&lt;'Scoring Settings'!$B$6),"Low use","Active"))))</f>
        <v>Active</v>
      </c>
      <c r="L633" s="5">
        <v>4</v>
      </c>
      <c r="M633" s="5">
        <v>1</v>
      </c>
      <c r="N633" s="5"/>
      <c r="O633" s="5" t="s">
        <v>191</v>
      </c>
      <c r="P633" s="5" t="s">
        <v>192</v>
      </c>
      <c r="Q633" s="9">
        <v>0</v>
      </c>
      <c r="R633" s="5" t="s">
        <v>193</v>
      </c>
      <c r="S633" s="5" t="s">
        <v>194</v>
      </c>
      <c r="T633" s="5" t="s">
        <v>195</v>
      </c>
      <c r="U633" s="7"/>
      <c r="V633" s="5" t="s">
        <v>135</v>
      </c>
      <c r="W633" s="6">
        <v>220</v>
      </c>
      <c r="X633" s="5" t="s">
        <v>79</v>
      </c>
      <c r="Y633" s="9">
        <v>3</v>
      </c>
      <c r="Z633" s="5" t="s">
        <v>79</v>
      </c>
      <c r="AA633" s="5" t="s">
        <v>110</v>
      </c>
      <c r="AB633" s="9">
        <v>53</v>
      </c>
      <c r="AC633" s="5" t="s">
        <v>82</v>
      </c>
      <c r="AD633" s="5" t="s">
        <v>80</v>
      </c>
      <c r="AE633" s="5" t="s">
        <v>82</v>
      </c>
      <c r="AF633" s="10">
        <v>65000</v>
      </c>
      <c r="AG633" s="7">
        <v>47177</v>
      </c>
      <c r="AH633" s="10"/>
      <c r="AI633" s="10"/>
      <c r="AJ633" s="11" t="str">
        <f t="shared" si="9"/>
        <v/>
      </c>
      <c r="AK633" s="12">
        <f>IF(B633="","",OR(K633="Not in use",K633="Low use")+AND(N633&lt;&gt;"",N633&lt;&gt;"TBD")+AND(ISNUMBER(U633),U633&lt;=EDATE('Scoring Settings'!$B$4,'Scoring Settings'!$B$8))+AND(ISNUMBER(L633),L633&lt;='Scoring Settings'!$B$7))</f>
        <v>0</v>
      </c>
      <c r="AL633" s="5" t="s">
        <v>83</v>
      </c>
      <c r="AM633" s="8" t="str">
        <f>IF(B633="","",IF(Z633="N","Easy",IF(OR(AND(ISNUMBER(AB633),AB633&gt;'Scoring Settings'!$B$11),AND(ISNUMBER(W633),W633&gt;'Scoring Settings'!$B$12),AND(ISNUMBER(M633),M633&lt;='Scoring Settings'!$B$13)),"High","Medium")))</f>
        <v>Easy</v>
      </c>
      <c r="AN633" s="5"/>
      <c r="AO633" s="7"/>
      <c r="AP633" s="5" t="s">
        <v>84</v>
      </c>
      <c r="AQ633" s="29" t="s">
        <v>273</v>
      </c>
    </row>
    <row r="634" spans="1:43" hidden="1">
      <c r="A634" s="28">
        <v>73836</v>
      </c>
      <c r="B634" s="5" t="s">
        <v>776</v>
      </c>
      <c r="C634" s="5" t="s">
        <v>13</v>
      </c>
      <c r="D634" s="5" t="s">
        <v>162</v>
      </c>
      <c r="E634" s="5" t="s">
        <v>68</v>
      </c>
      <c r="F634" s="5" t="s">
        <v>178</v>
      </c>
      <c r="G634" s="5" t="s">
        <v>104</v>
      </c>
      <c r="H634" s="5" t="s">
        <v>71</v>
      </c>
      <c r="I634" s="6">
        <v>0</v>
      </c>
      <c r="J634" s="7">
        <v>43948</v>
      </c>
      <c r="K634" s="8" t="str">
        <f>IF(B634="","",IF(AND(I634="",J634=""),"Unknown",IF(OR(AND(ISNUMBER(I634),I634=0),AND(ISNUMBER(J634),J634&lt;=EDATE('Scoring Settings'!$B$4,-'Scoring Settings'!$B$5))),"Not in use",IF(AND(ISNUMBER(I634),I634&lt;'Scoring Settings'!$B$6),"Low use","Active"))))</f>
        <v>Not in use</v>
      </c>
      <c r="L634" s="5">
        <v>4</v>
      </c>
      <c r="M634" s="5">
        <v>1</v>
      </c>
      <c r="N634" s="5"/>
      <c r="O634" s="5" t="s">
        <v>73</v>
      </c>
      <c r="P634" s="5" t="s">
        <v>777</v>
      </c>
      <c r="Q634" s="9">
        <v>2</v>
      </c>
      <c r="R634" s="5" t="s">
        <v>358</v>
      </c>
      <c r="S634" s="5" t="s">
        <v>133</v>
      </c>
      <c r="T634" s="5" t="s">
        <v>77</v>
      </c>
      <c r="U634" s="7">
        <v>43555</v>
      </c>
      <c r="V634" s="5" t="s">
        <v>135</v>
      </c>
      <c r="W634" s="6">
        <v>560</v>
      </c>
      <c r="X634" s="5" t="s">
        <v>79</v>
      </c>
      <c r="Y634" s="9">
        <v>3</v>
      </c>
      <c r="Z634" s="5" t="s">
        <v>79</v>
      </c>
      <c r="AA634" s="5" t="s">
        <v>110</v>
      </c>
      <c r="AB634" s="9">
        <v>30</v>
      </c>
      <c r="AC634" s="5" t="s">
        <v>79</v>
      </c>
      <c r="AD634" s="5" t="s">
        <v>82</v>
      </c>
      <c r="AE634" s="5" t="s">
        <v>80</v>
      </c>
      <c r="AF634" s="10">
        <v>180000</v>
      </c>
      <c r="AG634" s="7">
        <v>48182</v>
      </c>
      <c r="AH634" s="10">
        <v>295000</v>
      </c>
      <c r="AI634" s="10">
        <v>107500</v>
      </c>
      <c r="AJ634" s="11">
        <f t="shared" si="9"/>
        <v>32.930232558139537</v>
      </c>
      <c r="AK634" s="12">
        <f>IF(B634="","",OR(K634="Not in use",K634="Low use")+AND(N634&lt;&gt;"",N634&lt;&gt;"TBD")+AND(ISNUMBER(U634),U634&lt;=EDATE('Scoring Settings'!$B$4,'Scoring Settings'!$B$8))+AND(ISNUMBER(L634),L634&lt;='Scoring Settings'!$B$7))</f>
        <v>2</v>
      </c>
      <c r="AL634" s="5" t="s">
        <v>111</v>
      </c>
      <c r="AM634" s="8" t="str">
        <f>IF(B634="","",IF(Z634="N","Easy",IF(OR(AND(ISNUMBER(AB634),AB634&gt;'Scoring Settings'!$B$11),AND(ISNUMBER(W634),W634&gt;'Scoring Settings'!$B$12),AND(ISNUMBER(M634),M634&lt;='Scoring Settings'!$B$13)),"High","Medium")))</f>
        <v>Easy</v>
      </c>
      <c r="AN634" s="5"/>
      <c r="AO634" s="7"/>
      <c r="AP634" s="5" t="s">
        <v>98</v>
      </c>
      <c r="AQ634" s="29" t="s">
        <v>218</v>
      </c>
    </row>
    <row r="635" spans="1:43" hidden="1">
      <c r="A635" s="28">
        <v>123143</v>
      </c>
      <c r="B635" s="5" t="s">
        <v>783</v>
      </c>
      <c r="C635" s="5" t="s">
        <v>515</v>
      </c>
      <c r="D635" s="5" t="s">
        <v>102</v>
      </c>
      <c r="E635" s="5" t="s">
        <v>68</v>
      </c>
      <c r="F635" s="5" t="s">
        <v>89</v>
      </c>
      <c r="G635" s="5" t="s">
        <v>267</v>
      </c>
      <c r="H635" s="5" t="s">
        <v>71</v>
      </c>
      <c r="I635" s="6">
        <v>868</v>
      </c>
      <c r="J635" s="7">
        <v>44301</v>
      </c>
      <c r="K635" s="8" t="str">
        <f>IF(B635="","",IF(AND(I635="",J635=""),"Unknown",IF(OR(AND(ISNUMBER(I635),I635=0),AND(ISNUMBER(J635),J635&lt;=EDATE('Scoring Settings'!$B$4,-'Scoring Settings'!$B$5))),"Not in use",IF(AND(ISNUMBER(I635),I635&lt;'Scoring Settings'!$B$6),"Low use","Active"))))</f>
        <v>Active</v>
      </c>
      <c r="L635" s="5">
        <v>3</v>
      </c>
      <c r="M635" s="5">
        <v>2</v>
      </c>
      <c r="N635" s="5" t="s">
        <v>784</v>
      </c>
      <c r="O635" s="5" t="s">
        <v>73</v>
      </c>
      <c r="P635" s="5" t="s">
        <v>785</v>
      </c>
      <c r="Q635" s="9">
        <v>1</v>
      </c>
      <c r="R635" s="5" t="s">
        <v>330</v>
      </c>
      <c r="S635" s="5" t="s">
        <v>331</v>
      </c>
      <c r="T635" s="5" t="s">
        <v>72</v>
      </c>
      <c r="U635" s="7" t="s">
        <v>72</v>
      </c>
      <c r="V635" s="5" t="s">
        <v>135</v>
      </c>
      <c r="W635" s="6">
        <v>410</v>
      </c>
      <c r="X635" s="5" t="s">
        <v>80</v>
      </c>
      <c r="Y635" s="9">
        <v>10</v>
      </c>
      <c r="Z635" s="5" t="s">
        <v>80</v>
      </c>
      <c r="AA635" s="5" t="s">
        <v>81</v>
      </c>
      <c r="AB635" s="9">
        <v>10</v>
      </c>
      <c r="AC635" s="5" t="s">
        <v>80</v>
      </c>
      <c r="AD635" s="5" t="s">
        <v>80</v>
      </c>
      <c r="AE635" s="5" t="s">
        <v>82</v>
      </c>
      <c r="AF635" s="10">
        <v>30500</v>
      </c>
      <c r="AG635" s="7">
        <v>45716</v>
      </c>
      <c r="AH635" s="10"/>
      <c r="AI635" s="10"/>
      <c r="AJ635" s="11" t="str">
        <f t="shared" si="9"/>
        <v/>
      </c>
      <c r="AK635" s="12">
        <f>IF(B635="","",OR(K635="Not in use",K635="Low use")+AND(N635&lt;&gt;"",N635&lt;&gt;"TBD")+AND(ISNUMBER(U635),U635&lt;=EDATE('Scoring Settings'!$B$4,'Scoring Settings'!$B$8))+AND(ISNUMBER(L635),L635&lt;='Scoring Settings'!$B$7))</f>
        <v>1</v>
      </c>
      <c r="AL635" s="5" t="s">
        <v>111</v>
      </c>
      <c r="AM635" s="8" t="str">
        <f>IF(B635="","",IF(Z635="N","Easy",IF(OR(AND(ISNUMBER(AB635),AB635&gt;'Scoring Settings'!$B$11),AND(ISNUMBER(W635),W635&gt;'Scoring Settings'!$B$12),AND(ISNUMBER(M635),M635&lt;='Scoring Settings'!$B$13)),"High","Medium")))</f>
        <v>High</v>
      </c>
      <c r="AN635" s="5"/>
      <c r="AO635" s="7"/>
      <c r="AP635" s="5" t="s">
        <v>98</v>
      </c>
      <c r="AQ635" s="29" t="s">
        <v>112</v>
      </c>
    </row>
    <row r="636" spans="1:43" ht="42.75" hidden="1">
      <c r="A636" s="28">
        <v>84582</v>
      </c>
      <c r="B636" s="5" t="s">
        <v>786</v>
      </c>
      <c r="C636" s="5" t="s">
        <v>262</v>
      </c>
      <c r="D636" s="5" t="s">
        <v>67</v>
      </c>
      <c r="E636" s="5" t="s">
        <v>68</v>
      </c>
      <c r="F636" s="5" t="s">
        <v>299</v>
      </c>
      <c r="G636" s="5" t="s">
        <v>141</v>
      </c>
      <c r="H636" s="5" t="s">
        <v>129</v>
      </c>
      <c r="I636" s="6">
        <v>23</v>
      </c>
      <c r="J636" s="7">
        <v>44257</v>
      </c>
      <c r="K636" s="8" t="str">
        <f>IF(B636="","",IF(AND(I636="",J636=""),"Unknown",IF(OR(AND(ISNUMBER(I636),I636=0),AND(ISNUMBER(J636),J636&lt;=EDATE('Scoring Settings'!$B$4,-'Scoring Settings'!$B$5))),"Not in use",IF(AND(ISNUMBER(I636),I636&lt;'Scoring Settings'!$B$6),"Low use","Active"))))</f>
        <v>Low use</v>
      </c>
      <c r="L636" s="5">
        <v>3</v>
      </c>
      <c r="M636" s="5">
        <v>3</v>
      </c>
      <c r="N636" s="5"/>
      <c r="O636" s="5" t="s">
        <v>73</v>
      </c>
      <c r="P636" s="5" t="s">
        <v>787</v>
      </c>
      <c r="Q636" s="9">
        <v>2</v>
      </c>
      <c r="R636" s="5" t="s">
        <v>132</v>
      </c>
      <c r="S636" s="5" t="s">
        <v>72</v>
      </c>
      <c r="T636" s="5" t="s">
        <v>122</v>
      </c>
      <c r="U636" s="7">
        <v>44227</v>
      </c>
      <c r="V636" s="5" t="s">
        <v>135</v>
      </c>
      <c r="W636" s="6">
        <v>45</v>
      </c>
      <c r="X636" s="5" t="s">
        <v>79</v>
      </c>
      <c r="Y636" s="9">
        <v>3</v>
      </c>
      <c r="Z636" s="5" t="s">
        <v>80</v>
      </c>
      <c r="AA636" s="5" t="s">
        <v>205</v>
      </c>
      <c r="AB636" s="9">
        <v>2</v>
      </c>
      <c r="AC636" s="5" t="s">
        <v>82</v>
      </c>
      <c r="AD636" s="5" t="s">
        <v>79</v>
      </c>
      <c r="AE636" s="5" t="s">
        <v>80</v>
      </c>
      <c r="AF636" s="10">
        <v>23000</v>
      </c>
      <c r="AG636" s="7">
        <v>46568</v>
      </c>
      <c r="AH636" s="10">
        <v>14500</v>
      </c>
      <c r="AI636" s="10">
        <v>19500</v>
      </c>
      <c r="AJ636" s="11">
        <f t="shared" si="9"/>
        <v>8.9230769230769234</v>
      </c>
      <c r="AK636" s="12">
        <f>IF(B636="","",OR(K636="Not in use",K636="Low use")+AND(N636&lt;&gt;"",N636&lt;&gt;"TBD")+AND(ISNUMBER(U636),U636&lt;=EDATE('Scoring Settings'!$B$4,'Scoring Settings'!$B$8))+AND(ISNUMBER(L636),L636&lt;='Scoring Settings'!$B$7))</f>
        <v>2</v>
      </c>
      <c r="AL636" s="5" t="s">
        <v>111</v>
      </c>
      <c r="AM636" s="8" t="str">
        <f>IF(B636="","",IF(Z636="N","Easy",IF(OR(AND(ISNUMBER(AB636),AB636&gt;'Scoring Settings'!$B$11),AND(ISNUMBER(W636),W636&gt;'Scoring Settings'!$B$12),AND(ISNUMBER(M636),M636&lt;='Scoring Settings'!$B$13)),"High","Medium")))</f>
        <v>Medium</v>
      </c>
      <c r="AN636" s="5"/>
      <c r="AO636" s="7"/>
      <c r="AP636" s="5" t="s">
        <v>98</v>
      </c>
      <c r="AQ636" s="29" t="s">
        <v>553</v>
      </c>
    </row>
    <row r="637" spans="1:43" hidden="1">
      <c r="A637" s="28">
        <v>71233</v>
      </c>
      <c r="B637" s="5" t="s">
        <v>790</v>
      </c>
      <c r="C637" s="5" t="s">
        <v>316</v>
      </c>
      <c r="D637" s="5" t="s">
        <v>67</v>
      </c>
      <c r="E637" s="5" t="s">
        <v>298</v>
      </c>
      <c r="F637" s="5" t="s">
        <v>312</v>
      </c>
      <c r="G637" s="5" t="s">
        <v>104</v>
      </c>
      <c r="H637" s="5" t="s">
        <v>189</v>
      </c>
      <c r="I637" s="6">
        <v>857</v>
      </c>
      <c r="J637" s="7">
        <v>44295</v>
      </c>
      <c r="K637" s="8" t="str">
        <f>IF(B637="","",IF(AND(I637="",J637=""),"Unknown",IF(OR(AND(ISNUMBER(I637),I637=0),AND(ISNUMBER(J637),J637&lt;=EDATE('Scoring Settings'!$B$4,-'Scoring Settings'!$B$5))),"Not in use",IF(AND(ISNUMBER(I637),I637&lt;'Scoring Settings'!$B$6),"Low use","Active"))))</f>
        <v>Active</v>
      </c>
      <c r="L637" s="5">
        <v>4</v>
      </c>
      <c r="M637" s="5">
        <v>2</v>
      </c>
      <c r="N637" s="5"/>
      <c r="O637" s="5" t="s">
        <v>73</v>
      </c>
      <c r="P637" s="5" t="s">
        <v>791</v>
      </c>
      <c r="Q637" s="9">
        <v>5</v>
      </c>
      <c r="R637" s="5" t="s">
        <v>358</v>
      </c>
      <c r="S637" s="5" t="s">
        <v>133</v>
      </c>
      <c r="T637" s="5" t="s">
        <v>122</v>
      </c>
      <c r="U637" s="7">
        <v>43555</v>
      </c>
      <c r="V637" s="5" t="s">
        <v>78</v>
      </c>
      <c r="W637" s="6">
        <v>400</v>
      </c>
      <c r="X637" s="5" t="s">
        <v>80</v>
      </c>
      <c r="Y637" s="9">
        <v>10</v>
      </c>
      <c r="Z637" s="5" t="s">
        <v>80</v>
      </c>
      <c r="AA637" s="5" t="s">
        <v>81</v>
      </c>
      <c r="AB637" s="9">
        <v>24</v>
      </c>
      <c r="AC637" s="5" t="s">
        <v>82</v>
      </c>
      <c r="AD637" s="5" t="s">
        <v>79</v>
      </c>
      <c r="AE637" s="5" t="s">
        <v>79</v>
      </c>
      <c r="AF637" s="10">
        <v>160000</v>
      </c>
      <c r="AG637" s="7">
        <v>46387</v>
      </c>
      <c r="AH637" s="10">
        <v>423000</v>
      </c>
      <c r="AI637" s="10">
        <v>111500</v>
      </c>
      <c r="AJ637" s="11">
        <f t="shared" si="9"/>
        <v>45.524663677130043</v>
      </c>
      <c r="AK637" s="12">
        <f>IF(B637="","",OR(K637="Not in use",K637="Low use")+AND(N637&lt;&gt;"",N637&lt;&gt;"TBD")+AND(ISNUMBER(U637),U637&lt;=EDATE('Scoring Settings'!$B$4,'Scoring Settings'!$B$8))+AND(ISNUMBER(L637),L637&lt;='Scoring Settings'!$B$7))</f>
        <v>1</v>
      </c>
      <c r="AL637" s="5" t="s">
        <v>111</v>
      </c>
      <c r="AM637" s="8" t="str">
        <f>IF(B637="","",IF(Z637="N","Easy",IF(OR(AND(ISNUMBER(AB637),AB637&gt;'Scoring Settings'!$B$11),AND(ISNUMBER(W637),W637&gt;'Scoring Settings'!$B$12),AND(ISNUMBER(M637),M637&lt;='Scoring Settings'!$B$13)),"High","Medium")))</f>
        <v>High</v>
      </c>
      <c r="AN637" s="5"/>
      <c r="AO637" s="7"/>
      <c r="AP637" s="5" t="s">
        <v>98</v>
      </c>
      <c r="AQ637" s="29" t="s">
        <v>218</v>
      </c>
    </row>
    <row r="638" spans="1:43" hidden="1">
      <c r="A638" s="28">
        <v>103445</v>
      </c>
      <c r="B638" s="5" t="s">
        <v>792</v>
      </c>
      <c r="C638" s="5" t="s">
        <v>305</v>
      </c>
      <c r="D638" s="5" t="s">
        <v>297</v>
      </c>
      <c r="E638" s="5" t="s">
        <v>68</v>
      </c>
      <c r="F638" s="5" t="s">
        <v>346</v>
      </c>
      <c r="G638" s="5" t="s">
        <v>90</v>
      </c>
      <c r="H638" s="5" t="s">
        <v>174</v>
      </c>
      <c r="I638" s="6">
        <v>0</v>
      </c>
      <c r="J638" s="7">
        <v>43678</v>
      </c>
      <c r="K638" s="8" t="str">
        <f>IF(B638="","",IF(AND(I638="",J638=""),"Unknown",IF(OR(AND(ISNUMBER(I638),I638=0),AND(ISNUMBER(J638),J638&lt;=EDATE('Scoring Settings'!$B$4,-'Scoring Settings'!$B$5))),"Not in use",IF(AND(ISNUMBER(I638),I638&lt;'Scoring Settings'!$B$6),"Low use","Active"))))</f>
        <v>Not in use</v>
      </c>
      <c r="L638" s="5">
        <v>2</v>
      </c>
      <c r="M638" s="5">
        <v>3</v>
      </c>
      <c r="N638" s="5"/>
      <c r="O638" s="5" t="s">
        <v>73</v>
      </c>
      <c r="P638" s="5" t="s">
        <v>793</v>
      </c>
      <c r="Q638" s="9">
        <v>4</v>
      </c>
      <c r="R638" s="5" t="s">
        <v>203</v>
      </c>
      <c r="S638" s="5" t="s">
        <v>204</v>
      </c>
      <c r="T638" s="5" t="s">
        <v>77</v>
      </c>
      <c r="U638" s="7">
        <v>47269</v>
      </c>
      <c r="V638" s="5" t="s">
        <v>78</v>
      </c>
      <c r="W638" s="6">
        <v>92</v>
      </c>
      <c r="X638" s="5" t="s">
        <v>80</v>
      </c>
      <c r="Y638" s="9">
        <v>10</v>
      </c>
      <c r="Z638" s="5" t="s">
        <v>80</v>
      </c>
      <c r="AA638" s="5" t="s">
        <v>147</v>
      </c>
      <c r="AB638" s="9">
        <v>3</v>
      </c>
      <c r="AC638" s="5" t="s">
        <v>80</v>
      </c>
      <c r="AD638" s="5" t="s">
        <v>79</v>
      </c>
      <c r="AE638" s="5" t="s">
        <v>80</v>
      </c>
      <c r="AF638" s="10">
        <v>75000</v>
      </c>
      <c r="AG638" s="7">
        <v>46599</v>
      </c>
      <c r="AH638" s="10"/>
      <c r="AI638" s="10"/>
      <c r="AJ638" s="11" t="str">
        <f t="shared" si="9"/>
        <v/>
      </c>
      <c r="AK638" s="12">
        <f>IF(B638="","",OR(K638="Not in use",K638="Low use")+AND(N638&lt;&gt;"",N638&lt;&gt;"TBD")+AND(ISNUMBER(U638),U638&lt;=EDATE('Scoring Settings'!$B$4,'Scoring Settings'!$B$8))+AND(ISNUMBER(L638),L638&lt;='Scoring Settings'!$B$7))</f>
        <v>2</v>
      </c>
      <c r="AL638" s="5" t="s">
        <v>111</v>
      </c>
      <c r="AM638" s="8" t="str">
        <f>IF(B638="","",IF(Z638="N","Easy",IF(OR(AND(ISNUMBER(AB638),AB638&gt;'Scoring Settings'!$B$11),AND(ISNUMBER(W638),W638&gt;'Scoring Settings'!$B$12),AND(ISNUMBER(M638),M638&lt;='Scoring Settings'!$B$13)),"High","Medium")))</f>
        <v>Medium</v>
      </c>
      <c r="AN638" s="5"/>
      <c r="AO638" s="7"/>
      <c r="AP638" s="5" t="s">
        <v>98</v>
      </c>
      <c r="AQ638" s="29" t="s">
        <v>112</v>
      </c>
    </row>
    <row r="639" spans="1:43" ht="42.75" hidden="1">
      <c r="A639" s="28">
        <v>187863</v>
      </c>
      <c r="B639" s="5" t="s">
        <v>794</v>
      </c>
      <c r="C639" s="5" t="s">
        <v>380</v>
      </c>
      <c r="D639" s="5" t="s">
        <v>102</v>
      </c>
      <c r="E639" s="5" t="s">
        <v>311</v>
      </c>
      <c r="F639" s="5" t="s">
        <v>387</v>
      </c>
      <c r="G639" s="5" t="s">
        <v>267</v>
      </c>
      <c r="H639" s="5" t="s">
        <v>129</v>
      </c>
      <c r="I639" s="6">
        <v>11</v>
      </c>
      <c r="J639" s="7">
        <v>44275</v>
      </c>
      <c r="K639" s="8" t="str">
        <f>IF(B639="","",IF(AND(I639="",J639=""),"Unknown",IF(OR(AND(ISNUMBER(I639),I639=0),AND(ISNUMBER(J639),J639&lt;=EDATE('Scoring Settings'!$B$4,-'Scoring Settings'!$B$5))),"Not in use",IF(AND(ISNUMBER(I639),I639&lt;'Scoring Settings'!$B$6),"Low use","Active"))))</f>
        <v>Low use</v>
      </c>
      <c r="L639" s="5">
        <v>4</v>
      </c>
      <c r="M639" s="5">
        <v>2</v>
      </c>
      <c r="N639" s="5" t="s">
        <v>784</v>
      </c>
      <c r="O639" s="5" t="s">
        <v>73</v>
      </c>
      <c r="P639" s="5" t="s">
        <v>795</v>
      </c>
      <c r="Q639" s="9">
        <v>4</v>
      </c>
      <c r="R639" s="5" t="s">
        <v>93</v>
      </c>
      <c r="S639" s="5" t="s">
        <v>94</v>
      </c>
      <c r="T639" s="5" t="s">
        <v>77</v>
      </c>
      <c r="U639" s="7">
        <v>44561</v>
      </c>
      <c r="V639" s="5" t="s">
        <v>135</v>
      </c>
      <c r="W639" s="6">
        <v>240</v>
      </c>
      <c r="X639" s="5" t="s">
        <v>79</v>
      </c>
      <c r="Y639" s="9">
        <v>5</v>
      </c>
      <c r="Z639" s="5" t="s">
        <v>80</v>
      </c>
      <c r="AA639" s="5" t="s">
        <v>123</v>
      </c>
      <c r="AB639" s="9">
        <v>7</v>
      </c>
      <c r="AC639" s="5" t="s">
        <v>80</v>
      </c>
      <c r="AD639" s="5" t="s">
        <v>82</v>
      </c>
      <c r="AE639" s="5" t="s">
        <v>82</v>
      </c>
      <c r="AF639" s="10">
        <v>70000</v>
      </c>
      <c r="AG639" s="7">
        <v>49613</v>
      </c>
      <c r="AH639" s="10">
        <v>110000</v>
      </c>
      <c r="AI639" s="10">
        <v>40500</v>
      </c>
      <c r="AJ639" s="11">
        <f t="shared" si="9"/>
        <v>32.592592592592595</v>
      </c>
      <c r="AK639" s="12">
        <f>IF(B639="","",OR(K639="Not in use",K639="Low use")+AND(N639&lt;&gt;"",N639&lt;&gt;"TBD")+AND(ISNUMBER(U639),U639&lt;=EDATE('Scoring Settings'!$B$4,'Scoring Settings'!$B$8))+AND(ISNUMBER(L639),L639&lt;='Scoring Settings'!$B$7))</f>
        <v>3</v>
      </c>
      <c r="AL639" s="5" t="s">
        <v>111</v>
      </c>
      <c r="AM639" s="8" t="str">
        <f>IF(B639="","",IF(Z639="N","Easy",IF(OR(AND(ISNUMBER(AB639),AB639&gt;'Scoring Settings'!$B$11),AND(ISNUMBER(W639),W639&gt;'Scoring Settings'!$B$12),AND(ISNUMBER(M639),M639&lt;='Scoring Settings'!$B$13)),"High","Medium")))</f>
        <v>High</v>
      </c>
      <c r="AN639" s="5"/>
      <c r="AO639" s="7"/>
      <c r="AP639" s="5" t="s">
        <v>98</v>
      </c>
      <c r="AQ639" s="29" t="s">
        <v>796</v>
      </c>
    </row>
    <row r="640" spans="1:43" hidden="1">
      <c r="A640" s="28">
        <v>164955</v>
      </c>
      <c r="B640" s="5" t="s">
        <v>797</v>
      </c>
      <c r="C640" s="5" t="s">
        <v>470</v>
      </c>
      <c r="D640" s="5" t="s">
        <v>297</v>
      </c>
      <c r="E640" s="5" t="s">
        <v>68</v>
      </c>
      <c r="F640" s="5" t="s">
        <v>157</v>
      </c>
      <c r="G640" s="5" t="s">
        <v>267</v>
      </c>
      <c r="H640" s="5" t="s">
        <v>91</v>
      </c>
      <c r="I640" s="6">
        <v>801</v>
      </c>
      <c r="J640" s="7">
        <v>44301</v>
      </c>
      <c r="K640" s="8" t="str">
        <f>IF(B640="","",IF(AND(I640="",J640=""),"Unknown",IF(OR(AND(ISNUMBER(I640),I640=0),AND(ISNUMBER(J640),J640&lt;=EDATE('Scoring Settings'!$B$4,-'Scoring Settings'!$B$5))),"Not in use",IF(AND(ISNUMBER(I640),I640&lt;'Scoring Settings'!$B$6),"Low use","Active"))))</f>
        <v>Active</v>
      </c>
      <c r="L640" s="5">
        <v>5</v>
      </c>
      <c r="M640" s="5">
        <v>2</v>
      </c>
      <c r="N640" s="5"/>
      <c r="O640" s="5" t="s">
        <v>191</v>
      </c>
      <c r="P640" s="5" t="s">
        <v>192</v>
      </c>
      <c r="Q640" s="9">
        <v>0</v>
      </c>
      <c r="R640" s="5" t="s">
        <v>193</v>
      </c>
      <c r="S640" s="5" t="s">
        <v>194</v>
      </c>
      <c r="T640" s="5" t="s">
        <v>195</v>
      </c>
      <c r="U640" s="7"/>
      <c r="V640" s="5" t="s">
        <v>135</v>
      </c>
      <c r="W640" s="6">
        <v>40</v>
      </c>
      <c r="X640" s="5" t="s">
        <v>79</v>
      </c>
      <c r="Y640" s="9">
        <v>5</v>
      </c>
      <c r="Z640" s="5" t="s">
        <v>80</v>
      </c>
      <c r="AA640" s="5" t="s">
        <v>123</v>
      </c>
      <c r="AB640" s="9">
        <v>5</v>
      </c>
      <c r="AC640" s="5" t="s">
        <v>80</v>
      </c>
      <c r="AD640" s="5" t="s">
        <v>80</v>
      </c>
      <c r="AE640" s="5" t="s">
        <v>82</v>
      </c>
      <c r="AF640" s="10">
        <v>43500</v>
      </c>
      <c r="AG640" s="7">
        <v>49460</v>
      </c>
      <c r="AH640" s="10">
        <v>48500</v>
      </c>
      <c r="AI640" s="10">
        <v>33000</v>
      </c>
      <c r="AJ640" s="11">
        <f t="shared" si="9"/>
        <v>17.636363636363637</v>
      </c>
      <c r="AK640" s="12">
        <f>IF(B640="","",OR(K640="Not in use",K640="Low use")+AND(N640&lt;&gt;"",N640&lt;&gt;"TBD")+AND(ISNUMBER(U640),U640&lt;=EDATE('Scoring Settings'!$B$4,'Scoring Settings'!$B$8))+AND(ISNUMBER(L640),L640&lt;='Scoring Settings'!$B$7))</f>
        <v>0</v>
      </c>
      <c r="AL640" s="5" t="s">
        <v>111</v>
      </c>
      <c r="AM640" s="8" t="str">
        <f>IF(B640="","",IF(Z640="N","Easy",IF(OR(AND(ISNUMBER(AB640),AB640&gt;'Scoring Settings'!$B$11),AND(ISNUMBER(W640),W640&gt;'Scoring Settings'!$B$12),AND(ISNUMBER(M640),M640&lt;='Scoring Settings'!$B$13)),"High","Medium")))</f>
        <v>High</v>
      </c>
      <c r="AN640" s="5"/>
      <c r="AO640" s="7"/>
      <c r="AP640" s="5" t="s">
        <v>98</v>
      </c>
      <c r="AQ640" s="29" t="s">
        <v>124</v>
      </c>
    </row>
    <row r="641" spans="1:43" hidden="1">
      <c r="A641" s="28">
        <v>183550</v>
      </c>
      <c r="B641" s="5" t="s">
        <v>798</v>
      </c>
      <c r="C641" s="5" t="s">
        <v>161</v>
      </c>
      <c r="D641" s="5" t="s">
        <v>162</v>
      </c>
      <c r="E641" s="5" t="s">
        <v>311</v>
      </c>
      <c r="F641" s="5" t="s">
        <v>236</v>
      </c>
      <c r="G641" s="5" t="s">
        <v>404</v>
      </c>
      <c r="H641" s="5" t="s">
        <v>174</v>
      </c>
      <c r="I641" s="6">
        <v>419</v>
      </c>
      <c r="J641" s="7">
        <v>44308</v>
      </c>
      <c r="K641" s="8" t="str">
        <f>IF(B641="","",IF(AND(I641="",J641=""),"Unknown",IF(OR(AND(ISNUMBER(I641),I641=0),AND(ISNUMBER(J641),J641&lt;=EDATE('Scoring Settings'!$B$4,-'Scoring Settings'!$B$5))),"Not in use",IF(AND(ISNUMBER(I641),I641&lt;'Scoring Settings'!$B$6),"Low use","Active"))))</f>
        <v>Active</v>
      </c>
      <c r="L641" s="5">
        <v>4</v>
      </c>
      <c r="M641" s="5">
        <v>2</v>
      </c>
      <c r="N641" s="5" t="s">
        <v>72</v>
      </c>
      <c r="O641" s="5" t="s">
        <v>73</v>
      </c>
      <c r="P641" s="5" t="s">
        <v>799</v>
      </c>
      <c r="Q641" s="9">
        <v>6</v>
      </c>
      <c r="R641" s="5" t="s">
        <v>256</v>
      </c>
      <c r="S641" s="5" t="s">
        <v>257</v>
      </c>
      <c r="T641" s="5" t="s">
        <v>184</v>
      </c>
      <c r="U641" s="7">
        <v>45077</v>
      </c>
      <c r="V641" s="5" t="s">
        <v>135</v>
      </c>
      <c r="W641" s="6">
        <v>96</v>
      </c>
      <c r="X641" s="5" t="s">
        <v>79</v>
      </c>
      <c r="Y641" s="9">
        <v>3</v>
      </c>
      <c r="Z641" s="5" t="s">
        <v>80</v>
      </c>
      <c r="AA641" s="5" t="s">
        <v>147</v>
      </c>
      <c r="AB641" s="9">
        <v>13</v>
      </c>
      <c r="AC641" s="5" t="s">
        <v>80</v>
      </c>
      <c r="AD641" s="5" t="s">
        <v>79</v>
      </c>
      <c r="AE641" s="5" t="s">
        <v>79</v>
      </c>
      <c r="AF641" s="10">
        <v>130000</v>
      </c>
      <c r="AG641" s="7">
        <v>47879</v>
      </c>
      <c r="AH641" s="10"/>
      <c r="AI641" s="10"/>
      <c r="AJ641" s="11" t="str">
        <f t="shared" si="9"/>
        <v/>
      </c>
      <c r="AK641" s="12">
        <f>IF(B641="","",OR(K641="Not in use",K641="Low use")+AND(N641&lt;&gt;"",N641&lt;&gt;"TBD")+AND(ISNUMBER(U641),U641&lt;=EDATE('Scoring Settings'!$B$4,'Scoring Settings'!$B$8))+AND(ISNUMBER(L641),L641&lt;='Scoring Settings'!$B$7))</f>
        <v>0</v>
      </c>
      <c r="AL641" s="5" t="s">
        <v>83</v>
      </c>
      <c r="AM641" s="8" t="str">
        <f>IF(B641="","",IF(Z641="N","Easy",IF(OR(AND(ISNUMBER(AB641),AB641&gt;'Scoring Settings'!$B$11),AND(ISNUMBER(W641),W641&gt;'Scoring Settings'!$B$12),AND(ISNUMBER(M641),M641&lt;='Scoring Settings'!$B$13)),"High","Medium")))</f>
        <v>High</v>
      </c>
      <c r="AN641" s="5"/>
      <c r="AO641" s="7"/>
      <c r="AP641" s="5" t="s">
        <v>84</v>
      </c>
      <c r="AQ641" s="29" t="s">
        <v>273</v>
      </c>
    </row>
    <row r="642" spans="1:43" hidden="1">
      <c r="A642" s="28">
        <v>75863</v>
      </c>
      <c r="B642" s="5" t="s">
        <v>811</v>
      </c>
      <c r="C642" s="5" t="s">
        <v>287</v>
      </c>
      <c r="D642" s="5" t="s">
        <v>162</v>
      </c>
      <c r="E642" s="5" t="s">
        <v>68</v>
      </c>
      <c r="F642" s="5" t="s">
        <v>243</v>
      </c>
      <c r="G642" s="5" t="s">
        <v>271</v>
      </c>
      <c r="H642" s="5" t="s">
        <v>105</v>
      </c>
      <c r="I642" s="6">
        <v>25</v>
      </c>
      <c r="J642" s="7">
        <v>44300</v>
      </c>
      <c r="K642" s="8" t="str">
        <f>IF(B642="","",IF(AND(I642="",J642=""),"Unknown",IF(OR(AND(ISNUMBER(I642),I642=0),AND(ISNUMBER(J642),J642&lt;=EDATE('Scoring Settings'!$B$4,-'Scoring Settings'!$B$5))),"Not in use",IF(AND(ISNUMBER(I642),I642&lt;'Scoring Settings'!$B$6),"Low use","Active"))))</f>
        <v>Active</v>
      </c>
      <c r="L642" s="5">
        <v>5</v>
      </c>
      <c r="M642" s="5">
        <v>2</v>
      </c>
      <c r="N642" s="5" t="s">
        <v>533</v>
      </c>
      <c r="O642" s="5" t="s">
        <v>73</v>
      </c>
      <c r="P642" s="5" t="s">
        <v>812</v>
      </c>
      <c r="Q642" s="9">
        <v>7</v>
      </c>
      <c r="R642" s="5" t="s">
        <v>75</v>
      </c>
      <c r="S642" s="5" t="s">
        <v>121</v>
      </c>
      <c r="T642" s="5" t="s">
        <v>184</v>
      </c>
      <c r="U642" s="7">
        <v>46217</v>
      </c>
      <c r="V642" s="5" t="s">
        <v>135</v>
      </c>
      <c r="W642" s="6">
        <v>21</v>
      </c>
      <c r="X642" s="5" t="s">
        <v>80</v>
      </c>
      <c r="Y642" s="9">
        <v>10</v>
      </c>
      <c r="Z642" s="5" t="s">
        <v>79</v>
      </c>
      <c r="AA642" s="5" t="s">
        <v>110</v>
      </c>
      <c r="AB642" s="9">
        <v>16</v>
      </c>
      <c r="AC642" s="5" t="s">
        <v>80</v>
      </c>
      <c r="AD642" s="5" t="s">
        <v>79</v>
      </c>
      <c r="AE642" s="5" t="s">
        <v>80</v>
      </c>
      <c r="AF642" s="10">
        <v>160000</v>
      </c>
      <c r="AG642" s="7">
        <v>46996</v>
      </c>
      <c r="AH642" s="10"/>
      <c r="AI642" s="10"/>
      <c r="AJ642" s="11" t="str">
        <f t="shared" si="9"/>
        <v/>
      </c>
      <c r="AK642" s="12">
        <f>IF(B642="","",OR(K642="Not in use",K642="Low use")+AND(N642&lt;&gt;"",N642&lt;&gt;"TBD")+AND(ISNUMBER(U642),U642&lt;=EDATE('Scoring Settings'!$B$4,'Scoring Settings'!$B$8))+AND(ISNUMBER(L642),L642&lt;='Scoring Settings'!$B$7))</f>
        <v>1</v>
      </c>
      <c r="AL642" s="5" t="s">
        <v>111</v>
      </c>
      <c r="AM642" s="8" t="str">
        <f>IF(B642="","",IF(Z642="N","Easy",IF(OR(AND(ISNUMBER(AB642),AB642&gt;'Scoring Settings'!$B$11),AND(ISNUMBER(W642),W642&gt;'Scoring Settings'!$B$12),AND(ISNUMBER(M642),M642&lt;='Scoring Settings'!$B$13)),"High","Medium")))</f>
        <v>Easy</v>
      </c>
      <c r="AN642" s="5"/>
      <c r="AO642" s="7"/>
      <c r="AP642" s="5" t="s">
        <v>98</v>
      </c>
      <c r="AQ642" s="29" t="s">
        <v>124</v>
      </c>
    </row>
    <row r="643" spans="1:43" hidden="1">
      <c r="A643" s="28">
        <v>93630</v>
      </c>
      <c r="B643" s="5" t="s">
        <v>815</v>
      </c>
      <c r="C643" s="5" t="s">
        <v>371</v>
      </c>
      <c r="D643" s="5" t="s">
        <v>162</v>
      </c>
      <c r="E643" s="5" t="s">
        <v>68</v>
      </c>
      <c r="F643" s="5" t="s">
        <v>263</v>
      </c>
      <c r="G643" s="5" t="s">
        <v>271</v>
      </c>
      <c r="H643" s="5" t="s">
        <v>105</v>
      </c>
      <c r="I643" s="6">
        <v>165</v>
      </c>
      <c r="J643" s="7">
        <v>44293</v>
      </c>
      <c r="K643" s="8" t="str">
        <f>IF(B643="","",IF(AND(I643="",J643=""),"Unknown",IF(OR(AND(ISNUMBER(I643),I643=0),AND(ISNUMBER(J643),J643&lt;=EDATE('Scoring Settings'!$B$4,-'Scoring Settings'!$B$5))),"Not in use",IF(AND(ISNUMBER(I643),I643&lt;'Scoring Settings'!$B$6),"Low use","Active"))))</f>
        <v>Active</v>
      </c>
      <c r="L643" s="5">
        <v>5</v>
      </c>
      <c r="M643" s="5">
        <v>1</v>
      </c>
      <c r="N643" s="5" t="s">
        <v>72</v>
      </c>
      <c r="O643" s="5" t="s">
        <v>73</v>
      </c>
      <c r="P643" s="5" t="s">
        <v>816</v>
      </c>
      <c r="Q643" s="9">
        <v>2</v>
      </c>
      <c r="R643" s="5" t="s">
        <v>166</v>
      </c>
      <c r="S643" s="5" t="s">
        <v>564</v>
      </c>
      <c r="T643" s="5" t="s">
        <v>77</v>
      </c>
      <c r="U643" s="7">
        <v>44754</v>
      </c>
      <c r="V643" s="5" t="s">
        <v>135</v>
      </c>
      <c r="W643" s="6">
        <v>1340</v>
      </c>
      <c r="X643" s="5" t="s">
        <v>79</v>
      </c>
      <c r="Y643" s="9">
        <v>5</v>
      </c>
      <c r="Z643" s="5" t="s">
        <v>79</v>
      </c>
      <c r="AA643" s="5" t="s">
        <v>110</v>
      </c>
      <c r="AB643" s="9">
        <v>42</v>
      </c>
      <c r="AC643" s="5" t="s">
        <v>82</v>
      </c>
      <c r="AD643" s="5" t="s">
        <v>79</v>
      </c>
      <c r="AE643" s="5" t="s">
        <v>79</v>
      </c>
      <c r="AF643" s="10">
        <v>115000</v>
      </c>
      <c r="AG643" s="7">
        <v>46446</v>
      </c>
      <c r="AH643" s="10"/>
      <c r="AI643" s="10"/>
      <c r="AJ643" s="11" t="str">
        <f t="shared" si="9"/>
        <v/>
      </c>
      <c r="AK643" s="12">
        <f>IF(B643="","",OR(K643="Not in use",K643="Low use")+AND(N643&lt;&gt;"",N643&lt;&gt;"TBD")+AND(ISNUMBER(U643),U643&lt;=EDATE('Scoring Settings'!$B$4,'Scoring Settings'!$B$8))+AND(ISNUMBER(L643),L643&lt;='Scoring Settings'!$B$7))</f>
        <v>0</v>
      </c>
      <c r="AL643" s="5" t="s">
        <v>83</v>
      </c>
      <c r="AM643" s="8" t="str">
        <f>IF(B643="","",IF(Z643="N","Easy",IF(OR(AND(ISNUMBER(AB643),AB643&gt;'Scoring Settings'!$B$11),AND(ISNUMBER(W643),W643&gt;'Scoring Settings'!$B$12),AND(ISNUMBER(M643),M643&lt;='Scoring Settings'!$B$13)),"High","Medium")))</f>
        <v>Easy</v>
      </c>
      <c r="AN643" s="5"/>
      <c r="AO643" s="7"/>
      <c r="AP643" s="5" t="s">
        <v>84</v>
      </c>
      <c r="AQ643" s="29" t="s">
        <v>273</v>
      </c>
    </row>
    <row r="644" spans="1:43" hidden="1">
      <c r="A644" s="28">
        <v>35710</v>
      </c>
      <c r="B644" s="5" t="s">
        <v>826</v>
      </c>
      <c r="C644" s="5" t="s">
        <v>772</v>
      </c>
      <c r="D644" s="5" t="s">
        <v>297</v>
      </c>
      <c r="E644" s="5" t="s">
        <v>68</v>
      </c>
      <c r="F644" s="5" t="s">
        <v>157</v>
      </c>
      <c r="G644" s="5" t="s">
        <v>271</v>
      </c>
      <c r="H644" s="5" t="s">
        <v>142</v>
      </c>
      <c r="I644" s="6">
        <v>3</v>
      </c>
      <c r="J644" s="7">
        <v>44289</v>
      </c>
      <c r="K644" s="8" t="str">
        <f>IF(B644="","",IF(AND(I644="",J644=""),"Unknown",IF(OR(AND(ISNUMBER(I644),I644=0),AND(ISNUMBER(J644),J644&lt;=EDATE('Scoring Settings'!$B$4,-'Scoring Settings'!$B$5))),"Not in use",IF(AND(ISNUMBER(I644),I644&lt;'Scoring Settings'!$B$6),"Low use","Active"))))</f>
        <v>Low use</v>
      </c>
      <c r="L644" s="5">
        <v>5</v>
      </c>
      <c r="M644" s="5">
        <v>2</v>
      </c>
      <c r="N644" s="5" t="s">
        <v>827</v>
      </c>
      <c r="O644" s="5" t="s">
        <v>143</v>
      </c>
      <c r="P644" s="5" t="s">
        <v>144</v>
      </c>
      <c r="Q644" s="9">
        <v>0</v>
      </c>
      <c r="R644" s="5" t="s">
        <v>145</v>
      </c>
      <c r="S644" s="5" t="s">
        <v>145</v>
      </c>
      <c r="T644" s="5" t="s">
        <v>146</v>
      </c>
      <c r="U644" s="7"/>
      <c r="V644" s="5" t="s">
        <v>135</v>
      </c>
      <c r="W644" s="6">
        <v>200</v>
      </c>
      <c r="X644" s="5" t="s">
        <v>79</v>
      </c>
      <c r="Y644" s="9">
        <v>1</v>
      </c>
      <c r="Z644" s="5" t="s">
        <v>79</v>
      </c>
      <c r="AA644" s="5" t="s">
        <v>110</v>
      </c>
      <c r="AB644" s="9">
        <v>7</v>
      </c>
      <c r="AC644" s="5" t="s">
        <v>79</v>
      </c>
      <c r="AD644" s="5" t="s">
        <v>82</v>
      </c>
      <c r="AE644" s="5" t="s">
        <v>82</v>
      </c>
      <c r="AF644" s="10">
        <v>230000</v>
      </c>
      <c r="AG644" s="7">
        <v>48121</v>
      </c>
      <c r="AH644" s="10"/>
      <c r="AI644" s="10"/>
      <c r="AJ644" s="11" t="str">
        <f t="shared" si="9"/>
        <v/>
      </c>
      <c r="AK644" s="12">
        <f>IF(B644="","",OR(K644="Not in use",K644="Low use")+AND(N644&lt;&gt;"",N644&lt;&gt;"TBD")+AND(ISNUMBER(U644),U644&lt;=EDATE('Scoring Settings'!$B$4,'Scoring Settings'!$B$8))+AND(ISNUMBER(L644),L644&lt;='Scoring Settings'!$B$7))</f>
        <v>2</v>
      </c>
      <c r="AL644" s="5" t="s">
        <v>111</v>
      </c>
      <c r="AM644" s="8" t="str">
        <f>IF(B644="","",IF(Z644="N","Easy",IF(OR(AND(ISNUMBER(AB644),AB644&gt;'Scoring Settings'!$B$11),AND(ISNUMBER(W644),W644&gt;'Scoring Settings'!$B$12),AND(ISNUMBER(M644),M644&lt;='Scoring Settings'!$B$13)),"High","Medium")))</f>
        <v>Easy</v>
      </c>
      <c r="AN644" s="5"/>
      <c r="AO644" s="7"/>
      <c r="AP644" s="5" t="s">
        <v>98</v>
      </c>
      <c r="AQ644" s="29" t="s">
        <v>124</v>
      </c>
    </row>
    <row r="645" spans="1:43" hidden="1">
      <c r="A645" s="28">
        <v>28492</v>
      </c>
      <c r="B645" s="5" t="s">
        <v>828</v>
      </c>
      <c r="C645" s="5" t="s">
        <v>114</v>
      </c>
      <c r="D645" s="5" t="s">
        <v>115</v>
      </c>
      <c r="E645" s="5" t="s">
        <v>68</v>
      </c>
      <c r="F645" s="5" t="s">
        <v>173</v>
      </c>
      <c r="G645" s="5" t="s">
        <v>271</v>
      </c>
      <c r="H645" s="5" t="s">
        <v>71</v>
      </c>
      <c r="I645" s="6">
        <v>25</v>
      </c>
      <c r="J645" s="7">
        <v>44274</v>
      </c>
      <c r="K645" s="8" t="str">
        <f>IF(B645="","",IF(AND(I645="",J645=""),"Unknown",IF(OR(AND(ISNUMBER(I645),I645=0),AND(ISNUMBER(J645),J645&lt;=EDATE('Scoring Settings'!$B$4,-'Scoring Settings'!$B$5))),"Not in use",IF(AND(ISNUMBER(I645),I645&lt;'Scoring Settings'!$B$6),"Low use","Active"))))</f>
        <v>Active</v>
      </c>
      <c r="L645" s="5">
        <v>5</v>
      </c>
      <c r="M645" s="5">
        <v>1</v>
      </c>
      <c r="N645" s="5"/>
      <c r="O645" s="5" t="s">
        <v>130</v>
      </c>
      <c r="P645" s="5" t="s">
        <v>829</v>
      </c>
      <c r="Q645" s="9">
        <v>2</v>
      </c>
      <c r="R645" s="5" t="s">
        <v>335</v>
      </c>
      <c r="S645" s="5" t="s">
        <v>336</v>
      </c>
      <c r="T645" s="5" t="s">
        <v>134</v>
      </c>
      <c r="U645" s="7">
        <v>45473</v>
      </c>
      <c r="V645" s="5" t="s">
        <v>78</v>
      </c>
      <c r="W645" s="6">
        <v>1970</v>
      </c>
      <c r="X645" s="5" t="s">
        <v>80</v>
      </c>
      <c r="Y645" s="9">
        <v>10</v>
      </c>
      <c r="Z645" s="5" t="s">
        <v>79</v>
      </c>
      <c r="AA645" s="5" t="s">
        <v>110</v>
      </c>
      <c r="AB645" s="9">
        <v>56</v>
      </c>
      <c r="AC645" s="5" t="s">
        <v>82</v>
      </c>
      <c r="AD645" s="5" t="s">
        <v>79</v>
      </c>
      <c r="AE645" s="5" t="s">
        <v>82</v>
      </c>
      <c r="AF645" s="10">
        <v>50000</v>
      </c>
      <c r="AG645" s="7">
        <v>48883</v>
      </c>
      <c r="AH645" s="10"/>
      <c r="AI645" s="10"/>
      <c r="AJ645" s="11" t="str">
        <f t="shared" ref="AJ645:AJ708" si="10">IF(AND(ISNUMBER(AH645),ISNUMBER(AI645),N(AI645)&gt;0),AH645/AI645*12,"")</f>
        <v/>
      </c>
      <c r="AK645" s="12">
        <f>IF(B645="","",OR(K645="Not in use",K645="Low use")+AND(N645&lt;&gt;"",N645&lt;&gt;"TBD")+AND(ISNUMBER(U645),U645&lt;=EDATE('Scoring Settings'!$B$4,'Scoring Settings'!$B$8))+AND(ISNUMBER(L645),L645&lt;='Scoring Settings'!$B$7))</f>
        <v>0</v>
      </c>
      <c r="AL645" s="5" t="s">
        <v>83</v>
      </c>
      <c r="AM645" s="8" t="str">
        <f>IF(B645="","",IF(Z645="N","Easy",IF(OR(AND(ISNUMBER(AB645),AB645&gt;'Scoring Settings'!$B$11),AND(ISNUMBER(W645),W645&gt;'Scoring Settings'!$B$12),AND(ISNUMBER(M645),M645&lt;='Scoring Settings'!$B$13)),"High","Medium")))</f>
        <v>Easy</v>
      </c>
      <c r="AN645" s="5"/>
      <c r="AO645" s="7"/>
      <c r="AP645" s="5" t="s">
        <v>84</v>
      </c>
      <c r="AQ645" s="29" t="s">
        <v>247</v>
      </c>
    </row>
    <row r="646" spans="1:43" hidden="1">
      <c r="A646" s="28">
        <v>195711</v>
      </c>
      <c r="B646" s="5" t="s">
        <v>830</v>
      </c>
      <c r="C646" s="5" t="s">
        <v>634</v>
      </c>
      <c r="D646" s="5" t="s">
        <v>297</v>
      </c>
      <c r="E646" s="5" t="s">
        <v>68</v>
      </c>
      <c r="F646" s="5" t="s">
        <v>288</v>
      </c>
      <c r="G646" s="5" t="s">
        <v>117</v>
      </c>
      <c r="H646" s="5" t="s">
        <v>189</v>
      </c>
      <c r="I646" s="6">
        <v>135</v>
      </c>
      <c r="J646" s="7">
        <v>44284</v>
      </c>
      <c r="K646" s="8" t="str">
        <f>IF(B646="","",IF(AND(I646="",J646=""),"Unknown",IF(OR(AND(ISNUMBER(I646),I646=0),AND(ISNUMBER(J646),J646&lt;=EDATE('Scoring Settings'!$B$4,-'Scoring Settings'!$B$5))),"Not in use",IF(AND(ISNUMBER(I646),I646&lt;'Scoring Settings'!$B$6),"Low use","Active"))))</f>
        <v>Active</v>
      </c>
      <c r="L646" s="5">
        <v>5</v>
      </c>
      <c r="M646" s="5">
        <v>1</v>
      </c>
      <c r="N646" s="5" t="s">
        <v>827</v>
      </c>
      <c r="O646" s="5" t="s">
        <v>73</v>
      </c>
      <c r="P646" s="5" t="s">
        <v>831</v>
      </c>
      <c r="Q646" s="9">
        <v>1</v>
      </c>
      <c r="R646" s="5" t="s">
        <v>132</v>
      </c>
      <c r="S646" s="5" t="s">
        <v>133</v>
      </c>
      <c r="T646" s="5" t="s">
        <v>109</v>
      </c>
      <c r="U646" s="7" t="s">
        <v>72</v>
      </c>
      <c r="V646" s="5" t="s">
        <v>78</v>
      </c>
      <c r="W646" s="6">
        <v>210</v>
      </c>
      <c r="X646" s="5" t="s">
        <v>80</v>
      </c>
      <c r="Y646" s="9">
        <v>5</v>
      </c>
      <c r="Z646" s="5" t="s">
        <v>79</v>
      </c>
      <c r="AA646" s="5" t="s">
        <v>110</v>
      </c>
      <c r="AB646" s="9">
        <v>34</v>
      </c>
      <c r="AC646" s="5" t="s">
        <v>79</v>
      </c>
      <c r="AD646" s="5" t="s">
        <v>79</v>
      </c>
      <c r="AE646" s="5" t="s">
        <v>79</v>
      </c>
      <c r="AF646" s="10">
        <v>90000</v>
      </c>
      <c r="AG646" s="7">
        <v>47118</v>
      </c>
      <c r="AH646" s="10">
        <v>152000</v>
      </c>
      <c r="AI646" s="10">
        <v>71500</v>
      </c>
      <c r="AJ646" s="11">
        <f t="shared" si="10"/>
        <v>25.51048951048951</v>
      </c>
      <c r="AK646" s="12">
        <f>IF(B646="","",OR(K646="Not in use",K646="Low use")+AND(N646&lt;&gt;"",N646&lt;&gt;"TBD")+AND(ISNUMBER(U646),U646&lt;=EDATE('Scoring Settings'!$B$4,'Scoring Settings'!$B$8))+AND(ISNUMBER(L646),L646&lt;='Scoring Settings'!$B$7))</f>
        <v>1</v>
      </c>
      <c r="AL646" s="5" t="s">
        <v>111</v>
      </c>
      <c r="AM646" s="8" t="str">
        <f>IF(B646="","",IF(Z646="N","Easy",IF(OR(AND(ISNUMBER(AB646),AB646&gt;'Scoring Settings'!$B$11),AND(ISNUMBER(W646),W646&gt;'Scoring Settings'!$B$12),AND(ISNUMBER(M646),M646&lt;='Scoring Settings'!$B$13)),"High","Medium")))</f>
        <v>Easy</v>
      </c>
      <c r="AN646" s="5"/>
      <c r="AO646" s="7"/>
      <c r="AP646" s="5" t="s">
        <v>98</v>
      </c>
      <c r="AQ646" s="29" t="s">
        <v>124</v>
      </c>
    </row>
    <row r="647" spans="1:43" hidden="1">
      <c r="A647" s="28">
        <v>188475</v>
      </c>
      <c r="B647" s="5" t="s">
        <v>832</v>
      </c>
      <c r="C647" s="5" t="s">
        <v>215</v>
      </c>
      <c r="D647" s="5" t="s">
        <v>139</v>
      </c>
      <c r="E647" s="5" t="s">
        <v>68</v>
      </c>
      <c r="F647" s="5" t="s">
        <v>312</v>
      </c>
      <c r="G647" s="5" t="s">
        <v>153</v>
      </c>
      <c r="H647" s="5" t="s">
        <v>118</v>
      </c>
      <c r="I647" s="6">
        <v>0</v>
      </c>
      <c r="J647" s="7">
        <v>44208</v>
      </c>
      <c r="K647" s="8" t="str">
        <f>IF(B647="","",IF(AND(I647="",J647=""),"Unknown",IF(OR(AND(ISNUMBER(I647),I647=0),AND(ISNUMBER(J647),J647&lt;=EDATE('Scoring Settings'!$B$4,-'Scoring Settings'!$B$5))),"Not in use",IF(AND(ISNUMBER(I647),I647&lt;'Scoring Settings'!$B$6),"Low use","Active"))))</f>
        <v>Not in use</v>
      </c>
      <c r="L647" s="5">
        <v>2</v>
      </c>
      <c r="M647" s="5">
        <v>3</v>
      </c>
      <c r="N647" s="5"/>
      <c r="O647" s="5" t="s">
        <v>73</v>
      </c>
      <c r="P647" s="5" t="s">
        <v>833</v>
      </c>
      <c r="Q647" s="9">
        <v>3</v>
      </c>
      <c r="R647" s="5" t="s">
        <v>358</v>
      </c>
      <c r="S647" s="5" t="s">
        <v>133</v>
      </c>
      <c r="T647" s="5" t="s">
        <v>184</v>
      </c>
      <c r="U647" s="7">
        <v>43555</v>
      </c>
      <c r="V647" s="5" t="s">
        <v>135</v>
      </c>
      <c r="W647" s="6">
        <v>81</v>
      </c>
      <c r="X647" s="5" t="s">
        <v>79</v>
      </c>
      <c r="Y647" s="9">
        <v>7</v>
      </c>
      <c r="Z647" s="5" t="s">
        <v>79</v>
      </c>
      <c r="AA647" s="5" t="s">
        <v>110</v>
      </c>
      <c r="AB647" s="9">
        <v>2</v>
      </c>
      <c r="AC647" s="5" t="s">
        <v>82</v>
      </c>
      <c r="AD647" s="5" t="s">
        <v>79</v>
      </c>
      <c r="AE647" s="5" t="s">
        <v>82</v>
      </c>
      <c r="AF647" s="10">
        <v>32000</v>
      </c>
      <c r="AG647" s="7">
        <v>47634</v>
      </c>
      <c r="AH647" s="10"/>
      <c r="AI647" s="10"/>
      <c r="AJ647" s="11" t="str">
        <f t="shared" si="10"/>
        <v/>
      </c>
      <c r="AK647" s="12">
        <f>IF(B647="","",OR(K647="Not in use",K647="Low use")+AND(N647&lt;&gt;"",N647&lt;&gt;"TBD")+AND(ISNUMBER(U647),U647&lt;=EDATE('Scoring Settings'!$B$4,'Scoring Settings'!$B$8))+AND(ISNUMBER(L647),L647&lt;='Scoring Settings'!$B$7))</f>
        <v>3</v>
      </c>
      <c r="AL647" s="5" t="s">
        <v>111</v>
      </c>
      <c r="AM647" s="8" t="str">
        <f>IF(B647="","",IF(Z647="N","Easy",IF(OR(AND(ISNUMBER(AB647),AB647&gt;'Scoring Settings'!$B$11),AND(ISNUMBER(W647),W647&gt;'Scoring Settings'!$B$12),AND(ISNUMBER(M647),M647&lt;='Scoring Settings'!$B$13)),"High","Medium")))</f>
        <v>Easy</v>
      </c>
      <c r="AN647" s="5"/>
      <c r="AO647" s="7"/>
      <c r="AP647" s="5" t="s">
        <v>98</v>
      </c>
      <c r="AQ647" s="29" t="s">
        <v>159</v>
      </c>
    </row>
    <row r="648" spans="1:43" hidden="1">
      <c r="A648" s="28">
        <v>59143</v>
      </c>
      <c r="B648" s="5" t="s">
        <v>836</v>
      </c>
      <c r="C648" s="5" t="s">
        <v>483</v>
      </c>
      <c r="D648" s="5" t="s">
        <v>88</v>
      </c>
      <c r="E648" s="5" t="s">
        <v>68</v>
      </c>
      <c r="F648" s="5" t="s">
        <v>396</v>
      </c>
      <c r="G648" s="5" t="s">
        <v>179</v>
      </c>
      <c r="H648" s="5" t="s">
        <v>189</v>
      </c>
      <c r="I648" s="6">
        <v>33</v>
      </c>
      <c r="J648" s="7">
        <v>44308</v>
      </c>
      <c r="K648" s="8" t="str">
        <f>IF(B648="","",IF(AND(I648="",J648=""),"Unknown",IF(OR(AND(ISNUMBER(I648),I648=0),AND(ISNUMBER(J648),J648&lt;=EDATE('Scoring Settings'!$B$4,-'Scoring Settings'!$B$5))),"Not in use",IF(AND(ISNUMBER(I648),I648&lt;'Scoring Settings'!$B$6),"Low use","Active"))))</f>
        <v>Active</v>
      </c>
      <c r="L648" s="5">
        <v>3</v>
      </c>
      <c r="M648" s="5">
        <v>2</v>
      </c>
      <c r="N648" s="5" t="s">
        <v>72</v>
      </c>
      <c r="O648" s="5" t="s">
        <v>73</v>
      </c>
      <c r="P648" s="5" t="s">
        <v>837</v>
      </c>
      <c r="Q648" s="9">
        <v>4</v>
      </c>
      <c r="R648" s="5" t="s">
        <v>72</v>
      </c>
      <c r="S648" s="5" t="s">
        <v>108</v>
      </c>
      <c r="T648" s="5" t="s">
        <v>184</v>
      </c>
      <c r="U648" s="7">
        <v>43655</v>
      </c>
      <c r="V648" s="5" t="s">
        <v>95</v>
      </c>
      <c r="W648" s="6">
        <v>420</v>
      </c>
      <c r="X648" s="5" t="s">
        <v>79</v>
      </c>
      <c r="Y648" s="9">
        <v>2</v>
      </c>
      <c r="Z648" s="5" t="s">
        <v>80</v>
      </c>
      <c r="AA648" s="5" t="s">
        <v>205</v>
      </c>
      <c r="AB648" s="9">
        <v>11</v>
      </c>
      <c r="AC648" s="5" t="s">
        <v>79</v>
      </c>
      <c r="AD648" s="5" t="s">
        <v>79</v>
      </c>
      <c r="AE648" s="5" t="s">
        <v>79</v>
      </c>
      <c r="AF648" s="10">
        <v>115000</v>
      </c>
      <c r="AG648" s="7">
        <v>47938</v>
      </c>
      <c r="AH648" s="10"/>
      <c r="AI648" s="10"/>
      <c r="AJ648" s="11" t="str">
        <f t="shared" si="10"/>
        <v/>
      </c>
      <c r="AK648" s="12">
        <f>IF(B648="","",OR(K648="Not in use",K648="Low use")+AND(N648&lt;&gt;"",N648&lt;&gt;"TBD")+AND(ISNUMBER(U648),U648&lt;=EDATE('Scoring Settings'!$B$4,'Scoring Settings'!$B$8))+AND(ISNUMBER(L648),L648&lt;='Scoring Settings'!$B$7))</f>
        <v>1</v>
      </c>
      <c r="AL648" s="5" t="s">
        <v>83</v>
      </c>
      <c r="AM648" s="8" t="str">
        <f>IF(B648="","",IF(Z648="N","Easy",IF(OR(AND(ISNUMBER(AB648),AB648&gt;'Scoring Settings'!$B$11),AND(ISNUMBER(W648),W648&gt;'Scoring Settings'!$B$12),AND(ISNUMBER(M648),M648&lt;='Scoring Settings'!$B$13)),"High","Medium")))</f>
        <v>High</v>
      </c>
      <c r="AN648" s="5"/>
      <c r="AO648" s="7"/>
      <c r="AP648" s="5" t="s">
        <v>84</v>
      </c>
      <c r="AQ648" s="29" t="s">
        <v>247</v>
      </c>
    </row>
    <row r="649" spans="1:43" hidden="1">
      <c r="A649" s="28">
        <v>50905</v>
      </c>
      <c r="B649" s="5" t="s">
        <v>841</v>
      </c>
      <c r="C649" s="5" t="s">
        <v>13</v>
      </c>
      <c r="D649" s="5" t="s">
        <v>162</v>
      </c>
      <c r="E649" s="5" t="s">
        <v>311</v>
      </c>
      <c r="F649" s="5" t="s">
        <v>201</v>
      </c>
      <c r="G649" s="5" t="s">
        <v>271</v>
      </c>
      <c r="H649" s="5" t="s">
        <v>118</v>
      </c>
      <c r="I649" s="6">
        <v>1229</v>
      </c>
      <c r="J649" s="7">
        <v>44298</v>
      </c>
      <c r="K649" s="8" t="str">
        <f>IF(B649="","",IF(AND(I649="",J649=""),"Unknown",IF(OR(AND(ISNUMBER(I649),I649=0),AND(ISNUMBER(J649),J649&lt;=EDATE('Scoring Settings'!$B$4,-'Scoring Settings'!$B$5))),"Not in use",IF(AND(ISNUMBER(I649),I649&lt;'Scoring Settings'!$B$6),"Low use","Active"))))</f>
        <v>Active</v>
      </c>
      <c r="L649" s="5">
        <v>5</v>
      </c>
      <c r="M649" s="5">
        <v>1</v>
      </c>
      <c r="N649" s="5"/>
      <c r="O649" s="5" t="s">
        <v>130</v>
      </c>
      <c r="P649" s="5" t="s">
        <v>275</v>
      </c>
      <c r="Q649" s="9">
        <v>4</v>
      </c>
      <c r="R649" s="5" t="s">
        <v>166</v>
      </c>
      <c r="S649" s="5" t="s">
        <v>167</v>
      </c>
      <c r="T649" s="5" t="s">
        <v>195</v>
      </c>
      <c r="U649" s="7">
        <v>45482</v>
      </c>
      <c r="V649" s="5" t="s">
        <v>135</v>
      </c>
      <c r="W649" s="6">
        <v>17</v>
      </c>
      <c r="X649" s="5" t="s">
        <v>79</v>
      </c>
      <c r="Y649" s="9">
        <v>3</v>
      </c>
      <c r="Z649" s="5" t="s">
        <v>80</v>
      </c>
      <c r="AA649" s="5" t="s">
        <v>185</v>
      </c>
      <c r="AB649" s="9">
        <v>45</v>
      </c>
      <c r="AC649" s="5" t="s">
        <v>82</v>
      </c>
      <c r="AD649" s="5" t="s">
        <v>82</v>
      </c>
      <c r="AE649" s="5" t="s">
        <v>80</v>
      </c>
      <c r="AF649" s="10">
        <v>165000</v>
      </c>
      <c r="AG649" s="7">
        <v>47603</v>
      </c>
      <c r="AH649" s="10"/>
      <c r="AI649" s="10"/>
      <c r="AJ649" s="11" t="str">
        <f t="shared" si="10"/>
        <v/>
      </c>
      <c r="AK649" s="12">
        <f>IF(B649="","",OR(K649="Not in use",K649="Low use")+AND(N649&lt;&gt;"",N649&lt;&gt;"TBD")+AND(ISNUMBER(U649),U649&lt;=EDATE('Scoring Settings'!$B$4,'Scoring Settings'!$B$8))+AND(ISNUMBER(L649),L649&lt;='Scoring Settings'!$B$7))</f>
        <v>0</v>
      </c>
      <c r="AL649" s="5" t="s">
        <v>83</v>
      </c>
      <c r="AM649" s="8" t="str">
        <f>IF(B649="","",IF(Z649="N","Easy",IF(OR(AND(ISNUMBER(AB649),AB649&gt;'Scoring Settings'!$B$11),AND(ISNUMBER(W649),W649&gt;'Scoring Settings'!$B$12),AND(ISNUMBER(M649),M649&lt;='Scoring Settings'!$B$13)),"High","Medium")))</f>
        <v>High</v>
      </c>
      <c r="AN649" s="5"/>
      <c r="AO649" s="7"/>
      <c r="AP649" s="5" t="s">
        <v>98</v>
      </c>
      <c r="AQ649" s="29" t="s">
        <v>247</v>
      </c>
    </row>
    <row r="650" spans="1:43" hidden="1">
      <c r="A650" s="28">
        <v>54151</v>
      </c>
      <c r="B650" s="5" t="s">
        <v>845</v>
      </c>
      <c r="C650" s="5" t="s">
        <v>13</v>
      </c>
      <c r="D650" s="5" t="s">
        <v>162</v>
      </c>
      <c r="E650" s="5" t="s">
        <v>68</v>
      </c>
      <c r="F650" s="5" t="s">
        <v>243</v>
      </c>
      <c r="G650" s="5" t="s">
        <v>404</v>
      </c>
      <c r="H650" s="5" t="s">
        <v>71</v>
      </c>
      <c r="I650" s="6">
        <v>0</v>
      </c>
      <c r="J650" s="7">
        <v>44046</v>
      </c>
      <c r="K650" s="8" t="str">
        <f>IF(B650="","",IF(AND(I650="",J650=""),"Unknown",IF(OR(AND(ISNUMBER(I650),I650=0),AND(ISNUMBER(J650),J650&lt;=EDATE('Scoring Settings'!$B$4,-'Scoring Settings'!$B$5))),"Not in use",IF(AND(ISNUMBER(I650),I650&lt;'Scoring Settings'!$B$6),"Low use","Active"))))</f>
        <v>Not in use</v>
      </c>
      <c r="L650" s="5">
        <v>5</v>
      </c>
      <c r="M650" s="5">
        <v>2</v>
      </c>
      <c r="N650" s="5"/>
      <c r="O650" s="5" t="s">
        <v>73</v>
      </c>
      <c r="P650" s="5" t="s">
        <v>846</v>
      </c>
      <c r="Q650" s="9">
        <v>8</v>
      </c>
      <c r="R650" s="5" t="s">
        <v>93</v>
      </c>
      <c r="S650" s="5" t="s">
        <v>94</v>
      </c>
      <c r="T650" s="5" t="s">
        <v>109</v>
      </c>
      <c r="U650" s="7">
        <v>44561</v>
      </c>
      <c r="V650" s="5" t="s">
        <v>78</v>
      </c>
      <c r="W650" s="6">
        <v>160</v>
      </c>
      <c r="X650" s="5" t="s">
        <v>79</v>
      </c>
      <c r="Y650" s="9">
        <v>3</v>
      </c>
      <c r="Z650" s="5" t="s">
        <v>80</v>
      </c>
      <c r="AA650" s="5" t="s">
        <v>205</v>
      </c>
      <c r="AB650" s="9">
        <v>21</v>
      </c>
      <c r="AC650" s="5" t="s">
        <v>79</v>
      </c>
      <c r="AD650" s="5" t="s">
        <v>79</v>
      </c>
      <c r="AE650" s="5" t="s">
        <v>79</v>
      </c>
      <c r="AF650" s="10">
        <v>245000</v>
      </c>
      <c r="AG650" s="7">
        <v>48152</v>
      </c>
      <c r="AH650" s="10">
        <v>185500</v>
      </c>
      <c r="AI650" s="10">
        <v>216500</v>
      </c>
      <c r="AJ650" s="11">
        <f t="shared" si="10"/>
        <v>10.28175519630485</v>
      </c>
      <c r="AK650" s="12">
        <f>IF(B650="","",OR(K650="Not in use",K650="Low use")+AND(N650&lt;&gt;"",N650&lt;&gt;"TBD")+AND(ISNUMBER(U650),U650&lt;=EDATE('Scoring Settings'!$B$4,'Scoring Settings'!$B$8))+AND(ISNUMBER(L650),L650&lt;='Scoring Settings'!$B$7))</f>
        <v>2</v>
      </c>
      <c r="AL650" s="5" t="s">
        <v>111</v>
      </c>
      <c r="AM650" s="8" t="str">
        <f>IF(B650="","",IF(Z650="N","Easy",IF(OR(AND(ISNUMBER(AB650),AB650&gt;'Scoring Settings'!$B$11),AND(ISNUMBER(W650),W650&gt;'Scoring Settings'!$B$12),AND(ISNUMBER(M650),M650&lt;='Scoring Settings'!$B$13)),"High","Medium")))</f>
        <v>High</v>
      </c>
      <c r="AN650" s="5"/>
      <c r="AO650" s="7"/>
      <c r="AP650" s="5" t="s">
        <v>98</v>
      </c>
      <c r="AQ650" s="29" t="s">
        <v>112</v>
      </c>
    </row>
    <row r="651" spans="1:43" hidden="1">
      <c r="A651" s="28">
        <v>18552</v>
      </c>
      <c r="B651" s="5" t="s">
        <v>848</v>
      </c>
      <c r="C651" s="5" t="s">
        <v>305</v>
      </c>
      <c r="D651" s="5" t="s">
        <v>297</v>
      </c>
      <c r="E651" s="5" t="s">
        <v>68</v>
      </c>
      <c r="F651" s="5" t="s">
        <v>209</v>
      </c>
      <c r="G651" s="5" t="s">
        <v>226</v>
      </c>
      <c r="H651" s="5" t="s">
        <v>91</v>
      </c>
      <c r="I651" s="6">
        <v>17</v>
      </c>
      <c r="J651" s="7">
        <v>44246</v>
      </c>
      <c r="K651" s="8" t="str">
        <f>IF(B651="","",IF(AND(I651="",J651=""),"Unknown",IF(OR(AND(ISNUMBER(I651),I651=0),AND(ISNUMBER(J651),J651&lt;=EDATE('Scoring Settings'!$B$4,-'Scoring Settings'!$B$5))),"Not in use",IF(AND(ISNUMBER(I651),I651&lt;'Scoring Settings'!$B$6),"Low use","Active"))))</f>
        <v>Low use</v>
      </c>
      <c r="L651" s="5">
        <v>5</v>
      </c>
      <c r="M651" s="5">
        <v>1</v>
      </c>
      <c r="N651" s="5" t="s">
        <v>723</v>
      </c>
      <c r="O651" s="5" t="s">
        <v>191</v>
      </c>
      <c r="P651" s="5" t="s">
        <v>192</v>
      </c>
      <c r="Q651" s="9">
        <v>0</v>
      </c>
      <c r="R651" s="5" t="s">
        <v>193</v>
      </c>
      <c r="S651" s="5" t="s">
        <v>194</v>
      </c>
      <c r="T651" s="5" t="s">
        <v>195</v>
      </c>
      <c r="U651" s="7"/>
      <c r="V651" s="5" t="s">
        <v>135</v>
      </c>
      <c r="W651" s="6">
        <v>95</v>
      </c>
      <c r="X651" s="5" t="s">
        <v>80</v>
      </c>
      <c r="Y651" s="9">
        <v>10</v>
      </c>
      <c r="Z651" s="5" t="s">
        <v>80</v>
      </c>
      <c r="AA651" s="5" t="s">
        <v>81</v>
      </c>
      <c r="AB651" s="9">
        <v>90</v>
      </c>
      <c r="AC651" s="5" t="s">
        <v>80</v>
      </c>
      <c r="AD651" s="5" t="s">
        <v>79</v>
      </c>
      <c r="AE651" s="5" t="s">
        <v>79</v>
      </c>
      <c r="AF651" s="10">
        <v>75000</v>
      </c>
      <c r="AG651" s="7">
        <v>49278</v>
      </c>
      <c r="AH651" s="10"/>
      <c r="AI651" s="10"/>
      <c r="AJ651" s="11" t="str">
        <f t="shared" si="10"/>
        <v/>
      </c>
      <c r="AK651" s="12">
        <f>IF(B651="","",OR(K651="Not in use",K651="Low use")+AND(N651&lt;&gt;"",N651&lt;&gt;"TBD")+AND(ISNUMBER(U651),U651&lt;=EDATE('Scoring Settings'!$B$4,'Scoring Settings'!$B$8))+AND(ISNUMBER(L651),L651&lt;='Scoring Settings'!$B$7))</f>
        <v>2</v>
      </c>
      <c r="AL651" s="5" t="s">
        <v>111</v>
      </c>
      <c r="AM651" s="8" t="str">
        <f>IF(B651="","",IF(Z651="N","Easy",IF(OR(AND(ISNUMBER(AB651),AB651&gt;'Scoring Settings'!$B$11),AND(ISNUMBER(W651),W651&gt;'Scoring Settings'!$B$12),AND(ISNUMBER(M651),M651&lt;='Scoring Settings'!$B$13)),"High","Medium")))</f>
        <v>High</v>
      </c>
      <c r="AN651" s="5"/>
      <c r="AO651" s="7"/>
      <c r="AP651" s="5" t="s">
        <v>98</v>
      </c>
      <c r="AQ651" s="29" t="s">
        <v>124</v>
      </c>
    </row>
    <row r="652" spans="1:43" hidden="1">
      <c r="A652" s="28">
        <v>28156</v>
      </c>
      <c r="B652" s="5" t="s">
        <v>849</v>
      </c>
      <c r="C652" s="5" t="s">
        <v>156</v>
      </c>
      <c r="D652" s="5" t="s">
        <v>139</v>
      </c>
      <c r="E652" s="5" t="s">
        <v>298</v>
      </c>
      <c r="F652" s="5" t="s">
        <v>263</v>
      </c>
      <c r="G652" s="5" t="s">
        <v>210</v>
      </c>
      <c r="H652" s="5" t="s">
        <v>105</v>
      </c>
      <c r="I652" s="6">
        <v>328</v>
      </c>
      <c r="J652" s="7">
        <v>44280</v>
      </c>
      <c r="K652" s="8" t="str">
        <f>IF(B652="","",IF(AND(I652="",J652=""),"Unknown",IF(OR(AND(ISNUMBER(I652),I652=0),AND(ISNUMBER(J652),J652&lt;=EDATE('Scoring Settings'!$B$4,-'Scoring Settings'!$B$5))),"Not in use",IF(AND(ISNUMBER(I652),I652&lt;'Scoring Settings'!$B$6),"Low use","Active"))))</f>
        <v>Active</v>
      </c>
      <c r="L652" s="5">
        <v>5</v>
      </c>
      <c r="M652" s="5">
        <v>2</v>
      </c>
      <c r="N652" s="5"/>
      <c r="O652" s="5" t="s">
        <v>73</v>
      </c>
      <c r="P652" s="5" t="s">
        <v>850</v>
      </c>
      <c r="Q652" s="9">
        <v>8</v>
      </c>
      <c r="R652" s="5" t="s">
        <v>239</v>
      </c>
      <c r="S652" s="5" t="s">
        <v>240</v>
      </c>
      <c r="T652" s="5" t="s">
        <v>122</v>
      </c>
      <c r="U652" s="7">
        <v>44316</v>
      </c>
      <c r="V652" s="5" t="s">
        <v>95</v>
      </c>
      <c r="W652" s="6">
        <v>16</v>
      </c>
      <c r="X652" s="5" t="s">
        <v>80</v>
      </c>
      <c r="Y652" s="9">
        <v>10</v>
      </c>
      <c r="Z652" s="5" t="s">
        <v>80</v>
      </c>
      <c r="AA652" s="5" t="s">
        <v>147</v>
      </c>
      <c r="AB652" s="9">
        <v>6</v>
      </c>
      <c r="AC652" s="5" t="s">
        <v>79</v>
      </c>
      <c r="AD652" s="5" t="s">
        <v>82</v>
      </c>
      <c r="AE652" s="5" t="s">
        <v>80</v>
      </c>
      <c r="AF652" s="10">
        <v>90000</v>
      </c>
      <c r="AG652" s="7">
        <v>49248</v>
      </c>
      <c r="AH652" s="10"/>
      <c r="AI652" s="10"/>
      <c r="AJ652" s="11" t="str">
        <f t="shared" si="10"/>
        <v/>
      </c>
      <c r="AK652" s="12">
        <f>IF(B652="","",OR(K652="Not in use",K652="Low use")+AND(N652&lt;&gt;"",N652&lt;&gt;"TBD")+AND(ISNUMBER(U652),U652&lt;=EDATE('Scoring Settings'!$B$4,'Scoring Settings'!$B$8))+AND(ISNUMBER(L652),L652&lt;='Scoring Settings'!$B$7))</f>
        <v>1</v>
      </c>
      <c r="AL652" s="5" t="s">
        <v>83</v>
      </c>
      <c r="AM652" s="8" t="str">
        <f>IF(B652="","",IF(Z652="N","Easy",IF(OR(AND(ISNUMBER(AB652),AB652&gt;'Scoring Settings'!$B$11),AND(ISNUMBER(W652),W652&gt;'Scoring Settings'!$B$12),AND(ISNUMBER(M652),M652&lt;='Scoring Settings'!$B$13)),"High","Medium")))</f>
        <v>High</v>
      </c>
      <c r="AN652" s="5"/>
      <c r="AO652" s="7"/>
      <c r="AP652" s="5" t="s">
        <v>84</v>
      </c>
      <c r="AQ652" s="29" t="s">
        <v>314</v>
      </c>
    </row>
    <row r="653" spans="1:43" hidden="1">
      <c r="A653" s="28">
        <v>68377</v>
      </c>
      <c r="B653" s="5" t="s">
        <v>851</v>
      </c>
      <c r="C653" s="5" t="s">
        <v>338</v>
      </c>
      <c r="D653" s="5" t="s">
        <v>139</v>
      </c>
      <c r="E653" s="5" t="s">
        <v>68</v>
      </c>
      <c r="F653" s="5" t="s">
        <v>157</v>
      </c>
      <c r="G653" s="5" t="s">
        <v>104</v>
      </c>
      <c r="H653" s="5" t="s">
        <v>105</v>
      </c>
      <c r="I653" s="6">
        <v>1377</v>
      </c>
      <c r="J653" s="7">
        <v>44304</v>
      </c>
      <c r="K653" s="8" t="str">
        <f>IF(B653="","",IF(AND(I653="",J653=""),"Unknown",IF(OR(AND(ISNUMBER(I653),I653=0),AND(ISNUMBER(J653),J653&lt;=EDATE('Scoring Settings'!$B$4,-'Scoring Settings'!$B$5))),"Not in use",IF(AND(ISNUMBER(I653),I653&lt;'Scoring Settings'!$B$6),"Low use","Active"))))</f>
        <v>Active</v>
      </c>
      <c r="L653" s="5">
        <v>5</v>
      </c>
      <c r="M653" s="5">
        <v>1</v>
      </c>
      <c r="N653" s="5"/>
      <c r="O653" s="5" t="s">
        <v>130</v>
      </c>
      <c r="P653" s="5" t="s">
        <v>852</v>
      </c>
      <c r="Q653" s="9">
        <v>3</v>
      </c>
      <c r="R653" s="5" t="s">
        <v>245</v>
      </c>
      <c r="S653" s="5" t="s">
        <v>246</v>
      </c>
      <c r="T653" s="5" t="s">
        <v>134</v>
      </c>
      <c r="U653" s="7">
        <v>45777</v>
      </c>
      <c r="V653" s="5" t="s">
        <v>135</v>
      </c>
      <c r="W653" s="6">
        <v>84</v>
      </c>
      <c r="X653" s="5" t="s">
        <v>80</v>
      </c>
      <c r="Y653" s="9">
        <v>5</v>
      </c>
      <c r="Z653" s="5" t="s">
        <v>80</v>
      </c>
      <c r="AA653" s="5" t="s">
        <v>185</v>
      </c>
      <c r="AB653" s="9">
        <v>84</v>
      </c>
      <c r="AC653" s="5" t="s">
        <v>80</v>
      </c>
      <c r="AD653" s="5" t="s">
        <v>79</v>
      </c>
      <c r="AE653" s="5" t="s">
        <v>82</v>
      </c>
      <c r="AF653" s="10">
        <v>80000</v>
      </c>
      <c r="AG653" s="7">
        <v>45838</v>
      </c>
      <c r="AH653" s="10"/>
      <c r="AI653" s="10"/>
      <c r="AJ653" s="11" t="str">
        <f t="shared" si="10"/>
        <v/>
      </c>
      <c r="AK653" s="12">
        <f>IF(B653="","",OR(K653="Not in use",K653="Low use")+AND(N653&lt;&gt;"",N653&lt;&gt;"TBD")+AND(ISNUMBER(U653),U653&lt;=EDATE('Scoring Settings'!$B$4,'Scoring Settings'!$B$8))+AND(ISNUMBER(L653),L653&lt;='Scoring Settings'!$B$7))</f>
        <v>0</v>
      </c>
      <c r="AL653" s="5" t="s">
        <v>83</v>
      </c>
      <c r="AM653" s="8" t="str">
        <f>IF(B653="","",IF(Z653="N","Easy",IF(OR(AND(ISNUMBER(AB653),AB653&gt;'Scoring Settings'!$B$11),AND(ISNUMBER(W653),W653&gt;'Scoring Settings'!$B$12),AND(ISNUMBER(M653),M653&lt;='Scoring Settings'!$B$13)),"High","Medium")))</f>
        <v>High</v>
      </c>
      <c r="AN653" s="5"/>
      <c r="AO653" s="7"/>
      <c r="AP653" s="5" t="s">
        <v>84</v>
      </c>
      <c r="AQ653" s="29" t="s">
        <v>247</v>
      </c>
    </row>
    <row r="654" spans="1:43" ht="42.75" hidden="1">
      <c r="A654" s="28">
        <v>46013</v>
      </c>
      <c r="B654" s="5" t="s">
        <v>868</v>
      </c>
      <c r="C654" s="5" t="s">
        <v>343</v>
      </c>
      <c r="D654" s="5" t="s">
        <v>102</v>
      </c>
      <c r="E654" s="5" t="s">
        <v>68</v>
      </c>
      <c r="F654" s="5" t="s">
        <v>346</v>
      </c>
      <c r="G654" s="5" t="s">
        <v>117</v>
      </c>
      <c r="H654" s="5" t="s">
        <v>91</v>
      </c>
      <c r="I654" s="6">
        <v>1491</v>
      </c>
      <c r="J654" s="7">
        <v>44273</v>
      </c>
      <c r="K654" s="8" t="str">
        <f>IF(B654="","",IF(AND(I654="",J654=""),"Unknown",IF(OR(AND(ISNUMBER(I654),I654=0),AND(ISNUMBER(J654),J654&lt;=EDATE('Scoring Settings'!$B$4,-'Scoring Settings'!$B$5))),"Not in use",IF(AND(ISNUMBER(I654),I654&lt;'Scoring Settings'!$B$6),"Low use","Active"))))</f>
        <v>Active</v>
      </c>
      <c r="L654" s="5">
        <v>4</v>
      </c>
      <c r="M654" s="5">
        <v>2</v>
      </c>
      <c r="N654" s="5"/>
      <c r="O654" s="5" t="s">
        <v>73</v>
      </c>
      <c r="P654" s="5" t="s">
        <v>869</v>
      </c>
      <c r="Q654" s="9">
        <v>4</v>
      </c>
      <c r="R654" s="5" t="s">
        <v>72</v>
      </c>
      <c r="S654" s="5" t="s">
        <v>167</v>
      </c>
      <c r="T654" s="5" t="s">
        <v>72</v>
      </c>
      <c r="U654" s="7">
        <v>45482</v>
      </c>
      <c r="V654" s="5" t="s">
        <v>135</v>
      </c>
      <c r="W654" s="6">
        <v>550</v>
      </c>
      <c r="X654" s="5" t="s">
        <v>79</v>
      </c>
      <c r="Y654" s="9">
        <v>5</v>
      </c>
      <c r="Z654" s="5" t="s">
        <v>80</v>
      </c>
      <c r="AA654" s="5" t="s">
        <v>123</v>
      </c>
      <c r="AB654" s="9">
        <v>24</v>
      </c>
      <c r="AC654" s="5" t="s">
        <v>80</v>
      </c>
      <c r="AD654" s="5" t="s">
        <v>80</v>
      </c>
      <c r="AE654" s="5" t="s">
        <v>80</v>
      </c>
      <c r="AF654" s="10">
        <v>80000</v>
      </c>
      <c r="AG654" s="7">
        <v>46203</v>
      </c>
      <c r="AH654" s="10"/>
      <c r="AI654" s="10"/>
      <c r="AJ654" s="11" t="str">
        <f t="shared" si="10"/>
        <v/>
      </c>
      <c r="AK654" s="12">
        <f>IF(B654="","",OR(K654="Not in use",K654="Low use")+AND(N654&lt;&gt;"",N654&lt;&gt;"TBD")+AND(ISNUMBER(U654),U654&lt;=EDATE('Scoring Settings'!$B$4,'Scoring Settings'!$B$8))+AND(ISNUMBER(L654),L654&lt;='Scoring Settings'!$B$7))</f>
        <v>0</v>
      </c>
      <c r="AL654" s="5" t="s">
        <v>111</v>
      </c>
      <c r="AM654" s="8" t="str">
        <f>IF(B654="","",IF(Z654="N","Easy",IF(OR(AND(ISNUMBER(AB654),AB654&gt;'Scoring Settings'!$B$11),AND(ISNUMBER(W654),W654&gt;'Scoring Settings'!$B$12),AND(ISNUMBER(M654),M654&lt;='Scoring Settings'!$B$13)),"High","Medium")))</f>
        <v>High</v>
      </c>
      <c r="AN654" s="5"/>
      <c r="AO654" s="7"/>
      <c r="AP654" s="5" t="s">
        <v>98</v>
      </c>
      <c r="AQ654" s="29" t="s">
        <v>368</v>
      </c>
    </row>
    <row r="655" spans="1:43" hidden="1">
      <c r="A655" s="28">
        <v>58950</v>
      </c>
      <c r="B655" s="5" t="s">
        <v>870</v>
      </c>
      <c r="C655" s="5" t="s">
        <v>464</v>
      </c>
      <c r="D655" s="5" t="s">
        <v>88</v>
      </c>
      <c r="E655" s="5" t="s">
        <v>68</v>
      </c>
      <c r="F655" s="5" t="s">
        <v>89</v>
      </c>
      <c r="G655" s="5" t="s">
        <v>271</v>
      </c>
      <c r="H655" s="5" t="s">
        <v>129</v>
      </c>
      <c r="I655" s="6">
        <v>147</v>
      </c>
      <c r="J655" s="7">
        <v>44309</v>
      </c>
      <c r="K655" s="8" t="str">
        <f>IF(B655="","",IF(AND(I655="",J655=""),"Unknown",IF(OR(AND(ISNUMBER(I655),I655=0),AND(ISNUMBER(J655),J655&lt;=EDATE('Scoring Settings'!$B$4,-'Scoring Settings'!$B$5))),"Not in use",IF(AND(ISNUMBER(I655),I655&lt;'Scoring Settings'!$B$6),"Low use","Active"))))</f>
        <v>Active</v>
      </c>
      <c r="L655" s="5">
        <v>4</v>
      </c>
      <c r="M655" s="5">
        <v>3</v>
      </c>
      <c r="N655" s="5"/>
      <c r="O655" s="5" t="s">
        <v>73</v>
      </c>
      <c r="P655" s="5" t="s">
        <v>871</v>
      </c>
      <c r="Q655" s="9">
        <v>3</v>
      </c>
      <c r="R655" s="5" t="s">
        <v>239</v>
      </c>
      <c r="S655" s="5" t="s">
        <v>240</v>
      </c>
      <c r="T655" s="5" t="s">
        <v>109</v>
      </c>
      <c r="U655" s="7">
        <v>44316</v>
      </c>
      <c r="V655" s="5" t="s">
        <v>95</v>
      </c>
      <c r="W655" s="6">
        <v>240</v>
      </c>
      <c r="X655" s="5" t="s">
        <v>79</v>
      </c>
      <c r="Y655" s="9">
        <v>5</v>
      </c>
      <c r="Z655" s="5" t="s">
        <v>80</v>
      </c>
      <c r="AA655" s="5" t="s">
        <v>185</v>
      </c>
      <c r="AB655" s="9">
        <v>4</v>
      </c>
      <c r="AC655" s="5" t="s">
        <v>82</v>
      </c>
      <c r="AD655" s="5" t="s">
        <v>82</v>
      </c>
      <c r="AE655" s="5" t="s">
        <v>79</v>
      </c>
      <c r="AF655" s="10">
        <v>49000</v>
      </c>
      <c r="AG655" s="7">
        <v>46873</v>
      </c>
      <c r="AH655" s="10">
        <v>86000</v>
      </c>
      <c r="AI655" s="10">
        <v>29500</v>
      </c>
      <c r="AJ655" s="11">
        <f t="shared" si="10"/>
        <v>34.983050847457626</v>
      </c>
      <c r="AK655" s="12">
        <f>IF(B655="","",OR(K655="Not in use",K655="Low use")+AND(N655&lt;&gt;"",N655&lt;&gt;"TBD")+AND(ISNUMBER(U655),U655&lt;=EDATE('Scoring Settings'!$B$4,'Scoring Settings'!$B$8))+AND(ISNUMBER(L655),L655&lt;='Scoring Settings'!$B$7))</f>
        <v>1</v>
      </c>
      <c r="AL655" s="5" t="s">
        <v>111</v>
      </c>
      <c r="AM655" s="8" t="str">
        <f>IF(B655="","",IF(Z655="N","Easy",IF(OR(AND(ISNUMBER(AB655),AB655&gt;'Scoring Settings'!$B$11),AND(ISNUMBER(W655),W655&gt;'Scoring Settings'!$B$12),AND(ISNUMBER(M655),M655&lt;='Scoring Settings'!$B$13)),"High","Medium")))</f>
        <v>Medium</v>
      </c>
      <c r="AN655" s="5"/>
      <c r="AO655" s="7"/>
      <c r="AP655" s="5" t="s">
        <v>98</v>
      </c>
      <c r="AQ655" s="29" t="s">
        <v>124</v>
      </c>
    </row>
    <row r="656" spans="1:43" hidden="1">
      <c r="A656" s="28">
        <v>185018</v>
      </c>
      <c r="B656" s="5" t="s">
        <v>872</v>
      </c>
      <c r="C656" s="5" t="s">
        <v>343</v>
      </c>
      <c r="D656" s="5" t="s">
        <v>102</v>
      </c>
      <c r="E656" s="5" t="s">
        <v>68</v>
      </c>
      <c r="F656" s="5" t="s">
        <v>288</v>
      </c>
      <c r="G656" s="5" t="s">
        <v>271</v>
      </c>
      <c r="H656" s="5" t="s">
        <v>189</v>
      </c>
      <c r="I656" s="6">
        <v>903</v>
      </c>
      <c r="J656" s="7">
        <v>44301</v>
      </c>
      <c r="K656" s="8" t="str">
        <f>IF(B656="","",IF(AND(I656="",J656=""),"Unknown",IF(OR(AND(ISNUMBER(I656),I656=0),AND(ISNUMBER(J656),J656&lt;=EDATE('Scoring Settings'!$B$4,-'Scoring Settings'!$B$5))),"Not in use",IF(AND(ISNUMBER(I656),I656&lt;'Scoring Settings'!$B$6),"Low use","Active"))))</f>
        <v>Active</v>
      </c>
      <c r="L656" s="5">
        <v>2</v>
      </c>
      <c r="M656" s="5">
        <v>4</v>
      </c>
      <c r="N656" s="5"/>
      <c r="O656" s="5" t="s">
        <v>130</v>
      </c>
      <c r="P656" s="5" t="s">
        <v>873</v>
      </c>
      <c r="Q656" s="9">
        <v>1</v>
      </c>
      <c r="R656" s="5" t="s">
        <v>245</v>
      </c>
      <c r="S656" s="5" t="s">
        <v>246</v>
      </c>
      <c r="T656" s="5" t="s">
        <v>168</v>
      </c>
      <c r="U656" s="7">
        <v>45777</v>
      </c>
      <c r="V656" s="5" t="s">
        <v>135</v>
      </c>
      <c r="W656" s="6">
        <v>10</v>
      </c>
      <c r="X656" s="5" t="s">
        <v>80</v>
      </c>
      <c r="Y656" s="9">
        <v>10</v>
      </c>
      <c r="Z656" s="5" t="s">
        <v>80</v>
      </c>
      <c r="AA656" s="5" t="s">
        <v>123</v>
      </c>
      <c r="AB656" s="9">
        <v>2</v>
      </c>
      <c r="AC656" s="5" t="s">
        <v>79</v>
      </c>
      <c r="AD656" s="5" t="s">
        <v>80</v>
      </c>
      <c r="AE656" s="5" t="s">
        <v>80</v>
      </c>
      <c r="AF656" s="10">
        <v>21000</v>
      </c>
      <c r="AG656" s="7">
        <v>48548</v>
      </c>
      <c r="AH656" s="10">
        <v>28000</v>
      </c>
      <c r="AI656" s="10">
        <v>12000</v>
      </c>
      <c r="AJ656" s="11">
        <f t="shared" si="10"/>
        <v>28</v>
      </c>
      <c r="AK656" s="12">
        <f>IF(B656="","",OR(K656="Not in use",K656="Low use")+AND(N656&lt;&gt;"",N656&lt;&gt;"TBD")+AND(ISNUMBER(U656),U656&lt;=EDATE('Scoring Settings'!$B$4,'Scoring Settings'!$B$8))+AND(ISNUMBER(L656),L656&lt;='Scoring Settings'!$B$7))</f>
        <v>1</v>
      </c>
      <c r="AL656" s="5" t="s">
        <v>111</v>
      </c>
      <c r="AM656" s="8" t="str">
        <f>IF(B656="","",IF(Z656="N","Easy",IF(OR(AND(ISNUMBER(AB656),AB656&gt;'Scoring Settings'!$B$11),AND(ISNUMBER(W656),W656&gt;'Scoring Settings'!$B$12),AND(ISNUMBER(M656),M656&lt;='Scoring Settings'!$B$13)),"High","Medium")))</f>
        <v>Medium</v>
      </c>
      <c r="AN656" s="5"/>
      <c r="AO656" s="7"/>
      <c r="AP656" s="5" t="s">
        <v>98</v>
      </c>
      <c r="AQ656" s="29" t="s">
        <v>112</v>
      </c>
    </row>
    <row r="657" spans="1:43" hidden="1">
      <c r="A657" s="28">
        <v>160952</v>
      </c>
      <c r="B657" s="5" t="s">
        <v>877</v>
      </c>
      <c r="C657" s="5" t="s">
        <v>230</v>
      </c>
      <c r="D657" s="5" t="s">
        <v>115</v>
      </c>
      <c r="E657" s="5" t="s">
        <v>68</v>
      </c>
      <c r="F657" s="5" t="s">
        <v>476</v>
      </c>
      <c r="G657" s="5" t="s">
        <v>141</v>
      </c>
      <c r="H657" s="5" t="s">
        <v>71</v>
      </c>
      <c r="I657" s="6">
        <v>15</v>
      </c>
      <c r="J657" s="7">
        <v>44180</v>
      </c>
      <c r="K657" s="8" t="str">
        <f>IF(B657="","",IF(AND(I657="",J657=""),"Unknown",IF(OR(AND(ISNUMBER(I657),I657=0),AND(ISNUMBER(J657),J657&lt;=EDATE('Scoring Settings'!$B$4,-'Scoring Settings'!$B$5))),"Not in use",IF(AND(ISNUMBER(I657),I657&lt;'Scoring Settings'!$B$6),"Low use","Active"))))</f>
        <v>Low use</v>
      </c>
      <c r="L657" s="5">
        <v>3</v>
      </c>
      <c r="M657" s="5">
        <v>2</v>
      </c>
      <c r="N657" s="5"/>
      <c r="O657" s="5" t="s">
        <v>73</v>
      </c>
      <c r="P657" s="5" t="s">
        <v>878</v>
      </c>
      <c r="Q657" s="9">
        <v>8</v>
      </c>
      <c r="R657" s="5" t="s">
        <v>358</v>
      </c>
      <c r="S657" s="5" t="s">
        <v>133</v>
      </c>
      <c r="T657" s="5" t="s">
        <v>77</v>
      </c>
      <c r="U657" s="7">
        <v>43555</v>
      </c>
      <c r="V657" s="5" t="s">
        <v>95</v>
      </c>
      <c r="W657" s="6">
        <v>59</v>
      </c>
      <c r="X657" s="5" t="s">
        <v>80</v>
      </c>
      <c r="Y657" s="9">
        <v>7</v>
      </c>
      <c r="Z657" s="5" t="s">
        <v>80</v>
      </c>
      <c r="AA657" s="5" t="s">
        <v>123</v>
      </c>
      <c r="AB657" s="9">
        <v>19</v>
      </c>
      <c r="AC657" s="5" t="s">
        <v>79</v>
      </c>
      <c r="AD657" s="5" t="s">
        <v>82</v>
      </c>
      <c r="AE657" s="5" t="s">
        <v>82</v>
      </c>
      <c r="AF657" s="10">
        <v>125000</v>
      </c>
      <c r="AG657" s="7">
        <v>48487</v>
      </c>
      <c r="AH657" s="10"/>
      <c r="AI657" s="10"/>
      <c r="AJ657" s="11" t="str">
        <f t="shared" si="10"/>
        <v/>
      </c>
      <c r="AK657" s="12">
        <f>IF(B657="","",OR(K657="Not in use",K657="Low use")+AND(N657&lt;&gt;"",N657&lt;&gt;"TBD")+AND(ISNUMBER(U657),U657&lt;=EDATE('Scoring Settings'!$B$4,'Scoring Settings'!$B$8))+AND(ISNUMBER(L657),L657&lt;='Scoring Settings'!$B$7))</f>
        <v>2</v>
      </c>
      <c r="AL657" s="5" t="s">
        <v>111</v>
      </c>
      <c r="AM657" s="8" t="str">
        <f>IF(B657="","",IF(Z657="N","Easy",IF(OR(AND(ISNUMBER(AB657),AB657&gt;'Scoring Settings'!$B$11),AND(ISNUMBER(W657),W657&gt;'Scoring Settings'!$B$12),AND(ISNUMBER(M657),M657&lt;='Scoring Settings'!$B$13)),"High","Medium")))</f>
        <v>High</v>
      </c>
      <c r="AN657" s="5"/>
      <c r="AO657" s="7"/>
      <c r="AP657" s="5" t="s">
        <v>98</v>
      </c>
      <c r="AQ657" s="29" t="s">
        <v>124</v>
      </c>
    </row>
    <row r="658" spans="1:43" hidden="1">
      <c r="A658" s="28">
        <v>52546</v>
      </c>
      <c r="B658" s="5" t="s">
        <v>882</v>
      </c>
      <c r="C658" s="5" t="s">
        <v>234</v>
      </c>
      <c r="D658" s="5" t="s">
        <v>102</v>
      </c>
      <c r="E658" s="5" t="s">
        <v>68</v>
      </c>
      <c r="F658" s="5" t="s">
        <v>89</v>
      </c>
      <c r="G658" s="5" t="s">
        <v>179</v>
      </c>
      <c r="H658" s="5" t="s">
        <v>142</v>
      </c>
      <c r="I658" s="6">
        <v>116</v>
      </c>
      <c r="J658" s="7">
        <v>44290</v>
      </c>
      <c r="K658" s="8" t="str">
        <f>IF(B658="","",IF(AND(I658="",J658=""),"Unknown",IF(OR(AND(ISNUMBER(I658),I658=0),AND(ISNUMBER(J658),J658&lt;=EDATE('Scoring Settings'!$B$4,-'Scoring Settings'!$B$5))),"Not in use",IF(AND(ISNUMBER(I658),I658&lt;'Scoring Settings'!$B$6),"Low use","Active"))))</f>
        <v>Active</v>
      </c>
      <c r="L658" s="5">
        <v>5</v>
      </c>
      <c r="M658" s="5">
        <v>2</v>
      </c>
      <c r="N658" s="5"/>
      <c r="O658" s="5" t="s">
        <v>143</v>
      </c>
      <c r="P658" s="5" t="s">
        <v>144</v>
      </c>
      <c r="Q658" s="9">
        <v>0</v>
      </c>
      <c r="R658" s="5" t="s">
        <v>145</v>
      </c>
      <c r="S658" s="5" t="s">
        <v>145</v>
      </c>
      <c r="T658" s="5" t="s">
        <v>146</v>
      </c>
      <c r="U658" s="7"/>
      <c r="V658" s="5" t="s">
        <v>78</v>
      </c>
      <c r="W658" s="6">
        <v>29</v>
      </c>
      <c r="X658" s="5" t="s">
        <v>80</v>
      </c>
      <c r="Y658" s="9">
        <v>10</v>
      </c>
      <c r="Z658" s="5" t="s">
        <v>79</v>
      </c>
      <c r="AA658" s="5" t="s">
        <v>110</v>
      </c>
      <c r="AB658" s="9">
        <v>10</v>
      </c>
      <c r="AC658" s="5" t="s">
        <v>79</v>
      </c>
      <c r="AD658" s="5" t="s">
        <v>82</v>
      </c>
      <c r="AE658" s="5" t="s">
        <v>82</v>
      </c>
      <c r="AF658" s="10">
        <v>33000</v>
      </c>
      <c r="AG658" s="7">
        <v>48791</v>
      </c>
      <c r="AH658" s="10"/>
      <c r="AI658" s="10"/>
      <c r="AJ658" s="11" t="str">
        <f t="shared" si="10"/>
        <v/>
      </c>
      <c r="AK658" s="12">
        <f>IF(B658="","",OR(K658="Not in use",K658="Low use")+AND(N658&lt;&gt;"",N658&lt;&gt;"TBD")+AND(ISNUMBER(U658),U658&lt;=EDATE('Scoring Settings'!$B$4,'Scoring Settings'!$B$8))+AND(ISNUMBER(L658),L658&lt;='Scoring Settings'!$B$7))</f>
        <v>0</v>
      </c>
      <c r="AL658" s="5" t="s">
        <v>83</v>
      </c>
      <c r="AM658" s="8" t="str">
        <f>IF(B658="","",IF(Z658="N","Easy",IF(OR(AND(ISNUMBER(AB658),AB658&gt;'Scoring Settings'!$B$11),AND(ISNUMBER(W658),W658&gt;'Scoring Settings'!$B$12),AND(ISNUMBER(M658),M658&lt;='Scoring Settings'!$B$13)),"High","Medium")))</f>
        <v>Easy</v>
      </c>
      <c r="AN658" s="5"/>
      <c r="AO658" s="7"/>
      <c r="AP658" s="5" t="s">
        <v>84</v>
      </c>
      <c r="AQ658" s="29" t="s">
        <v>247</v>
      </c>
    </row>
    <row r="659" spans="1:43" hidden="1">
      <c r="A659" s="28">
        <v>33274</v>
      </c>
      <c r="B659" s="5" t="s">
        <v>883</v>
      </c>
      <c r="C659" s="5" t="s">
        <v>395</v>
      </c>
      <c r="D659" s="5" t="s">
        <v>88</v>
      </c>
      <c r="E659" s="5" t="s">
        <v>68</v>
      </c>
      <c r="F659" s="5" t="s">
        <v>178</v>
      </c>
      <c r="G659" s="5" t="s">
        <v>128</v>
      </c>
      <c r="H659" s="5" t="s">
        <v>174</v>
      </c>
      <c r="I659" s="6">
        <v>28</v>
      </c>
      <c r="J659" s="7">
        <v>44302</v>
      </c>
      <c r="K659" s="8" t="str">
        <f>IF(B659="","",IF(AND(I659="",J659=""),"Unknown",IF(OR(AND(ISNUMBER(I659),I659=0),AND(ISNUMBER(J659),J659&lt;=EDATE('Scoring Settings'!$B$4,-'Scoring Settings'!$B$5))),"Not in use",IF(AND(ISNUMBER(I659),I659&lt;'Scoring Settings'!$B$6),"Low use","Active"))))</f>
        <v>Active</v>
      </c>
      <c r="L659" s="5">
        <v>3</v>
      </c>
      <c r="M659" s="5">
        <v>2</v>
      </c>
      <c r="N659" s="5"/>
      <c r="O659" s="5" t="s">
        <v>73</v>
      </c>
      <c r="P659" s="5" t="s">
        <v>884</v>
      </c>
      <c r="Q659" s="9">
        <v>5</v>
      </c>
      <c r="R659" s="5" t="s">
        <v>251</v>
      </c>
      <c r="S659" s="5" t="s">
        <v>133</v>
      </c>
      <c r="T659" s="5" t="s">
        <v>184</v>
      </c>
      <c r="U659" s="7">
        <v>44165</v>
      </c>
      <c r="V659" s="5" t="s">
        <v>135</v>
      </c>
      <c r="W659" s="6">
        <v>280</v>
      </c>
      <c r="X659" s="5" t="s">
        <v>79</v>
      </c>
      <c r="Y659" s="9">
        <v>3</v>
      </c>
      <c r="Z659" s="5" t="s">
        <v>80</v>
      </c>
      <c r="AA659" s="5" t="s">
        <v>185</v>
      </c>
      <c r="AB659" s="9">
        <v>10</v>
      </c>
      <c r="AC659" s="5" t="s">
        <v>82</v>
      </c>
      <c r="AD659" s="5" t="s">
        <v>82</v>
      </c>
      <c r="AE659" s="5" t="s">
        <v>79</v>
      </c>
      <c r="AF659" s="10">
        <v>105000</v>
      </c>
      <c r="AG659" s="7">
        <v>49643</v>
      </c>
      <c r="AH659" s="10"/>
      <c r="AI659" s="10"/>
      <c r="AJ659" s="11" t="str">
        <f t="shared" si="10"/>
        <v/>
      </c>
      <c r="AK659" s="12">
        <f>IF(B659="","",OR(K659="Not in use",K659="Low use")+AND(N659&lt;&gt;"",N659&lt;&gt;"TBD")+AND(ISNUMBER(U659),U659&lt;=EDATE('Scoring Settings'!$B$4,'Scoring Settings'!$B$8))+AND(ISNUMBER(L659),L659&lt;='Scoring Settings'!$B$7))</f>
        <v>1</v>
      </c>
      <c r="AL659" s="5" t="s">
        <v>83</v>
      </c>
      <c r="AM659" s="8" t="str">
        <f>IF(B659="","",IF(Z659="N","Easy",IF(OR(AND(ISNUMBER(AB659),AB659&gt;'Scoring Settings'!$B$11),AND(ISNUMBER(W659),W659&gt;'Scoring Settings'!$B$12),AND(ISNUMBER(M659),M659&lt;='Scoring Settings'!$B$13)),"High","Medium")))</f>
        <v>High</v>
      </c>
      <c r="AN659" s="5"/>
      <c r="AO659" s="7"/>
      <c r="AP659" s="5" t="s">
        <v>84</v>
      </c>
      <c r="AQ659" s="29" t="s">
        <v>247</v>
      </c>
    </row>
    <row r="660" spans="1:43" hidden="1">
      <c r="A660" s="28">
        <v>112456</v>
      </c>
      <c r="B660" s="5" t="s">
        <v>885</v>
      </c>
      <c r="C660" s="5" t="s">
        <v>338</v>
      </c>
      <c r="D660" s="5" t="s">
        <v>139</v>
      </c>
      <c r="E660" s="5" t="s">
        <v>68</v>
      </c>
      <c r="F660" s="5" t="s">
        <v>396</v>
      </c>
      <c r="G660" s="5" t="s">
        <v>267</v>
      </c>
      <c r="H660" s="5" t="s">
        <v>142</v>
      </c>
      <c r="I660" s="6">
        <v>320</v>
      </c>
      <c r="J660" s="7">
        <v>44298</v>
      </c>
      <c r="K660" s="8" t="str">
        <f>IF(B660="","",IF(AND(I660="",J660=""),"Unknown",IF(OR(AND(ISNUMBER(I660),I660=0),AND(ISNUMBER(J660),J660&lt;=EDATE('Scoring Settings'!$B$4,-'Scoring Settings'!$B$5))),"Not in use",IF(AND(ISNUMBER(I660),I660&lt;'Scoring Settings'!$B$6),"Low use","Active"))))</f>
        <v>Active</v>
      </c>
      <c r="L660" s="5">
        <v>3</v>
      </c>
      <c r="M660" s="5">
        <v>2</v>
      </c>
      <c r="N660" s="5"/>
      <c r="O660" s="5" t="s">
        <v>143</v>
      </c>
      <c r="P660" s="5" t="s">
        <v>144</v>
      </c>
      <c r="Q660" s="9">
        <v>0</v>
      </c>
      <c r="R660" s="5" t="s">
        <v>145</v>
      </c>
      <c r="S660" s="5" t="s">
        <v>145</v>
      </c>
      <c r="T660" s="5" t="s">
        <v>146</v>
      </c>
      <c r="U660" s="7">
        <v>46022</v>
      </c>
      <c r="V660" s="5" t="s">
        <v>78</v>
      </c>
      <c r="W660" s="6">
        <v>320</v>
      </c>
      <c r="X660" s="5" t="s">
        <v>79</v>
      </c>
      <c r="Y660" s="9">
        <v>5</v>
      </c>
      <c r="Z660" s="5" t="s">
        <v>79</v>
      </c>
      <c r="AA660" s="5" t="s">
        <v>110</v>
      </c>
      <c r="AB660" s="9">
        <v>10</v>
      </c>
      <c r="AC660" s="5" t="s">
        <v>80</v>
      </c>
      <c r="AD660" s="5" t="s">
        <v>79</v>
      </c>
      <c r="AE660" s="5" t="s">
        <v>82</v>
      </c>
      <c r="AF660" s="10">
        <v>225000</v>
      </c>
      <c r="AG660" s="7">
        <v>47452</v>
      </c>
      <c r="AH660" s="10">
        <v>283500</v>
      </c>
      <c r="AI660" s="10">
        <v>145500</v>
      </c>
      <c r="AJ660" s="11">
        <f t="shared" si="10"/>
        <v>23.381443298969071</v>
      </c>
      <c r="AK660" s="12">
        <f>IF(B660="","",OR(K660="Not in use",K660="Low use")+AND(N660&lt;&gt;"",N660&lt;&gt;"TBD")+AND(ISNUMBER(U660),U660&lt;=EDATE('Scoring Settings'!$B$4,'Scoring Settings'!$B$8))+AND(ISNUMBER(L660),L660&lt;='Scoring Settings'!$B$7))</f>
        <v>0</v>
      </c>
      <c r="AL660" s="5" t="s">
        <v>111</v>
      </c>
      <c r="AM660" s="8" t="str">
        <f>IF(B660="","",IF(Z660="N","Easy",IF(OR(AND(ISNUMBER(AB660),AB660&gt;'Scoring Settings'!$B$11),AND(ISNUMBER(W660),W660&gt;'Scoring Settings'!$B$12),AND(ISNUMBER(M660),M660&lt;='Scoring Settings'!$B$13)),"High","Medium")))</f>
        <v>Easy</v>
      </c>
      <c r="AN660" s="5"/>
      <c r="AO660" s="7"/>
      <c r="AP660" s="5" t="s">
        <v>98</v>
      </c>
      <c r="AQ660" s="29" t="s">
        <v>112</v>
      </c>
    </row>
    <row r="661" spans="1:43" hidden="1">
      <c r="A661" s="28">
        <v>141752</v>
      </c>
      <c r="B661" s="5" t="s">
        <v>890</v>
      </c>
      <c r="C661" s="5" t="s">
        <v>599</v>
      </c>
      <c r="D661" s="5" t="s">
        <v>67</v>
      </c>
      <c r="E661" s="5" t="s">
        <v>68</v>
      </c>
      <c r="F661" s="5" t="s">
        <v>127</v>
      </c>
      <c r="G661" s="5" t="s">
        <v>70</v>
      </c>
      <c r="H661" s="5" t="s">
        <v>118</v>
      </c>
      <c r="I661" s="6">
        <v>958</v>
      </c>
      <c r="J661" s="7">
        <v>44310</v>
      </c>
      <c r="K661" s="8" t="str">
        <f>IF(B661="","",IF(AND(I661="",J661=""),"Unknown",IF(OR(AND(ISNUMBER(I661),I661=0),AND(ISNUMBER(J661),J661&lt;=EDATE('Scoring Settings'!$B$4,-'Scoring Settings'!$B$5))),"Not in use",IF(AND(ISNUMBER(I661),I661&lt;'Scoring Settings'!$B$6),"Low use","Active"))))</f>
        <v>Active</v>
      </c>
      <c r="L661" s="5">
        <v>2</v>
      </c>
      <c r="M661" s="5">
        <v>4</v>
      </c>
      <c r="N661" s="5"/>
      <c r="O661" s="5" t="s">
        <v>73</v>
      </c>
      <c r="P661" s="5" t="s">
        <v>891</v>
      </c>
      <c r="Q661" s="9">
        <v>3</v>
      </c>
      <c r="R661" s="5" t="s">
        <v>182</v>
      </c>
      <c r="S661" s="5" t="s">
        <v>183</v>
      </c>
      <c r="T661" s="5" t="s">
        <v>72</v>
      </c>
      <c r="U661" s="7">
        <v>42855</v>
      </c>
      <c r="V661" s="5" t="s">
        <v>95</v>
      </c>
      <c r="W661" s="6">
        <v>94</v>
      </c>
      <c r="X661" s="5" t="s">
        <v>79</v>
      </c>
      <c r="Y661" s="9">
        <v>3</v>
      </c>
      <c r="Z661" s="5" t="s">
        <v>79</v>
      </c>
      <c r="AA661" s="5" t="s">
        <v>110</v>
      </c>
      <c r="AB661" s="9">
        <v>0</v>
      </c>
      <c r="AC661" s="5" t="s">
        <v>82</v>
      </c>
      <c r="AD661" s="5" t="s">
        <v>79</v>
      </c>
      <c r="AE661" s="5" t="s">
        <v>82</v>
      </c>
      <c r="AF661" s="10">
        <v>45000</v>
      </c>
      <c r="AG661" s="7">
        <v>48822</v>
      </c>
      <c r="AH661" s="10"/>
      <c r="AI661" s="10"/>
      <c r="AJ661" s="11" t="str">
        <f t="shared" si="10"/>
        <v/>
      </c>
      <c r="AK661" s="12">
        <f>IF(B661="","",OR(K661="Not in use",K661="Low use")+AND(N661&lt;&gt;"",N661&lt;&gt;"TBD")+AND(ISNUMBER(U661),U661&lt;=EDATE('Scoring Settings'!$B$4,'Scoring Settings'!$B$8))+AND(ISNUMBER(L661),L661&lt;='Scoring Settings'!$B$7))</f>
        <v>2</v>
      </c>
      <c r="AL661" s="5" t="s">
        <v>111</v>
      </c>
      <c r="AM661" s="8" t="str">
        <f>IF(B661="","",IF(Z661="N","Easy",IF(OR(AND(ISNUMBER(AB661),AB661&gt;'Scoring Settings'!$B$11),AND(ISNUMBER(W661),W661&gt;'Scoring Settings'!$B$12),AND(ISNUMBER(M661),M661&lt;='Scoring Settings'!$B$13)),"High","Medium")))</f>
        <v>Easy</v>
      </c>
      <c r="AN661" s="5"/>
      <c r="AO661" s="7"/>
      <c r="AP661" s="5" t="s">
        <v>98</v>
      </c>
      <c r="AQ661" s="29" t="s">
        <v>159</v>
      </c>
    </row>
    <row r="662" spans="1:43" hidden="1">
      <c r="A662" s="28">
        <v>137368</v>
      </c>
      <c r="B662" s="5" t="s">
        <v>896</v>
      </c>
      <c r="C662" s="5" t="s">
        <v>293</v>
      </c>
      <c r="D662" s="5" t="s">
        <v>162</v>
      </c>
      <c r="E662" s="5" t="s">
        <v>68</v>
      </c>
      <c r="F662" s="5" t="s">
        <v>157</v>
      </c>
      <c r="G662" s="5" t="s">
        <v>404</v>
      </c>
      <c r="H662" s="5" t="s">
        <v>91</v>
      </c>
      <c r="I662" s="6">
        <v>140</v>
      </c>
      <c r="J662" s="7">
        <v>44290</v>
      </c>
      <c r="K662" s="8" t="str">
        <f>IF(B662="","",IF(AND(I662="",J662=""),"Unknown",IF(OR(AND(ISNUMBER(I662),I662=0),AND(ISNUMBER(J662),J662&lt;=EDATE('Scoring Settings'!$B$4,-'Scoring Settings'!$B$5))),"Not in use",IF(AND(ISNUMBER(I662),I662&lt;'Scoring Settings'!$B$6),"Low use","Active"))))</f>
        <v>Active</v>
      </c>
      <c r="L662" s="5">
        <v>4</v>
      </c>
      <c r="M662" s="5">
        <v>1</v>
      </c>
      <c r="N662" s="5"/>
      <c r="O662" s="5" t="s">
        <v>73</v>
      </c>
      <c r="P662" s="5" t="s">
        <v>897</v>
      </c>
      <c r="Q662" s="9">
        <v>6</v>
      </c>
      <c r="R662" s="5" t="s">
        <v>478</v>
      </c>
      <c r="S662" s="5" t="s">
        <v>479</v>
      </c>
      <c r="T662" s="5" t="s">
        <v>72</v>
      </c>
      <c r="U662" s="7">
        <v>43844</v>
      </c>
      <c r="V662" s="5" t="s">
        <v>78</v>
      </c>
      <c r="W662" s="6">
        <v>1790</v>
      </c>
      <c r="X662" s="5" t="s">
        <v>79</v>
      </c>
      <c r="Y662" s="9">
        <v>2</v>
      </c>
      <c r="Z662" s="5" t="s">
        <v>80</v>
      </c>
      <c r="AA662" s="5" t="s">
        <v>205</v>
      </c>
      <c r="AB662" s="9">
        <v>15</v>
      </c>
      <c r="AC662" s="5" t="s">
        <v>80</v>
      </c>
      <c r="AD662" s="5" t="s">
        <v>82</v>
      </c>
      <c r="AE662" s="5" t="s">
        <v>79</v>
      </c>
      <c r="AF662" s="10">
        <v>335000</v>
      </c>
      <c r="AG662" s="7">
        <v>45838</v>
      </c>
      <c r="AH662" s="10">
        <v>611500</v>
      </c>
      <c r="AI662" s="10">
        <v>204500</v>
      </c>
      <c r="AJ662" s="11">
        <f t="shared" si="10"/>
        <v>35.882640586797066</v>
      </c>
      <c r="AK662" s="12">
        <f>IF(B662="","",OR(K662="Not in use",K662="Low use")+AND(N662&lt;&gt;"",N662&lt;&gt;"TBD")+AND(ISNUMBER(U662),U662&lt;=EDATE('Scoring Settings'!$B$4,'Scoring Settings'!$B$8))+AND(ISNUMBER(L662),L662&lt;='Scoring Settings'!$B$7))</f>
        <v>1</v>
      </c>
      <c r="AL662" s="5" t="s">
        <v>111</v>
      </c>
      <c r="AM662" s="8" t="str">
        <f>IF(B662="","",IF(Z662="N","Easy",IF(OR(AND(ISNUMBER(AB662),AB662&gt;'Scoring Settings'!$B$11),AND(ISNUMBER(W662),W662&gt;'Scoring Settings'!$B$12),AND(ISNUMBER(M662),M662&lt;='Scoring Settings'!$B$13)),"High","Medium")))</f>
        <v>High</v>
      </c>
      <c r="AN662" s="5"/>
      <c r="AO662" s="7"/>
      <c r="AP662" s="5" t="s">
        <v>98</v>
      </c>
      <c r="AQ662" s="29" t="s">
        <v>124</v>
      </c>
    </row>
    <row r="663" spans="1:43" hidden="1">
      <c r="A663" s="28">
        <v>74238</v>
      </c>
      <c r="B663" s="5" t="s">
        <v>898</v>
      </c>
      <c r="C663" s="5" t="s">
        <v>639</v>
      </c>
      <c r="D663" s="5" t="s">
        <v>88</v>
      </c>
      <c r="E663" s="5" t="s">
        <v>68</v>
      </c>
      <c r="F663" s="5" t="s">
        <v>188</v>
      </c>
      <c r="G663" s="5" t="s">
        <v>117</v>
      </c>
      <c r="H663" s="5" t="s">
        <v>71</v>
      </c>
      <c r="I663" s="6">
        <v>66</v>
      </c>
      <c r="J663" s="7">
        <v>44270</v>
      </c>
      <c r="K663" s="8" t="str">
        <f>IF(B663="","",IF(AND(I663="",J663=""),"Unknown",IF(OR(AND(ISNUMBER(I663),I663=0),AND(ISNUMBER(J663),J663&lt;=EDATE('Scoring Settings'!$B$4,-'Scoring Settings'!$B$5))),"Not in use",IF(AND(ISNUMBER(I663),I663&lt;'Scoring Settings'!$B$6),"Low use","Active"))))</f>
        <v>Active</v>
      </c>
      <c r="L663" s="5">
        <v>2</v>
      </c>
      <c r="M663" s="5">
        <v>4</v>
      </c>
      <c r="N663" s="5"/>
      <c r="O663" s="5" t="s">
        <v>130</v>
      </c>
      <c r="P663" s="5" t="s">
        <v>899</v>
      </c>
      <c r="Q663" s="9">
        <v>1</v>
      </c>
      <c r="R663" s="5" t="s">
        <v>107</v>
      </c>
      <c r="S663" s="5" t="s">
        <v>108</v>
      </c>
      <c r="T663" s="5" t="s">
        <v>168</v>
      </c>
      <c r="U663" s="7">
        <v>43655</v>
      </c>
      <c r="V663" s="5" t="s">
        <v>135</v>
      </c>
      <c r="W663" s="6">
        <v>220</v>
      </c>
      <c r="X663" s="5" t="s">
        <v>79</v>
      </c>
      <c r="Y663" s="9">
        <v>7</v>
      </c>
      <c r="Z663" s="5" t="s">
        <v>80</v>
      </c>
      <c r="AA663" s="5" t="s">
        <v>205</v>
      </c>
      <c r="AB663" s="9">
        <v>0</v>
      </c>
      <c r="AC663" s="5" t="s">
        <v>79</v>
      </c>
      <c r="AD663" s="5" t="s">
        <v>79</v>
      </c>
      <c r="AE663" s="5" t="s">
        <v>82</v>
      </c>
      <c r="AF663" s="10">
        <v>23000</v>
      </c>
      <c r="AG663" s="7">
        <v>47907</v>
      </c>
      <c r="AH663" s="10">
        <v>25000</v>
      </c>
      <c r="AI663" s="10">
        <v>22000</v>
      </c>
      <c r="AJ663" s="11">
        <f t="shared" si="10"/>
        <v>13.636363636363637</v>
      </c>
      <c r="AK663" s="12">
        <f>IF(B663="","",OR(K663="Not in use",K663="Low use")+AND(N663&lt;&gt;"",N663&lt;&gt;"TBD")+AND(ISNUMBER(U663),U663&lt;=EDATE('Scoring Settings'!$B$4,'Scoring Settings'!$B$8))+AND(ISNUMBER(L663),L663&lt;='Scoring Settings'!$B$7))</f>
        <v>2</v>
      </c>
      <c r="AL663" s="5" t="s">
        <v>111</v>
      </c>
      <c r="AM663" s="8" t="str">
        <f>IF(B663="","",IF(Z663="N","Easy",IF(OR(AND(ISNUMBER(AB663),AB663&gt;'Scoring Settings'!$B$11),AND(ISNUMBER(W663),W663&gt;'Scoring Settings'!$B$12),AND(ISNUMBER(M663),M663&lt;='Scoring Settings'!$B$13)),"High","Medium")))</f>
        <v>Medium</v>
      </c>
      <c r="AN663" s="5"/>
      <c r="AO663" s="7"/>
      <c r="AP663" s="5" t="s">
        <v>98</v>
      </c>
      <c r="AQ663" s="29" t="s">
        <v>112</v>
      </c>
    </row>
    <row r="664" spans="1:43" ht="42.75" hidden="1">
      <c r="A664" s="28">
        <v>45744</v>
      </c>
      <c r="B664" s="5" t="s">
        <v>900</v>
      </c>
      <c r="C664" s="5" t="s">
        <v>390</v>
      </c>
      <c r="D664" s="5" t="s">
        <v>88</v>
      </c>
      <c r="E664" s="5" t="s">
        <v>298</v>
      </c>
      <c r="F664" s="5" t="s">
        <v>263</v>
      </c>
      <c r="G664" s="5" t="s">
        <v>267</v>
      </c>
      <c r="H664" s="5" t="s">
        <v>174</v>
      </c>
      <c r="I664" s="6">
        <v>57</v>
      </c>
      <c r="J664" s="7">
        <v>44302</v>
      </c>
      <c r="K664" s="8" t="str">
        <f>IF(B664="","",IF(AND(I664="",J664=""),"Unknown",IF(OR(AND(ISNUMBER(I664),I664=0),AND(ISNUMBER(J664),J664&lt;=EDATE('Scoring Settings'!$B$4,-'Scoring Settings'!$B$5))),"Not in use",IF(AND(ISNUMBER(I664),I664&lt;'Scoring Settings'!$B$6),"Low use","Active"))))</f>
        <v>Active</v>
      </c>
      <c r="L664" s="5">
        <v>5</v>
      </c>
      <c r="M664" s="5">
        <v>1</v>
      </c>
      <c r="N664" s="5" t="s">
        <v>543</v>
      </c>
      <c r="O664" s="5" t="s">
        <v>73</v>
      </c>
      <c r="P664" s="5" t="s">
        <v>901</v>
      </c>
      <c r="Q664" s="9">
        <v>8</v>
      </c>
      <c r="R664" s="5" t="s">
        <v>251</v>
      </c>
      <c r="S664" s="5" t="s">
        <v>133</v>
      </c>
      <c r="T664" s="5" t="s">
        <v>122</v>
      </c>
      <c r="U664" s="7">
        <v>44165</v>
      </c>
      <c r="V664" s="5" t="s">
        <v>78</v>
      </c>
      <c r="W664" s="6">
        <v>7</v>
      </c>
      <c r="X664" s="5" t="s">
        <v>79</v>
      </c>
      <c r="Y664" s="9">
        <v>3</v>
      </c>
      <c r="Z664" s="5" t="s">
        <v>80</v>
      </c>
      <c r="AA664" s="5" t="s">
        <v>185</v>
      </c>
      <c r="AB664" s="9">
        <v>53</v>
      </c>
      <c r="AC664" s="5" t="s">
        <v>82</v>
      </c>
      <c r="AD664" s="5" t="s">
        <v>80</v>
      </c>
      <c r="AE664" s="5" t="s">
        <v>79</v>
      </c>
      <c r="AF664" s="10">
        <v>110000</v>
      </c>
      <c r="AG664" s="7">
        <v>49003</v>
      </c>
      <c r="AH664" s="10">
        <v>183500</v>
      </c>
      <c r="AI664" s="10">
        <v>110000</v>
      </c>
      <c r="AJ664" s="11">
        <f t="shared" si="10"/>
        <v>20.018181818181819</v>
      </c>
      <c r="AK664" s="12">
        <f>IF(B664="","",OR(K664="Not in use",K664="Low use")+AND(N664&lt;&gt;"",N664&lt;&gt;"TBD")+AND(ISNUMBER(U664),U664&lt;=EDATE('Scoring Settings'!$B$4,'Scoring Settings'!$B$8))+AND(ISNUMBER(L664),L664&lt;='Scoring Settings'!$B$7))</f>
        <v>2</v>
      </c>
      <c r="AL664" s="5" t="s">
        <v>111</v>
      </c>
      <c r="AM664" s="8" t="str">
        <f>IF(B664="","",IF(Z664="N","Easy",IF(OR(AND(ISNUMBER(AB664),AB664&gt;'Scoring Settings'!$B$11),AND(ISNUMBER(W664),W664&gt;'Scoring Settings'!$B$12),AND(ISNUMBER(M664),M664&lt;='Scoring Settings'!$B$13)),"High","Medium")))</f>
        <v>High</v>
      </c>
      <c r="AN664" s="5"/>
      <c r="AO664" s="7"/>
      <c r="AP664" s="5" t="s">
        <v>98</v>
      </c>
      <c r="AQ664" s="29" t="s">
        <v>902</v>
      </c>
    </row>
    <row r="665" spans="1:43" hidden="1">
      <c r="A665" s="28">
        <v>155625</v>
      </c>
      <c r="B665" s="5" t="s">
        <v>903</v>
      </c>
      <c r="C665" s="5" t="s">
        <v>13</v>
      </c>
      <c r="D665" s="5" t="s">
        <v>162</v>
      </c>
      <c r="E665" s="5" t="s">
        <v>68</v>
      </c>
      <c r="F665" s="5" t="s">
        <v>302</v>
      </c>
      <c r="G665" s="5" t="s">
        <v>221</v>
      </c>
      <c r="H665" s="5" t="s">
        <v>174</v>
      </c>
      <c r="I665" s="6">
        <v>841</v>
      </c>
      <c r="J665" s="7">
        <v>44302</v>
      </c>
      <c r="K665" s="8" t="str">
        <f>IF(B665="","",IF(AND(I665="",J665=""),"Unknown",IF(OR(AND(ISNUMBER(I665),I665=0),AND(ISNUMBER(J665),J665&lt;=EDATE('Scoring Settings'!$B$4,-'Scoring Settings'!$B$5))),"Not in use",IF(AND(ISNUMBER(I665),I665&lt;'Scoring Settings'!$B$6),"Low use","Active"))))</f>
        <v>Active</v>
      </c>
      <c r="L665" s="5">
        <v>2</v>
      </c>
      <c r="M665" s="5">
        <v>3</v>
      </c>
      <c r="N665" s="5" t="s">
        <v>289</v>
      </c>
      <c r="O665" s="5" t="s">
        <v>73</v>
      </c>
      <c r="P665" s="5" t="s">
        <v>904</v>
      </c>
      <c r="Q665" s="9">
        <v>2</v>
      </c>
      <c r="R665" s="5" t="s">
        <v>478</v>
      </c>
      <c r="S665" s="5" t="s">
        <v>479</v>
      </c>
      <c r="T665" s="5" t="s">
        <v>122</v>
      </c>
      <c r="U665" s="7">
        <v>43844</v>
      </c>
      <c r="V665" s="5" t="s">
        <v>95</v>
      </c>
      <c r="W665" s="6">
        <v>980</v>
      </c>
      <c r="X665" s="5" t="s">
        <v>79</v>
      </c>
      <c r="Y665" s="9">
        <v>7</v>
      </c>
      <c r="Z665" s="5" t="s">
        <v>79</v>
      </c>
      <c r="AA665" s="5" t="s">
        <v>110</v>
      </c>
      <c r="AB665" s="9">
        <v>7</v>
      </c>
      <c r="AC665" s="5" t="s">
        <v>79</v>
      </c>
      <c r="AD665" s="5" t="s">
        <v>82</v>
      </c>
      <c r="AE665" s="5" t="s">
        <v>79</v>
      </c>
      <c r="AF665" s="10">
        <v>50000</v>
      </c>
      <c r="AG665" s="7">
        <v>46934</v>
      </c>
      <c r="AH665" s="10">
        <v>92000</v>
      </c>
      <c r="AI665" s="10">
        <v>30000</v>
      </c>
      <c r="AJ665" s="11">
        <f t="shared" si="10"/>
        <v>36.800000000000004</v>
      </c>
      <c r="AK665" s="12">
        <f>IF(B665="","",OR(K665="Not in use",K665="Low use")+AND(N665&lt;&gt;"",N665&lt;&gt;"TBD")+AND(ISNUMBER(U665),U665&lt;=EDATE('Scoring Settings'!$B$4,'Scoring Settings'!$B$8))+AND(ISNUMBER(L665),L665&lt;='Scoring Settings'!$B$7))</f>
        <v>3</v>
      </c>
      <c r="AL665" s="5" t="s">
        <v>111</v>
      </c>
      <c r="AM665" s="8" t="str">
        <f>IF(B665="","",IF(Z665="N","Easy",IF(OR(AND(ISNUMBER(AB665),AB665&gt;'Scoring Settings'!$B$11),AND(ISNUMBER(W665),W665&gt;'Scoring Settings'!$B$12),AND(ISNUMBER(M665),M665&lt;='Scoring Settings'!$B$13)),"High","Medium")))</f>
        <v>Easy</v>
      </c>
      <c r="AN665" s="5"/>
      <c r="AO665" s="7"/>
      <c r="AP665" s="5" t="s">
        <v>98</v>
      </c>
      <c r="AQ665" s="29" t="s">
        <v>112</v>
      </c>
    </row>
    <row r="666" spans="1:43" ht="42.75" hidden="1">
      <c r="A666" s="28">
        <v>190587</v>
      </c>
      <c r="B666" s="5" t="s">
        <v>911</v>
      </c>
      <c r="C666" s="5" t="s">
        <v>225</v>
      </c>
      <c r="D666" s="5" t="s">
        <v>67</v>
      </c>
      <c r="E666" s="5" t="s">
        <v>311</v>
      </c>
      <c r="F666" s="5" t="s">
        <v>201</v>
      </c>
      <c r="G666" s="5" t="s">
        <v>153</v>
      </c>
      <c r="H666" s="5" t="s">
        <v>105</v>
      </c>
      <c r="I666" s="6">
        <v>0</v>
      </c>
      <c r="J666" s="7">
        <v>44075</v>
      </c>
      <c r="K666" s="8" t="str">
        <f>IF(B666="","",IF(AND(I666="",J666=""),"Unknown",IF(OR(AND(ISNUMBER(I666),I666=0),AND(ISNUMBER(J666),J666&lt;=EDATE('Scoring Settings'!$B$4,-'Scoring Settings'!$B$5))),"Not in use",IF(AND(ISNUMBER(I666),I666&lt;'Scoring Settings'!$B$6),"Low use","Active"))))</f>
        <v>Not in use</v>
      </c>
      <c r="L666" s="5">
        <v>4</v>
      </c>
      <c r="M666" s="5">
        <v>2</v>
      </c>
      <c r="N666" s="5" t="s">
        <v>912</v>
      </c>
      <c r="O666" s="5" t="s">
        <v>191</v>
      </c>
      <c r="P666" s="5" t="s">
        <v>192</v>
      </c>
      <c r="Q666" s="9">
        <v>0</v>
      </c>
      <c r="R666" s="5" t="s">
        <v>193</v>
      </c>
      <c r="S666" s="5" t="s">
        <v>194</v>
      </c>
      <c r="T666" s="5" t="s">
        <v>195</v>
      </c>
      <c r="U666" s="7"/>
      <c r="V666" s="5" t="s">
        <v>95</v>
      </c>
      <c r="W666" s="6">
        <v>4860</v>
      </c>
      <c r="X666" s="5" t="s">
        <v>80</v>
      </c>
      <c r="Y666" s="9">
        <v>7</v>
      </c>
      <c r="Z666" s="5" t="s">
        <v>80</v>
      </c>
      <c r="AA666" s="5" t="s">
        <v>81</v>
      </c>
      <c r="AB666" s="9">
        <v>22</v>
      </c>
      <c r="AC666" s="5" t="s">
        <v>80</v>
      </c>
      <c r="AD666" s="5" t="s">
        <v>80</v>
      </c>
      <c r="AE666" s="5" t="s">
        <v>79</v>
      </c>
      <c r="AF666" s="10">
        <v>35000</v>
      </c>
      <c r="AG666" s="7">
        <v>49674</v>
      </c>
      <c r="AH666" s="10">
        <v>109500</v>
      </c>
      <c r="AI666" s="10">
        <v>21500</v>
      </c>
      <c r="AJ666" s="11">
        <f t="shared" si="10"/>
        <v>61.116279069767444</v>
      </c>
      <c r="AK666" s="12">
        <f>IF(B666="","",OR(K666="Not in use",K666="Low use")+AND(N666&lt;&gt;"",N666&lt;&gt;"TBD")+AND(ISNUMBER(U666),U666&lt;=EDATE('Scoring Settings'!$B$4,'Scoring Settings'!$B$8))+AND(ISNUMBER(L666),L666&lt;='Scoring Settings'!$B$7))</f>
        <v>2</v>
      </c>
      <c r="AL666" s="5" t="s">
        <v>111</v>
      </c>
      <c r="AM666" s="8" t="str">
        <f>IF(B666="","",IF(Z666="N","Easy",IF(OR(AND(ISNUMBER(AB666),AB666&gt;'Scoring Settings'!$B$11),AND(ISNUMBER(W666),W666&gt;'Scoring Settings'!$B$12),AND(ISNUMBER(M666),M666&lt;='Scoring Settings'!$B$13)),"High","Medium")))</f>
        <v>High</v>
      </c>
      <c r="AN666" s="5"/>
      <c r="AO666" s="7"/>
      <c r="AP666" s="5" t="s">
        <v>98</v>
      </c>
      <c r="AQ666" s="29" t="s">
        <v>913</v>
      </c>
    </row>
    <row r="667" spans="1:43" hidden="1">
      <c r="A667" s="28">
        <v>24754</v>
      </c>
      <c r="B667" s="5" t="s">
        <v>919</v>
      </c>
      <c r="C667" s="5" t="s">
        <v>395</v>
      </c>
      <c r="D667" s="5" t="s">
        <v>88</v>
      </c>
      <c r="E667" s="5" t="s">
        <v>311</v>
      </c>
      <c r="F667" s="5" t="s">
        <v>387</v>
      </c>
      <c r="G667" s="5" t="s">
        <v>104</v>
      </c>
      <c r="H667" s="5" t="s">
        <v>105</v>
      </c>
      <c r="I667" s="6">
        <v>898</v>
      </c>
      <c r="J667" s="7">
        <v>44298</v>
      </c>
      <c r="K667" s="8" t="str">
        <f>IF(B667="","",IF(AND(I667="",J667=""),"Unknown",IF(OR(AND(ISNUMBER(I667),I667=0),AND(ISNUMBER(J667),J667&lt;=EDATE('Scoring Settings'!$B$4,-'Scoring Settings'!$B$5))),"Not in use",IF(AND(ISNUMBER(I667),I667&lt;'Scoring Settings'!$B$6),"Low use","Active"))))</f>
        <v>Active</v>
      </c>
      <c r="L667" s="5">
        <v>5</v>
      </c>
      <c r="M667" s="5">
        <v>1</v>
      </c>
      <c r="N667" s="5" t="s">
        <v>72</v>
      </c>
      <c r="O667" s="5" t="s">
        <v>73</v>
      </c>
      <c r="P667" s="5" t="s">
        <v>592</v>
      </c>
      <c r="Q667" s="9">
        <v>5</v>
      </c>
      <c r="R667" s="5" t="s">
        <v>203</v>
      </c>
      <c r="S667" s="5" t="s">
        <v>204</v>
      </c>
      <c r="T667" s="5" t="s">
        <v>77</v>
      </c>
      <c r="U667" s="7">
        <v>47269</v>
      </c>
      <c r="V667" s="5" t="s">
        <v>135</v>
      </c>
      <c r="W667" s="6">
        <v>170</v>
      </c>
      <c r="X667" s="5" t="s">
        <v>79</v>
      </c>
      <c r="Y667" s="9">
        <v>2</v>
      </c>
      <c r="Z667" s="5" t="s">
        <v>80</v>
      </c>
      <c r="AA667" s="5" t="s">
        <v>81</v>
      </c>
      <c r="AB667" s="9">
        <v>36</v>
      </c>
      <c r="AC667" s="5" t="s">
        <v>79</v>
      </c>
      <c r="AD667" s="5" t="s">
        <v>79</v>
      </c>
      <c r="AE667" s="5" t="s">
        <v>80</v>
      </c>
      <c r="AF667" s="10">
        <v>140000</v>
      </c>
      <c r="AG667" s="7">
        <v>49582</v>
      </c>
      <c r="AH667" s="10"/>
      <c r="AI667" s="10"/>
      <c r="AJ667" s="11" t="str">
        <f t="shared" si="10"/>
        <v/>
      </c>
      <c r="AK667" s="12">
        <f>IF(B667="","",OR(K667="Not in use",K667="Low use")+AND(N667&lt;&gt;"",N667&lt;&gt;"TBD")+AND(ISNUMBER(U667),U667&lt;=EDATE('Scoring Settings'!$B$4,'Scoring Settings'!$B$8))+AND(ISNUMBER(L667),L667&lt;='Scoring Settings'!$B$7))</f>
        <v>0</v>
      </c>
      <c r="AL667" s="5" t="s">
        <v>111</v>
      </c>
      <c r="AM667" s="8" t="str">
        <f>IF(B667="","",IF(Z667="N","Easy",IF(OR(AND(ISNUMBER(AB667),AB667&gt;'Scoring Settings'!$B$11),AND(ISNUMBER(W667),W667&gt;'Scoring Settings'!$B$12),AND(ISNUMBER(M667),M667&lt;='Scoring Settings'!$B$13)),"High","Medium")))</f>
        <v>High</v>
      </c>
      <c r="AN667" s="5"/>
      <c r="AO667" s="7"/>
      <c r="AP667" s="5" t="s">
        <v>98</v>
      </c>
      <c r="AQ667" s="29" t="s">
        <v>159</v>
      </c>
    </row>
    <row r="668" spans="1:43" hidden="1">
      <c r="A668" s="28">
        <v>149404</v>
      </c>
      <c r="B668" s="5" t="s">
        <v>925</v>
      </c>
      <c r="C668" s="5" t="s">
        <v>208</v>
      </c>
      <c r="D668" s="5" t="s">
        <v>67</v>
      </c>
      <c r="E668" s="5" t="s">
        <v>68</v>
      </c>
      <c r="F668" s="5" t="s">
        <v>69</v>
      </c>
      <c r="G668" s="5" t="s">
        <v>104</v>
      </c>
      <c r="H668" s="5" t="s">
        <v>118</v>
      </c>
      <c r="I668" s="6">
        <v>99</v>
      </c>
      <c r="J668" s="7">
        <v>44283</v>
      </c>
      <c r="K668" s="8" t="str">
        <f>IF(B668="","",IF(AND(I668="",J668=""),"Unknown",IF(OR(AND(ISNUMBER(I668),I668=0),AND(ISNUMBER(J668),J668&lt;=EDATE('Scoring Settings'!$B$4,-'Scoring Settings'!$B$5))),"Not in use",IF(AND(ISNUMBER(I668),I668&lt;'Scoring Settings'!$B$6),"Low use","Active"))))</f>
        <v>Active</v>
      </c>
      <c r="L668" s="5">
        <v>4</v>
      </c>
      <c r="M668" s="5">
        <v>3</v>
      </c>
      <c r="N668" s="5"/>
      <c r="O668" s="5" t="s">
        <v>130</v>
      </c>
      <c r="P668" s="5" t="s">
        <v>926</v>
      </c>
      <c r="Q668" s="9">
        <v>1</v>
      </c>
      <c r="R668" s="5" t="s">
        <v>203</v>
      </c>
      <c r="S668" s="5" t="s">
        <v>508</v>
      </c>
      <c r="T668" s="5" t="s">
        <v>168</v>
      </c>
      <c r="U668" s="7">
        <v>47269</v>
      </c>
      <c r="V668" s="5" t="s">
        <v>135</v>
      </c>
      <c r="W668" s="6">
        <v>1490</v>
      </c>
      <c r="X668" s="5" t="s">
        <v>79</v>
      </c>
      <c r="Y668" s="9">
        <v>2</v>
      </c>
      <c r="Z668" s="5" t="s">
        <v>80</v>
      </c>
      <c r="AA668" s="5" t="s">
        <v>205</v>
      </c>
      <c r="AB668" s="9">
        <v>3</v>
      </c>
      <c r="AC668" s="5" t="s">
        <v>82</v>
      </c>
      <c r="AD668" s="5" t="s">
        <v>82</v>
      </c>
      <c r="AE668" s="5" t="s">
        <v>80</v>
      </c>
      <c r="AF668" s="10">
        <v>22500</v>
      </c>
      <c r="AG668" s="7">
        <v>47726</v>
      </c>
      <c r="AH668" s="10"/>
      <c r="AI668" s="10"/>
      <c r="AJ668" s="11" t="str">
        <f t="shared" si="10"/>
        <v/>
      </c>
      <c r="AK668" s="12">
        <f>IF(B668="","",OR(K668="Not in use",K668="Low use")+AND(N668&lt;&gt;"",N668&lt;&gt;"TBD")+AND(ISNUMBER(U668),U668&lt;=EDATE('Scoring Settings'!$B$4,'Scoring Settings'!$B$8))+AND(ISNUMBER(L668),L668&lt;='Scoring Settings'!$B$7))</f>
        <v>0</v>
      </c>
      <c r="AL668" s="5" t="s">
        <v>83</v>
      </c>
      <c r="AM668" s="8" t="str">
        <f>IF(B668="","",IF(Z668="N","Easy",IF(OR(AND(ISNUMBER(AB668),AB668&gt;'Scoring Settings'!$B$11),AND(ISNUMBER(W668),W668&gt;'Scoring Settings'!$B$12),AND(ISNUMBER(M668),M668&lt;='Scoring Settings'!$B$13)),"High","Medium")))</f>
        <v>High</v>
      </c>
      <c r="AN668" s="5"/>
      <c r="AO668" s="7"/>
      <c r="AP668" s="5" t="s">
        <v>84</v>
      </c>
      <c r="AQ668" s="29" t="s">
        <v>85</v>
      </c>
    </row>
    <row r="669" spans="1:43" hidden="1">
      <c r="A669" s="28">
        <v>53192</v>
      </c>
      <c r="B669" s="5" t="s">
        <v>929</v>
      </c>
      <c r="C669" s="5" t="s">
        <v>200</v>
      </c>
      <c r="D669" s="5" t="s">
        <v>115</v>
      </c>
      <c r="E669" s="5" t="s">
        <v>68</v>
      </c>
      <c r="F669" s="5" t="s">
        <v>476</v>
      </c>
      <c r="G669" s="5" t="s">
        <v>221</v>
      </c>
      <c r="H669" s="5" t="s">
        <v>174</v>
      </c>
      <c r="I669" s="6">
        <v>3</v>
      </c>
      <c r="J669" s="7">
        <v>44264</v>
      </c>
      <c r="K669" s="8" t="str">
        <f>IF(B669="","",IF(AND(I669="",J669=""),"Unknown",IF(OR(AND(ISNUMBER(I669),I669=0),AND(ISNUMBER(J669),J669&lt;=EDATE('Scoring Settings'!$B$4,-'Scoring Settings'!$B$5))),"Not in use",IF(AND(ISNUMBER(I669),I669&lt;'Scoring Settings'!$B$6),"Low use","Active"))))</f>
        <v>Low use</v>
      </c>
      <c r="L669" s="5">
        <v>3</v>
      </c>
      <c r="M669" s="5">
        <v>3</v>
      </c>
      <c r="N669" s="5" t="s">
        <v>930</v>
      </c>
      <c r="O669" s="5" t="s">
        <v>130</v>
      </c>
      <c r="P669" s="5" t="s">
        <v>931</v>
      </c>
      <c r="Q669" s="9">
        <v>1</v>
      </c>
      <c r="R669" s="5" t="s">
        <v>182</v>
      </c>
      <c r="S669" s="5" t="s">
        <v>183</v>
      </c>
      <c r="T669" s="5" t="s">
        <v>134</v>
      </c>
      <c r="U669" s="7">
        <v>42855</v>
      </c>
      <c r="V669" s="5" t="s">
        <v>95</v>
      </c>
      <c r="W669" s="6">
        <v>120</v>
      </c>
      <c r="X669" s="5" t="s">
        <v>80</v>
      </c>
      <c r="Y669" s="9">
        <v>7</v>
      </c>
      <c r="Z669" s="5" t="s">
        <v>79</v>
      </c>
      <c r="AA669" s="5" t="s">
        <v>110</v>
      </c>
      <c r="AB669" s="9">
        <v>6</v>
      </c>
      <c r="AC669" s="5" t="s">
        <v>79</v>
      </c>
      <c r="AD669" s="5" t="s">
        <v>79</v>
      </c>
      <c r="AE669" s="5" t="s">
        <v>82</v>
      </c>
      <c r="AF669" s="10">
        <v>14000</v>
      </c>
      <c r="AG669" s="7">
        <v>48029</v>
      </c>
      <c r="AH669" s="10">
        <v>7000</v>
      </c>
      <c r="AI669" s="10">
        <v>10000</v>
      </c>
      <c r="AJ669" s="11">
        <f t="shared" si="10"/>
        <v>8.3999999999999986</v>
      </c>
      <c r="AK669" s="12">
        <f>IF(B669="","",OR(K669="Not in use",K669="Low use")+AND(N669&lt;&gt;"",N669&lt;&gt;"TBD")+AND(ISNUMBER(U669),U669&lt;=EDATE('Scoring Settings'!$B$4,'Scoring Settings'!$B$8))+AND(ISNUMBER(L669),L669&lt;='Scoring Settings'!$B$7))</f>
        <v>3</v>
      </c>
      <c r="AL669" s="5" t="s">
        <v>111</v>
      </c>
      <c r="AM669" s="8" t="str">
        <f>IF(B669="","",IF(Z669="N","Easy",IF(OR(AND(ISNUMBER(AB669),AB669&gt;'Scoring Settings'!$B$11),AND(ISNUMBER(W669),W669&gt;'Scoring Settings'!$B$12),AND(ISNUMBER(M669),M669&lt;='Scoring Settings'!$B$13)),"High","Medium")))</f>
        <v>Easy</v>
      </c>
      <c r="AN669" s="5"/>
      <c r="AO669" s="7"/>
      <c r="AP669" s="5" t="s">
        <v>98</v>
      </c>
      <c r="AQ669" s="29" t="s">
        <v>124</v>
      </c>
    </row>
    <row r="670" spans="1:43" hidden="1">
      <c r="A670" s="28">
        <v>84211</v>
      </c>
      <c r="B670" s="5" t="s">
        <v>934</v>
      </c>
      <c r="C670" s="5" t="s">
        <v>262</v>
      </c>
      <c r="D670" s="5" t="s">
        <v>67</v>
      </c>
      <c r="E670" s="5" t="s">
        <v>68</v>
      </c>
      <c r="F670" s="5" t="s">
        <v>387</v>
      </c>
      <c r="G670" s="5" t="s">
        <v>90</v>
      </c>
      <c r="H670" s="5" t="s">
        <v>71</v>
      </c>
      <c r="I670" s="6">
        <v>62</v>
      </c>
      <c r="J670" s="7">
        <v>44315</v>
      </c>
      <c r="K670" s="8" t="str">
        <f>IF(B670="","",IF(AND(I670="",J670=""),"Unknown",IF(OR(AND(ISNUMBER(I670),I670=0),AND(ISNUMBER(J670),J670&lt;=EDATE('Scoring Settings'!$B$4,-'Scoring Settings'!$B$5))),"Not in use",IF(AND(ISNUMBER(I670),I670&lt;'Scoring Settings'!$B$6),"Low use","Active"))))</f>
        <v>Active</v>
      </c>
      <c r="L670" s="5">
        <v>4</v>
      </c>
      <c r="M670" s="5">
        <v>3</v>
      </c>
      <c r="N670" s="5"/>
      <c r="O670" s="5" t="s">
        <v>130</v>
      </c>
      <c r="P670" s="5" t="s">
        <v>740</v>
      </c>
      <c r="Q670" s="9">
        <v>4</v>
      </c>
      <c r="R670" s="5" t="s">
        <v>330</v>
      </c>
      <c r="S670" s="5" t="s">
        <v>331</v>
      </c>
      <c r="T670" s="5" t="s">
        <v>168</v>
      </c>
      <c r="U670" s="7" t="s">
        <v>72</v>
      </c>
      <c r="V670" s="5" t="s">
        <v>135</v>
      </c>
      <c r="W670" s="6">
        <v>440</v>
      </c>
      <c r="X670" s="5" t="s">
        <v>80</v>
      </c>
      <c r="Y670" s="9">
        <v>7</v>
      </c>
      <c r="Z670" s="5" t="s">
        <v>79</v>
      </c>
      <c r="AA670" s="5" t="s">
        <v>110</v>
      </c>
      <c r="AB670" s="9">
        <v>6</v>
      </c>
      <c r="AC670" s="5" t="s">
        <v>82</v>
      </c>
      <c r="AD670" s="5" t="s">
        <v>80</v>
      </c>
      <c r="AE670" s="5" t="s">
        <v>79</v>
      </c>
      <c r="AF670" s="10">
        <v>49500</v>
      </c>
      <c r="AG670" s="7">
        <v>45930</v>
      </c>
      <c r="AH670" s="10"/>
      <c r="AI670" s="10"/>
      <c r="AJ670" s="11" t="str">
        <f t="shared" si="10"/>
        <v/>
      </c>
      <c r="AK670" s="12">
        <f>IF(B670="","",OR(K670="Not in use",K670="Low use")+AND(N670&lt;&gt;"",N670&lt;&gt;"TBD")+AND(ISNUMBER(U670),U670&lt;=EDATE('Scoring Settings'!$B$4,'Scoring Settings'!$B$8))+AND(ISNUMBER(L670),L670&lt;='Scoring Settings'!$B$7))</f>
        <v>0</v>
      </c>
      <c r="AL670" s="5" t="s">
        <v>83</v>
      </c>
      <c r="AM670" s="8" t="str">
        <f>IF(B670="","",IF(Z670="N","Easy",IF(OR(AND(ISNUMBER(AB670),AB670&gt;'Scoring Settings'!$B$11),AND(ISNUMBER(W670),W670&gt;'Scoring Settings'!$B$12),AND(ISNUMBER(M670),M670&lt;='Scoring Settings'!$B$13)),"High","Medium")))</f>
        <v>Easy</v>
      </c>
      <c r="AN670" s="5"/>
      <c r="AO670" s="7"/>
      <c r="AP670" s="5" t="s">
        <v>98</v>
      </c>
      <c r="AQ670" s="29" t="s">
        <v>206</v>
      </c>
    </row>
    <row r="671" spans="1:43" hidden="1">
      <c r="A671" s="28">
        <v>169147</v>
      </c>
      <c r="B671" s="5" t="s">
        <v>937</v>
      </c>
      <c r="C671" s="5" t="s">
        <v>242</v>
      </c>
      <c r="D671" s="5" t="s">
        <v>115</v>
      </c>
      <c r="E671" s="5" t="s">
        <v>68</v>
      </c>
      <c r="F671" s="5" t="s">
        <v>116</v>
      </c>
      <c r="G671" s="5" t="s">
        <v>153</v>
      </c>
      <c r="H671" s="5" t="s">
        <v>142</v>
      </c>
      <c r="I671" s="6">
        <v>409</v>
      </c>
      <c r="J671" s="7">
        <v>44296</v>
      </c>
      <c r="K671" s="8" t="str">
        <f>IF(B671="","",IF(AND(I671="",J671=""),"Unknown",IF(OR(AND(ISNUMBER(I671),I671=0),AND(ISNUMBER(J671),J671&lt;=EDATE('Scoring Settings'!$B$4,-'Scoring Settings'!$B$5))),"Not in use",IF(AND(ISNUMBER(I671),I671&lt;'Scoring Settings'!$B$6),"Low use","Active"))))</f>
        <v>Active</v>
      </c>
      <c r="L671" s="5">
        <v>3</v>
      </c>
      <c r="M671" s="5">
        <v>2</v>
      </c>
      <c r="N671" s="5"/>
      <c r="O671" s="5" t="s">
        <v>143</v>
      </c>
      <c r="P671" s="5" t="s">
        <v>144</v>
      </c>
      <c r="Q671" s="9">
        <v>0</v>
      </c>
      <c r="R671" s="5" t="s">
        <v>145</v>
      </c>
      <c r="S671" s="5" t="s">
        <v>145</v>
      </c>
      <c r="T671" s="5" t="s">
        <v>146</v>
      </c>
      <c r="U671" s="7"/>
      <c r="V671" s="5" t="s">
        <v>95</v>
      </c>
      <c r="W671" s="6">
        <v>150</v>
      </c>
      <c r="X671" s="5" t="s">
        <v>80</v>
      </c>
      <c r="Y671" s="9">
        <v>7</v>
      </c>
      <c r="Z671" s="5" t="s">
        <v>80</v>
      </c>
      <c r="AA671" s="5" t="s">
        <v>123</v>
      </c>
      <c r="AB671" s="9">
        <v>7</v>
      </c>
      <c r="AC671" s="5" t="s">
        <v>79</v>
      </c>
      <c r="AD671" s="5" t="s">
        <v>80</v>
      </c>
      <c r="AE671" s="5" t="s">
        <v>80</v>
      </c>
      <c r="AF671" s="10">
        <v>70000</v>
      </c>
      <c r="AG671" s="7">
        <v>47483</v>
      </c>
      <c r="AH671" s="10"/>
      <c r="AI671" s="10"/>
      <c r="AJ671" s="11" t="str">
        <f t="shared" si="10"/>
        <v/>
      </c>
      <c r="AK671" s="12">
        <f>IF(B671="","",OR(K671="Not in use",K671="Low use")+AND(N671&lt;&gt;"",N671&lt;&gt;"TBD")+AND(ISNUMBER(U671),U671&lt;=EDATE('Scoring Settings'!$B$4,'Scoring Settings'!$B$8))+AND(ISNUMBER(L671),L671&lt;='Scoring Settings'!$B$7))</f>
        <v>0</v>
      </c>
      <c r="AL671" s="5" t="s">
        <v>83</v>
      </c>
      <c r="AM671" s="8" t="str">
        <f>IF(B671="","",IF(Z671="N","Easy",IF(OR(AND(ISNUMBER(AB671),AB671&gt;'Scoring Settings'!$B$11),AND(ISNUMBER(W671),W671&gt;'Scoring Settings'!$B$12),AND(ISNUMBER(M671),M671&lt;='Scoring Settings'!$B$13)),"High","Medium")))</f>
        <v>High</v>
      </c>
      <c r="AN671" s="5"/>
      <c r="AO671" s="7"/>
      <c r="AP671" s="5" t="s">
        <v>84</v>
      </c>
      <c r="AQ671" s="29" t="s">
        <v>206</v>
      </c>
    </row>
    <row r="672" spans="1:43" hidden="1">
      <c r="A672" s="28">
        <v>102802</v>
      </c>
      <c r="B672" s="5" t="s">
        <v>938</v>
      </c>
      <c r="C672" s="5" t="s">
        <v>13</v>
      </c>
      <c r="D672" s="5" t="s">
        <v>162</v>
      </c>
      <c r="E672" s="5" t="s">
        <v>311</v>
      </c>
      <c r="F672" s="5" t="s">
        <v>103</v>
      </c>
      <c r="G672" s="5" t="s">
        <v>128</v>
      </c>
      <c r="H672" s="5" t="s">
        <v>174</v>
      </c>
      <c r="I672" s="6">
        <v>438</v>
      </c>
      <c r="J672" s="7">
        <v>44283</v>
      </c>
      <c r="K672" s="8" t="str">
        <f>IF(B672="","",IF(AND(I672="",J672=""),"Unknown",IF(OR(AND(ISNUMBER(I672),I672=0),AND(ISNUMBER(J672),J672&lt;=EDATE('Scoring Settings'!$B$4,-'Scoring Settings'!$B$5))),"Not in use",IF(AND(ISNUMBER(I672),I672&lt;'Scoring Settings'!$B$6),"Low use","Active"))))</f>
        <v>Active</v>
      </c>
      <c r="L672" s="5">
        <v>5</v>
      </c>
      <c r="M672" s="5">
        <v>2</v>
      </c>
      <c r="N672" s="5"/>
      <c r="O672" s="5" t="s">
        <v>191</v>
      </c>
      <c r="P672" s="5" t="s">
        <v>192</v>
      </c>
      <c r="Q672" s="9">
        <v>0</v>
      </c>
      <c r="R672" s="5" t="s">
        <v>193</v>
      </c>
      <c r="S672" s="5" t="s">
        <v>194</v>
      </c>
      <c r="T672" s="5" t="s">
        <v>195</v>
      </c>
      <c r="U672" s="7"/>
      <c r="V672" s="5" t="s">
        <v>135</v>
      </c>
      <c r="W672" s="6">
        <v>280</v>
      </c>
      <c r="X672" s="5" t="s">
        <v>79</v>
      </c>
      <c r="Y672" s="9">
        <v>5</v>
      </c>
      <c r="Z672" s="5" t="s">
        <v>80</v>
      </c>
      <c r="AA672" s="5" t="s">
        <v>205</v>
      </c>
      <c r="AB672" s="9">
        <v>30</v>
      </c>
      <c r="AC672" s="5" t="s">
        <v>82</v>
      </c>
      <c r="AD672" s="5" t="s">
        <v>82</v>
      </c>
      <c r="AE672" s="5" t="s">
        <v>79</v>
      </c>
      <c r="AF672" s="10">
        <v>15000</v>
      </c>
      <c r="AG672" s="7">
        <v>48182</v>
      </c>
      <c r="AH672" s="10"/>
      <c r="AI672" s="10"/>
      <c r="AJ672" s="11" t="str">
        <f t="shared" si="10"/>
        <v/>
      </c>
      <c r="AK672" s="12">
        <f>IF(B672="","",OR(K672="Not in use",K672="Low use")+AND(N672&lt;&gt;"",N672&lt;&gt;"TBD")+AND(ISNUMBER(U672),U672&lt;=EDATE('Scoring Settings'!$B$4,'Scoring Settings'!$B$8))+AND(ISNUMBER(L672),L672&lt;='Scoring Settings'!$B$7))</f>
        <v>0</v>
      </c>
      <c r="AL672" s="5" t="s">
        <v>83</v>
      </c>
      <c r="AM672" s="8" t="str">
        <f>IF(B672="","",IF(Z672="N","Easy",IF(OR(AND(ISNUMBER(AB672),AB672&gt;'Scoring Settings'!$B$11),AND(ISNUMBER(W672),W672&gt;'Scoring Settings'!$B$12),AND(ISNUMBER(M672),M672&lt;='Scoring Settings'!$B$13)),"High","Medium")))</f>
        <v>High</v>
      </c>
      <c r="AN672" s="5"/>
      <c r="AO672" s="7"/>
      <c r="AP672" s="5" t="s">
        <v>84</v>
      </c>
      <c r="AQ672" s="29" t="s">
        <v>85</v>
      </c>
    </row>
    <row r="673" spans="1:43" hidden="1">
      <c r="A673" s="28">
        <v>138375</v>
      </c>
      <c r="B673" s="5" t="s">
        <v>939</v>
      </c>
      <c r="C673" s="5" t="s">
        <v>270</v>
      </c>
      <c r="D673" s="5" t="s">
        <v>139</v>
      </c>
      <c r="E673" s="5" t="s">
        <v>298</v>
      </c>
      <c r="F673" s="5" t="s">
        <v>243</v>
      </c>
      <c r="G673" s="5" t="s">
        <v>210</v>
      </c>
      <c r="H673" s="5" t="s">
        <v>142</v>
      </c>
      <c r="I673" s="6">
        <v>334</v>
      </c>
      <c r="J673" s="7">
        <v>44292</v>
      </c>
      <c r="K673" s="8" t="str">
        <f>IF(B673="","",IF(AND(I673="",J673=""),"Unknown",IF(OR(AND(ISNUMBER(I673),I673=0),AND(ISNUMBER(J673),J673&lt;=EDATE('Scoring Settings'!$B$4,-'Scoring Settings'!$B$5))),"Not in use",IF(AND(ISNUMBER(I673),I673&lt;'Scoring Settings'!$B$6),"Low use","Active"))))</f>
        <v>Active</v>
      </c>
      <c r="L673" s="5">
        <v>5</v>
      </c>
      <c r="M673" s="5">
        <v>1</v>
      </c>
      <c r="N673" s="5"/>
      <c r="O673" s="5" t="s">
        <v>143</v>
      </c>
      <c r="P673" s="5" t="s">
        <v>144</v>
      </c>
      <c r="Q673" s="9">
        <v>0</v>
      </c>
      <c r="R673" s="5" t="s">
        <v>145</v>
      </c>
      <c r="S673" s="5" t="s">
        <v>145</v>
      </c>
      <c r="T673" s="5" t="s">
        <v>146</v>
      </c>
      <c r="U673" s="7"/>
      <c r="V673" s="5" t="s">
        <v>135</v>
      </c>
      <c r="W673" s="6">
        <v>680</v>
      </c>
      <c r="X673" s="5" t="s">
        <v>79</v>
      </c>
      <c r="Y673" s="9">
        <v>2</v>
      </c>
      <c r="Z673" s="5" t="s">
        <v>80</v>
      </c>
      <c r="AA673" s="5" t="s">
        <v>147</v>
      </c>
      <c r="AB673" s="9">
        <v>22</v>
      </c>
      <c r="AC673" s="5" t="s">
        <v>82</v>
      </c>
      <c r="AD673" s="5" t="s">
        <v>79</v>
      </c>
      <c r="AE673" s="5" t="s">
        <v>82</v>
      </c>
      <c r="AF673" s="10">
        <v>230000</v>
      </c>
      <c r="AG673" s="7">
        <v>47756</v>
      </c>
      <c r="AH673" s="10"/>
      <c r="AI673" s="10"/>
      <c r="AJ673" s="11" t="str">
        <f t="shared" si="10"/>
        <v/>
      </c>
      <c r="AK673" s="12">
        <f>IF(B673="","",OR(K673="Not in use",K673="Low use")+AND(N673&lt;&gt;"",N673&lt;&gt;"TBD")+AND(ISNUMBER(U673),U673&lt;=EDATE('Scoring Settings'!$B$4,'Scoring Settings'!$B$8))+AND(ISNUMBER(L673),L673&lt;='Scoring Settings'!$B$7))</f>
        <v>0</v>
      </c>
      <c r="AL673" s="5" t="s">
        <v>83</v>
      </c>
      <c r="AM673" s="8" t="str">
        <f>IF(B673="","",IF(Z673="N","Easy",IF(OR(AND(ISNUMBER(AB673),AB673&gt;'Scoring Settings'!$B$11),AND(ISNUMBER(W673),W673&gt;'Scoring Settings'!$B$12),AND(ISNUMBER(M673),M673&lt;='Scoring Settings'!$B$13)),"High","Medium")))</f>
        <v>High</v>
      </c>
      <c r="AN673" s="5"/>
      <c r="AO673" s="7"/>
      <c r="AP673" s="5" t="s">
        <v>84</v>
      </c>
      <c r="AQ673" s="29" t="s">
        <v>273</v>
      </c>
    </row>
    <row r="674" spans="1:43" hidden="1">
      <c r="A674" s="28">
        <v>161816</v>
      </c>
      <c r="B674" s="5" t="s">
        <v>940</v>
      </c>
      <c r="C674" s="5" t="s">
        <v>215</v>
      </c>
      <c r="D674" s="5" t="s">
        <v>139</v>
      </c>
      <c r="E674" s="5" t="s">
        <v>68</v>
      </c>
      <c r="F674" s="5" t="s">
        <v>326</v>
      </c>
      <c r="G674" s="5" t="s">
        <v>267</v>
      </c>
      <c r="H674" s="5" t="s">
        <v>105</v>
      </c>
      <c r="I674" s="6">
        <v>973</v>
      </c>
      <c r="J674" s="7">
        <v>44303</v>
      </c>
      <c r="K674" s="8" t="str">
        <f>IF(B674="","",IF(AND(I674="",J674=""),"Unknown",IF(OR(AND(ISNUMBER(I674),I674=0),AND(ISNUMBER(J674),J674&lt;=EDATE('Scoring Settings'!$B$4,-'Scoring Settings'!$B$5))),"Not in use",IF(AND(ISNUMBER(I674),I674&lt;'Scoring Settings'!$B$6),"Low use","Active"))))</f>
        <v>Active</v>
      </c>
      <c r="L674" s="5">
        <v>5</v>
      </c>
      <c r="M674" s="5">
        <v>1</v>
      </c>
      <c r="N674" s="5"/>
      <c r="O674" s="5" t="s">
        <v>73</v>
      </c>
      <c r="P674" s="5" t="s">
        <v>941</v>
      </c>
      <c r="Q674" s="9">
        <v>2</v>
      </c>
      <c r="R674" s="5" t="s">
        <v>330</v>
      </c>
      <c r="S674" s="5" t="s">
        <v>331</v>
      </c>
      <c r="T674" s="5" t="s">
        <v>122</v>
      </c>
      <c r="U674" s="7">
        <v>45046</v>
      </c>
      <c r="V674" s="5" t="s">
        <v>135</v>
      </c>
      <c r="W674" s="6">
        <v>300</v>
      </c>
      <c r="X674" s="5" t="s">
        <v>79</v>
      </c>
      <c r="Y674" s="9">
        <v>2</v>
      </c>
      <c r="Z674" s="5" t="s">
        <v>80</v>
      </c>
      <c r="AA674" s="5" t="s">
        <v>185</v>
      </c>
      <c r="AB674" s="9">
        <v>16</v>
      </c>
      <c r="AC674" s="5" t="s">
        <v>79</v>
      </c>
      <c r="AD674" s="5" t="s">
        <v>80</v>
      </c>
      <c r="AE674" s="5" t="s">
        <v>82</v>
      </c>
      <c r="AF674" s="10">
        <v>140000</v>
      </c>
      <c r="AG674" s="7">
        <v>48244</v>
      </c>
      <c r="AH674" s="10">
        <v>213500</v>
      </c>
      <c r="AI674" s="10">
        <v>86000</v>
      </c>
      <c r="AJ674" s="11">
        <f t="shared" si="10"/>
        <v>29.790697674418603</v>
      </c>
      <c r="AK674" s="12">
        <f>IF(B674="","",OR(K674="Not in use",K674="Low use")+AND(N674&lt;&gt;"",N674&lt;&gt;"TBD")+AND(ISNUMBER(U674),U674&lt;=EDATE('Scoring Settings'!$B$4,'Scoring Settings'!$B$8))+AND(ISNUMBER(L674),L674&lt;='Scoring Settings'!$B$7))</f>
        <v>0</v>
      </c>
      <c r="AL674" s="5" t="s">
        <v>111</v>
      </c>
      <c r="AM674" s="8" t="str">
        <f>IF(B674="","",IF(Z674="N","Easy",IF(OR(AND(ISNUMBER(AB674),AB674&gt;'Scoring Settings'!$B$11),AND(ISNUMBER(W674),W674&gt;'Scoring Settings'!$B$12),AND(ISNUMBER(M674),M674&lt;='Scoring Settings'!$B$13)),"High","Medium")))</f>
        <v>High</v>
      </c>
      <c r="AN674" s="5"/>
      <c r="AO674" s="7"/>
      <c r="AP674" s="5" t="s">
        <v>98</v>
      </c>
      <c r="AQ674" s="29" t="s">
        <v>112</v>
      </c>
    </row>
    <row r="675" spans="1:43" hidden="1">
      <c r="A675" s="28">
        <v>184950</v>
      </c>
      <c r="B675" s="5" t="s">
        <v>944</v>
      </c>
      <c r="C675" s="5" t="s">
        <v>215</v>
      </c>
      <c r="D675" s="5" t="s">
        <v>139</v>
      </c>
      <c r="E675" s="5" t="s">
        <v>68</v>
      </c>
      <c r="F675" s="5" t="s">
        <v>346</v>
      </c>
      <c r="G675" s="5" t="s">
        <v>117</v>
      </c>
      <c r="H675" s="5" t="s">
        <v>174</v>
      </c>
      <c r="I675" s="6">
        <v>83</v>
      </c>
      <c r="J675" s="7">
        <v>44315</v>
      </c>
      <c r="K675" s="8" t="str">
        <f>IF(B675="","",IF(AND(I675="",J675=""),"Unknown",IF(OR(AND(ISNUMBER(I675),I675=0),AND(ISNUMBER(J675),J675&lt;=EDATE('Scoring Settings'!$B$4,-'Scoring Settings'!$B$5))),"Not in use",IF(AND(ISNUMBER(I675),I675&lt;'Scoring Settings'!$B$6),"Low use","Active"))))</f>
        <v>Active</v>
      </c>
      <c r="L675" s="5">
        <v>3</v>
      </c>
      <c r="M675" s="5">
        <v>2</v>
      </c>
      <c r="N675" s="5" t="s">
        <v>401</v>
      </c>
      <c r="O675" s="5" t="s">
        <v>130</v>
      </c>
      <c r="P675" s="5" t="s">
        <v>945</v>
      </c>
      <c r="Q675" s="9">
        <v>3</v>
      </c>
      <c r="R675" s="5" t="s">
        <v>251</v>
      </c>
      <c r="S675" s="5" t="s">
        <v>133</v>
      </c>
      <c r="T675" s="5" t="s">
        <v>195</v>
      </c>
      <c r="U675" s="7">
        <v>44165</v>
      </c>
      <c r="V675" s="5" t="s">
        <v>135</v>
      </c>
      <c r="W675" s="6">
        <v>310</v>
      </c>
      <c r="X675" s="5" t="s">
        <v>79</v>
      </c>
      <c r="Y675" s="9">
        <v>3</v>
      </c>
      <c r="Z675" s="5" t="s">
        <v>79</v>
      </c>
      <c r="AA675" s="5" t="s">
        <v>110</v>
      </c>
      <c r="AB675" s="9">
        <v>15</v>
      </c>
      <c r="AC675" s="5" t="s">
        <v>80</v>
      </c>
      <c r="AD675" s="5" t="s">
        <v>79</v>
      </c>
      <c r="AE675" s="5" t="s">
        <v>80</v>
      </c>
      <c r="AF675" s="10">
        <v>31500</v>
      </c>
      <c r="AG675" s="7">
        <v>49125</v>
      </c>
      <c r="AH675" s="10">
        <v>41500</v>
      </c>
      <c r="AI675" s="10">
        <v>30500</v>
      </c>
      <c r="AJ675" s="11">
        <f t="shared" si="10"/>
        <v>16.327868852459016</v>
      </c>
      <c r="AK675" s="12">
        <f>IF(B675="","",OR(K675="Not in use",K675="Low use")+AND(N675&lt;&gt;"",N675&lt;&gt;"TBD")+AND(ISNUMBER(U675),U675&lt;=EDATE('Scoring Settings'!$B$4,'Scoring Settings'!$B$8))+AND(ISNUMBER(L675),L675&lt;='Scoring Settings'!$B$7))</f>
        <v>2</v>
      </c>
      <c r="AL675" s="5" t="s">
        <v>111</v>
      </c>
      <c r="AM675" s="8" t="str">
        <f>IF(B675="","",IF(Z675="N","Easy",IF(OR(AND(ISNUMBER(AB675),AB675&gt;'Scoring Settings'!$B$11),AND(ISNUMBER(W675),W675&gt;'Scoring Settings'!$B$12),AND(ISNUMBER(M675),M675&lt;='Scoring Settings'!$B$13)),"High","Medium")))</f>
        <v>Easy</v>
      </c>
      <c r="AN675" s="5"/>
      <c r="AO675" s="7"/>
      <c r="AP675" s="5" t="s">
        <v>98</v>
      </c>
      <c r="AQ675" s="29" t="s">
        <v>112</v>
      </c>
    </row>
    <row r="676" spans="1:43" hidden="1">
      <c r="A676" s="28">
        <v>143992</v>
      </c>
      <c r="B676" s="5" t="s">
        <v>946</v>
      </c>
      <c r="C676" s="5" t="s">
        <v>667</v>
      </c>
      <c r="D676" s="5" t="s">
        <v>115</v>
      </c>
      <c r="E676" s="5" t="s">
        <v>311</v>
      </c>
      <c r="F676" s="5" t="s">
        <v>69</v>
      </c>
      <c r="G676" s="5" t="s">
        <v>284</v>
      </c>
      <c r="H676" s="5" t="s">
        <v>105</v>
      </c>
      <c r="I676" s="6">
        <v>4</v>
      </c>
      <c r="J676" s="7">
        <v>44059</v>
      </c>
      <c r="K676" s="8" t="str">
        <f>IF(B676="","",IF(AND(I676="",J676=""),"Unknown",IF(OR(AND(ISNUMBER(I676),I676=0),AND(ISNUMBER(J676),J676&lt;=EDATE('Scoring Settings'!$B$4,-'Scoring Settings'!$B$5))),"Not in use",IF(AND(ISNUMBER(I676),I676&lt;'Scoring Settings'!$B$6),"Low use","Active"))))</f>
        <v>Not in use</v>
      </c>
      <c r="L676" s="5">
        <v>4</v>
      </c>
      <c r="M676" s="5">
        <v>3</v>
      </c>
      <c r="N676" s="5"/>
      <c r="O676" s="5" t="s">
        <v>73</v>
      </c>
      <c r="P676" s="5" t="s">
        <v>947</v>
      </c>
      <c r="Q676" s="9">
        <v>4</v>
      </c>
      <c r="R676" s="5" t="s">
        <v>251</v>
      </c>
      <c r="S676" s="5" t="s">
        <v>133</v>
      </c>
      <c r="T676" s="5" t="s">
        <v>122</v>
      </c>
      <c r="U676" s="7">
        <v>44165</v>
      </c>
      <c r="V676" s="5" t="s">
        <v>135</v>
      </c>
      <c r="W676" s="6">
        <v>280</v>
      </c>
      <c r="X676" s="5" t="s">
        <v>80</v>
      </c>
      <c r="Y676" s="9">
        <v>7</v>
      </c>
      <c r="Z676" s="5" t="s">
        <v>79</v>
      </c>
      <c r="AA676" s="5" t="s">
        <v>110</v>
      </c>
      <c r="AB676" s="9">
        <v>6</v>
      </c>
      <c r="AC676" s="5" t="s">
        <v>79</v>
      </c>
      <c r="AD676" s="5" t="s">
        <v>80</v>
      </c>
      <c r="AE676" s="5" t="s">
        <v>79</v>
      </c>
      <c r="AF676" s="10">
        <v>80000</v>
      </c>
      <c r="AG676" s="7">
        <v>47726</v>
      </c>
      <c r="AH676" s="10">
        <v>117500</v>
      </c>
      <c r="AI676" s="10">
        <v>80000</v>
      </c>
      <c r="AJ676" s="11">
        <f t="shared" si="10"/>
        <v>17.625</v>
      </c>
      <c r="AK676" s="12">
        <f>IF(B676="","",OR(K676="Not in use",K676="Low use")+AND(N676&lt;&gt;"",N676&lt;&gt;"TBD")+AND(ISNUMBER(U676),U676&lt;=EDATE('Scoring Settings'!$B$4,'Scoring Settings'!$B$8))+AND(ISNUMBER(L676),L676&lt;='Scoring Settings'!$B$7))</f>
        <v>2</v>
      </c>
      <c r="AL676" s="5" t="s">
        <v>111</v>
      </c>
      <c r="AM676" s="8" t="str">
        <f>IF(B676="","",IF(Z676="N","Easy",IF(OR(AND(ISNUMBER(AB676),AB676&gt;'Scoring Settings'!$B$11),AND(ISNUMBER(W676),W676&gt;'Scoring Settings'!$B$12),AND(ISNUMBER(M676),M676&lt;='Scoring Settings'!$B$13)),"High","Medium")))</f>
        <v>Easy</v>
      </c>
      <c r="AN676" s="5"/>
      <c r="AO676" s="7"/>
      <c r="AP676" s="5" t="s">
        <v>98</v>
      </c>
      <c r="AQ676" s="29" t="s">
        <v>124</v>
      </c>
    </row>
    <row r="677" spans="1:43" hidden="1">
      <c r="A677" s="28">
        <v>120572</v>
      </c>
      <c r="B677" s="5" t="s">
        <v>948</v>
      </c>
      <c r="C677" s="5" t="s">
        <v>395</v>
      </c>
      <c r="D677" s="5" t="s">
        <v>88</v>
      </c>
      <c r="E677" s="5" t="s">
        <v>68</v>
      </c>
      <c r="F677" s="5" t="s">
        <v>312</v>
      </c>
      <c r="G677" s="5" t="s">
        <v>90</v>
      </c>
      <c r="H677" s="5" t="s">
        <v>142</v>
      </c>
      <c r="I677" s="6">
        <v>1</v>
      </c>
      <c r="J677" s="7">
        <v>43772</v>
      </c>
      <c r="K677" s="8" t="str">
        <f>IF(B677="","",IF(AND(I677="",J677=""),"Unknown",IF(OR(AND(ISNUMBER(I677),I677=0),AND(ISNUMBER(J677),J677&lt;=EDATE('Scoring Settings'!$B$4,-'Scoring Settings'!$B$5))),"Not in use",IF(AND(ISNUMBER(I677),I677&lt;'Scoring Settings'!$B$6),"Low use","Active"))))</f>
        <v>Not in use</v>
      </c>
      <c r="L677" s="5">
        <v>4</v>
      </c>
      <c r="M677" s="5">
        <v>2</v>
      </c>
      <c r="N677" s="5" t="s">
        <v>433</v>
      </c>
      <c r="O677" s="5" t="s">
        <v>143</v>
      </c>
      <c r="P677" s="5" t="s">
        <v>144</v>
      </c>
      <c r="Q677" s="9">
        <v>0</v>
      </c>
      <c r="R677" s="5" t="s">
        <v>145</v>
      </c>
      <c r="S677" s="5" t="s">
        <v>145</v>
      </c>
      <c r="T677" s="5" t="s">
        <v>146</v>
      </c>
      <c r="U677" s="7"/>
      <c r="V677" s="5" t="s">
        <v>95</v>
      </c>
      <c r="W677" s="6">
        <v>7</v>
      </c>
      <c r="X677" s="5" t="s">
        <v>79</v>
      </c>
      <c r="Y677" s="9">
        <v>2</v>
      </c>
      <c r="Z677" s="5" t="s">
        <v>80</v>
      </c>
      <c r="AA677" s="5" t="s">
        <v>123</v>
      </c>
      <c r="AB677" s="9">
        <v>10</v>
      </c>
      <c r="AC677" s="5" t="s">
        <v>79</v>
      </c>
      <c r="AD677" s="5" t="s">
        <v>82</v>
      </c>
      <c r="AE677" s="5" t="s">
        <v>79</v>
      </c>
      <c r="AF677" s="10">
        <v>85000</v>
      </c>
      <c r="AG677" s="7">
        <v>46691</v>
      </c>
      <c r="AH677" s="10"/>
      <c r="AI677" s="10"/>
      <c r="AJ677" s="11" t="str">
        <f t="shared" si="10"/>
        <v/>
      </c>
      <c r="AK677" s="12">
        <f>IF(B677="","",OR(K677="Not in use",K677="Low use")+AND(N677&lt;&gt;"",N677&lt;&gt;"TBD")+AND(ISNUMBER(U677),U677&lt;=EDATE('Scoring Settings'!$B$4,'Scoring Settings'!$B$8))+AND(ISNUMBER(L677),L677&lt;='Scoring Settings'!$B$7))</f>
        <v>2</v>
      </c>
      <c r="AL677" s="5" t="s">
        <v>111</v>
      </c>
      <c r="AM677" s="8" t="str">
        <f>IF(B677="","",IF(Z677="N","Easy",IF(OR(AND(ISNUMBER(AB677),AB677&gt;'Scoring Settings'!$B$11),AND(ISNUMBER(W677),W677&gt;'Scoring Settings'!$B$12),AND(ISNUMBER(M677),M677&lt;='Scoring Settings'!$B$13)),"High","Medium")))</f>
        <v>High</v>
      </c>
      <c r="AN677" s="5"/>
      <c r="AO677" s="7"/>
      <c r="AP677" s="5" t="s">
        <v>98</v>
      </c>
      <c r="AQ677" s="29" t="s">
        <v>218</v>
      </c>
    </row>
    <row r="678" spans="1:43" hidden="1">
      <c r="A678" s="28">
        <v>177529</v>
      </c>
      <c r="B678" s="5" t="s">
        <v>949</v>
      </c>
      <c r="C678" s="5" t="s">
        <v>557</v>
      </c>
      <c r="D678" s="5" t="s">
        <v>297</v>
      </c>
      <c r="E678" s="5" t="s">
        <v>68</v>
      </c>
      <c r="F678" s="5" t="s">
        <v>127</v>
      </c>
      <c r="G678" s="5" t="s">
        <v>356</v>
      </c>
      <c r="H678" s="5" t="s">
        <v>105</v>
      </c>
      <c r="I678" s="6">
        <v>68</v>
      </c>
      <c r="J678" s="7">
        <v>44279</v>
      </c>
      <c r="K678" s="8" t="str">
        <f>IF(B678="","",IF(AND(I678="",J678=""),"Unknown",IF(OR(AND(ISNUMBER(I678),I678=0),AND(ISNUMBER(J678),J678&lt;=EDATE('Scoring Settings'!$B$4,-'Scoring Settings'!$B$5))),"Not in use",IF(AND(ISNUMBER(I678),I678&lt;'Scoring Settings'!$B$6),"Low use","Active"))))</f>
        <v>Active</v>
      </c>
      <c r="L678" s="5">
        <v>4</v>
      </c>
      <c r="M678" s="5">
        <v>2</v>
      </c>
      <c r="N678" s="5"/>
      <c r="O678" s="5" t="s">
        <v>73</v>
      </c>
      <c r="P678" s="5" t="s">
        <v>950</v>
      </c>
      <c r="Q678" s="9">
        <v>7</v>
      </c>
      <c r="R678" s="5" t="s">
        <v>239</v>
      </c>
      <c r="S678" s="5" t="s">
        <v>240</v>
      </c>
      <c r="T678" s="5" t="s">
        <v>184</v>
      </c>
      <c r="U678" s="7">
        <v>44316</v>
      </c>
      <c r="V678" s="5" t="s">
        <v>135</v>
      </c>
      <c r="W678" s="6">
        <v>1410</v>
      </c>
      <c r="X678" s="5" t="s">
        <v>80</v>
      </c>
      <c r="Y678" s="9">
        <v>7</v>
      </c>
      <c r="Z678" s="5" t="s">
        <v>80</v>
      </c>
      <c r="AA678" s="5" t="s">
        <v>123</v>
      </c>
      <c r="AB678" s="9">
        <v>17</v>
      </c>
      <c r="AC678" s="5" t="s">
        <v>80</v>
      </c>
      <c r="AD678" s="5" t="s">
        <v>80</v>
      </c>
      <c r="AE678" s="5" t="s">
        <v>79</v>
      </c>
      <c r="AF678" s="10">
        <v>175000</v>
      </c>
      <c r="AG678" s="7">
        <v>48091</v>
      </c>
      <c r="AH678" s="10">
        <v>253000</v>
      </c>
      <c r="AI678" s="10">
        <v>144000</v>
      </c>
      <c r="AJ678" s="11">
        <f t="shared" si="10"/>
        <v>21.083333333333332</v>
      </c>
      <c r="AK678" s="12">
        <f>IF(B678="","",OR(K678="Not in use",K678="Low use")+AND(N678&lt;&gt;"",N678&lt;&gt;"TBD")+AND(ISNUMBER(U678),U678&lt;=EDATE('Scoring Settings'!$B$4,'Scoring Settings'!$B$8))+AND(ISNUMBER(L678),L678&lt;='Scoring Settings'!$B$7))</f>
        <v>1</v>
      </c>
      <c r="AL678" s="5" t="s">
        <v>111</v>
      </c>
      <c r="AM678" s="8" t="str">
        <f>IF(B678="","",IF(Z678="N","Easy",IF(OR(AND(ISNUMBER(AB678),AB678&gt;'Scoring Settings'!$B$11),AND(ISNUMBER(W678),W678&gt;'Scoring Settings'!$B$12),AND(ISNUMBER(M678),M678&lt;='Scoring Settings'!$B$13)),"High","Medium")))</f>
        <v>High</v>
      </c>
      <c r="AN678" s="5"/>
      <c r="AO678" s="7"/>
      <c r="AP678" s="5" t="s">
        <v>98</v>
      </c>
      <c r="AQ678" s="29" t="s">
        <v>218</v>
      </c>
    </row>
    <row r="679" spans="1:43" hidden="1">
      <c r="A679" s="28">
        <v>96830</v>
      </c>
      <c r="B679" s="5" t="s">
        <v>951</v>
      </c>
      <c r="C679" s="5" t="s">
        <v>464</v>
      </c>
      <c r="D679" s="5" t="s">
        <v>88</v>
      </c>
      <c r="E679" s="5" t="s">
        <v>68</v>
      </c>
      <c r="F679" s="5" t="s">
        <v>103</v>
      </c>
      <c r="G679" s="5" t="s">
        <v>356</v>
      </c>
      <c r="H679" s="5" t="s">
        <v>142</v>
      </c>
      <c r="I679" s="6">
        <v>856</v>
      </c>
      <c r="J679" s="7">
        <v>44284</v>
      </c>
      <c r="K679" s="8" t="str">
        <f>IF(B679="","",IF(AND(I679="",J679=""),"Unknown",IF(OR(AND(ISNUMBER(I679),I679=0),AND(ISNUMBER(J679),J679&lt;=EDATE('Scoring Settings'!$B$4,-'Scoring Settings'!$B$5))),"Not in use",IF(AND(ISNUMBER(I679),I679&lt;'Scoring Settings'!$B$6),"Low use","Active"))))</f>
        <v>Active</v>
      </c>
      <c r="L679" s="5">
        <v>3</v>
      </c>
      <c r="M679" s="5">
        <v>3</v>
      </c>
      <c r="N679" s="5"/>
      <c r="O679" s="5" t="s">
        <v>143</v>
      </c>
      <c r="P679" s="5" t="s">
        <v>144</v>
      </c>
      <c r="Q679" s="9">
        <v>0</v>
      </c>
      <c r="R679" s="5" t="s">
        <v>145</v>
      </c>
      <c r="S679" s="5" t="s">
        <v>145</v>
      </c>
      <c r="T679" s="5" t="s">
        <v>146</v>
      </c>
      <c r="U679" s="7"/>
      <c r="V679" s="5" t="s">
        <v>95</v>
      </c>
      <c r="W679" s="6">
        <v>5460</v>
      </c>
      <c r="X679" s="5" t="s">
        <v>79</v>
      </c>
      <c r="Y679" s="9">
        <v>1</v>
      </c>
      <c r="Z679" s="5" t="s">
        <v>79</v>
      </c>
      <c r="AA679" s="5" t="s">
        <v>110</v>
      </c>
      <c r="AB679" s="9">
        <v>4</v>
      </c>
      <c r="AC679" s="5" t="s">
        <v>79</v>
      </c>
      <c r="AD679" s="5" t="s">
        <v>79</v>
      </c>
      <c r="AE679" s="5" t="s">
        <v>79</v>
      </c>
      <c r="AF679" s="10">
        <v>17000</v>
      </c>
      <c r="AG679" s="7">
        <v>48334</v>
      </c>
      <c r="AH679" s="10"/>
      <c r="AI679" s="10"/>
      <c r="AJ679" s="11" t="str">
        <f t="shared" si="10"/>
        <v/>
      </c>
      <c r="AK679" s="12">
        <f>IF(B679="","",OR(K679="Not in use",K679="Low use")+AND(N679&lt;&gt;"",N679&lt;&gt;"TBD")+AND(ISNUMBER(U679),U679&lt;=EDATE('Scoring Settings'!$B$4,'Scoring Settings'!$B$8))+AND(ISNUMBER(L679),L679&lt;='Scoring Settings'!$B$7))</f>
        <v>0</v>
      </c>
      <c r="AL679" s="5" t="s">
        <v>111</v>
      </c>
      <c r="AM679" s="8" t="str">
        <f>IF(B679="","",IF(Z679="N","Easy",IF(OR(AND(ISNUMBER(AB679),AB679&gt;'Scoring Settings'!$B$11),AND(ISNUMBER(W679),W679&gt;'Scoring Settings'!$B$12),AND(ISNUMBER(M679),M679&lt;='Scoring Settings'!$B$13)),"High","Medium")))</f>
        <v>Easy</v>
      </c>
      <c r="AN679" s="5"/>
      <c r="AO679" s="7"/>
      <c r="AP679" s="5" t="s">
        <v>98</v>
      </c>
      <c r="AQ679" s="29" t="s">
        <v>218</v>
      </c>
    </row>
    <row r="680" spans="1:43" hidden="1">
      <c r="A680" s="28">
        <v>84368</v>
      </c>
      <c r="B680" s="5" t="s">
        <v>952</v>
      </c>
      <c r="C680" s="5" t="s">
        <v>101</v>
      </c>
      <c r="D680" s="5" t="s">
        <v>102</v>
      </c>
      <c r="E680" s="5" t="s">
        <v>68</v>
      </c>
      <c r="F680" s="5" t="s">
        <v>178</v>
      </c>
      <c r="G680" s="5" t="s">
        <v>117</v>
      </c>
      <c r="H680" s="5" t="s">
        <v>189</v>
      </c>
      <c r="I680" s="6">
        <v>25</v>
      </c>
      <c r="J680" s="7">
        <v>44276</v>
      </c>
      <c r="K680" s="8" t="str">
        <f>IF(B680="","",IF(AND(I680="",J680=""),"Unknown",IF(OR(AND(ISNUMBER(I680),I680=0),AND(ISNUMBER(J680),J680&lt;=EDATE('Scoring Settings'!$B$4,-'Scoring Settings'!$B$5))),"Not in use",IF(AND(ISNUMBER(I680),I680&lt;'Scoring Settings'!$B$6),"Low use","Active"))))</f>
        <v>Active</v>
      </c>
      <c r="L680" s="5">
        <v>4</v>
      </c>
      <c r="M680" s="5">
        <v>1</v>
      </c>
      <c r="N680" s="5" t="s">
        <v>953</v>
      </c>
      <c r="O680" s="5" t="s">
        <v>73</v>
      </c>
      <c r="P680" s="5" t="s">
        <v>954</v>
      </c>
      <c r="Q680" s="9">
        <v>2</v>
      </c>
      <c r="R680" s="5" t="s">
        <v>478</v>
      </c>
      <c r="S680" s="5" t="s">
        <v>479</v>
      </c>
      <c r="T680" s="5" t="s">
        <v>72</v>
      </c>
      <c r="U680" s="7">
        <v>43844</v>
      </c>
      <c r="V680" s="5" t="s">
        <v>95</v>
      </c>
      <c r="W680" s="6">
        <v>47</v>
      </c>
      <c r="X680" s="5" t="s">
        <v>80</v>
      </c>
      <c r="Y680" s="9">
        <v>10</v>
      </c>
      <c r="Z680" s="5" t="s">
        <v>80</v>
      </c>
      <c r="AA680" s="5" t="s">
        <v>205</v>
      </c>
      <c r="AB680" s="9">
        <v>56</v>
      </c>
      <c r="AC680" s="5" t="s">
        <v>79</v>
      </c>
      <c r="AD680" s="5" t="s">
        <v>79</v>
      </c>
      <c r="AE680" s="5" t="s">
        <v>82</v>
      </c>
      <c r="AF680" s="10">
        <v>100000</v>
      </c>
      <c r="AG680" s="7">
        <v>46965</v>
      </c>
      <c r="AH680" s="10">
        <v>182000</v>
      </c>
      <c r="AI680" s="10">
        <v>80000</v>
      </c>
      <c r="AJ680" s="11">
        <f t="shared" si="10"/>
        <v>27.299999999999997</v>
      </c>
      <c r="AK680" s="12">
        <f>IF(B680="","",OR(K680="Not in use",K680="Low use")+AND(N680&lt;&gt;"",N680&lt;&gt;"TBD")+AND(ISNUMBER(U680),U680&lt;=EDATE('Scoring Settings'!$B$4,'Scoring Settings'!$B$8))+AND(ISNUMBER(L680),L680&lt;='Scoring Settings'!$B$7))</f>
        <v>2</v>
      </c>
      <c r="AL680" s="5" t="s">
        <v>111</v>
      </c>
      <c r="AM680" s="8" t="str">
        <f>IF(B680="","",IF(Z680="N","Easy",IF(OR(AND(ISNUMBER(AB680),AB680&gt;'Scoring Settings'!$B$11),AND(ISNUMBER(W680),W680&gt;'Scoring Settings'!$B$12),AND(ISNUMBER(M680),M680&lt;='Scoring Settings'!$B$13)),"High","Medium")))</f>
        <v>High</v>
      </c>
      <c r="AN680" s="5"/>
      <c r="AO680" s="7"/>
      <c r="AP680" s="5" t="s">
        <v>98</v>
      </c>
      <c r="AQ680" s="29" t="s">
        <v>124</v>
      </c>
    </row>
    <row r="681" spans="1:43" hidden="1">
      <c r="A681" s="28">
        <v>145981</v>
      </c>
      <c r="B681" s="5" t="s">
        <v>957</v>
      </c>
      <c r="C681" s="5" t="s">
        <v>262</v>
      </c>
      <c r="D681" s="5" t="s">
        <v>67</v>
      </c>
      <c r="E681" s="5" t="s">
        <v>298</v>
      </c>
      <c r="F681" s="5" t="s">
        <v>163</v>
      </c>
      <c r="G681" s="5" t="s">
        <v>278</v>
      </c>
      <c r="H681" s="5" t="s">
        <v>105</v>
      </c>
      <c r="I681" s="6">
        <v>18</v>
      </c>
      <c r="J681" s="7">
        <v>44299</v>
      </c>
      <c r="K681" s="8" t="str">
        <f>IF(B681="","",IF(AND(I681="",J681=""),"Unknown",IF(OR(AND(ISNUMBER(I681),I681=0),AND(ISNUMBER(J681),J681&lt;=EDATE('Scoring Settings'!$B$4,-'Scoring Settings'!$B$5))),"Not in use",IF(AND(ISNUMBER(I681),I681&lt;'Scoring Settings'!$B$6),"Low use","Active"))))</f>
        <v>Low use</v>
      </c>
      <c r="L681" s="5">
        <v>3</v>
      </c>
      <c r="M681" s="5">
        <v>3</v>
      </c>
      <c r="N681" s="5"/>
      <c r="O681" s="5" t="s">
        <v>73</v>
      </c>
      <c r="P681" s="5" t="s">
        <v>958</v>
      </c>
      <c r="Q681" s="9">
        <v>3</v>
      </c>
      <c r="R681" s="5" t="s">
        <v>203</v>
      </c>
      <c r="S681" s="5" t="s">
        <v>204</v>
      </c>
      <c r="T681" s="5" t="s">
        <v>109</v>
      </c>
      <c r="U681" s="7">
        <v>47269</v>
      </c>
      <c r="V681" s="5" t="s">
        <v>95</v>
      </c>
      <c r="W681" s="6">
        <v>550</v>
      </c>
      <c r="X681" s="5" t="s">
        <v>80</v>
      </c>
      <c r="Y681" s="9">
        <v>7</v>
      </c>
      <c r="Z681" s="5" t="s">
        <v>80</v>
      </c>
      <c r="AA681" s="5" t="s">
        <v>147</v>
      </c>
      <c r="AB681" s="9">
        <v>2</v>
      </c>
      <c r="AC681" s="5" t="s">
        <v>80</v>
      </c>
      <c r="AD681" s="5" t="s">
        <v>80</v>
      </c>
      <c r="AE681" s="5" t="s">
        <v>79</v>
      </c>
      <c r="AF681" s="10">
        <v>60000</v>
      </c>
      <c r="AG681" s="7">
        <v>47087</v>
      </c>
      <c r="AH681" s="10">
        <v>32000</v>
      </c>
      <c r="AI681" s="10">
        <v>56000</v>
      </c>
      <c r="AJ681" s="11">
        <f t="shared" si="10"/>
        <v>6.8571428571428568</v>
      </c>
      <c r="AK681" s="12">
        <f>IF(B681="","",OR(K681="Not in use",K681="Low use")+AND(N681&lt;&gt;"",N681&lt;&gt;"TBD")+AND(ISNUMBER(U681),U681&lt;=EDATE('Scoring Settings'!$B$4,'Scoring Settings'!$B$8))+AND(ISNUMBER(L681),L681&lt;='Scoring Settings'!$B$7))</f>
        <v>1</v>
      </c>
      <c r="AL681" s="5" t="s">
        <v>111</v>
      </c>
      <c r="AM681" s="8" t="str">
        <f>IF(B681="","",IF(Z681="N","Easy",IF(OR(AND(ISNUMBER(AB681),AB681&gt;'Scoring Settings'!$B$11),AND(ISNUMBER(W681),W681&gt;'Scoring Settings'!$B$12),AND(ISNUMBER(M681),M681&lt;='Scoring Settings'!$B$13)),"High","Medium")))</f>
        <v>Medium</v>
      </c>
      <c r="AN681" s="5"/>
      <c r="AO681" s="7"/>
      <c r="AP681" s="5" t="s">
        <v>98</v>
      </c>
      <c r="AQ681" s="29" t="s">
        <v>124</v>
      </c>
    </row>
    <row r="682" spans="1:43" hidden="1">
      <c r="A682" s="28">
        <v>60584</v>
      </c>
      <c r="B682" s="5" t="s">
        <v>961</v>
      </c>
      <c r="C682" s="5" t="s">
        <v>464</v>
      </c>
      <c r="D682" s="5" t="s">
        <v>88</v>
      </c>
      <c r="E682" s="5" t="s">
        <v>68</v>
      </c>
      <c r="F682" s="5" t="s">
        <v>249</v>
      </c>
      <c r="G682" s="5" t="s">
        <v>141</v>
      </c>
      <c r="H682" s="5" t="s">
        <v>142</v>
      </c>
      <c r="I682" s="6">
        <v>20</v>
      </c>
      <c r="J682" s="7">
        <v>44289</v>
      </c>
      <c r="K682" s="8" t="str">
        <f>IF(B682="","",IF(AND(I682="",J682=""),"Unknown",IF(OR(AND(ISNUMBER(I682),I682=0),AND(ISNUMBER(J682),J682&lt;=EDATE('Scoring Settings'!$B$4,-'Scoring Settings'!$B$5))),"Not in use",IF(AND(ISNUMBER(I682),I682&lt;'Scoring Settings'!$B$6),"Low use","Active"))))</f>
        <v>Low use</v>
      </c>
      <c r="L682" s="5">
        <v>5</v>
      </c>
      <c r="M682" s="5">
        <v>1</v>
      </c>
      <c r="N682" s="5"/>
      <c r="O682" s="5" t="s">
        <v>143</v>
      </c>
      <c r="P682" s="5" t="s">
        <v>144</v>
      </c>
      <c r="Q682" s="9">
        <v>0</v>
      </c>
      <c r="R682" s="5" t="s">
        <v>145</v>
      </c>
      <c r="S682" s="5" t="s">
        <v>145</v>
      </c>
      <c r="T682" s="5" t="s">
        <v>146</v>
      </c>
      <c r="U682" s="7">
        <v>46053</v>
      </c>
      <c r="V682" s="5" t="s">
        <v>78</v>
      </c>
      <c r="W682" s="6">
        <v>180</v>
      </c>
      <c r="X682" s="5" t="s">
        <v>79</v>
      </c>
      <c r="Y682" s="9">
        <v>3</v>
      </c>
      <c r="Z682" s="5" t="s">
        <v>80</v>
      </c>
      <c r="AA682" s="5" t="s">
        <v>185</v>
      </c>
      <c r="AB682" s="9">
        <v>47</v>
      </c>
      <c r="AC682" s="5" t="s">
        <v>80</v>
      </c>
      <c r="AD682" s="5" t="s">
        <v>80</v>
      </c>
      <c r="AE682" s="5" t="s">
        <v>80</v>
      </c>
      <c r="AF682" s="10">
        <v>140000</v>
      </c>
      <c r="AG682" s="7">
        <v>49278</v>
      </c>
      <c r="AH682" s="10">
        <v>519500</v>
      </c>
      <c r="AI682" s="10">
        <v>84500</v>
      </c>
      <c r="AJ682" s="11">
        <f t="shared" si="10"/>
        <v>73.775147928994087</v>
      </c>
      <c r="AK682" s="12">
        <f>IF(B682="","",OR(K682="Not in use",K682="Low use")+AND(N682&lt;&gt;"",N682&lt;&gt;"TBD")+AND(ISNUMBER(U682),U682&lt;=EDATE('Scoring Settings'!$B$4,'Scoring Settings'!$B$8))+AND(ISNUMBER(L682),L682&lt;='Scoring Settings'!$B$7))</f>
        <v>1</v>
      </c>
      <c r="AL682" s="5" t="s">
        <v>111</v>
      </c>
      <c r="AM682" s="8" t="str">
        <f>IF(B682="","",IF(Z682="N","Easy",IF(OR(AND(ISNUMBER(AB682),AB682&gt;'Scoring Settings'!$B$11),AND(ISNUMBER(W682),W682&gt;'Scoring Settings'!$B$12),AND(ISNUMBER(M682),M682&lt;='Scoring Settings'!$B$13)),"High","Medium")))</f>
        <v>High</v>
      </c>
      <c r="AN682" s="5"/>
      <c r="AO682" s="7"/>
      <c r="AP682" s="5" t="s">
        <v>98</v>
      </c>
      <c r="AQ682" s="29" t="s">
        <v>124</v>
      </c>
    </row>
    <row r="683" spans="1:43" hidden="1">
      <c r="A683" s="28">
        <v>98552</v>
      </c>
      <c r="B683" s="5" t="s">
        <v>962</v>
      </c>
      <c r="C683" s="5" t="s">
        <v>101</v>
      </c>
      <c r="D683" s="5" t="s">
        <v>102</v>
      </c>
      <c r="E683" s="5" t="s">
        <v>68</v>
      </c>
      <c r="F683" s="5" t="s">
        <v>236</v>
      </c>
      <c r="G683" s="5" t="s">
        <v>104</v>
      </c>
      <c r="H683" s="5" t="s">
        <v>174</v>
      </c>
      <c r="I683" s="6">
        <v>25</v>
      </c>
      <c r="J683" s="7">
        <v>44311</v>
      </c>
      <c r="K683" s="8" t="str">
        <f>IF(B683="","",IF(AND(I683="",J683=""),"Unknown",IF(OR(AND(ISNUMBER(I683),I683=0),AND(ISNUMBER(J683),J683&lt;=EDATE('Scoring Settings'!$B$4,-'Scoring Settings'!$B$5))),"Not in use",IF(AND(ISNUMBER(I683),I683&lt;'Scoring Settings'!$B$6),"Low use","Active"))))</f>
        <v>Active</v>
      </c>
      <c r="L683" s="5">
        <v>3</v>
      </c>
      <c r="M683" s="5">
        <v>3</v>
      </c>
      <c r="N683" s="5"/>
      <c r="O683" s="5" t="s">
        <v>73</v>
      </c>
      <c r="P683" s="5" t="s">
        <v>963</v>
      </c>
      <c r="Q683" s="9">
        <v>3</v>
      </c>
      <c r="R683" s="5" t="s">
        <v>478</v>
      </c>
      <c r="S683" s="5" t="s">
        <v>479</v>
      </c>
      <c r="T683" s="5" t="s">
        <v>122</v>
      </c>
      <c r="U683" s="7">
        <v>43844</v>
      </c>
      <c r="V683" s="5" t="s">
        <v>135</v>
      </c>
      <c r="W683" s="6">
        <v>110</v>
      </c>
      <c r="X683" s="5" t="s">
        <v>80</v>
      </c>
      <c r="Y683" s="9">
        <v>7</v>
      </c>
      <c r="Z683" s="5" t="s">
        <v>79</v>
      </c>
      <c r="AA683" s="5" t="s">
        <v>110</v>
      </c>
      <c r="AB683" s="9">
        <v>1</v>
      </c>
      <c r="AC683" s="5" t="s">
        <v>79</v>
      </c>
      <c r="AD683" s="5" t="s">
        <v>79</v>
      </c>
      <c r="AE683" s="5" t="s">
        <v>79</v>
      </c>
      <c r="AF683" s="10">
        <v>39500</v>
      </c>
      <c r="AG683" s="7">
        <v>47968</v>
      </c>
      <c r="AH683" s="10">
        <v>45000</v>
      </c>
      <c r="AI683" s="10">
        <v>32500</v>
      </c>
      <c r="AJ683" s="11">
        <f t="shared" si="10"/>
        <v>16.615384615384613</v>
      </c>
      <c r="AK683" s="12">
        <f>IF(B683="","",OR(K683="Not in use",K683="Low use")+AND(N683&lt;&gt;"",N683&lt;&gt;"TBD")+AND(ISNUMBER(U683),U683&lt;=EDATE('Scoring Settings'!$B$4,'Scoring Settings'!$B$8))+AND(ISNUMBER(L683),L683&lt;='Scoring Settings'!$B$7))</f>
        <v>1</v>
      </c>
      <c r="AL683" s="5" t="s">
        <v>111</v>
      </c>
      <c r="AM683" s="8" t="str">
        <f>IF(B683="","",IF(Z683="N","Easy",IF(OR(AND(ISNUMBER(AB683),AB683&gt;'Scoring Settings'!$B$11),AND(ISNUMBER(W683),W683&gt;'Scoring Settings'!$B$12),AND(ISNUMBER(M683),M683&lt;='Scoring Settings'!$B$13)),"High","Medium")))</f>
        <v>Easy</v>
      </c>
      <c r="AN683" s="5"/>
      <c r="AO683" s="7"/>
      <c r="AP683" s="5" t="s">
        <v>98</v>
      </c>
      <c r="AQ683" s="29" t="s">
        <v>159</v>
      </c>
    </row>
    <row r="684" spans="1:43" hidden="1">
      <c r="A684" s="28">
        <v>110502</v>
      </c>
      <c r="B684" s="5" t="s">
        <v>966</v>
      </c>
      <c r="C684" s="5" t="s">
        <v>151</v>
      </c>
      <c r="D684" s="5" t="s">
        <v>102</v>
      </c>
      <c r="E684" s="5" t="s">
        <v>68</v>
      </c>
      <c r="F684" s="5" t="s">
        <v>236</v>
      </c>
      <c r="G684" s="5" t="s">
        <v>237</v>
      </c>
      <c r="H684" s="5" t="s">
        <v>129</v>
      </c>
      <c r="I684" s="6">
        <v>481</v>
      </c>
      <c r="J684" s="7">
        <v>44299</v>
      </c>
      <c r="K684" s="8" t="str">
        <f>IF(B684="","",IF(AND(I684="",J684=""),"Unknown",IF(OR(AND(ISNUMBER(I684),I684=0),AND(ISNUMBER(J684),J684&lt;=EDATE('Scoring Settings'!$B$4,-'Scoring Settings'!$B$5))),"Not in use",IF(AND(ISNUMBER(I684),I684&lt;'Scoring Settings'!$B$6),"Low use","Active"))))</f>
        <v>Active</v>
      </c>
      <c r="L684" s="5">
        <v>4</v>
      </c>
      <c r="M684" s="5">
        <v>3</v>
      </c>
      <c r="N684" s="5"/>
      <c r="O684" s="5" t="s">
        <v>73</v>
      </c>
      <c r="P684" s="5" t="s">
        <v>967</v>
      </c>
      <c r="Q684" s="9">
        <v>2</v>
      </c>
      <c r="R684" s="5" t="s">
        <v>335</v>
      </c>
      <c r="S684" s="5" t="s">
        <v>336</v>
      </c>
      <c r="T684" s="5" t="s">
        <v>122</v>
      </c>
      <c r="U684" s="7">
        <v>45473</v>
      </c>
      <c r="V684" s="5" t="s">
        <v>95</v>
      </c>
      <c r="W684" s="6">
        <v>96</v>
      </c>
      <c r="X684" s="5" t="s">
        <v>80</v>
      </c>
      <c r="Y684" s="9">
        <v>5</v>
      </c>
      <c r="Z684" s="5" t="s">
        <v>80</v>
      </c>
      <c r="AA684" s="5" t="s">
        <v>205</v>
      </c>
      <c r="AB684" s="9">
        <v>5</v>
      </c>
      <c r="AC684" s="5" t="s">
        <v>82</v>
      </c>
      <c r="AD684" s="5" t="s">
        <v>79</v>
      </c>
      <c r="AE684" s="5" t="s">
        <v>80</v>
      </c>
      <c r="AF684" s="10">
        <v>38500</v>
      </c>
      <c r="AG684" s="7">
        <v>48638</v>
      </c>
      <c r="AH684" s="10"/>
      <c r="AI684" s="10"/>
      <c r="AJ684" s="11" t="str">
        <f t="shared" si="10"/>
        <v/>
      </c>
      <c r="AK684" s="12">
        <f>IF(B684="","",OR(K684="Not in use",K684="Low use")+AND(N684&lt;&gt;"",N684&lt;&gt;"TBD")+AND(ISNUMBER(U684),U684&lt;=EDATE('Scoring Settings'!$B$4,'Scoring Settings'!$B$8))+AND(ISNUMBER(L684),L684&lt;='Scoring Settings'!$B$7))</f>
        <v>0</v>
      </c>
      <c r="AL684" s="5" t="s">
        <v>83</v>
      </c>
      <c r="AM684" s="8" t="str">
        <f>IF(B684="","",IF(Z684="N","Easy",IF(OR(AND(ISNUMBER(AB684),AB684&gt;'Scoring Settings'!$B$11),AND(ISNUMBER(W684),W684&gt;'Scoring Settings'!$B$12),AND(ISNUMBER(M684),M684&lt;='Scoring Settings'!$B$13)),"High","Medium")))</f>
        <v>Medium</v>
      </c>
      <c r="AN684" s="5"/>
      <c r="AO684" s="7"/>
      <c r="AP684" s="5" t="s">
        <v>84</v>
      </c>
      <c r="AQ684" s="29" t="s">
        <v>206</v>
      </c>
    </row>
    <row r="685" spans="1:43" hidden="1">
      <c r="A685" s="28">
        <v>77621</v>
      </c>
      <c r="B685" s="5" t="s">
        <v>970</v>
      </c>
      <c r="C685" s="5" t="s">
        <v>172</v>
      </c>
      <c r="D685" s="5" t="s">
        <v>162</v>
      </c>
      <c r="E685" s="5" t="s">
        <v>311</v>
      </c>
      <c r="F685" s="5" t="s">
        <v>140</v>
      </c>
      <c r="G685" s="5" t="s">
        <v>153</v>
      </c>
      <c r="H685" s="5" t="s">
        <v>71</v>
      </c>
      <c r="I685" s="6">
        <v>25</v>
      </c>
      <c r="J685" s="7">
        <v>44289</v>
      </c>
      <c r="K685" s="8" t="str">
        <f>IF(B685="","",IF(AND(I685="",J685=""),"Unknown",IF(OR(AND(ISNUMBER(I685),I685=0),AND(ISNUMBER(J685),J685&lt;=EDATE('Scoring Settings'!$B$4,-'Scoring Settings'!$B$5))),"Not in use",IF(AND(ISNUMBER(I685),I685&lt;'Scoring Settings'!$B$6),"Low use","Active"))))</f>
        <v>Active</v>
      </c>
      <c r="L685" s="5">
        <v>3</v>
      </c>
      <c r="M685" s="5">
        <v>2</v>
      </c>
      <c r="N685" s="5" t="s">
        <v>72</v>
      </c>
      <c r="O685" s="5" t="s">
        <v>73</v>
      </c>
      <c r="P685" s="5" t="s">
        <v>971</v>
      </c>
      <c r="Q685" s="9">
        <v>1</v>
      </c>
      <c r="R685" s="5" t="s">
        <v>132</v>
      </c>
      <c r="S685" s="5" t="s">
        <v>72</v>
      </c>
      <c r="T685" s="5" t="s">
        <v>184</v>
      </c>
      <c r="U685" s="7">
        <v>44227</v>
      </c>
      <c r="V685" s="5" t="s">
        <v>135</v>
      </c>
      <c r="W685" s="6">
        <v>320</v>
      </c>
      <c r="X685" s="5" t="s">
        <v>80</v>
      </c>
      <c r="Y685" s="9">
        <v>5</v>
      </c>
      <c r="Z685" s="5" t="s">
        <v>79</v>
      </c>
      <c r="AA685" s="5" t="s">
        <v>110</v>
      </c>
      <c r="AB685" s="9">
        <v>20</v>
      </c>
      <c r="AC685" s="5" t="s">
        <v>82</v>
      </c>
      <c r="AD685" s="5" t="s">
        <v>82</v>
      </c>
      <c r="AE685" s="5" t="s">
        <v>79</v>
      </c>
      <c r="AF685" s="10">
        <v>32000</v>
      </c>
      <c r="AG685" s="7">
        <v>47542</v>
      </c>
      <c r="AH685" s="10">
        <v>55500</v>
      </c>
      <c r="AI685" s="10">
        <v>18500</v>
      </c>
      <c r="AJ685" s="11">
        <f t="shared" si="10"/>
        <v>36</v>
      </c>
      <c r="AK685" s="12">
        <f>IF(B685="","",OR(K685="Not in use",K685="Low use")+AND(N685&lt;&gt;"",N685&lt;&gt;"TBD")+AND(ISNUMBER(U685),U685&lt;=EDATE('Scoring Settings'!$B$4,'Scoring Settings'!$B$8))+AND(ISNUMBER(L685),L685&lt;='Scoring Settings'!$B$7))</f>
        <v>1</v>
      </c>
      <c r="AL685" s="5" t="s">
        <v>111</v>
      </c>
      <c r="AM685" s="8" t="str">
        <f>IF(B685="","",IF(Z685="N","Easy",IF(OR(AND(ISNUMBER(AB685),AB685&gt;'Scoring Settings'!$B$11),AND(ISNUMBER(W685),W685&gt;'Scoring Settings'!$B$12),AND(ISNUMBER(M685),M685&lt;='Scoring Settings'!$B$13)),"High","Medium")))</f>
        <v>Easy</v>
      </c>
      <c r="AN685" s="5"/>
      <c r="AO685" s="7"/>
      <c r="AP685" s="5" t="s">
        <v>98</v>
      </c>
      <c r="AQ685" s="29" t="s">
        <v>218</v>
      </c>
    </row>
    <row r="686" spans="1:43" hidden="1">
      <c r="A686" s="28">
        <v>43713</v>
      </c>
      <c r="B686" s="5" t="s">
        <v>972</v>
      </c>
      <c r="C686" s="5" t="s">
        <v>151</v>
      </c>
      <c r="D686" s="5" t="s">
        <v>102</v>
      </c>
      <c r="E686" s="5" t="s">
        <v>68</v>
      </c>
      <c r="F686" s="5" t="s">
        <v>201</v>
      </c>
      <c r="G686" s="5" t="s">
        <v>284</v>
      </c>
      <c r="H686" s="5" t="s">
        <v>105</v>
      </c>
      <c r="I686" s="6">
        <v>190</v>
      </c>
      <c r="J686" s="7">
        <v>44311</v>
      </c>
      <c r="K686" s="8" t="str">
        <f>IF(B686="","",IF(AND(I686="",J686=""),"Unknown",IF(OR(AND(ISNUMBER(I686),I686=0),AND(ISNUMBER(J686),J686&lt;=EDATE('Scoring Settings'!$B$4,-'Scoring Settings'!$B$5))),"Not in use",IF(AND(ISNUMBER(I686),I686&lt;'Scoring Settings'!$B$6),"Low use","Active"))))</f>
        <v>Active</v>
      </c>
      <c r="L686" s="5">
        <v>2</v>
      </c>
      <c r="M686" s="5">
        <v>4</v>
      </c>
      <c r="N686" s="5" t="s">
        <v>254</v>
      </c>
      <c r="O686" s="5" t="s">
        <v>73</v>
      </c>
      <c r="P686" s="5" t="s">
        <v>973</v>
      </c>
      <c r="Q686" s="9">
        <v>3</v>
      </c>
      <c r="R686" s="5" t="s">
        <v>75</v>
      </c>
      <c r="S686" s="5" t="s">
        <v>76</v>
      </c>
      <c r="T686" s="5" t="s">
        <v>184</v>
      </c>
      <c r="U686" s="7">
        <v>46399</v>
      </c>
      <c r="V686" s="5" t="s">
        <v>78</v>
      </c>
      <c r="W686" s="6">
        <v>140</v>
      </c>
      <c r="X686" s="5" t="s">
        <v>80</v>
      </c>
      <c r="Y686" s="9">
        <v>10</v>
      </c>
      <c r="Z686" s="5" t="s">
        <v>80</v>
      </c>
      <c r="AA686" s="5" t="s">
        <v>205</v>
      </c>
      <c r="AB686" s="9">
        <v>0</v>
      </c>
      <c r="AC686" s="5" t="s">
        <v>79</v>
      </c>
      <c r="AD686" s="5" t="s">
        <v>80</v>
      </c>
      <c r="AE686" s="5" t="s">
        <v>79</v>
      </c>
      <c r="AF686" s="10">
        <v>50000</v>
      </c>
      <c r="AG686" s="7">
        <v>47664</v>
      </c>
      <c r="AH686" s="10">
        <v>46000</v>
      </c>
      <c r="AI686" s="10">
        <v>45000</v>
      </c>
      <c r="AJ686" s="11">
        <f t="shared" si="10"/>
        <v>12.266666666666666</v>
      </c>
      <c r="AK686" s="12">
        <f>IF(B686="","",OR(K686="Not in use",K686="Low use")+AND(N686&lt;&gt;"",N686&lt;&gt;"TBD")+AND(ISNUMBER(U686),U686&lt;=EDATE('Scoring Settings'!$B$4,'Scoring Settings'!$B$8))+AND(ISNUMBER(L686),L686&lt;='Scoring Settings'!$B$7))</f>
        <v>2</v>
      </c>
      <c r="AL686" s="5" t="s">
        <v>111</v>
      </c>
      <c r="AM686" s="8" t="str">
        <f>IF(B686="","",IF(Z686="N","Easy",IF(OR(AND(ISNUMBER(AB686),AB686&gt;'Scoring Settings'!$B$11),AND(ISNUMBER(W686),W686&gt;'Scoring Settings'!$B$12),AND(ISNUMBER(M686),M686&lt;='Scoring Settings'!$B$13)),"High","Medium")))</f>
        <v>Medium</v>
      </c>
      <c r="AN686" s="5"/>
      <c r="AO686" s="7"/>
      <c r="AP686" s="5" t="s">
        <v>98</v>
      </c>
      <c r="AQ686" s="29" t="s">
        <v>159</v>
      </c>
    </row>
    <row r="687" spans="1:43" hidden="1">
      <c r="A687" s="28">
        <v>138332</v>
      </c>
      <c r="B687" s="5" t="s">
        <v>974</v>
      </c>
      <c r="C687" s="5" t="s">
        <v>234</v>
      </c>
      <c r="D687" s="5" t="s">
        <v>102</v>
      </c>
      <c r="E687" s="5" t="s">
        <v>68</v>
      </c>
      <c r="F687" s="5" t="s">
        <v>201</v>
      </c>
      <c r="G687" s="5" t="s">
        <v>237</v>
      </c>
      <c r="H687" s="5" t="s">
        <v>174</v>
      </c>
      <c r="I687" s="6">
        <v>515</v>
      </c>
      <c r="J687" s="7">
        <v>44291</v>
      </c>
      <c r="K687" s="8" t="str">
        <f>IF(B687="","",IF(AND(I687="",J687=""),"Unknown",IF(OR(AND(ISNUMBER(I687),I687=0),AND(ISNUMBER(J687),J687&lt;=EDATE('Scoring Settings'!$B$4,-'Scoring Settings'!$B$5))),"Not in use",IF(AND(ISNUMBER(I687),I687&lt;'Scoring Settings'!$B$6),"Low use","Active"))))</f>
        <v>Active</v>
      </c>
      <c r="L687" s="5">
        <v>5</v>
      </c>
      <c r="M687" s="5">
        <v>1</v>
      </c>
      <c r="N687" s="5"/>
      <c r="O687" s="5" t="s">
        <v>191</v>
      </c>
      <c r="P687" s="5" t="s">
        <v>192</v>
      </c>
      <c r="Q687" s="9">
        <v>0</v>
      </c>
      <c r="R687" s="5" t="s">
        <v>193</v>
      </c>
      <c r="S687" s="5" t="s">
        <v>318</v>
      </c>
      <c r="T687" s="5" t="s">
        <v>195</v>
      </c>
      <c r="U687" s="7">
        <v>44742</v>
      </c>
      <c r="V687" s="5" t="s">
        <v>95</v>
      </c>
      <c r="W687" s="6">
        <v>170</v>
      </c>
      <c r="X687" s="5" t="s">
        <v>80</v>
      </c>
      <c r="Y687" s="9">
        <v>5</v>
      </c>
      <c r="Z687" s="5" t="s">
        <v>80</v>
      </c>
      <c r="AA687" s="5" t="s">
        <v>205</v>
      </c>
      <c r="AB687" s="9">
        <v>45</v>
      </c>
      <c r="AC687" s="5" t="s">
        <v>79</v>
      </c>
      <c r="AD687" s="5" t="s">
        <v>82</v>
      </c>
      <c r="AE687" s="5" t="s">
        <v>82</v>
      </c>
      <c r="AF687" s="10">
        <v>17000</v>
      </c>
      <c r="AG687" s="7">
        <v>48060</v>
      </c>
      <c r="AH687" s="10"/>
      <c r="AI687" s="10"/>
      <c r="AJ687" s="11" t="str">
        <f t="shared" si="10"/>
        <v/>
      </c>
      <c r="AK687" s="12">
        <f>IF(B687="","",OR(K687="Not in use",K687="Low use")+AND(N687&lt;&gt;"",N687&lt;&gt;"TBD")+AND(ISNUMBER(U687),U687&lt;=EDATE('Scoring Settings'!$B$4,'Scoring Settings'!$B$8))+AND(ISNUMBER(L687),L687&lt;='Scoring Settings'!$B$7))</f>
        <v>0</v>
      </c>
      <c r="AL687" s="5" t="s">
        <v>83</v>
      </c>
      <c r="AM687" s="8" t="str">
        <f>IF(B687="","",IF(Z687="N","Easy",IF(OR(AND(ISNUMBER(AB687),AB687&gt;'Scoring Settings'!$B$11),AND(ISNUMBER(W687),W687&gt;'Scoring Settings'!$B$12),AND(ISNUMBER(M687),M687&lt;='Scoring Settings'!$B$13)),"High","Medium")))</f>
        <v>High</v>
      </c>
      <c r="AN687" s="5"/>
      <c r="AO687" s="7"/>
      <c r="AP687" s="5" t="s">
        <v>84</v>
      </c>
      <c r="AQ687" s="29" t="s">
        <v>314</v>
      </c>
    </row>
    <row r="688" spans="1:43" hidden="1">
      <c r="A688" s="28">
        <v>27578</v>
      </c>
      <c r="B688" s="5" t="s">
        <v>975</v>
      </c>
      <c r="C688" s="5" t="s">
        <v>464</v>
      </c>
      <c r="D688" s="5" t="s">
        <v>88</v>
      </c>
      <c r="E688" s="5" t="s">
        <v>68</v>
      </c>
      <c r="F688" s="5" t="s">
        <v>266</v>
      </c>
      <c r="G688" s="5" t="s">
        <v>271</v>
      </c>
      <c r="H688" s="5" t="s">
        <v>174</v>
      </c>
      <c r="I688" s="6">
        <v>93</v>
      </c>
      <c r="J688" s="7">
        <v>44314</v>
      </c>
      <c r="K688" s="8" t="str">
        <f>IF(B688="","",IF(AND(I688="",J688=""),"Unknown",IF(OR(AND(ISNUMBER(I688),I688=0),AND(ISNUMBER(J688),J688&lt;=EDATE('Scoring Settings'!$B$4,-'Scoring Settings'!$B$5))),"Not in use",IF(AND(ISNUMBER(I688),I688&lt;'Scoring Settings'!$B$6),"Low use","Active"))))</f>
        <v>Active</v>
      </c>
      <c r="L688" s="5">
        <v>4</v>
      </c>
      <c r="M688" s="5">
        <v>2</v>
      </c>
      <c r="N688" s="5"/>
      <c r="O688" s="5" t="s">
        <v>130</v>
      </c>
      <c r="P688" s="5" t="s">
        <v>976</v>
      </c>
      <c r="Q688" s="9">
        <v>2</v>
      </c>
      <c r="R688" s="5" t="s">
        <v>330</v>
      </c>
      <c r="S688" s="5" t="s">
        <v>331</v>
      </c>
      <c r="T688" s="5" t="s">
        <v>168</v>
      </c>
      <c r="U688" s="7">
        <v>45046</v>
      </c>
      <c r="V688" s="5" t="s">
        <v>95</v>
      </c>
      <c r="W688" s="6">
        <v>1070</v>
      </c>
      <c r="X688" s="5" t="s">
        <v>79</v>
      </c>
      <c r="Y688" s="9">
        <v>1</v>
      </c>
      <c r="Z688" s="5" t="s">
        <v>80</v>
      </c>
      <c r="AA688" s="5" t="s">
        <v>123</v>
      </c>
      <c r="AB688" s="9">
        <v>7</v>
      </c>
      <c r="AC688" s="5" t="s">
        <v>79</v>
      </c>
      <c r="AD688" s="5" t="s">
        <v>82</v>
      </c>
      <c r="AE688" s="5" t="s">
        <v>82</v>
      </c>
      <c r="AF688" s="10">
        <v>25500</v>
      </c>
      <c r="AG688" s="7">
        <v>47422</v>
      </c>
      <c r="AH688" s="10"/>
      <c r="AI688" s="10"/>
      <c r="AJ688" s="11" t="str">
        <f t="shared" si="10"/>
        <v/>
      </c>
      <c r="AK688" s="12">
        <f>IF(B688="","",OR(K688="Not in use",K688="Low use")+AND(N688&lt;&gt;"",N688&lt;&gt;"TBD")+AND(ISNUMBER(U688),U688&lt;=EDATE('Scoring Settings'!$B$4,'Scoring Settings'!$B$8))+AND(ISNUMBER(L688),L688&lt;='Scoring Settings'!$B$7))</f>
        <v>0</v>
      </c>
      <c r="AL688" s="5" t="s">
        <v>83</v>
      </c>
      <c r="AM688" s="8" t="str">
        <f>IF(B688="","",IF(Z688="N","Easy",IF(OR(AND(ISNUMBER(AB688),AB688&gt;'Scoring Settings'!$B$11),AND(ISNUMBER(W688),W688&gt;'Scoring Settings'!$B$12),AND(ISNUMBER(M688),M688&lt;='Scoring Settings'!$B$13)),"High","Medium")))</f>
        <v>High</v>
      </c>
      <c r="AN688" s="5"/>
      <c r="AO688" s="7"/>
      <c r="AP688" s="5" t="s">
        <v>84</v>
      </c>
      <c r="AQ688" s="29" t="s">
        <v>314</v>
      </c>
    </row>
    <row r="689" spans="1:43" hidden="1">
      <c r="A689" s="28">
        <v>135459</v>
      </c>
      <c r="B689" s="5" t="s">
        <v>977</v>
      </c>
      <c r="C689" s="5" t="s">
        <v>296</v>
      </c>
      <c r="D689" s="5" t="s">
        <v>297</v>
      </c>
      <c r="E689" s="5" t="s">
        <v>311</v>
      </c>
      <c r="F689" s="5" t="s">
        <v>152</v>
      </c>
      <c r="G689" s="5" t="s">
        <v>267</v>
      </c>
      <c r="H689" s="5" t="s">
        <v>189</v>
      </c>
      <c r="I689" s="6">
        <v>585</v>
      </c>
      <c r="J689" s="7">
        <v>44274</v>
      </c>
      <c r="K689" s="8" t="str">
        <f>IF(B689="","",IF(AND(I689="",J689=""),"Unknown",IF(OR(AND(ISNUMBER(I689),I689=0),AND(ISNUMBER(J689),J689&lt;=EDATE('Scoring Settings'!$B$4,-'Scoring Settings'!$B$5))),"Not in use",IF(AND(ISNUMBER(I689),I689&lt;'Scoring Settings'!$B$6),"Low use","Active"))))</f>
        <v>Active</v>
      </c>
      <c r="L689" s="5">
        <v>4</v>
      </c>
      <c r="M689" s="5">
        <v>1</v>
      </c>
      <c r="N689" s="5"/>
      <c r="O689" s="5" t="s">
        <v>73</v>
      </c>
      <c r="P689" s="5" t="s">
        <v>978</v>
      </c>
      <c r="Q689" s="9">
        <v>7</v>
      </c>
      <c r="R689" s="5" t="s">
        <v>75</v>
      </c>
      <c r="S689" s="5" t="s">
        <v>121</v>
      </c>
      <c r="T689" s="5" t="s">
        <v>77</v>
      </c>
      <c r="U689" s="7">
        <v>46217</v>
      </c>
      <c r="V689" s="5" t="s">
        <v>135</v>
      </c>
      <c r="W689" s="6">
        <v>430</v>
      </c>
      <c r="X689" s="5" t="s">
        <v>80</v>
      </c>
      <c r="Y689" s="9">
        <v>10</v>
      </c>
      <c r="Z689" s="5" t="s">
        <v>79</v>
      </c>
      <c r="AA689" s="5" t="s">
        <v>110</v>
      </c>
      <c r="AB689" s="9">
        <v>26</v>
      </c>
      <c r="AC689" s="5" t="s">
        <v>79</v>
      </c>
      <c r="AD689" s="5" t="s">
        <v>80</v>
      </c>
      <c r="AE689" s="5" t="s">
        <v>80</v>
      </c>
      <c r="AF689" s="10">
        <v>280000</v>
      </c>
      <c r="AG689" s="7">
        <v>47664</v>
      </c>
      <c r="AH689" s="10"/>
      <c r="AI689" s="10"/>
      <c r="AJ689" s="11" t="str">
        <f t="shared" si="10"/>
        <v/>
      </c>
      <c r="AK689" s="12">
        <f>IF(B689="","",OR(K689="Not in use",K689="Low use")+AND(N689&lt;&gt;"",N689&lt;&gt;"TBD")+AND(ISNUMBER(U689),U689&lt;=EDATE('Scoring Settings'!$B$4,'Scoring Settings'!$B$8))+AND(ISNUMBER(L689),L689&lt;='Scoring Settings'!$B$7))</f>
        <v>0</v>
      </c>
      <c r="AL689" s="5" t="s">
        <v>83</v>
      </c>
      <c r="AM689" s="8" t="str">
        <f>IF(B689="","",IF(Z689="N","Easy",IF(OR(AND(ISNUMBER(AB689),AB689&gt;'Scoring Settings'!$B$11),AND(ISNUMBER(W689),W689&gt;'Scoring Settings'!$B$12),AND(ISNUMBER(M689),M689&lt;='Scoring Settings'!$B$13)),"High","Medium")))</f>
        <v>Easy</v>
      </c>
      <c r="AN689" s="5"/>
      <c r="AO689" s="7"/>
      <c r="AP689" s="5" t="s">
        <v>84</v>
      </c>
      <c r="AQ689" s="29" t="s">
        <v>85</v>
      </c>
    </row>
    <row r="690" spans="1:43" hidden="1">
      <c r="A690" s="28">
        <v>65560</v>
      </c>
      <c r="B690" s="5" t="s">
        <v>979</v>
      </c>
      <c r="C690" s="5" t="s">
        <v>667</v>
      </c>
      <c r="D690" s="5" t="s">
        <v>115</v>
      </c>
      <c r="E690" s="5" t="s">
        <v>68</v>
      </c>
      <c r="F690" s="5" t="s">
        <v>236</v>
      </c>
      <c r="G690" s="5" t="s">
        <v>284</v>
      </c>
      <c r="H690" s="5" t="s">
        <v>142</v>
      </c>
      <c r="I690" s="6">
        <v>1737</v>
      </c>
      <c r="J690" s="7">
        <v>44315</v>
      </c>
      <c r="K690" s="8" t="str">
        <f>IF(B690="","",IF(AND(I690="",J690=""),"Unknown",IF(OR(AND(ISNUMBER(I690),I690=0),AND(ISNUMBER(J690),J690&lt;=EDATE('Scoring Settings'!$B$4,-'Scoring Settings'!$B$5))),"Not in use",IF(AND(ISNUMBER(I690),I690&lt;'Scoring Settings'!$B$6),"Low use","Active"))))</f>
        <v>Active</v>
      </c>
      <c r="L690" s="5">
        <v>3</v>
      </c>
      <c r="M690" s="5">
        <v>2</v>
      </c>
      <c r="N690" s="5"/>
      <c r="O690" s="5" t="s">
        <v>143</v>
      </c>
      <c r="P690" s="5" t="s">
        <v>144</v>
      </c>
      <c r="Q690" s="9">
        <v>0</v>
      </c>
      <c r="R690" s="5" t="s">
        <v>145</v>
      </c>
      <c r="S690" s="5" t="s">
        <v>145</v>
      </c>
      <c r="T690" s="5" t="s">
        <v>146</v>
      </c>
      <c r="U690" s="7"/>
      <c r="V690" s="5" t="s">
        <v>78</v>
      </c>
      <c r="W690" s="6">
        <v>960</v>
      </c>
      <c r="X690" s="5" t="s">
        <v>79</v>
      </c>
      <c r="Y690" s="9">
        <v>3</v>
      </c>
      <c r="Z690" s="5" t="s">
        <v>80</v>
      </c>
      <c r="AA690" s="5" t="s">
        <v>205</v>
      </c>
      <c r="AB690" s="9">
        <v>10</v>
      </c>
      <c r="AC690" s="5" t="s">
        <v>79</v>
      </c>
      <c r="AD690" s="5" t="s">
        <v>79</v>
      </c>
      <c r="AE690" s="5" t="s">
        <v>79</v>
      </c>
      <c r="AF690" s="10">
        <v>90000</v>
      </c>
      <c r="AG690" s="7">
        <v>48487</v>
      </c>
      <c r="AH690" s="10"/>
      <c r="AI690" s="10"/>
      <c r="AJ690" s="11" t="str">
        <f t="shared" si="10"/>
        <v/>
      </c>
      <c r="AK690" s="12">
        <f>IF(B690="","",OR(K690="Not in use",K690="Low use")+AND(N690&lt;&gt;"",N690&lt;&gt;"TBD")+AND(ISNUMBER(U690),U690&lt;=EDATE('Scoring Settings'!$B$4,'Scoring Settings'!$B$8))+AND(ISNUMBER(L690),L690&lt;='Scoring Settings'!$B$7))</f>
        <v>0</v>
      </c>
      <c r="AL690" s="5" t="s">
        <v>83</v>
      </c>
      <c r="AM690" s="8" t="str">
        <f>IF(B690="","",IF(Z690="N","Easy",IF(OR(AND(ISNUMBER(AB690),AB690&gt;'Scoring Settings'!$B$11),AND(ISNUMBER(W690),W690&gt;'Scoring Settings'!$B$12),AND(ISNUMBER(M690),M690&lt;='Scoring Settings'!$B$13)),"High","Medium")))</f>
        <v>High</v>
      </c>
      <c r="AN690" s="5"/>
      <c r="AO690" s="7"/>
      <c r="AP690" s="5" t="s">
        <v>84</v>
      </c>
      <c r="AQ690" s="29" t="s">
        <v>273</v>
      </c>
    </row>
    <row r="691" spans="1:43" hidden="1">
      <c r="A691" s="28">
        <v>127611</v>
      </c>
      <c r="B691" s="5" t="s">
        <v>980</v>
      </c>
      <c r="C691" s="5" t="s">
        <v>639</v>
      </c>
      <c r="D691" s="5" t="s">
        <v>88</v>
      </c>
      <c r="E691" s="5" t="s">
        <v>68</v>
      </c>
      <c r="F691" s="5" t="s">
        <v>178</v>
      </c>
      <c r="G691" s="5" t="s">
        <v>179</v>
      </c>
      <c r="H691" s="5" t="s">
        <v>71</v>
      </c>
      <c r="I691" s="6">
        <v>50</v>
      </c>
      <c r="J691" s="7">
        <v>44281</v>
      </c>
      <c r="K691" s="8" t="str">
        <f>IF(B691="","",IF(AND(I691="",J691=""),"Unknown",IF(OR(AND(ISNUMBER(I691),I691=0),AND(ISNUMBER(J691),J691&lt;=EDATE('Scoring Settings'!$B$4,-'Scoring Settings'!$B$5))),"Not in use",IF(AND(ISNUMBER(I691),I691&lt;'Scoring Settings'!$B$6),"Low use","Active"))))</f>
        <v>Active</v>
      </c>
      <c r="L691" s="5">
        <v>4</v>
      </c>
      <c r="M691" s="5">
        <v>1</v>
      </c>
      <c r="N691" s="5"/>
      <c r="O691" s="5" t="s">
        <v>191</v>
      </c>
      <c r="P691" s="5" t="s">
        <v>192</v>
      </c>
      <c r="Q691" s="9">
        <v>0</v>
      </c>
      <c r="R691" s="5" t="s">
        <v>193</v>
      </c>
      <c r="S691" s="5" t="s">
        <v>318</v>
      </c>
      <c r="T691" s="5" t="s">
        <v>195</v>
      </c>
      <c r="U691" s="7"/>
      <c r="V691" s="5" t="s">
        <v>78</v>
      </c>
      <c r="W691" s="6">
        <v>190</v>
      </c>
      <c r="X691" s="5" t="s">
        <v>80</v>
      </c>
      <c r="Y691" s="9">
        <v>5</v>
      </c>
      <c r="Z691" s="5" t="s">
        <v>79</v>
      </c>
      <c r="AA691" s="5" t="s">
        <v>110</v>
      </c>
      <c r="AB691" s="9">
        <v>26</v>
      </c>
      <c r="AC691" s="5" t="s">
        <v>79</v>
      </c>
      <c r="AD691" s="5" t="s">
        <v>82</v>
      </c>
      <c r="AE691" s="5" t="s">
        <v>79</v>
      </c>
      <c r="AF691" s="10">
        <v>27000</v>
      </c>
      <c r="AG691" s="7">
        <v>47756</v>
      </c>
      <c r="AH691" s="10">
        <v>18500</v>
      </c>
      <c r="AI691" s="10">
        <v>15000</v>
      </c>
      <c r="AJ691" s="11">
        <f t="shared" si="10"/>
        <v>14.8</v>
      </c>
      <c r="AK691" s="12">
        <f>IF(B691="","",OR(K691="Not in use",K691="Low use")+AND(N691&lt;&gt;"",N691&lt;&gt;"TBD")+AND(ISNUMBER(U691),U691&lt;=EDATE('Scoring Settings'!$B$4,'Scoring Settings'!$B$8))+AND(ISNUMBER(L691),L691&lt;='Scoring Settings'!$B$7))</f>
        <v>0</v>
      </c>
      <c r="AL691" s="5" t="s">
        <v>111</v>
      </c>
      <c r="AM691" s="8" t="str">
        <f>IF(B691="","",IF(Z691="N","Easy",IF(OR(AND(ISNUMBER(AB691),AB691&gt;'Scoring Settings'!$B$11),AND(ISNUMBER(W691),W691&gt;'Scoring Settings'!$B$12),AND(ISNUMBER(M691),M691&lt;='Scoring Settings'!$B$13)),"High","Medium")))</f>
        <v>Easy</v>
      </c>
      <c r="AN691" s="5"/>
      <c r="AO691" s="7"/>
      <c r="AP691" s="5" t="s">
        <v>98</v>
      </c>
      <c r="AQ691" s="29" t="s">
        <v>124</v>
      </c>
    </row>
    <row r="692" spans="1:43" hidden="1">
      <c r="A692" s="28">
        <v>16969</v>
      </c>
      <c r="B692" s="5" t="s">
        <v>981</v>
      </c>
      <c r="C692" s="5" t="s">
        <v>156</v>
      </c>
      <c r="D692" s="5" t="s">
        <v>139</v>
      </c>
      <c r="E692" s="5" t="s">
        <v>68</v>
      </c>
      <c r="F692" s="5" t="s">
        <v>201</v>
      </c>
      <c r="G692" s="5" t="s">
        <v>221</v>
      </c>
      <c r="H692" s="5" t="s">
        <v>174</v>
      </c>
      <c r="I692" s="6">
        <v>58</v>
      </c>
      <c r="J692" s="7">
        <v>44274</v>
      </c>
      <c r="K692" s="8" t="str">
        <f>IF(B692="","",IF(AND(I692="",J692=""),"Unknown",IF(OR(AND(ISNUMBER(I692),I692=0),AND(ISNUMBER(J692),J692&lt;=EDATE('Scoring Settings'!$B$4,-'Scoring Settings'!$B$5))),"Not in use",IF(AND(ISNUMBER(I692),I692&lt;'Scoring Settings'!$B$6),"Low use","Active"))))</f>
        <v>Active</v>
      </c>
      <c r="L692" s="5">
        <v>5</v>
      </c>
      <c r="M692" s="5">
        <v>1</v>
      </c>
      <c r="N692" s="5" t="s">
        <v>72</v>
      </c>
      <c r="O692" s="5" t="s">
        <v>130</v>
      </c>
      <c r="P692" s="5" t="s">
        <v>982</v>
      </c>
      <c r="Q692" s="9">
        <v>1</v>
      </c>
      <c r="R692" s="5" t="s">
        <v>107</v>
      </c>
      <c r="S692" s="5" t="s">
        <v>108</v>
      </c>
      <c r="T692" s="5" t="s">
        <v>168</v>
      </c>
      <c r="U692" s="7">
        <v>43655</v>
      </c>
      <c r="V692" s="5" t="s">
        <v>135</v>
      </c>
      <c r="W692" s="6">
        <v>200</v>
      </c>
      <c r="X692" s="5" t="s">
        <v>80</v>
      </c>
      <c r="Y692" s="9">
        <v>7</v>
      </c>
      <c r="Z692" s="5" t="s">
        <v>80</v>
      </c>
      <c r="AA692" s="5" t="s">
        <v>205</v>
      </c>
      <c r="AB692" s="9">
        <v>32</v>
      </c>
      <c r="AC692" s="5" t="s">
        <v>82</v>
      </c>
      <c r="AD692" s="5" t="s">
        <v>82</v>
      </c>
      <c r="AE692" s="5" t="s">
        <v>79</v>
      </c>
      <c r="AF692" s="10">
        <v>60000</v>
      </c>
      <c r="AG692" s="7">
        <v>48487</v>
      </c>
      <c r="AH692" s="10"/>
      <c r="AI692" s="10"/>
      <c r="AJ692" s="11" t="str">
        <f t="shared" si="10"/>
        <v/>
      </c>
      <c r="AK692" s="12">
        <f>IF(B692="","",OR(K692="Not in use",K692="Low use")+AND(N692&lt;&gt;"",N692&lt;&gt;"TBD")+AND(ISNUMBER(U692),U692&lt;=EDATE('Scoring Settings'!$B$4,'Scoring Settings'!$B$8))+AND(ISNUMBER(L692),L692&lt;='Scoring Settings'!$B$7))</f>
        <v>1</v>
      </c>
      <c r="AL692" s="5" t="s">
        <v>83</v>
      </c>
      <c r="AM692" s="8" t="str">
        <f>IF(B692="","",IF(Z692="N","Easy",IF(OR(AND(ISNUMBER(AB692),AB692&gt;'Scoring Settings'!$B$11),AND(ISNUMBER(W692),W692&gt;'Scoring Settings'!$B$12),AND(ISNUMBER(M692),M692&lt;='Scoring Settings'!$B$13)),"High","Medium")))</f>
        <v>High</v>
      </c>
      <c r="AN692" s="5"/>
      <c r="AO692" s="7"/>
      <c r="AP692" s="5" t="s">
        <v>84</v>
      </c>
      <c r="AQ692" s="29" t="s">
        <v>314</v>
      </c>
    </row>
    <row r="693" spans="1:43" hidden="1">
      <c r="A693" s="28">
        <v>94256</v>
      </c>
      <c r="B693" s="5" t="s">
        <v>983</v>
      </c>
      <c r="C693" s="5" t="s">
        <v>200</v>
      </c>
      <c r="D693" s="5" t="s">
        <v>115</v>
      </c>
      <c r="E693" s="5" t="s">
        <v>68</v>
      </c>
      <c r="F693" s="5" t="s">
        <v>69</v>
      </c>
      <c r="G693" s="5" t="s">
        <v>278</v>
      </c>
      <c r="H693" s="5" t="s">
        <v>105</v>
      </c>
      <c r="I693" s="6">
        <v>229</v>
      </c>
      <c r="J693" s="7">
        <v>44287</v>
      </c>
      <c r="K693" s="8" t="str">
        <f>IF(B693="","",IF(AND(I693="",J693=""),"Unknown",IF(OR(AND(ISNUMBER(I693),I693=0),AND(ISNUMBER(J693),J693&lt;=EDATE('Scoring Settings'!$B$4,-'Scoring Settings'!$B$5))),"Not in use",IF(AND(ISNUMBER(I693),I693&lt;'Scoring Settings'!$B$6),"Low use","Active"))))</f>
        <v>Active</v>
      </c>
      <c r="L693" s="5">
        <v>1</v>
      </c>
      <c r="M693" s="5">
        <v>4</v>
      </c>
      <c r="N693" s="5"/>
      <c r="O693" s="5" t="s">
        <v>73</v>
      </c>
      <c r="P693" s="5" t="s">
        <v>984</v>
      </c>
      <c r="Q693" s="9">
        <v>1</v>
      </c>
      <c r="R693" s="5" t="s">
        <v>358</v>
      </c>
      <c r="S693" s="5" t="s">
        <v>133</v>
      </c>
      <c r="T693" s="5" t="s">
        <v>122</v>
      </c>
      <c r="U693" s="7">
        <v>43555</v>
      </c>
      <c r="V693" s="5" t="s">
        <v>78</v>
      </c>
      <c r="W693" s="6">
        <v>130</v>
      </c>
      <c r="X693" s="5" t="s">
        <v>80</v>
      </c>
      <c r="Y693" s="9">
        <v>7</v>
      </c>
      <c r="Z693" s="5" t="s">
        <v>80</v>
      </c>
      <c r="AA693" s="5" t="s">
        <v>81</v>
      </c>
      <c r="AB693" s="9">
        <v>2</v>
      </c>
      <c r="AC693" s="5" t="s">
        <v>79</v>
      </c>
      <c r="AD693" s="5" t="s">
        <v>79</v>
      </c>
      <c r="AE693" s="5" t="s">
        <v>80</v>
      </c>
      <c r="AF693" s="10">
        <v>32000</v>
      </c>
      <c r="AG693" s="7">
        <v>46507</v>
      </c>
      <c r="AH693" s="10"/>
      <c r="AI693" s="10"/>
      <c r="AJ693" s="11" t="str">
        <f t="shared" si="10"/>
        <v/>
      </c>
      <c r="AK693" s="12">
        <f>IF(B693="","",OR(K693="Not in use",K693="Low use")+AND(N693&lt;&gt;"",N693&lt;&gt;"TBD")+AND(ISNUMBER(U693),U693&lt;=EDATE('Scoring Settings'!$B$4,'Scoring Settings'!$B$8))+AND(ISNUMBER(L693),L693&lt;='Scoring Settings'!$B$7))</f>
        <v>2</v>
      </c>
      <c r="AL693" s="5" t="s">
        <v>111</v>
      </c>
      <c r="AM693" s="8" t="str">
        <f>IF(B693="","",IF(Z693="N","Easy",IF(OR(AND(ISNUMBER(AB693),AB693&gt;'Scoring Settings'!$B$11),AND(ISNUMBER(W693),W693&gt;'Scoring Settings'!$B$12),AND(ISNUMBER(M693),M693&lt;='Scoring Settings'!$B$13)),"High","Medium")))</f>
        <v>Medium</v>
      </c>
      <c r="AN693" s="5"/>
      <c r="AO693" s="7"/>
      <c r="AP693" s="5" t="s">
        <v>98</v>
      </c>
      <c r="AQ693" s="29" t="s">
        <v>159</v>
      </c>
    </row>
    <row r="694" spans="1:43" hidden="1">
      <c r="A694" s="28">
        <v>23163</v>
      </c>
      <c r="B694" s="5" t="s">
        <v>992</v>
      </c>
      <c r="C694" s="5" t="s">
        <v>215</v>
      </c>
      <c r="D694" s="5" t="s">
        <v>139</v>
      </c>
      <c r="E694" s="5" t="s">
        <v>311</v>
      </c>
      <c r="F694" s="5" t="s">
        <v>288</v>
      </c>
      <c r="G694" s="5" t="s">
        <v>221</v>
      </c>
      <c r="H694" s="5" t="s">
        <v>129</v>
      </c>
      <c r="I694" s="6">
        <v>85</v>
      </c>
      <c r="J694" s="7">
        <v>44281</v>
      </c>
      <c r="K694" s="8" t="str">
        <f>IF(B694="","",IF(AND(I694="",J694=""),"Unknown",IF(OR(AND(ISNUMBER(I694),I694=0),AND(ISNUMBER(J694),J694&lt;=EDATE('Scoring Settings'!$B$4,-'Scoring Settings'!$B$5))),"Not in use",IF(AND(ISNUMBER(I694),I694&lt;'Scoring Settings'!$B$6),"Low use","Active"))))</f>
        <v>Active</v>
      </c>
      <c r="L694" s="5">
        <v>3</v>
      </c>
      <c r="M694" s="5">
        <v>2</v>
      </c>
      <c r="N694" s="5" t="s">
        <v>350</v>
      </c>
      <c r="O694" s="5" t="s">
        <v>130</v>
      </c>
      <c r="P694" s="5" t="s">
        <v>945</v>
      </c>
      <c r="Q694" s="9">
        <v>3</v>
      </c>
      <c r="R694" s="5" t="s">
        <v>132</v>
      </c>
      <c r="S694" s="5" t="s">
        <v>133</v>
      </c>
      <c r="T694" s="5" t="s">
        <v>168</v>
      </c>
      <c r="U694" s="7">
        <v>44227</v>
      </c>
      <c r="V694" s="5" t="s">
        <v>135</v>
      </c>
      <c r="W694" s="6">
        <v>47</v>
      </c>
      <c r="X694" s="5" t="s">
        <v>79</v>
      </c>
      <c r="Y694" s="9">
        <v>3</v>
      </c>
      <c r="Z694" s="5" t="s">
        <v>79</v>
      </c>
      <c r="AA694" s="5" t="s">
        <v>110</v>
      </c>
      <c r="AB694" s="9">
        <v>6</v>
      </c>
      <c r="AC694" s="5" t="s">
        <v>79</v>
      </c>
      <c r="AD694" s="5" t="s">
        <v>79</v>
      </c>
      <c r="AE694" s="5" t="s">
        <v>82</v>
      </c>
      <c r="AF694" s="10">
        <v>37500</v>
      </c>
      <c r="AG694" s="7">
        <v>48121</v>
      </c>
      <c r="AH694" s="10">
        <v>39000</v>
      </c>
      <c r="AI694" s="10">
        <v>26000</v>
      </c>
      <c r="AJ694" s="11">
        <f t="shared" si="10"/>
        <v>18</v>
      </c>
      <c r="AK694" s="12">
        <f>IF(B694="","",OR(K694="Not in use",K694="Low use")+AND(N694&lt;&gt;"",N694&lt;&gt;"TBD")+AND(ISNUMBER(U694),U694&lt;=EDATE('Scoring Settings'!$B$4,'Scoring Settings'!$B$8))+AND(ISNUMBER(L694),L694&lt;='Scoring Settings'!$B$7))</f>
        <v>2</v>
      </c>
      <c r="AL694" s="5" t="s">
        <v>111</v>
      </c>
      <c r="AM694" s="8" t="str">
        <f>IF(B694="","",IF(Z694="N","Easy",IF(OR(AND(ISNUMBER(AB694),AB694&gt;'Scoring Settings'!$B$11),AND(ISNUMBER(W694),W694&gt;'Scoring Settings'!$B$12),AND(ISNUMBER(M694),M694&lt;='Scoring Settings'!$B$13)),"High","Medium")))</f>
        <v>Easy</v>
      </c>
      <c r="AN694" s="5"/>
      <c r="AO694" s="7"/>
      <c r="AP694" s="5" t="s">
        <v>98</v>
      </c>
      <c r="AQ694" s="29" t="s">
        <v>112</v>
      </c>
    </row>
    <row r="695" spans="1:43" ht="57" hidden="1">
      <c r="A695" s="28">
        <v>118885</v>
      </c>
      <c r="B695" s="5" t="s">
        <v>1001</v>
      </c>
      <c r="C695" s="5" t="s">
        <v>262</v>
      </c>
      <c r="D695" s="5" t="s">
        <v>67</v>
      </c>
      <c r="E695" s="5" t="s">
        <v>68</v>
      </c>
      <c r="F695" s="5" t="s">
        <v>243</v>
      </c>
      <c r="G695" s="5" t="s">
        <v>70</v>
      </c>
      <c r="H695" s="5" t="s">
        <v>174</v>
      </c>
      <c r="I695" s="6">
        <v>578</v>
      </c>
      <c r="J695" s="7">
        <v>44292</v>
      </c>
      <c r="K695" s="8" t="str">
        <f>IF(B695="","",IF(AND(I695="",J695=""),"Unknown",IF(OR(AND(ISNUMBER(I695),I695=0),AND(ISNUMBER(J695),J695&lt;=EDATE('Scoring Settings'!$B$4,-'Scoring Settings'!$B$5))),"Not in use",IF(AND(ISNUMBER(I695),I695&lt;'Scoring Settings'!$B$6),"Low use","Active"))))</f>
        <v>Active</v>
      </c>
      <c r="L695" s="5">
        <v>3</v>
      </c>
      <c r="M695" s="5">
        <v>2</v>
      </c>
      <c r="N695" s="5"/>
      <c r="O695" s="5" t="s">
        <v>73</v>
      </c>
      <c r="P695" s="5" t="s">
        <v>1002</v>
      </c>
      <c r="Q695" s="9">
        <v>7</v>
      </c>
      <c r="R695" s="5" t="s">
        <v>182</v>
      </c>
      <c r="S695" s="5" t="s">
        <v>183</v>
      </c>
      <c r="T695" s="5" t="s">
        <v>109</v>
      </c>
      <c r="U695" s="7">
        <v>42855</v>
      </c>
      <c r="V695" s="5" t="s">
        <v>95</v>
      </c>
      <c r="W695" s="6">
        <v>300</v>
      </c>
      <c r="X695" s="5" t="s">
        <v>80</v>
      </c>
      <c r="Y695" s="9">
        <v>5</v>
      </c>
      <c r="Z695" s="5" t="s">
        <v>79</v>
      </c>
      <c r="AA695" s="5" t="s">
        <v>110</v>
      </c>
      <c r="AB695" s="9">
        <v>13</v>
      </c>
      <c r="AC695" s="5" t="s">
        <v>79</v>
      </c>
      <c r="AD695" s="5" t="s">
        <v>80</v>
      </c>
      <c r="AE695" s="5" t="s">
        <v>82</v>
      </c>
      <c r="AF695" s="10">
        <v>140000</v>
      </c>
      <c r="AG695" s="7">
        <v>47299</v>
      </c>
      <c r="AH695" s="10">
        <v>157500</v>
      </c>
      <c r="AI695" s="10">
        <v>115500</v>
      </c>
      <c r="AJ695" s="11">
        <f t="shared" si="10"/>
        <v>16.363636363636363</v>
      </c>
      <c r="AK695" s="12">
        <f>IF(B695="","",OR(K695="Not in use",K695="Low use")+AND(N695&lt;&gt;"",N695&lt;&gt;"TBD")+AND(ISNUMBER(U695),U695&lt;=EDATE('Scoring Settings'!$B$4,'Scoring Settings'!$B$8))+AND(ISNUMBER(L695),L695&lt;='Scoring Settings'!$B$7))</f>
        <v>1</v>
      </c>
      <c r="AL695" s="5" t="s">
        <v>111</v>
      </c>
      <c r="AM695" s="8" t="str">
        <f>IF(B695="","",IF(Z695="N","Easy",IF(OR(AND(ISNUMBER(AB695),AB695&gt;'Scoring Settings'!$B$11),AND(ISNUMBER(W695),W695&gt;'Scoring Settings'!$B$12),AND(ISNUMBER(M695),M695&lt;='Scoring Settings'!$B$13)),"High","Medium")))</f>
        <v>Easy</v>
      </c>
      <c r="AN695" s="5"/>
      <c r="AO695" s="7"/>
      <c r="AP695" s="5" t="s">
        <v>98</v>
      </c>
      <c r="AQ695" s="29" t="s">
        <v>291</v>
      </c>
    </row>
    <row r="696" spans="1:43" hidden="1">
      <c r="A696" s="28">
        <v>169916</v>
      </c>
      <c r="B696" s="5" t="s">
        <v>1003</v>
      </c>
      <c r="C696" s="5" t="s">
        <v>301</v>
      </c>
      <c r="D696" s="5" t="s">
        <v>162</v>
      </c>
      <c r="E696" s="5" t="s">
        <v>68</v>
      </c>
      <c r="F696" s="5" t="s">
        <v>157</v>
      </c>
      <c r="G696" s="5" t="s">
        <v>141</v>
      </c>
      <c r="H696" s="5" t="s">
        <v>91</v>
      </c>
      <c r="I696" s="6"/>
      <c r="J696" s="7"/>
      <c r="K696" s="8" t="str">
        <f>IF(B696="","",IF(AND(I696="",J696=""),"Unknown",IF(OR(AND(ISNUMBER(I696),I696=0),AND(ISNUMBER(J696),J696&lt;=EDATE('Scoring Settings'!$B$4,-'Scoring Settings'!$B$5))),"Not in use",IF(AND(ISNUMBER(I696),I696&lt;'Scoring Settings'!$B$6),"Low use","Active"))))</f>
        <v>Unknown</v>
      </c>
      <c r="L696" s="5">
        <v>3</v>
      </c>
      <c r="M696" s="5">
        <v>4</v>
      </c>
      <c r="N696" s="5" t="s">
        <v>289</v>
      </c>
      <c r="O696" s="5" t="s">
        <v>73</v>
      </c>
      <c r="P696" s="5" t="s">
        <v>1004</v>
      </c>
      <c r="Q696" s="9">
        <v>4</v>
      </c>
      <c r="R696" s="5" t="s">
        <v>132</v>
      </c>
      <c r="S696" s="5" t="s">
        <v>133</v>
      </c>
      <c r="T696" s="5" t="s">
        <v>109</v>
      </c>
      <c r="U696" s="7">
        <v>44227</v>
      </c>
      <c r="V696" s="5" t="s">
        <v>78</v>
      </c>
      <c r="W696" s="6">
        <v>87</v>
      </c>
      <c r="X696" s="5" t="s">
        <v>80</v>
      </c>
      <c r="Y696" s="9">
        <v>7</v>
      </c>
      <c r="Z696" s="5" t="s">
        <v>80</v>
      </c>
      <c r="AA696" s="5" t="s">
        <v>185</v>
      </c>
      <c r="AB696" s="9">
        <v>0</v>
      </c>
      <c r="AC696" s="5" t="s">
        <v>79</v>
      </c>
      <c r="AD696" s="5" t="s">
        <v>80</v>
      </c>
      <c r="AE696" s="5" t="s">
        <v>79</v>
      </c>
      <c r="AF696" s="10">
        <v>40000</v>
      </c>
      <c r="AG696" s="7">
        <v>48669</v>
      </c>
      <c r="AH696" s="10">
        <v>46000</v>
      </c>
      <c r="AI696" s="10">
        <v>32000</v>
      </c>
      <c r="AJ696" s="11">
        <f t="shared" si="10"/>
        <v>17.25</v>
      </c>
      <c r="AK696" s="12">
        <f>IF(B696="","",OR(K696="Not in use",K696="Low use")+AND(N696&lt;&gt;"",N696&lt;&gt;"TBD")+AND(ISNUMBER(U696),U696&lt;=EDATE('Scoring Settings'!$B$4,'Scoring Settings'!$B$8))+AND(ISNUMBER(L696),L696&lt;='Scoring Settings'!$B$7))</f>
        <v>2</v>
      </c>
      <c r="AL696" s="5" t="s">
        <v>111</v>
      </c>
      <c r="AM696" s="8" t="str">
        <f>IF(B696="","",IF(Z696="N","Easy",IF(OR(AND(ISNUMBER(AB696),AB696&gt;'Scoring Settings'!$B$11),AND(ISNUMBER(W696),W696&gt;'Scoring Settings'!$B$12),AND(ISNUMBER(M696),M696&lt;='Scoring Settings'!$B$13)),"High","Medium")))</f>
        <v>Medium</v>
      </c>
      <c r="AN696" s="5"/>
      <c r="AO696" s="7"/>
      <c r="AP696" s="5" t="s">
        <v>98</v>
      </c>
      <c r="AQ696" s="29" t="s">
        <v>159</v>
      </c>
    </row>
    <row r="697" spans="1:43" hidden="1">
      <c r="A697" s="28">
        <v>105161</v>
      </c>
      <c r="B697" s="5" t="s">
        <v>1005</v>
      </c>
      <c r="C697" s="5" t="s">
        <v>215</v>
      </c>
      <c r="D697" s="5" t="s">
        <v>139</v>
      </c>
      <c r="E697" s="5" t="s">
        <v>68</v>
      </c>
      <c r="F697" s="5" t="s">
        <v>69</v>
      </c>
      <c r="G697" s="5" t="s">
        <v>153</v>
      </c>
      <c r="H697" s="5" t="s">
        <v>142</v>
      </c>
      <c r="I697" s="6">
        <v>5</v>
      </c>
      <c r="J697" s="7">
        <v>43778</v>
      </c>
      <c r="K697" s="8" t="str">
        <f>IF(B697="","",IF(AND(I697="",J697=""),"Unknown",IF(OR(AND(ISNUMBER(I697),I697=0),AND(ISNUMBER(J697),J697&lt;=EDATE('Scoring Settings'!$B$4,-'Scoring Settings'!$B$5))),"Not in use",IF(AND(ISNUMBER(I697),I697&lt;'Scoring Settings'!$B$6),"Low use","Active"))))</f>
        <v>Not in use</v>
      </c>
      <c r="L697" s="5">
        <v>3</v>
      </c>
      <c r="M697" s="5">
        <v>2</v>
      </c>
      <c r="N697" s="5" t="s">
        <v>1006</v>
      </c>
      <c r="O697" s="5" t="s">
        <v>143</v>
      </c>
      <c r="P697" s="5" t="s">
        <v>144</v>
      </c>
      <c r="Q697" s="9">
        <v>0</v>
      </c>
      <c r="R697" s="5" t="s">
        <v>145</v>
      </c>
      <c r="S697" s="5" t="s">
        <v>145</v>
      </c>
      <c r="T697" s="5" t="s">
        <v>146</v>
      </c>
      <c r="U697" s="7"/>
      <c r="V697" s="5" t="s">
        <v>135</v>
      </c>
      <c r="W697" s="6">
        <v>210</v>
      </c>
      <c r="X697" s="5" t="s">
        <v>79</v>
      </c>
      <c r="Y697" s="9">
        <v>2</v>
      </c>
      <c r="Z697" s="5" t="s">
        <v>79</v>
      </c>
      <c r="AA697" s="5" t="s">
        <v>110</v>
      </c>
      <c r="AB697" s="9">
        <v>29</v>
      </c>
      <c r="AC697" s="5" t="s">
        <v>80</v>
      </c>
      <c r="AD697" s="5" t="s">
        <v>82</v>
      </c>
      <c r="AE697" s="5" t="s">
        <v>79</v>
      </c>
      <c r="AF697" s="10">
        <v>60000</v>
      </c>
      <c r="AG697" s="7">
        <v>46112</v>
      </c>
      <c r="AH697" s="10"/>
      <c r="AI697" s="10"/>
      <c r="AJ697" s="11" t="str">
        <f t="shared" si="10"/>
        <v/>
      </c>
      <c r="AK697" s="12">
        <f>IF(B697="","",OR(K697="Not in use",K697="Low use")+AND(N697&lt;&gt;"",N697&lt;&gt;"TBD")+AND(ISNUMBER(U697),U697&lt;=EDATE('Scoring Settings'!$B$4,'Scoring Settings'!$B$8))+AND(ISNUMBER(L697),L697&lt;='Scoring Settings'!$B$7))</f>
        <v>2</v>
      </c>
      <c r="AL697" s="5" t="s">
        <v>111</v>
      </c>
      <c r="AM697" s="8" t="str">
        <f>IF(B697="","",IF(Z697="N","Easy",IF(OR(AND(ISNUMBER(AB697),AB697&gt;'Scoring Settings'!$B$11),AND(ISNUMBER(W697),W697&gt;'Scoring Settings'!$B$12),AND(ISNUMBER(M697),M697&lt;='Scoring Settings'!$B$13)),"High","Medium")))</f>
        <v>Easy</v>
      </c>
      <c r="AN697" s="5"/>
      <c r="AO697" s="7"/>
      <c r="AP697" s="5" t="s">
        <v>98</v>
      </c>
      <c r="AQ697" s="29" t="s">
        <v>218</v>
      </c>
    </row>
    <row r="698" spans="1:43" hidden="1">
      <c r="A698" s="28">
        <v>93441</v>
      </c>
      <c r="B698" s="5" t="s">
        <v>1016</v>
      </c>
      <c r="C698" s="5" t="s">
        <v>325</v>
      </c>
      <c r="D698" s="5" t="s">
        <v>139</v>
      </c>
      <c r="E698" s="5" t="s">
        <v>68</v>
      </c>
      <c r="F698" s="5" t="s">
        <v>396</v>
      </c>
      <c r="G698" s="5" t="s">
        <v>278</v>
      </c>
      <c r="H698" s="5" t="s">
        <v>142</v>
      </c>
      <c r="I698" s="6">
        <v>1195</v>
      </c>
      <c r="J698" s="7">
        <v>44305</v>
      </c>
      <c r="K698" s="8" t="str">
        <f>IF(B698="","",IF(AND(I698="",J698=""),"Unknown",IF(OR(AND(ISNUMBER(I698),I698=0),AND(ISNUMBER(J698),J698&lt;=EDATE('Scoring Settings'!$B$4,-'Scoring Settings'!$B$5))),"Not in use",IF(AND(ISNUMBER(I698),I698&lt;'Scoring Settings'!$B$6),"Low use","Active"))))</f>
        <v>Active</v>
      </c>
      <c r="L698" s="5">
        <v>3</v>
      </c>
      <c r="M698" s="5">
        <v>3</v>
      </c>
      <c r="N698" s="5"/>
      <c r="O698" s="5" t="s">
        <v>143</v>
      </c>
      <c r="P698" s="5" t="s">
        <v>144</v>
      </c>
      <c r="Q698" s="9">
        <v>0</v>
      </c>
      <c r="R698" s="5" t="s">
        <v>145</v>
      </c>
      <c r="S698" s="5" t="s">
        <v>145</v>
      </c>
      <c r="T698" s="5" t="s">
        <v>146</v>
      </c>
      <c r="U698" s="7"/>
      <c r="V698" s="5" t="s">
        <v>95</v>
      </c>
      <c r="W698" s="6">
        <v>560</v>
      </c>
      <c r="X698" s="5" t="s">
        <v>79</v>
      </c>
      <c r="Y698" s="9">
        <v>3</v>
      </c>
      <c r="Z698" s="5" t="s">
        <v>79</v>
      </c>
      <c r="AA698" s="5" t="s">
        <v>110</v>
      </c>
      <c r="AB698" s="9">
        <v>4</v>
      </c>
      <c r="AC698" s="5" t="s">
        <v>79</v>
      </c>
      <c r="AD698" s="5" t="s">
        <v>82</v>
      </c>
      <c r="AE698" s="5" t="s">
        <v>79</v>
      </c>
      <c r="AF698" s="10">
        <v>95000</v>
      </c>
      <c r="AG698" s="7">
        <v>46265</v>
      </c>
      <c r="AH698" s="10"/>
      <c r="AI698" s="10"/>
      <c r="AJ698" s="11" t="str">
        <f t="shared" si="10"/>
        <v/>
      </c>
      <c r="AK698" s="12">
        <f>IF(B698="","",OR(K698="Not in use",K698="Low use")+AND(N698&lt;&gt;"",N698&lt;&gt;"TBD")+AND(ISNUMBER(U698),U698&lt;=EDATE('Scoring Settings'!$B$4,'Scoring Settings'!$B$8))+AND(ISNUMBER(L698),L698&lt;='Scoring Settings'!$B$7))</f>
        <v>0</v>
      </c>
      <c r="AL698" s="5" t="s">
        <v>83</v>
      </c>
      <c r="AM698" s="8" t="str">
        <f>IF(B698="","",IF(Z698="N","Easy",IF(OR(AND(ISNUMBER(AB698),AB698&gt;'Scoring Settings'!$B$11),AND(ISNUMBER(W698),W698&gt;'Scoring Settings'!$B$12),AND(ISNUMBER(M698),M698&lt;='Scoring Settings'!$B$13)),"High","Medium")))</f>
        <v>Easy</v>
      </c>
      <c r="AN698" s="5"/>
      <c r="AO698" s="7"/>
      <c r="AP698" s="5" t="s">
        <v>84</v>
      </c>
      <c r="AQ698" s="29" t="s">
        <v>247</v>
      </c>
    </row>
    <row r="699" spans="1:43" hidden="1">
      <c r="A699" s="28">
        <v>12129</v>
      </c>
      <c r="B699" s="5" t="s">
        <v>1017</v>
      </c>
      <c r="C699" s="5" t="s">
        <v>380</v>
      </c>
      <c r="D699" s="5" t="s">
        <v>102</v>
      </c>
      <c r="E699" s="5" t="s">
        <v>68</v>
      </c>
      <c r="F699" s="5" t="s">
        <v>312</v>
      </c>
      <c r="G699" s="5" t="s">
        <v>141</v>
      </c>
      <c r="H699" s="5" t="s">
        <v>142</v>
      </c>
      <c r="I699" s="6">
        <v>26</v>
      </c>
      <c r="J699" s="7">
        <v>44307</v>
      </c>
      <c r="K699" s="8" t="str">
        <f>IF(B699="","",IF(AND(I699="",J699=""),"Unknown",IF(OR(AND(ISNUMBER(I699),I699=0),AND(ISNUMBER(J699),J699&lt;=EDATE('Scoring Settings'!$B$4,-'Scoring Settings'!$B$5))),"Not in use",IF(AND(ISNUMBER(I699),I699&lt;'Scoring Settings'!$B$6),"Low use","Active"))))</f>
        <v>Active</v>
      </c>
      <c r="L699" s="5">
        <v>5</v>
      </c>
      <c r="M699" s="5">
        <v>1</v>
      </c>
      <c r="N699" s="5"/>
      <c r="O699" s="5" t="s">
        <v>143</v>
      </c>
      <c r="P699" s="5" t="s">
        <v>144</v>
      </c>
      <c r="Q699" s="9">
        <v>0</v>
      </c>
      <c r="R699" s="5" t="s">
        <v>145</v>
      </c>
      <c r="S699" s="5" t="s">
        <v>145</v>
      </c>
      <c r="T699" s="5" t="s">
        <v>146</v>
      </c>
      <c r="U699" s="7"/>
      <c r="V699" s="5" t="s">
        <v>78</v>
      </c>
      <c r="W699" s="6">
        <v>56</v>
      </c>
      <c r="X699" s="5" t="s">
        <v>80</v>
      </c>
      <c r="Y699" s="9">
        <v>10</v>
      </c>
      <c r="Z699" s="5" t="s">
        <v>79</v>
      </c>
      <c r="AA699" s="5" t="s">
        <v>110</v>
      </c>
      <c r="AB699" s="9">
        <v>46</v>
      </c>
      <c r="AC699" s="5" t="s">
        <v>79</v>
      </c>
      <c r="AD699" s="5" t="s">
        <v>79</v>
      </c>
      <c r="AE699" s="5" t="s">
        <v>79</v>
      </c>
      <c r="AF699" s="10">
        <v>355000</v>
      </c>
      <c r="AG699" s="7">
        <v>47057</v>
      </c>
      <c r="AH699" s="10"/>
      <c r="AI699" s="10"/>
      <c r="AJ699" s="11" t="str">
        <f t="shared" si="10"/>
        <v/>
      </c>
      <c r="AK699" s="12">
        <f>IF(B699="","",OR(K699="Not in use",K699="Low use")+AND(N699&lt;&gt;"",N699&lt;&gt;"TBD")+AND(ISNUMBER(U699),U699&lt;=EDATE('Scoring Settings'!$B$4,'Scoring Settings'!$B$8))+AND(ISNUMBER(L699),L699&lt;='Scoring Settings'!$B$7))</f>
        <v>0</v>
      </c>
      <c r="AL699" s="5" t="s">
        <v>83</v>
      </c>
      <c r="AM699" s="8" t="str">
        <f>IF(B699="","",IF(Z699="N","Easy",IF(OR(AND(ISNUMBER(AB699),AB699&gt;'Scoring Settings'!$B$11),AND(ISNUMBER(W699),W699&gt;'Scoring Settings'!$B$12),AND(ISNUMBER(M699),M699&lt;='Scoring Settings'!$B$13)),"High","Medium")))</f>
        <v>Easy</v>
      </c>
      <c r="AN699" s="5"/>
      <c r="AO699" s="7"/>
      <c r="AP699" s="5" t="s">
        <v>84</v>
      </c>
      <c r="AQ699" s="29" t="s">
        <v>247</v>
      </c>
    </row>
    <row r="700" spans="1:43" hidden="1">
      <c r="A700" s="28">
        <v>95197</v>
      </c>
      <c r="B700" s="5" t="s">
        <v>1018</v>
      </c>
      <c r="C700" s="5" t="s">
        <v>208</v>
      </c>
      <c r="D700" s="5" t="s">
        <v>67</v>
      </c>
      <c r="E700" s="5" t="s">
        <v>298</v>
      </c>
      <c r="F700" s="5" t="s">
        <v>560</v>
      </c>
      <c r="G700" s="5" t="s">
        <v>356</v>
      </c>
      <c r="H700" s="5" t="s">
        <v>142</v>
      </c>
      <c r="I700" s="6">
        <v>296</v>
      </c>
      <c r="J700" s="7">
        <v>44310</v>
      </c>
      <c r="K700" s="8" t="str">
        <f>IF(B700="","",IF(AND(I700="",J700=""),"Unknown",IF(OR(AND(ISNUMBER(I700),I700=0),AND(ISNUMBER(J700),J700&lt;=EDATE('Scoring Settings'!$B$4,-'Scoring Settings'!$B$5))),"Not in use",IF(AND(ISNUMBER(I700),I700&lt;'Scoring Settings'!$B$6),"Low use","Active"))))</f>
        <v>Active</v>
      </c>
      <c r="L700" s="5">
        <v>5</v>
      </c>
      <c r="M700" s="5">
        <v>2</v>
      </c>
      <c r="N700" s="5" t="s">
        <v>501</v>
      </c>
      <c r="O700" s="5" t="s">
        <v>143</v>
      </c>
      <c r="P700" s="5" t="s">
        <v>144</v>
      </c>
      <c r="Q700" s="9">
        <v>0</v>
      </c>
      <c r="R700" s="5" t="s">
        <v>145</v>
      </c>
      <c r="S700" s="5" t="s">
        <v>145</v>
      </c>
      <c r="T700" s="5" t="s">
        <v>146</v>
      </c>
      <c r="U700" s="7"/>
      <c r="V700" s="5" t="s">
        <v>95</v>
      </c>
      <c r="W700" s="6">
        <v>86</v>
      </c>
      <c r="X700" s="5" t="s">
        <v>80</v>
      </c>
      <c r="Y700" s="9">
        <v>10</v>
      </c>
      <c r="Z700" s="5" t="s">
        <v>80</v>
      </c>
      <c r="AA700" s="5" t="s">
        <v>205</v>
      </c>
      <c r="AB700" s="9">
        <v>27</v>
      </c>
      <c r="AC700" s="5" t="s">
        <v>82</v>
      </c>
      <c r="AD700" s="5" t="s">
        <v>82</v>
      </c>
      <c r="AE700" s="5" t="s">
        <v>80</v>
      </c>
      <c r="AF700" s="10">
        <v>105000</v>
      </c>
      <c r="AG700" s="7">
        <v>48699</v>
      </c>
      <c r="AH700" s="10">
        <v>101000</v>
      </c>
      <c r="AI700" s="10">
        <v>49000</v>
      </c>
      <c r="AJ700" s="11">
        <f t="shared" si="10"/>
        <v>24.734693877551017</v>
      </c>
      <c r="AK700" s="12">
        <f>IF(B700="","",OR(K700="Not in use",K700="Low use")+AND(N700&lt;&gt;"",N700&lt;&gt;"TBD")+AND(ISNUMBER(U700),U700&lt;=EDATE('Scoring Settings'!$B$4,'Scoring Settings'!$B$8))+AND(ISNUMBER(L700),L700&lt;='Scoring Settings'!$B$7))</f>
        <v>1</v>
      </c>
      <c r="AL700" s="5" t="s">
        <v>111</v>
      </c>
      <c r="AM700" s="8" t="str">
        <f>IF(B700="","",IF(Z700="N","Easy",IF(OR(AND(ISNUMBER(AB700),AB700&gt;'Scoring Settings'!$B$11),AND(ISNUMBER(W700),W700&gt;'Scoring Settings'!$B$12),AND(ISNUMBER(M700),M700&lt;='Scoring Settings'!$B$13)),"High","Medium")))</f>
        <v>High</v>
      </c>
      <c r="AN700" s="5"/>
      <c r="AO700" s="7"/>
      <c r="AP700" s="5" t="s">
        <v>98</v>
      </c>
      <c r="AQ700" s="29" t="s">
        <v>218</v>
      </c>
    </row>
    <row r="701" spans="1:43" hidden="1">
      <c r="A701" s="28">
        <v>122951</v>
      </c>
      <c r="B701" s="5" t="s">
        <v>1019</v>
      </c>
      <c r="C701" s="5" t="s">
        <v>343</v>
      </c>
      <c r="D701" s="5" t="s">
        <v>102</v>
      </c>
      <c r="E701" s="5" t="s">
        <v>68</v>
      </c>
      <c r="F701" s="5" t="s">
        <v>266</v>
      </c>
      <c r="G701" s="5" t="s">
        <v>70</v>
      </c>
      <c r="H701" s="5" t="s">
        <v>105</v>
      </c>
      <c r="I701" s="6">
        <v>21</v>
      </c>
      <c r="J701" s="7">
        <v>44166</v>
      </c>
      <c r="K701" s="8" t="str">
        <f>IF(B701="","",IF(AND(I701="",J701=""),"Unknown",IF(OR(AND(ISNUMBER(I701),I701=0),AND(ISNUMBER(J701),J701&lt;=EDATE('Scoring Settings'!$B$4,-'Scoring Settings'!$B$5))),"Not in use",IF(AND(ISNUMBER(I701),I701&lt;'Scoring Settings'!$B$6),"Low use","Active"))))</f>
        <v>Low use</v>
      </c>
      <c r="L701" s="5">
        <v>2</v>
      </c>
      <c r="M701" s="5">
        <v>3</v>
      </c>
      <c r="N701" s="5"/>
      <c r="O701" s="5" t="s">
        <v>73</v>
      </c>
      <c r="P701" s="5" t="s">
        <v>1020</v>
      </c>
      <c r="Q701" s="9">
        <v>1</v>
      </c>
      <c r="R701" s="5" t="s">
        <v>251</v>
      </c>
      <c r="S701" s="5" t="s">
        <v>133</v>
      </c>
      <c r="T701" s="5" t="s">
        <v>77</v>
      </c>
      <c r="U701" s="7">
        <v>44165</v>
      </c>
      <c r="V701" s="5" t="s">
        <v>135</v>
      </c>
      <c r="W701" s="6">
        <v>640</v>
      </c>
      <c r="X701" s="5" t="s">
        <v>80</v>
      </c>
      <c r="Y701" s="9">
        <v>7</v>
      </c>
      <c r="Z701" s="5" t="s">
        <v>80</v>
      </c>
      <c r="AA701" s="5" t="s">
        <v>81</v>
      </c>
      <c r="AB701" s="9">
        <v>1</v>
      </c>
      <c r="AC701" s="5" t="s">
        <v>82</v>
      </c>
      <c r="AD701" s="5" t="s">
        <v>82</v>
      </c>
      <c r="AE701" s="5" t="s">
        <v>82</v>
      </c>
      <c r="AF701" s="10">
        <v>30000</v>
      </c>
      <c r="AG701" s="7">
        <v>48273</v>
      </c>
      <c r="AH701" s="10">
        <v>40500</v>
      </c>
      <c r="AI701" s="10">
        <v>16500</v>
      </c>
      <c r="AJ701" s="11">
        <f t="shared" si="10"/>
        <v>29.454545454545453</v>
      </c>
      <c r="AK701" s="12">
        <f>IF(B701="","",OR(K701="Not in use",K701="Low use")+AND(N701&lt;&gt;"",N701&lt;&gt;"TBD")+AND(ISNUMBER(U701),U701&lt;=EDATE('Scoring Settings'!$B$4,'Scoring Settings'!$B$8))+AND(ISNUMBER(L701),L701&lt;='Scoring Settings'!$B$7))</f>
        <v>3</v>
      </c>
      <c r="AL701" s="5" t="s">
        <v>111</v>
      </c>
      <c r="AM701" s="8" t="str">
        <f>IF(B701="","",IF(Z701="N","Easy",IF(OR(AND(ISNUMBER(AB701),AB701&gt;'Scoring Settings'!$B$11),AND(ISNUMBER(W701),W701&gt;'Scoring Settings'!$B$12),AND(ISNUMBER(M701),M701&lt;='Scoring Settings'!$B$13)),"High","Medium")))</f>
        <v>Medium</v>
      </c>
      <c r="AN701" s="5"/>
      <c r="AO701" s="7"/>
      <c r="AP701" s="5" t="s">
        <v>98</v>
      </c>
      <c r="AQ701" s="29" t="s">
        <v>124</v>
      </c>
    </row>
    <row r="702" spans="1:43" hidden="1">
      <c r="A702" s="28">
        <v>70107</v>
      </c>
      <c r="B702" s="5" t="s">
        <v>1021</v>
      </c>
      <c r="C702" s="5" t="s">
        <v>333</v>
      </c>
      <c r="D702" s="5" t="s">
        <v>115</v>
      </c>
      <c r="E702" s="5" t="s">
        <v>298</v>
      </c>
      <c r="F702" s="5" t="s">
        <v>173</v>
      </c>
      <c r="G702" s="5" t="s">
        <v>271</v>
      </c>
      <c r="H702" s="5" t="s">
        <v>142</v>
      </c>
      <c r="I702" s="6">
        <v>80</v>
      </c>
      <c r="J702" s="7">
        <v>44307</v>
      </c>
      <c r="K702" s="8" t="str">
        <f>IF(B702="","",IF(AND(I702="",J702=""),"Unknown",IF(OR(AND(ISNUMBER(I702),I702=0),AND(ISNUMBER(J702),J702&lt;=EDATE('Scoring Settings'!$B$4,-'Scoring Settings'!$B$5))),"Not in use",IF(AND(ISNUMBER(I702),I702&lt;'Scoring Settings'!$B$6),"Low use","Active"))))</f>
        <v>Active</v>
      </c>
      <c r="L702" s="5">
        <v>5</v>
      </c>
      <c r="M702" s="5">
        <v>2</v>
      </c>
      <c r="N702" s="5"/>
      <c r="O702" s="5" t="s">
        <v>143</v>
      </c>
      <c r="P702" s="5" t="s">
        <v>144</v>
      </c>
      <c r="Q702" s="9">
        <v>0</v>
      </c>
      <c r="R702" s="5" t="s">
        <v>145</v>
      </c>
      <c r="S702" s="5" t="s">
        <v>145</v>
      </c>
      <c r="T702" s="5" t="s">
        <v>146</v>
      </c>
      <c r="U702" s="7"/>
      <c r="V702" s="5" t="s">
        <v>135</v>
      </c>
      <c r="W702" s="6">
        <v>410</v>
      </c>
      <c r="X702" s="5" t="s">
        <v>79</v>
      </c>
      <c r="Y702" s="9">
        <v>3</v>
      </c>
      <c r="Z702" s="5" t="s">
        <v>79</v>
      </c>
      <c r="AA702" s="5" t="s">
        <v>110</v>
      </c>
      <c r="AB702" s="9">
        <v>20</v>
      </c>
      <c r="AC702" s="5" t="s">
        <v>82</v>
      </c>
      <c r="AD702" s="5" t="s">
        <v>80</v>
      </c>
      <c r="AE702" s="5" t="s">
        <v>79</v>
      </c>
      <c r="AF702" s="10">
        <v>25500</v>
      </c>
      <c r="AG702" s="7">
        <v>49399</v>
      </c>
      <c r="AH702" s="10"/>
      <c r="AI702" s="10"/>
      <c r="AJ702" s="11" t="str">
        <f t="shared" si="10"/>
        <v/>
      </c>
      <c r="AK702" s="12">
        <f>IF(B702="","",OR(K702="Not in use",K702="Low use")+AND(N702&lt;&gt;"",N702&lt;&gt;"TBD")+AND(ISNUMBER(U702),U702&lt;=EDATE('Scoring Settings'!$B$4,'Scoring Settings'!$B$8))+AND(ISNUMBER(L702),L702&lt;='Scoring Settings'!$B$7))</f>
        <v>0</v>
      </c>
      <c r="AL702" s="5" t="s">
        <v>83</v>
      </c>
      <c r="AM702" s="8" t="str">
        <f>IF(B702="","",IF(Z702="N","Easy",IF(OR(AND(ISNUMBER(AB702),AB702&gt;'Scoring Settings'!$B$11),AND(ISNUMBER(W702),W702&gt;'Scoring Settings'!$B$12),AND(ISNUMBER(M702),M702&lt;='Scoring Settings'!$B$13)),"High","Medium")))</f>
        <v>Easy</v>
      </c>
      <c r="AN702" s="5"/>
      <c r="AO702" s="7"/>
      <c r="AP702" s="5" t="s">
        <v>84</v>
      </c>
      <c r="AQ702" s="29" t="s">
        <v>85</v>
      </c>
    </row>
    <row r="703" spans="1:43" hidden="1">
      <c r="A703" s="28">
        <v>188286</v>
      </c>
      <c r="B703" s="5" t="s">
        <v>1025</v>
      </c>
      <c r="C703" s="5" t="s">
        <v>66</v>
      </c>
      <c r="D703" s="5" t="s">
        <v>67</v>
      </c>
      <c r="E703" s="5" t="s">
        <v>68</v>
      </c>
      <c r="F703" s="5" t="s">
        <v>178</v>
      </c>
      <c r="G703" s="5" t="s">
        <v>284</v>
      </c>
      <c r="H703" s="5" t="s">
        <v>105</v>
      </c>
      <c r="I703" s="6">
        <v>366</v>
      </c>
      <c r="J703" s="7">
        <v>44285</v>
      </c>
      <c r="K703" s="8" t="str">
        <f>IF(B703="","",IF(AND(I703="",J703=""),"Unknown",IF(OR(AND(ISNUMBER(I703),I703=0),AND(ISNUMBER(J703),J703&lt;=EDATE('Scoring Settings'!$B$4,-'Scoring Settings'!$B$5))),"Not in use",IF(AND(ISNUMBER(I703),I703&lt;'Scoring Settings'!$B$6),"Low use","Active"))))</f>
        <v>Active</v>
      </c>
      <c r="L703" s="5">
        <v>4</v>
      </c>
      <c r="M703" s="5">
        <v>2</v>
      </c>
      <c r="N703" s="5" t="s">
        <v>72</v>
      </c>
      <c r="O703" s="5" t="s">
        <v>191</v>
      </c>
      <c r="P703" s="5" t="s">
        <v>192</v>
      </c>
      <c r="Q703" s="9">
        <v>0</v>
      </c>
      <c r="R703" s="5" t="s">
        <v>193</v>
      </c>
      <c r="S703" s="5" t="s">
        <v>194</v>
      </c>
      <c r="T703" s="5" t="s">
        <v>195</v>
      </c>
      <c r="U703" s="7"/>
      <c r="V703" s="5" t="s">
        <v>135</v>
      </c>
      <c r="W703" s="6">
        <v>850</v>
      </c>
      <c r="X703" s="5" t="s">
        <v>80</v>
      </c>
      <c r="Y703" s="9">
        <v>7</v>
      </c>
      <c r="Z703" s="5" t="s">
        <v>80</v>
      </c>
      <c r="AA703" s="5" t="s">
        <v>81</v>
      </c>
      <c r="AB703" s="9">
        <v>28</v>
      </c>
      <c r="AC703" s="5" t="s">
        <v>79</v>
      </c>
      <c r="AD703" s="5" t="s">
        <v>80</v>
      </c>
      <c r="AE703" s="5" t="s">
        <v>82</v>
      </c>
      <c r="AF703" s="10">
        <v>47000</v>
      </c>
      <c r="AG703" s="7">
        <v>45961</v>
      </c>
      <c r="AH703" s="10">
        <v>122500</v>
      </c>
      <c r="AI703" s="10">
        <v>28500</v>
      </c>
      <c r="AJ703" s="11">
        <f t="shared" si="10"/>
        <v>51.578947368421048</v>
      </c>
      <c r="AK703" s="12">
        <f>IF(B703="","",OR(K703="Not in use",K703="Low use")+AND(N703&lt;&gt;"",N703&lt;&gt;"TBD")+AND(ISNUMBER(U703),U703&lt;=EDATE('Scoring Settings'!$B$4,'Scoring Settings'!$B$8))+AND(ISNUMBER(L703),L703&lt;='Scoring Settings'!$B$7))</f>
        <v>0</v>
      </c>
      <c r="AL703" s="5" t="s">
        <v>111</v>
      </c>
      <c r="AM703" s="8" t="str">
        <f>IF(B703="","",IF(Z703="N","Easy",IF(OR(AND(ISNUMBER(AB703),AB703&gt;'Scoring Settings'!$B$11),AND(ISNUMBER(W703),W703&gt;'Scoring Settings'!$B$12),AND(ISNUMBER(M703),M703&lt;='Scoring Settings'!$B$13)),"High","Medium")))</f>
        <v>High</v>
      </c>
      <c r="AN703" s="5"/>
      <c r="AO703" s="7"/>
      <c r="AP703" s="5" t="s">
        <v>98</v>
      </c>
      <c r="AQ703" s="29" t="s">
        <v>124</v>
      </c>
    </row>
    <row r="704" spans="1:43" hidden="1">
      <c r="A704" s="28">
        <v>42835</v>
      </c>
      <c r="B704" s="5" t="s">
        <v>1029</v>
      </c>
      <c r="C704" s="5" t="s">
        <v>242</v>
      </c>
      <c r="D704" s="5" t="s">
        <v>115</v>
      </c>
      <c r="E704" s="5" t="s">
        <v>68</v>
      </c>
      <c r="F704" s="5" t="s">
        <v>89</v>
      </c>
      <c r="G704" s="5" t="s">
        <v>179</v>
      </c>
      <c r="H704" s="5" t="s">
        <v>118</v>
      </c>
      <c r="I704" s="6">
        <v>142</v>
      </c>
      <c r="J704" s="7">
        <v>44299</v>
      </c>
      <c r="K704" s="8" t="str">
        <f>IF(B704="","",IF(AND(I704="",J704=""),"Unknown",IF(OR(AND(ISNUMBER(I704),I704=0),AND(ISNUMBER(J704),J704&lt;=EDATE('Scoring Settings'!$B$4,-'Scoring Settings'!$B$5))),"Not in use",IF(AND(ISNUMBER(I704),I704&lt;'Scoring Settings'!$B$6),"Low use","Active"))))</f>
        <v>Active</v>
      </c>
      <c r="L704" s="5">
        <v>5</v>
      </c>
      <c r="M704" s="5">
        <v>2</v>
      </c>
      <c r="N704" s="5"/>
      <c r="O704" s="5" t="s">
        <v>130</v>
      </c>
      <c r="P704" s="5" t="s">
        <v>1030</v>
      </c>
      <c r="Q704" s="9">
        <v>2</v>
      </c>
      <c r="R704" s="5" t="s">
        <v>330</v>
      </c>
      <c r="S704" s="5" t="s">
        <v>331</v>
      </c>
      <c r="T704" s="5" t="s">
        <v>195</v>
      </c>
      <c r="U704" s="7">
        <v>45046</v>
      </c>
      <c r="V704" s="5" t="s">
        <v>135</v>
      </c>
      <c r="W704" s="6">
        <v>160</v>
      </c>
      <c r="X704" s="5" t="s">
        <v>79</v>
      </c>
      <c r="Y704" s="9">
        <v>2</v>
      </c>
      <c r="Z704" s="5" t="s">
        <v>80</v>
      </c>
      <c r="AA704" s="5" t="s">
        <v>185</v>
      </c>
      <c r="AB704" s="9">
        <v>22</v>
      </c>
      <c r="AC704" s="5" t="s">
        <v>79</v>
      </c>
      <c r="AD704" s="5" t="s">
        <v>82</v>
      </c>
      <c r="AE704" s="5" t="s">
        <v>80</v>
      </c>
      <c r="AF704" s="10">
        <v>60000</v>
      </c>
      <c r="AG704" s="7">
        <v>47695</v>
      </c>
      <c r="AH704" s="10"/>
      <c r="AI704" s="10"/>
      <c r="AJ704" s="11" t="str">
        <f t="shared" si="10"/>
        <v/>
      </c>
      <c r="AK704" s="12">
        <f>IF(B704="","",OR(K704="Not in use",K704="Low use")+AND(N704&lt;&gt;"",N704&lt;&gt;"TBD")+AND(ISNUMBER(U704),U704&lt;=EDATE('Scoring Settings'!$B$4,'Scoring Settings'!$B$8))+AND(ISNUMBER(L704),L704&lt;='Scoring Settings'!$B$7))</f>
        <v>0</v>
      </c>
      <c r="AL704" s="5" t="s">
        <v>83</v>
      </c>
      <c r="AM704" s="8" t="str">
        <f>IF(B704="","",IF(Z704="N","Easy",IF(OR(AND(ISNUMBER(AB704),AB704&gt;'Scoring Settings'!$B$11),AND(ISNUMBER(W704),W704&gt;'Scoring Settings'!$B$12),AND(ISNUMBER(M704),M704&lt;='Scoring Settings'!$B$13)),"High","Medium")))</f>
        <v>High</v>
      </c>
      <c r="AN704" s="5"/>
      <c r="AO704" s="7"/>
      <c r="AP704" s="5" t="s">
        <v>84</v>
      </c>
      <c r="AQ704" s="29" t="s">
        <v>85</v>
      </c>
    </row>
    <row r="705" spans="1:43" hidden="1">
      <c r="A705" s="28">
        <v>154205</v>
      </c>
      <c r="B705" s="5" t="s">
        <v>1031</v>
      </c>
      <c r="C705" s="5" t="s">
        <v>161</v>
      </c>
      <c r="D705" s="5" t="s">
        <v>162</v>
      </c>
      <c r="E705" s="5" t="s">
        <v>68</v>
      </c>
      <c r="F705" s="5" t="s">
        <v>173</v>
      </c>
      <c r="G705" s="5" t="s">
        <v>226</v>
      </c>
      <c r="H705" s="5" t="s">
        <v>105</v>
      </c>
      <c r="I705" s="6">
        <v>21</v>
      </c>
      <c r="J705" s="7">
        <v>44312</v>
      </c>
      <c r="K705" s="8" t="str">
        <f>IF(B705="","",IF(AND(I705="",J705=""),"Unknown",IF(OR(AND(ISNUMBER(I705),I705=0),AND(ISNUMBER(J705),J705&lt;=EDATE('Scoring Settings'!$B$4,-'Scoring Settings'!$B$5))),"Not in use",IF(AND(ISNUMBER(I705),I705&lt;'Scoring Settings'!$B$6),"Low use","Active"))))</f>
        <v>Low use</v>
      </c>
      <c r="L705" s="5">
        <v>5</v>
      </c>
      <c r="M705" s="5">
        <v>2</v>
      </c>
      <c r="N705" s="5"/>
      <c r="O705" s="5" t="s">
        <v>73</v>
      </c>
      <c r="P705" s="5" t="s">
        <v>1032</v>
      </c>
      <c r="Q705" s="9">
        <v>4</v>
      </c>
      <c r="R705" s="5" t="s">
        <v>93</v>
      </c>
      <c r="S705" s="5" t="s">
        <v>94</v>
      </c>
      <c r="T705" s="5" t="s">
        <v>122</v>
      </c>
      <c r="U705" s="7">
        <v>44561</v>
      </c>
      <c r="V705" s="5" t="s">
        <v>135</v>
      </c>
      <c r="W705" s="6">
        <v>240</v>
      </c>
      <c r="X705" s="5" t="s">
        <v>79</v>
      </c>
      <c r="Y705" s="9">
        <v>3</v>
      </c>
      <c r="Z705" s="5" t="s">
        <v>80</v>
      </c>
      <c r="AA705" s="5" t="s">
        <v>185</v>
      </c>
      <c r="AB705" s="9">
        <v>20</v>
      </c>
      <c r="AC705" s="5" t="s">
        <v>82</v>
      </c>
      <c r="AD705" s="5" t="s">
        <v>80</v>
      </c>
      <c r="AE705" s="5" t="s">
        <v>82</v>
      </c>
      <c r="AF705" s="10">
        <v>115000</v>
      </c>
      <c r="AG705" s="7">
        <v>46203</v>
      </c>
      <c r="AH705" s="10"/>
      <c r="AI705" s="10"/>
      <c r="AJ705" s="11" t="str">
        <f t="shared" si="10"/>
        <v/>
      </c>
      <c r="AK705" s="12">
        <f>IF(B705="","",OR(K705="Not in use",K705="Low use")+AND(N705&lt;&gt;"",N705&lt;&gt;"TBD")+AND(ISNUMBER(U705),U705&lt;=EDATE('Scoring Settings'!$B$4,'Scoring Settings'!$B$8))+AND(ISNUMBER(L705),L705&lt;='Scoring Settings'!$B$7))</f>
        <v>2</v>
      </c>
      <c r="AL705" s="5" t="s">
        <v>111</v>
      </c>
      <c r="AM705" s="8" t="str">
        <f>IF(B705="","",IF(Z705="N","Easy",IF(OR(AND(ISNUMBER(AB705),AB705&gt;'Scoring Settings'!$B$11),AND(ISNUMBER(W705),W705&gt;'Scoring Settings'!$B$12),AND(ISNUMBER(M705),M705&lt;='Scoring Settings'!$B$13)),"High","Medium")))</f>
        <v>High</v>
      </c>
      <c r="AN705" s="5"/>
      <c r="AO705" s="7"/>
      <c r="AP705" s="5" t="s">
        <v>98</v>
      </c>
      <c r="AQ705" s="29" t="s">
        <v>112</v>
      </c>
    </row>
    <row r="706" spans="1:43" hidden="1">
      <c r="A706" s="28">
        <v>25067</v>
      </c>
      <c r="B706" s="5" t="s">
        <v>1036</v>
      </c>
      <c r="C706" s="5" t="s">
        <v>483</v>
      </c>
      <c r="D706" s="5" t="s">
        <v>88</v>
      </c>
      <c r="E706" s="5" t="s">
        <v>68</v>
      </c>
      <c r="F706" s="5" t="s">
        <v>157</v>
      </c>
      <c r="G706" s="5" t="s">
        <v>179</v>
      </c>
      <c r="H706" s="5" t="s">
        <v>142</v>
      </c>
      <c r="I706" s="6"/>
      <c r="J706" s="7"/>
      <c r="K706" s="8" t="str">
        <f>IF(B706="","",IF(AND(I706="",J706=""),"Unknown",IF(OR(AND(ISNUMBER(I706),I706=0),AND(ISNUMBER(J706),J706&lt;=EDATE('Scoring Settings'!$B$4,-'Scoring Settings'!$B$5))),"Not in use",IF(AND(ISNUMBER(I706),I706&lt;'Scoring Settings'!$B$6),"Low use","Active"))))</f>
        <v>Unknown</v>
      </c>
      <c r="L706" s="5">
        <v>3</v>
      </c>
      <c r="M706" s="5">
        <v>4</v>
      </c>
      <c r="N706" s="5"/>
      <c r="O706" s="5" t="s">
        <v>143</v>
      </c>
      <c r="P706" s="5" t="s">
        <v>144</v>
      </c>
      <c r="Q706" s="9">
        <v>0</v>
      </c>
      <c r="R706" s="5" t="s">
        <v>145</v>
      </c>
      <c r="S706" s="5" t="s">
        <v>145</v>
      </c>
      <c r="T706" s="5" t="s">
        <v>146</v>
      </c>
      <c r="U706" s="7"/>
      <c r="V706" s="5" t="s">
        <v>135</v>
      </c>
      <c r="W706" s="6">
        <v>110</v>
      </c>
      <c r="X706" s="5" t="s">
        <v>80</v>
      </c>
      <c r="Y706" s="9">
        <v>5</v>
      </c>
      <c r="Z706" s="5" t="s">
        <v>80</v>
      </c>
      <c r="AA706" s="5" t="s">
        <v>185</v>
      </c>
      <c r="AB706" s="9">
        <v>1</v>
      </c>
      <c r="AC706" s="5" t="s">
        <v>80</v>
      </c>
      <c r="AD706" s="5" t="s">
        <v>79</v>
      </c>
      <c r="AE706" s="5" t="s">
        <v>82</v>
      </c>
      <c r="AF706" s="10">
        <v>95000</v>
      </c>
      <c r="AG706" s="7">
        <v>48426</v>
      </c>
      <c r="AH706" s="10">
        <v>150500</v>
      </c>
      <c r="AI706" s="10">
        <v>60000</v>
      </c>
      <c r="AJ706" s="11">
        <f t="shared" si="10"/>
        <v>30.1</v>
      </c>
      <c r="AK706" s="12">
        <f>IF(B706="","",OR(K706="Not in use",K706="Low use")+AND(N706&lt;&gt;"",N706&lt;&gt;"TBD")+AND(ISNUMBER(U706),U706&lt;=EDATE('Scoring Settings'!$B$4,'Scoring Settings'!$B$8))+AND(ISNUMBER(L706),L706&lt;='Scoring Settings'!$B$7))</f>
        <v>0</v>
      </c>
      <c r="AL706" s="5" t="s">
        <v>111</v>
      </c>
      <c r="AM706" s="8" t="str">
        <f>IF(B706="","",IF(Z706="N","Easy",IF(OR(AND(ISNUMBER(AB706),AB706&gt;'Scoring Settings'!$B$11),AND(ISNUMBER(W706),W706&gt;'Scoring Settings'!$B$12),AND(ISNUMBER(M706),M706&lt;='Scoring Settings'!$B$13)),"High","Medium")))</f>
        <v>Medium</v>
      </c>
      <c r="AN706" s="5"/>
      <c r="AO706" s="7"/>
      <c r="AP706" s="5" t="s">
        <v>98</v>
      </c>
      <c r="AQ706" s="29" t="s">
        <v>218</v>
      </c>
    </row>
    <row r="707" spans="1:43" hidden="1">
      <c r="A707" s="28">
        <v>35814</v>
      </c>
      <c r="B707" s="5" t="s">
        <v>1038</v>
      </c>
      <c r="C707" s="5" t="s">
        <v>371</v>
      </c>
      <c r="D707" s="5" t="s">
        <v>162</v>
      </c>
      <c r="E707" s="5" t="s">
        <v>68</v>
      </c>
      <c r="F707" s="5" t="s">
        <v>103</v>
      </c>
      <c r="G707" s="5" t="s">
        <v>70</v>
      </c>
      <c r="H707" s="5" t="s">
        <v>105</v>
      </c>
      <c r="I707" s="6">
        <v>177</v>
      </c>
      <c r="J707" s="7">
        <v>44292</v>
      </c>
      <c r="K707" s="8" t="str">
        <f>IF(B707="","",IF(AND(I707="",J707=""),"Unknown",IF(OR(AND(ISNUMBER(I707),I707=0),AND(ISNUMBER(J707),J707&lt;=EDATE('Scoring Settings'!$B$4,-'Scoring Settings'!$B$5))),"Not in use",IF(AND(ISNUMBER(I707),I707&lt;'Scoring Settings'!$B$6),"Low use","Active"))))</f>
        <v>Active</v>
      </c>
      <c r="L707" s="5">
        <v>3</v>
      </c>
      <c r="M707" s="5">
        <v>3</v>
      </c>
      <c r="N707" s="5"/>
      <c r="O707" s="5" t="s">
        <v>73</v>
      </c>
      <c r="P707" s="5" t="s">
        <v>1039</v>
      </c>
      <c r="Q707" s="9">
        <v>4</v>
      </c>
      <c r="R707" s="5" t="s">
        <v>107</v>
      </c>
      <c r="S707" s="5" t="s">
        <v>108</v>
      </c>
      <c r="T707" s="5" t="s">
        <v>122</v>
      </c>
      <c r="U707" s="7">
        <v>43655</v>
      </c>
      <c r="V707" s="5" t="s">
        <v>78</v>
      </c>
      <c r="W707" s="6">
        <v>59</v>
      </c>
      <c r="X707" s="5" t="s">
        <v>79</v>
      </c>
      <c r="Y707" s="9">
        <v>7</v>
      </c>
      <c r="Z707" s="5" t="s">
        <v>79</v>
      </c>
      <c r="AA707" s="5" t="s">
        <v>110</v>
      </c>
      <c r="AB707" s="9">
        <v>3</v>
      </c>
      <c r="AC707" s="5" t="s">
        <v>80</v>
      </c>
      <c r="AD707" s="5" t="s">
        <v>80</v>
      </c>
      <c r="AE707" s="5" t="s">
        <v>82</v>
      </c>
      <c r="AF707" s="10">
        <v>60000</v>
      </c>
      <c r="AG707" s="7">
        <v>46538</v>
      </c>
      <c r="AH707" s="10"/>
      <c r="AI707" s="10"/>
      <c r="AJ707" s="11" t="str">
        <f t="shared" si="10"/>
        <v/>
      </c>
      <c r="AK707" s="12">
        <f>IF(B707="","",OR(K707="Not in use",K707="Low use")+AND(N707&lt;&gt;"",N707&lt;&gt;"TBD")+AND(ISNUMBER(U707),U707&lt;=EDATE('Scoring Settings'!$B$4,'Scoring Settings'!$B$8))+AND(ISNUMBER(L707),L707&lt;='Scoring Settings'!$B$7))</f>
        <v>1</v>
      </c>
      <c r="AL707" s="5" t="s">
        <v>111</v>
      </c>
      <c r="AM707" s="8" t="str">
        <f>IF(B707="","",IF(Z707="N","Easy",IF(OR(AND(ISNUMBER(AB707),AB707&gt;'Scoring Settings'!$B$11),AND(ISNUMBER(W707),W707&gt;'Scoring Settings'!$B$12),AND(ISNUMBER(M707),M707&lt;='Scoring Settings'!$B$13)),"High","Medium")))</f>
        <v>Easy</v>
      </c>
      <c r="AN707" s="5"/>
      <c r="AO707" s="7"/>
      <c r="AP707" s="5" t="s">
        <v>98</v>
      </c>
      <c r="AQ707" s="29" t="s">
        <v>218</v>
      </c>
    </row>
    <row r="708" spans="1:43" hidden="1">
      <c r="A708" s="28">
        <v>140281</v>
      </c>
      <c r="B708" s="5" t="s">
        <v>1044</v>
      </c>
      <c r="C708" s="5" t="s">
        <v>639</v>
      </c>
      <c r="D708" s="5" t="s">
        <v>88</v>
      </c>
      <c r="E708" s="5" t="s">
        <v>68</v>
      </c>
      <c r="F708" s="5" t="s">
        <v>89</v>
      </c>
      <c r="G708" s="5" t="s">
        <v>141</v>
      </c>
      <c r="H708" s="5" t="s">
        <v>142</v>
      </c>
      <c r="I708" s="6">
        <v>231</v>
      </c>
      <c r="J708" s="7">
        <v>44286</v>
      </c>
      <c r="K708" s="8" t="str">
        <f>IF(B708="","",IF(AND(I708="",J708=""),"Unknown",IF(OR(AND(ISNUMBER(I708),I708=0),AND(ISNUMBER(J708),J708&lt;=EDATE('Scoring Settings'!$B$4,-'Scoring Settings'!$B$5))),"Not in use",IF(AND(ISNUMBER(I708),I708&lt;'Scoring Settings'!$B$6),"Low use","Active"))))</f>
        <v>Active</v>
      </c>
      <c r="L708" s="5">
        <v>4</v>
      </c>
      <c r="M708" s="5">
        <v>3</v>
      </c>
      <c r="N708" s="5" t="s">
        <v>433</v>
      </c>
      <c r="O708" s="5" t="s">
        <v>143</v>
      </c>
      <c r="P708" s="5" t="s">
        <v>144</v>
      </c>
      <c r="Q708" s="9">
        <v>0</v>
      </c>
      <c r="R708" s="5" t="s">
        <v>145</v>
      </c>
      <c r="S708" s="5" t="s">
        <v>145</v>
      </c>
      <c r="T708" s="5" t="s">
        <v>146</v>
      </c>
      <c r="U708" s="7"/>
      <c r="V708" s="5" t="s">
        <v>135</v>
      </c>
      <c r="W708" s="6">
        <v>1280</v>
      </c>
      <c r="X708" s="5" t="s">
        <v>79</v>
      </c>
      <c r="Y708" s="9">
        <v>1</v>
      </c>
      <c r="Z708" s="5" t="s">
        <v>80</v>
      </c>
      <c r="AA708" s="5" t="s">
        <v>185</v>
      </c>
      <c r="AB708" s="9">
        <v>8</v>
      </c>
      <c r="AC708" s="5" t="s">
        <v>79</v>
      </c>
      <c r="AD708" s="5" t="s">
        <v>82</v>
      </c>
      <c r="AE708" s="5" t="s">
        <v>79</v>
      </c>
      <c r="AF708" s="10">
        <v>100000</v>
      </c>
      <c r="AG708" s="7">
        <v>47634</v>
      </c>
      <c r="AH708" s="10">
        <v>165000</v>
      </c>
      <c r="AI708" s="10">
        <v>66500</v>
      </c>
      <c r="AJ708" s="11">
        <f t="shared" si="10"/>
        <v>29.774436090225564</v>
      </c>
      <c r="AK708" s="12">
        <f>IF(B708="","",OR(K708="Not in use",K708="Low use")+AND(N708&lt;&gt;"",N708&lt;&gt;"TBD")+AND(ISNUMBER(U708),U708&lt;=EDATE('Scoring Settings'!$B$4,'Scoring Settings'!$B$8))+AND(ISNUMBER(L708),L708&lt;='Scoring Settings'!$B$7))</f>
        <v>1</v>
      </c>
      <c r="AL708" s="5" t="s">
        <v>111</v>
      </c>
      <c r="AM708" s="8" t="str">
        <f>IF(B708="","",IF(Z708="N","Easy",IF(OR(AND(ISNUMBER(AB708),AB708&gt;'Scoring Settings'!$B$11),AND(ISNUMBER(W708),W708&gt;'Scoring Settings'!$B$12),AND(ISNUMBER(M708),M708&lt;='Scoring Settings'!$B$13)),"High","Medium")))</f>
        <v>High</v>
      </c>
      <c r="AN708" s="5"/>
      <c r="AO708" s="7"/>
      <c r="AP708" s="5" t="s">
        <v>98</v>
      </c>
      <c r="AQ708" s="29" t="s">
        <v>124</v>
      </c>
    </row>
    <row r="709" spans="1:43" hidden="1">
      <c r="A709" s="28">
        <v>113420</v>
      </c>
      <c r="B709" s="5" t="s">
        <v>1045</v>
      </c>
      <c r="C709" s="5" t="s">
        <v>87</v>
      </c>
      <c r="D709" s="5" t="s">
        <v>88</v>
      </c>
      <c r="E709" s="5" t="s">
        <v>68</v>
      </c>
      <c r="F709" s="5" t="s">
        <v>152</v>
      </c>
      <c r="G709" s="5" t="s">
        <v>404</v>
      </c>
      <c r="H709" s="5" t="s">
        <v>142</v>
      </c>
      <c r="I709" s="6">
        <v>43</v>
      </c>
      <c r="J709" s="7">
        <v>44270</v>
      </c>
      <c r="K709" s="8" t="str">
        <f>IF(B709="","",IF(AND(I709="",J709=""),"Unknown",IF(OR(AND(ISNUMBER(I709),I709=0),AND(ISNUMBER(J709),J709&lt;=EDATE('Scoring Settings'!$B$4,-'Scoring Settings'!$B$5))),"Not in use",IF(AND(ISNUMBER(I709),I709&lt;'Scoring Settings'!$B$6),"Low use","Active"))))</f>
        <v>Active</v>
      </c>
      <c r="L709" s="5">
        <v>5</v>
      </c>
      <c r="M709" s="5">
        <v>2</v>
      </c>
      <c r="N709" s="5"/>
      <c r="O709" s="5" t="s">
        <v>143</v>
      </c>
      <c r="P709" s="5" t="s">
        <v>144</v>
      </c>
      <c r="Q709" s="9">
        <v>0</v>
      </c>
      <c r="R709" s="5" t="s">
        <v>145</v>
      </c>
      <c r="S709" s="5" t="s">
        <v>145</v>
      </c>
      <c r="T709" s="5" t="s">
        <v>146</v>
      </c>
      <c r="U709" s="7"/>
      <c r="V709" s="5" t="s">
        <v>78</v>
      </c>
      <c r="W709" s="6">
        <v>44</v>
      </c>
      <c r="X709" s="5" t="s">
        <v>79</v>
      </c>
      <c r="Y709" s="9">
        <v>7</v>
      </c>
      <c r="Z709" s="5" t="s">
        <v>80</v>
      </c>
      <c r="AA709" s="5" t="s">
        <v>185</v>
      </c>
      <c r="AB709" s="9">
        <v>14</v>
      </c>
      <c r="AC709" s="5" t="s">
        <v>80</v>
      </c>
      <c r="AD709" s="5" t="s">
        <v>82</v>
      </c>
      <c r="AE709" s="5" t="s">
        <v>79</v>
      </c>
      <c r="AF709" s="10">
        <v>95000</v>
      </c>
      <c r="AG709" s="7">
        <v>49643</v>
      </c>
      <c r="AH709" s="10"/>
      <c r="AI709" s="10"/>
      <c r="AJ709" s="11" t="str">
        <f t="shared" ref="AJ709:AJ772" si="11">IF(AND(ISNUMBER(AH709),ISNUMBER(AI709),N(AI709)&gt;0),AH709/AI709*12,"")</f>
        <v/>
      </c>
      <c r="AK709" s="12">
        <f>IF(B709="","",OR(K709="Not in use",K709="Low use")+AND(N709&lt;&gt;"",N709&lt;&gt;"TBD")+AND(ISNUMBER(U709),U709&lt;=EDATE('Scoring Settings'!$B$4,'Scoring Settings'!$B$8))+AND(ISNUMBER(L709),L709&lt;='Scoring Settings'!$B$7))</f>
        <v>0</v>
      </c>
      <c r="AL709" s="5" t="s">
        <v>83</v>
      </c>
      <c r="AM709" s="8" t="str">
        <f>IF(B709="","",IF(Z709="N","Easy",IF(OR(AND(ISNUMBER(AB709),AB709&gt;'Scoring Settings'!$B$11),AND(ISNUMBER(W709),W709&gt;'Scoring Settings'!$B$12),AND(ISNUMBER(M709),M709&lt;='Scoring Settings'!$B$13)),"High","Medium")))</f>
        <v>High</v>
      </c>
      <c r="AN709" s="5"/>
      <c r="AO709" s="7"/>
      <c r="AP709" s="5" t="s">
        <v>84</v>
      </c>
      <c r="AQ709" s="29" t="s">
        <v>273</v>
      </c>
    </row>
    <row r="710" spans="1:43" hidden="1">
      <c r="A710" s="28">
        <v>20527</v>
      </c>
      <c r="B710" s="5" t="s">
        <v>1046</v>
      </c>
      <c r="C710" s="5" t="s">
        <v>634</v>
      </c>
      <c r="D710" s="5" t="s">
        <v>297</v>
      </c>
      <c r="E710" s="5" t="s">
        <v>68</v>
      </c>
      <c r="F710" s="5" t="s">
        <v>157</v>
      </c>
      <c r="G710" s="5" t="s">
        <v>153</v>
      </c>
      <c r="H710" s="5" t="s">
        <v>91</v>
      </c>
      <c r="I710" s="6">
        <v>51</v>
      </c>
      <c r="J710" s="7">
        <v>44300</v>
      </c>
      <c r="K710" s="8" t="str">
        <f>IF(B710="","",IF(AND(I710="",J710=""),"Unknown",IF(OR(AND(ISNUMBER(I710),I710=0),AND(ISNUMBER(J710),J710&lt;=EDATE('Scoring Settings'!$B$4,-'Scoring Settings'!$B$5))),"Not in use",IF(AND(ISNUMBER(I710),I710&lt;'Scoring Settings'!$B$6),"Low use","Active"))))</f>
        <v>Active</v>
      </c>
      <c r="L710" s="5">
        <v>4</v>
      </c>
      <c r="M710" s="5">
        <v>2</v>
      </c>
      <c r="N710" s="5"/>
      <c r="O710" s="5" t="s">
        <v>191</v>
      </c>
      <c r="P710" s="5" t="s">
        <v>192</v>
      </c>
      <c r="Q710" s="9">
        <v>0</v>
      </c>
      <c r="R710" s="5" t="s">
        <v>193</v>
      </c>
      <c r="S710" s="5" t="s">
        <v>318</v>
      </c>
      <c r="T710" s="5" t="s">
        <v>195</v>
      </c>
      <c r="U710" s="7"/>
      <c r="V710" s="5" t="s">
        <v>78</v>
      </c>
      <c r="W710" s="6">
        <v>130</v>
      </c>
      <c r="X710" s="5" t="s">
        <v>80</v>
      </c>
      <c r="Y710" s="9">
        <v>10</v>
      </c>
      <c r="Z710" s="5" t="s">
        <v>79</v>
      </c>
      <c r="AA710" s="5" t="s">
        <v>110</v>
      </c>
      <c r="AB710" s="9">
        <v>23</v>
      </c>
      <c r="AC710" s="5" t="s">
        <v>79</v>
      </c>
      <c r="AD710" s="5" t="s">
        <v>82</v>
      </c>
      <c r="AE710" s="5" t="s">
        <v>82</v>
      </c>
      <c r="AF710" s="10">
        <v>22000</v>
      </c>
      <c r="AG710" s="7">
        <v>48365</v>
      </c>
      <c r="AH710" s="10"/>
      <c r="AI710" s="10"/>
      <c r="AJ710" s="11" t="str">
        <f t="shared" si="11"/>
        <v/>
      </c>
      <c r="AK710" s="12">
        <f>IF(B710="","",OR(K710="Not in use",K710="Low use")+AND(N710&lt;&gt;"",N710&lt;&gt;"TBD")+AND(ISNUMBER(U710),U710&lt;=EDATE('Scoring Settings'!$B$4,'Scoring Settings'!$B$8))+AND(ISNUMBER(L710),L710&lt;='Scoring Settings'!$B$7))</f>
        <v>0</v>
      </c>
      <c r="AL710" s="5" t="s">
        <v>83</v>
      </c>
      <c r="AM710" s="8" t="str">
        <f>IF(B710="","",IF(Z710="N","Easy",IF(OR(AND(ISNUMBER(AB710),AB710&gt;'Scoring Settings'!$B$11),AND(ISNUMBER(W710),W710&gt;'Scoring Settings'!$B$12),AND(ISNUMBER(M710),M710&lt;='Scoring Settings'!$B$13)),"High","Medium")))</f>
        <v>Easy</v>
      </c>
      <c r="AN710" s="5"/>
      <c r="AO710" s="7"/>
      <c r="AP710" s="5" t="s">
        <v>84</v>
      </c>
      <c r="AQ710" s="29" t="s">
        <v>85</v>
      </c>
    </row>
    <row r="711" spans="1:43" hidden="1">
      <c r="A711" s="28">
        <v>84843</v>
      </c>
      <c r="B711" s="5" t="s">
        <v>1047</v>
      </c>
      <c r="C711" s="5" t="s">
        <v>151</v>
      </c>
      <c r="D711" s="5" t="s">
        <v>102</v>
      </c>
      <c r="E711" s="5" t="s">
        <v>68</v>
      </c>
      <c r="F711" s="5" t="s">
        <v>103</v>
      </c>
      <c r="G711" s="5" t="s">
        <v>141</v>
      </c>
      <c r="H711" s="5" t="s">
        <v>71</v>
      </c>
      <c r="I711" s="6">
        <v>401</v>
      </c>
      <c r="J711" s="7">
        <v>44296</v>
      </c>
      <c r="K711" s="8" t="str">
        <f>IF(B711="","",IF(AND(I711="",J711=""),"Unknown",IF(OR(AND(ISNUMBER(I711),I711=0),AND(ISNUMBER(J711),J711&lt;=EDATE('Scoring Settings'!$B$4,-'Scoring Settings'!$B$5))),"Not in use",IF(AND(ISNUMBER(I711),I711&lt;'Scoring Settings'!$B$6),"Low use","Active"))))</f>
        <v>Active</v>
      </c>
      <c r="L711" s="5">
        <v>3</v>
      </c>
      <c r="M711" s="5">
        <v>3</v>
      </c>
      <c r="N711" s="5" t="s">
        <v>381</v>
      </c>
      <c r="O711" s="5" t="s">
        <v>73</v>
      </c>
      <c r="P711" s="5" t="s">
        <v>1048</v>
      </c>
      <c r="Q711" s="9">
        <v>2</v>
      </c>
      <c r="R711" s="5" t="s">
        <v>203</v>
      </c>
      <c r="S711" s="5" t="s">
        <v>72</v>
      </c>
      <c r="T711" s="5" t="s">
        <v>109</v>
      </c>
      <c r="U711" s="7">
        <v>47269</v>
      </c>
      <c r="V711" s="5" t="s">
        <v>95</v>
      </c>
      <c r="W711" s="6">
        <v>43</v>
      </c>
      <c r="X711" s="5" t="s">
        <v>79</v>
      </c>
      <c r="Y711" s="9">
        <v>3</v>
      </c>
      <c r="Z711" s="5" t="s">
        <v>80</v>
      </c>
      <c r="AA711" s="5" t="s">
        <v>205</v>
      </c>
      <c r="AB711" s="9">
        <v>2</v>
      </c>
      <c r="AC711" s="5" t="s">
        <v>82</v>
      </c>
      <c r="AD711" s="5" t="s">
        <v>79</v>
      </c>
      <c r="AE711" s="5" t="s">
        <v>79</v>
      </c>
      <c r="AF711" s="10">
        <v>11500</v>
      </c>
      <c r="AG711" s="7">
        <v>48091</v>
      </c>
      <c r="AH711" s="10"/>
      <c r="AI711" s="10"/>
      <c r="AJ711" s="11" t="str">
        <f t="shared" si="11"/>
        <v/>
      </c>
      <c r="AK711" s="12">
        <f>IF(B711="","",OR(K711="Not in use",K711="Low use")+AND(N711&lt;&gt;"",N711&lt;&gt;"TBD")+AND(ISNUMBER(U711),U711&lt;=EDATE('Scoring Settings'!$B$4,'Scoring Settings'!$B$8))+AND(ISNUMBER(L711),L711&lt;='Scoring Settings'!$B$7))</f>
        <v>1</v>
      </c>
      <c r="AL711" s="5" t="s">
        <v>111</v>
      </c>
      <c r="AM711" s="8" t="str">
        <f>IF(B711="","",IF(Z711="N","Easy",IF(OR(AND(ISNUMBER(AB711),AB711&gt;'Scoring Settings'!$B$11),AND(ISNUMBER(W711),W711&gt;'Scoring Settings'!$B$12),AND(ISNUMBER(M711),M711&lt;='Scoring Settings'!$B$13)),"High","Medium")))</f>
        <v>Medium</v>
      </c>
      <c r="AN711" s="5"/>
      <c r="AO711" s="7"/>
      <c r="AP711" s="5" t="s">
        <v>98</v>
      </c>
      <c r="AQ711" s="29" t="s">
        <v>112</v>
      </c>
    </row>
    <row r="712" spans="1:43" hidden="1">
      <c r="A712" s="28">
        <v>95683</v>
      </c>
      <c r="B712" s="5" t="s">
        <v>1051</v>
      </c>
      <c r="C712" s="5" t="s">
        <v>316</v>
      </c>
      <c r="D712" s="5" t="s">
        <v>67</v>
      </c>
      <c r="E712" s="5" t="s">
        <v>68</v>
      </c>
      <c r="F712" s="5" t="s">
        <v>89</v>
      </c>
      <c r="G712" s="5" t="s">
        <v>356</v>
      </c>
      <c r="H712" s="5" t="s">
        <v>174</v>
      </c>
      <c r="I712" s="6">
        <v>7</v>
      </c>
      <c r="J712" s="7">
        <v>44216</v>
      </c>
      <c r="K712" s="8" t="str">
        <f>IF(B712="","",IF(AND(I712="",J712=""),"Unknown",IF(OR(AND(ISNUMBER(I712),I712=0),AND(ISNUMBER(J712),J712&lt;=EDATE('Scoring Settings'!$B$4,-'Scoring Settings'!$B$5))),"Not in use",IF(AND(ISNUMBER(I712),I712&lt;'Scoring Settings'!$B$6),"Low use","Active"))))</f>
        <v>Low use</v>
      </c>
      <c r="L712" s="5">
        <v>2</v>
      </c>
      <c r="M712" s="5">
        <v>3</v>
      </c>
      <c r="N712" s="5"/>
      <c r="O712" s="5" t="s">
        <v>73</v>
      </c>
      <c r="P712" s="5" t="s">
        <v>1052</v>
      </c>
      <c r="Q712" s="9">
        <v>1</v>
      </c>
      <c r="R712" s="5" t="s">
        <v>182</v>
      </c>
      <c r="S712" s="5" t="s">
        <v>183</v>
      </c>
      <c r="T712" s="5" t="s">
        <v>72</v>
      </c>
      <c r="U712" s="7">
        <v>42855</v>
      </c>
      <c r="V712" s="5" t="s">
        <v>78</v>
      </c>
      <c r="W712" s="6">
        <v>8</v>
      </c>
      <c r="X712" s="5" t="s">
        <v>79</v>
      </c>
      <c r="Y712" s="9">
        <v>3</v>
      </c>
      <c r="Z712" s="5" t="s">
        <v>79</v>
      </c>
      <c r="AA712" s="5" t="s">
        <v>110</v>
      </c>
      <c r="AB712" s="9">
        <v>6</v>
      </c>
      <c r="AC712" s="5" t="s">
        <v>79</v>
      </c>
      <c r="AD712" s="5" t="s">
        <v>80</v>
      </c>
      <c r="AE712" s="5" t="s">
        <v>79</v>
      </c>
      <c r="AF712" s="10">
        <v>13000</v>
      </c>
      <c r="AG712" s="7">
        <v>47726</v>
      </c>
      <c r="AH712" s="10"/>
      <c r="AI712" s="10"/>
      <c r="AJ712" s="11" t="str">
        <f t="shared" si="11"/>
        <v/>
      </c>
      <c r="AK712" s="12">
        <f>IF(B712="","",OR(K712="Not in use",K712="Low use")+AND(N712&lt;&gt;"",N712&lt;&gt;"TBD")+AND(ISNUMBER(U712),U712&lt;=EDATE('Scoring Settings'!$B$4,'Scoring Settings'!$B$8))+AND(ISNUMBER(L712),L712&lt;='Scoring Settings'!$B$7))</f>
        <v>3</v>
      </c>
      <c r="AL712" s="5" t="s">
        <v>111</v>
      </c>
      <c r="AM712" s="8" t="str">
        <f>IF(B712="","",IF(Z712="N","Easy",IF(OR(AND(ISNUMBER(AB712),AB712&gt;'Scoring Settings'!$B$11),AND(ISNUMBER(W712),W712&gt;'Scoring Settings'!$B$12),AND(ISNUMBER(M712),M712&lt;='Scoring Settings'!$B$13)),"High","Medium")))</f>
        <v>Easy</v>
      </c>
      <c r="AN712" s="5"/>
      <c r="AO712" s="7"/>
      <c r="AP712" s="5" t="s">
        <v>98</v>
      </c>
      <c r="AQ712" s="29" t="s">
        <v>159</v>
      </c>
    </row>
    <row r="713" spans="1:43" hidden="1">
      <c r="A713" s="28">
        <v>14397</v>
      </c>
      <c r="B713" s="5" t="s">
        <v>1053</v>
      </c>
      <c r="C713" s="5" t="s">
        <v>634</v>
      </c>
      <c r="D713" s="5" t="s">
        <v>297</v>
      </c>
      <c r="E713" s="5" t="s">
        <v>68</v>
      </c>
      <c r="F713" s="5" t="s">
        <v>188</v>
      </c>
      <c r="G713" s="5" t="s">
        <v>404</v>
      </c>
      <c r="H713" s="5" t="s">
        <v>189</v>
      </c>
      <c r="I713" s="6">
        <v>187</v>
      </c>
      <c r="J713" s="7">
        <v>44300</v>
      </c>
      <c r="K713" s="8" t="str">
        <f>IF(B713="","",IF(AND(I713="",J713=""),"Unknown",IF(OR(AND(ISNUMBER(I713),I713=0),AND(ISNUMBER(J713),J713&lt;=EDATE('Scoring Settings'!$B$4,-'Scoring Settings'!$B$5))),"Not in use",IF(AND(ISNUMBER(I713),I713&lt;'Scoring Settings'!$B$6),"Low use","Active"))))</f>
        <v>Active</v>
      </c>
      <c r="L713" s="5">
        <v>2</v>
      </c>
      <c r="M713" s="5">
        <v>3</v>
      </c>
      <c r="N713" s="5"/>
      <c r="O713" s="5" t="s">
        <v>73</v>
      </c>
      <c r="P713" s="5" t="s">
        <v>1054</v>
      </c>
      <c r="Q713" s="9">
        <v>1</v>
      </c>
      <c r="R713" s="5" t="s">
        <v>330</v>
      </c>
      <c r="S713" s="5" t="s">
        <v>331</v>
      </c>
      <c r="T713" s="5" t="s">
        <v>109</v>
      </c>
      <c r="U713" s="7">
        <v>45046</v>
      </c>
      <c r="V713" s="5" t="s">
        <v>135</v>
      </c>
      <c r="W713" s="6">
        <v>66</v>
      </c>
      <c r="X713" s="5" t="s">
        <v>80</v>
      </c>
      <c r="Y713" s="9">
        <v>10</v>
      </c>
      <c r="Z713" s="5" t="s">
        <v>80</v>
      </c>
      <c r="AA713" s="5" t="s">
        <v>205</v>
      </c>
      <c r="AB713" s="9">
        <v>6</v>
      </c>
      <c r="AC713" s="5" t="s">
        <v>80</v>
      </c>
      <c r="AD713" s="5" t="s">
        <v>82</v>
      </c>
      <c r="AE713" s="5" t="s">
        <v>79</v>
      </c>
      <c r="AF713" s="10">
        <v>31000</v>
      </c>
      <c r="AG713" s="7">
        <v>49064</v>
      </c>
      <c r="AH713" s="10"/>
      <c r="AI713" s="10"/>
      <c r="AJ713" s="11" t="str">
        <f t="shared" si="11"/>
        <v/>
      </c>
      <c r="AK713" s="12">
        <f>IF(B713="","",OR(K713="Not in use",K713="Low use")+AND(N713&lt;&gt;"",N713&lt;&gt;"TBD")+AND(ISNUMBER(U713),U713&lt;=EDATE('Scoring Settings'!$B$4,'Scoring Settings'!$B$8))+AND(ISNUMBER(L713),L713&lt;='Scoring Settings'!$B$7))</f>
        <v>1</v>
      </c>
      <c r="AL713" s="5" t="s">
        <v>111</v>
      </c>
      <c r="AM713" s="8" t="str">
        <f>IF(B713="","",IF(Z713="N","Easy",IF(OR(AND(ISNUMBER(AB713),AB713&gt;'Scoring Settings'!$B$11),AND(ISNUMBER(W713),W713&gt;'Scoring Settings'!$B$12),AND(ISNUMBER(M713),M713&lt;='Scoring Settings'!$B$13)),"High","Medium")))</f>
        <v>High</v>
      </c>
      <c r="AN713" s="5"/>
      <c r="AO713" s="7"/>
      <c r="AP713" s="5" t="s">
        <v>98</v>
      </c>
      <c r="AQ713" s="29" t="s">
        <v>124</v>
      </c>
    </row>
    <row r="714" spans="1:43" hidden="1">
      <c r="A714" s="28">
        <v>22551</v>
      </c>
      <c r="B714" s="5" t="s">
        <v>1057</v>
      </c>
      <c r="C714" s="5" t="s">
        <v>13</v>
      </c>
      <c r="D714" s="5" t="s">
        <v>162</v>
      </c>
      <c r="E714" s="5" t="s">
        <v>68</v>
      </c>
      <c r="F714" s="5" t="s">
        <v>302</v>
      </c>
      <c r="G714" s="5" t="s">
        <v>153</v>
      </c>
      <c r="H714" s="5" t="s">
        <v>142</v>
      </c>
      <c r="I714" s="6">
        <v>20</v>
      </c>
      <c r="J714" s="7">
        <v>44280</v>
      </c>
      <c r="K714" s="8" t="str">
        <f>IF(B714="","",IF(AND(I714="",J714=""),"Unknown",IF(OR(AND(ISNUMBER(I714),I714=0),AND(ISNUMBER(J714),J714&lt;=EDATE('Scoring Settings'!$B$4,-'Scoring Settings'!$B$5))),"Not in use",IF(AND(ISNUMBER(I714),I714&lt;'Scoring Settings'!$B$6),"Low use","Active"))))</f>
        <v>Low use</v>
      </c>
      <c r="L714" s="5">
        <v>4</v>
      </c>
      <c r="M714" s="5">
        <v>3</v>
      </c>
      <c r="N714" s="5"/>
      <c r="O714" s="5" t="s">
        <v>143</v>
      </c>
      <c r="P714" s="5" t="s">
        <v>144</v>
      </c>
      <c r="Q714" s="9">
        <v>0</v>
      </c>
      <c r="R714" s="5" t="s">
        <v>145</v>
      </c>
      <c r="S714" s="5" t="s">
        <v>145</v>
      </c>
      <c r="T714" s="5" t="s">
        <v>146</v>
      </c>
      <c r="U714" s="7">
        <v>44681</v>
      </c>
      <c r="V714" s="5" t="s">
        <v>135</v>
      </c>
      <c r="W714" s="6">
        <v>89</v>
      </c>
      <c r="X714" s="5" t="s">
        <v>80</v>
      </c>
      <c r="Y714" s="9">
        <v>10</v>
      </c>
      <c r="Z714" s="5" t="s">
        <v>79</v>
      </c>
      <c r="AA714" s="5" t="s">
        <v>110</v>
      </c>
      <c r="AB714" s="9">
        <v>7</v>
      </c>
      <c r="AC714" s="5" t="s">
        <v>80</v>
      </c>
      <c r="AD714" s="5" t="s">
        <v>80</v>
      </c>
      <c r="AE714" s="5" t="s">
        <v>82</v>
      </c>
      <c r="AF714" s="10">
        <v>55000</v>
      </c>
      <c r="AG714" s="7">
        <v>46418</v>
      </c>
      <c r="AH714" s="10"/>
      <c r="AI714" s="10"/>
      <c r="AJ714" s="11" t="str">
        <f t="shared" si="11"/>
        <v/>
      </c>
      <c r="AK714" s="12">
        <f>IF(B714="","",OR(K714="Not in use",K714="Low use")+AND(N714&lt;&gt;"",N714&lt;&gt;"TBD")+AND(ISNUMBER(U714),U714&lt;=EDATE('Scoring Settings'!$B$4,'Scoring Settings'!$B$8))+AND(ISNUMBER(L714),L714&lt;='Scoring Settings'!$B$7))</f>
        <v>2</v>
      </c>
      <c r="AL714" s="5" t="s">
        <v>83</v>
      </c>
      <c r="AM714" s="8" t="str">
        <f>IF(B714="","",IF(Z714="N","Easy",IF(OR(AND(ISNUMBER(AB714),AB714&gt;'Scoring Settings'!$B$11),AND(ISNUMBER(W714),W714&gt;'Scoring Settings'!$B$12),AND(ISNUMBER(M714),M714&lt;='Scoring Settings'!$B$13)),"High","Medium")))</f>
        <v>Easy</v>
      </c>
      <c r="AN714" s="5"/>
      <c r="AO714" s="7"/>
      <c r="AP714" s="5" t="s">
        <v>84</v>
      </c>
      <c r="AQ714" s="29" t="s">
        <v>85</v>
      </c>
    </row>
    <row r="715" spans="1:43" hidden="1">
      <c r="A715" s="28">
        <v>90023</v>
      </c>
      <c r="B715" s="5" t="s">
        <v>1064</v>
      </c>
      <c r="C715" s="5" t="s">
        <v>667</v>
      </c>
      <c r="D715" s="5" t="s">
        <v>115</v>
      </c>
      <c r="E715" s="5" t="s">
        <v>68</v>
      </c>
      <c r="F715" s="5" t="s">
        <v>89</v>
      </c>
      <c r="G715" s="5" t="s">
        <v>141</v>
      </c>
      <c r="H715" s="5" t="s">
        <v>71</v>
      </c>
      <c r="I715" s="6">
        <v>246</v>
      </c>
      <c r="J715" s="7">
        <v>44314</v>
      </c>
      <c r="K715" s="8" t="str">
        <f>IF(B715="","",IF(AND(I715="",J715=""),"Unknown",IF(OR(AND(ISNUMBER(I715),I715=0),AND(ISNUMBER(J715),J715&lt;=EDATE('Scoring Settings'!$B$4,-'Scoring Settings'!$B$5))),"Not in use",IF(AND(ISNUMBER(I715),I715&lt;'Scoring Settings'!$B$6),"Low use","Active"))))</f>
        <v>Active</v>
      </c>
      <c r="L715" s="5">
        <v>5</v>
      </c>
      <c r="M715" s="5">
        <v>2</v>
      </c>
      <c r="N715" s="5"/>
      <c r="O715" s="5" t="s">
        <v>130</v>
      </c>
      <c r="P715" s="5" t="s">
        <v>1065</v>
      </c>
      <c r="Q715" s="9">
        <v>3</v>
      </c>
      <c r="R715" s="5" t="s">
        <v>75</v>
      </c>
      <c r="S715" s="5" t="s">
        <v>76</v>
      </c>
      <c r="T715" s="5" t="s">
        <v>168</v>
      </c>
      <c r="U715" s="7">
        <v>46399</v>
      </c>
      <c r="V715" s="5" t="s">
        <v>135</v>
      </c>
      <c r="W715" s="6">
        <v>3</v>
      </c>
      <c r="X715" s="5" t="s">
        <v>80</v>
      </c>
      <c r="Y715" s="9">
        <v>7</v>
      </c>
      <c r="Z715" s="5" t="s">
        <v>80</v>
      </c>
      <c r="AA715" s="5" t="s">
        <v>147</v>
      </c>
      <c r="AB715" s="9">
        <v>25</v>
      </c>
      <c r="AC715" s="5" t="s">
        <v>82</v>
      </c>
      <c r="AD715" s="5" t="s">
        <v>79</v>
      </c>
      <c r="AE715" s="5" t="s">
        <v>82</v>
      </c>
      <c r="AF715" s="10">
        <v>70000</v>
      </c>
      <c r="AG715" s="7">
        <v>46599</v>
      </c>
      <c r="AH715" s="10"/>
      <c r="AI715" s="10"/>
      <c r="AJ715" s="11" t="str">
        <f t="shared" si="11"/>
        <v/>
      </c>
      <c r="AK715" s="12">
        <f>IF(B715="","",OR(K715="Not in use",K715="Low use")+AND(N715&lt;&gt;"",N715&lt;&gt;"TBD")+AND(ISNUMBER(U715),U715&lt;=EDATE('Scoring Settings'!$B$4,'Scoring Settings'!$B$8))+AND(ISNUMBER(L715),L715&lt;='Scoring Settings'!$B$7))</f>
        <v>0</v>
      </c>
      <c r="AL715" s="5" t="s">
        <v>83</v>
      </c>
      <c r="AM715" s="8" t="str">
        <f>IF(B715="","",IF(Z715="N","Easy",IF(OR(AND(ISNUMBER(AB715),AB715&gt;'Scoring Settings'!$B$11),AND(ISNUMBER(W715),W715&gt;'Scoring Settings'!$B$12),AND(ISNUMBER(M715),M715&lt;='Scoring Settings'!$B$13)),"High","Medium")))</f>
        <v>High</v>
      </c>
      <c r="AN715" s="5"/>
      <c r="AO715" s="7"/>
      <c r="AP715" s="5" t="s">
        <v>84</v>
      </c>
      <c r="AQ715" s="29" t="s">
        <v>314</v>
      </c>
    </row>
    <row r="716" spans="1:43" hidden="1">
      <c r="A716" s="28">
        <v>63953</v>
      </c>
      <c r="B716" s="5" t="s">
        <v>1068</v>
      </c>
      <c r="C716" s="5" t="s">
        <v>215</v>
      </c>
      <c r="D716" s="5" t="s">
        <v>139</v>
      </c>
      <c r="E716" s="5" t="s">
        <v>68</v>
      </c>
      <c r="F716" s="5" t="s">
        <v>263</v>
      </c>
      <c r="G716" s="5" t="s">
        <v>267</v>
      </c>
      <c r="H716" s="5" t="s">
        <v>105</v>
      </c>
      <c r="I716" s="6">
        <v>735</v>
      </c>
      <c r="J716" s="7">
        <v>44280</v>
      </c>
      <c r="K716" s="8" t="str">
        <f>IF(B716="","",IF(AND(I716="",J716=""),"Unknown",IF(OR(AND(ISNUMBER(I716),I716=0),AND(ISNUMBER(J716),J716&lt;=EDATE('Scoring Settings'!$B$4,-'Scoring Settings'!$B$5))),"Not in use",IF(AND(ISNUMBER(I716),I716&lt;'Scoring Settings'!$B$6),"Low use","Active"))))</f>
        <v>Active</v>
      </c>
      <c r="L716" s="5">
        <v>5</v>
      </c>
      <c r="M716" s="5">
        <v>1</v>
      </c>
      <c r="N716" s="5"/>
      <c r="O716" s="5" t="s">
        <v>130</v>
      </c>
      <c r="P716" s="5" t="s">
        <v>1069</v>
      </c>
      <c r="Q716" s="9">
        <v>1</v>
      </c>
      <c r="R716" s="5" t="s">
        <v>203</v>
      </c>
      <c r="S716" s="5" t="s">
        <v>204</v>
      </c>
      <c r="T716" s="5" t="s">
        <v>195</v>
      </c>
      <c r="U716" s="7">
        <v>47269</v>
      </c>
      <c r="V716" s="5" t="s">
        <v>135</v>
      </c>
      <c r="W716" s="6">
        <v>240</v>
      </c>
      <c r="X716" s="5" t="s">
        <v>80</v>
      </c>
      <c r="Y716" s="9">
        <v>10</v>
      </c>
      <c r="Z716" s="5" t="s">
        <v>79</v>
      </c>
      <c r="AA716" s="5" t="s">
        <v>110</v>
      </c>
      <c r="AB716" s="9">
        <v>44</v>
      </c>
      <c r="AC716" s="5" t="s">
        <v>82</v>
      </c>
      <c r="AD716" s="5" t="s">
        <v>80</v>
      </c>
      <c r="AE716" s="5" t="s">
        <v>82</v>
      </c>
      <c r="AF716" s="10">
        <v>42500</v>
      </c>
      <c r="AG716" s="7">
        <v>47087</v>
      </c>
      <c r="AH716" s="10"/>
      <c r="AI716" s="10"/>
      <c r="AJ716" s="11" t="str">
        <f t="shared" si="11"/>
        <v/>
      </c>
      <c r="AK716" s="12">
        <f>IF(B716="","",OR(K716="Not in use",K716="Low use")+AND(N716&lt;&gt;"",N716&lt;&gt;"TBD")+AND(ISNUMBER(U716),U716&lt;=EDATE('Scoring Settings'!$B$4,'Scoring Settings'!$B$8))+AND(ISNUMBER(L716),L716&lt;='Scoring Settings'!$B$7))</f>
        <v>0</v>
      </c>
      <c r="AL716" s="5" t="s">
        <v>83</v>
      </c>
      <c r="AM716" s="8" t="str">
        <f>IF(B716="","",IF(Z716="N","Easy",IF(OR(AND(ISNUMBER(AB716),AB716&gt;'Scoring Settings'!$B$11),AND(ISNUMBER(W716),W716&gt;'Scoring Settings'!$B$12),AND(ISNUMBER(M716),M716&lt;='Scoring Settings'!$B$13)),"High","Medium")))</f>
        <v>Easy</v>
      </c>
      <c r="AN716" s="5"/>
      <c r="AO716" s="7"/>
      <c r="AP716" s="5" t="s">
        <v>84</v>
      </c>
      <c r="AQ716" s="29" t="s">
        <v>314</v>
      </c>
    </row>
    <row r="717" spans="1:43" hidden="1">
      <c r="A717" s="28">
        <v>176556</v>
      </c>
      <c r="B717" s="5" t="s">
        <v>1075</v>
      </c>
      <c r="C717" s="5" t="s">
        <v>667</v>
      </c>
      <c r="D717" s="5" t="s">
        <v>115</v>
      </c>
      <c r="E717" s="5" t="s">
        <v>68</v>
      </c>
      <c r="F717" s="5" t="s">
        <v>188</v>
      </c>
      <c r="G717" s="5" t="s">
        <v>128</v>
      </c>
      <c r="H717" s="5" t="s">
        <v>174</v>
      </c>
      <c r="I717" s="6">
        <v>14</v>
      </c>
      <c r="J717" s="7">
        <v>44208</v>
      </c>
      <c r="K717" s="8" t="str">
        <f>IF(B717="","",IF(AND(I717="",J717=""),"Unknown",IF(OR(AND(ISNUMBER(I717),I717=0),AND(ISNUMBER(J717),J717&lt;=EDATE('Scoring Settings'!$B$4,-'Scoring Settings'!$B$5))),"Not in use",IF(AND(ISNUMBER(I717),I717&lt;'Scoring Settings'!$B$6),"Low use","Active"))))</f>
        <v>Low use</v>
      </c>
      <c r="L717" s="5">
        <v>5</v>
      </c>
      <c r="M717" s="5">
        <v>1</v>
      </c>
      <c r="N717" s="5"/>
      <c r="O717" s="5" t="s">
        <v>130</v>
      </c>
      <c r="P717" s="5" t="s">
        <v>1076</v>
      </c>
      <c r="Q717" s="9">
        <v>3</v>
      </c>
      <c r="R717" s="5" t="s">
        <v>93</v>
      </c>
      <c r="S717" s="5" t="s">
        <v>94</v>
      </c>
      <c r="T717" s="5" t="s">
        <v>134</v>
      </c>
      <c r="U717" s="7">
        <v>44561</v>
      </c>
      <c r="V717" s="5" t="s">
        <v>95</v>
      </c>
      <c r="W717" s="6">
        <v>34</v>
      </c>
      <c r="X717" s="5" t="s">
        <v>79</v>
      </c>
      <c r="Y717" s="9">
        <v>2</v>
      </c>
      <c r="Z717" s="5" t="s">
        <v>80</v>
      </c>
      <c r="AA717" s="5" t="s">
        <v>205</v>
      </c>
      <c r="AB717" s="9">
        <v>58</v>
      </c>
      <c r="AC717" s="5" t="s">
        <v>80</v>
      </c>
      <c r="AD717" s="5" t="s">
        <v>80</v>
      </c>
      <c r="AE717" s="5" t="s">
        <v>79</v>
      </c>
      <c r="AF717" s="10">
        <v>130000</v>
      </c>
      <c r="AG717" s="7">
        <v>49156</v>
      </c>
      <c r="AH717" s="10"/>
      <c r="AI717" s="10"/>
      <c r="AJ717" s="11" t="str">
        <f t="shared" si="11"/>
        <v/>
      </c>
      <c r="AK717" s="12">
        <f>IF(B717="","",OR(K717="Not in use",K717="Low use")+AND(N717&lt;&gt;"",N717&lt;&gt;"TBD")+AND(ISNUMBER(U717),U717&lt;=EDATE('Scoring Settings'!$B$4,'Scoring Settings'!$B$8))+AND(ISNUMBER(L717),L717&lt;='Scoring Settings'!$B$7))</f>
        <v>2</v>
      </c>
      <c r="AL717" s="5" t="s">
        <v>111</v>
      </c>
      <c r="AM717" s="8" t="str">
        <f>IF(B717="","",IF(Z717="N","Easy",IF(OR(AND(ISNUMBER(AB717),AB717&gt;'Scoring Settings'!$B$11),AND(ISNUMBER(W717),W717&gt;'Scoring Settings'!$B$12),AND(ISNUMBER(M717),M717&lt;='Scoring Settings'!$B$13)),"High","Medium")))</f>
        <v>High</v>
      </c>
      <c r="AN717" s="5"/>
      <c r="AO717" s="7"/>
      <c r="AP717" s="5" t="s">
        <v>98</v>
      </c>
      <c r="AQ717" s="29" t="s">
        <v>112</v>
      </c>
    </row>
    <row r="718" spans="1:43" hidden="1">
      <c r="A718" s="28">
        <v>152316</v>
      </c>
      <c r="B718" s="5" t="s">
        <v>1083</v>
      </c>
      <c r="C718" s="5" t="s">
        <v>234</v>
      </c>
      <c r="D718" s="5" t="s">
        <v>102</v>
      </c>
      <c r="E718" s="5" t="s">
        <v>68</v>
      </c>
      <c r="F718" s="5" t="s">
        <v>387</v>
      </c>
      <c r="G718" s="5" t="s">
        <v>284</v>
      </c>
      <c r="H718" s="5" t="s">
        <v>142</v>
      </c>
      <c r="I718" s="6">
        <v>6</v>
      </c>
      <c r="J718" s="7">
        <v>44295</v>
      </c>
      <c r="K718" s="8" t="str">
        <f>IF(B718="","",IF(AND(I718="",J718=""),"Unknown",IF(OR(AND(ISNUMBER(I718),I718=0),AND(ISNUMBER(J718),J718&lt;=EDATE('Scoring Settings'!$B$4,-'Scoring Settings'!$B$5))),"Not in use",IF(AND(ISNUMBER(I718),I718&lt;'Scoring Settings'!$B$6),"Low use","Active"))))</f>
        <v>Low use</v>
      </c>
      <c r="L718" s="5">
        <v>5</v>
      </c>
      <c r="M718" s="5">
        <v>1</v>
      </c>
      <c r="N718" s="5"/>
      <c r="O718" s="5" t="s">
        <v>143</v>
      </c>
      <c r="P718" s="5" t="s">
        <v>144</v>
      </c>
      <c r="Q718" s="9">
        <v>0</v>
      </c>
      <c r="R718" s="5" t="s">
        <v>145</v>
      </c>
      <c r="S718" s="5" t="s">
        <v>145</v>
      </c>
      <c r="T718" s="5" t="s">
        <v>146</v>
      </c>
      <c r="U718" s="7">
        <v>45291</v>
      </c>
      <c r="V718" s="5" t="s">
        <v>78</v>
      </c>
      <c r="W718" s="6">
        <v>79</v>
      </c>
      <c r="X718" s="5" t="s">
        <v>80</v>
      </c>
      <c r="Y718" s="9">
        <v>7</v>
      </c>
      <c r="Z718" s="5" t="s">
        <v>80</v>
      </c>
      <c r="AA718" s="5" t="s">
        <v>185</v>
      </c>
      <c r="AB718" s="9">
        <v>50</v>
      </c>
      <c r="AC718" s="5" t="s">
        <v>79</v>
      </c>
      <c r="AD718" s="5" t="s">
        <v>79</v>
      </c>
      <c r="AE718" s="5" t="s">
        <v>82</v>
      </c>
      <c r="AF718" s="10">
        <v>435000</v>
      </c>
      <c r="AG718" s="7">
        <v>45991</v>
      </c>
      <c r="AH718" s="10"/>
      <c r="AI718" s="10"/>
      <c r="AJ718" s="11" t="str">
        <f t="shared" si="11"/>
        <v/>
      </c>
      <c r="AK718" s="12">
        <f>IF(B718="","",OR(K718="Not in use",K718="Low use")+AND(N718&lt;&gt;"",N718&lt;&gt;"TBD")+AND(ISNUMBER(U718),U718&lt;=EDATE('Scoring Settings'!$B$4,'Scoring Settings'!$B$8))+AND(ISNUMBER(L718),L718&lt;='Scoring Settings'!$B$7))</f>
        <v>1</v>
      </c>
      <c r="AL718" s="5" t="s">
        <v>83</v>
      </c>
      <c r="AM718" s="8" t="str">
        <f>IF(B718="","",IF(Z718="N","Easy",IF(OR(AND(ISNUMBER(AB718),AB718&gt;'Scoring Settings'!$B$11),AND(ISNUMBER(W718),W718&gt;'Scoring Settings'!$B$12),AND(ISNUMBER(M718),M718&lt;='Scoring Settings'!$B$13)),"High","Medium")))</f>
        <v>High</v>
      </c>
      <c r="AN718" s="5"/>
      <c r="AO718" s="7"/>
      <c r="AP718" s="5" t="s">
        <v>84</v>
      </c>
      <c r="AQ718" s="29" t="s">
        <v>314</v>
      </c>
    </row>
    <row r="719" spans="1:43" ht="42.75" hidden="1">
      <c r="A719" s="28">
        <v>34166</v>
      </c>
      <c r="B719" s="5" t="s">
        <v>1084</v>
      </c>
      <c r="C719" s="5" t="s">
        <v>172</v>
      </c>
      <c r="D719" s="5" t="s">
        <v>162</v>
      </c>
      <c r="E719" s="5" t="s">
        <v>68</v>
      </c>
      <c r="F719" s="5" t="s">
        <v>476</v>
      </c>
      <c r="G719" s="5" t="s">
        <v>356</v>
      </c>
      <c r="H719" s="5" t="s">
        <v>105</v>
      </c>
      <c r="I719" s="6">
        <v>273</v>
      </c>
      <c r="J719" s="7">
        <v>44273</v>
      </c>
      <c r="K719" s="8" t="str">
        <f>IF(B719="","",IF(AND(I719="",J719=""),"Unknown",IF(OR(AND(ISNUMBER(I719),I719=0),AND(ISNUMBER(J719),J719&lt;=EDATE('Scoring Settings'!$B$4,-'Scoring Settings'!$B$5))),"Not in use",IF(AND(ISNUMBER(I719),I719&lt;'Scoring Settings'!$B$6),"Low use","Active"))))</f>
        <v>Active</v>
      </c>
      <c r="L719" s="5">
        <v>3</v>
      </c>
      <c r="M719" s="5">
        <v>2</v>
      </c>
      <c r="N719" s="5" t="s">
        <v>164</v>
      </c>
      <c r="O719" s="5" t="s">
        <v>73</v>
      </c>
      <c r="P719" s="5" t="s">
        <v>1085</v>
      </c>
      <c r="Q719" s="9">
        <v>1</v>
      </c>
      <c r="R719" s="5" t="s">
        <v>245</v>
      </c>
      <c r="S719" s="5" t="s">
        <v>246</v>
      </c>
      <c r="T719" s="5" t="s">
        <v>109</v>
      </c>
      <c r="U719" s="7">
        <v>45777</v>
      </c>
      <c r="V719" s="5" t="s">
        <v>135</v>
      </c>
      <c r="W719" s="6">
        <v>180</v>
      </c>
      <c r="X719" s="5" t="s">
        <v>79</v>
      </c>
      <c r="Y719" s="9">
        <v>7</v>
      </c>
      <c r="Z719" s="5" t="s">
        <v>79</v>
      </c>
      <c r="AA719" s="5" t="s">
        <v>110</v>
      </c>
      <c r="AB719" s="9">
        <v>25</v>
      </c>
      <c r="AC719" s="5" t="s">
        <v>82</v>
      </c>
      <c r="AD719" s="5" t="s">
        <v>79</v>
      </c>
      <c r="AE719" s="5" t="s">
        <v>82</v>
      </c>
      <c r="AF719" s="10">
        <v>48500</v>
      </c>
      <c r="AG719" s="7">
        <v>47149</v>
      </c>
      <c r="AH719" s="10"/>
      <c r="AI719" s="10"/>
      <c r="AJ719" s="11" t="str">
        <f t="shared" si="11"/>
        <v/>
      </c>
      <c r="AK719" s="12">
        <f>IF(B719="","",OR(K719="Not in use",K719="Low use")+AND(N719&lt;&gt;"",N719&lt;&gt;"TBD")+AND(ISNUMBER(U719),U719&lt;=EDATE('Scoring Settings'!$B$4,'Scoring Settings'!$B$8))+AND(ISNUMBER(L719),L719&lt;='Scoring Settings'!$B$7))</f>
        <v>1</v>
      </c>
      <c r="AL719" s="5" t="s">
        <v>111</v>
      </c>
      <c r="AM719" s="8" t="str">
        <f>IF(B719="","",IF(Z719="N","Easy",IF(OR(AND(ISNUMBER(AB719),AB719&gt;'Scoring Settings'!$B$11),AND(ISNUMBER(W719),W719&gt;'Scoring Settings'!$B$12),AND(ISNUMBER(M719),M719&lt;='Scoring Settings'!$B$13)),"High","Medium")))</f>
        <v>Easy</v>
      </c>
      <c r="AN719" s="5"/>
      <c r="AO719" s="7"/>
      <c r="AP719" s="5" t="s">
        <v>98</v>
      </c>
      <c r="AQ719" s="29" t="s">
        <v>913</v>
      </c>
    </row>
    <row r="720" spans="1:43" hidden="1">
      <c r="A720" s="28">
        <v>124194</v>
      </c>
      <c r="B720" s="5" t="s">
        <v>1092</v>
      </c>
      <c r="C720" s="5" t="s">
        <v>151</v>
      </c>
      <c r="D720" s="5" t="s">
        <v>102</v>
      </c>
      <c r="E720" s="5" t="s">
        <v>68</v>
      </c>
      <c r="F720" s="5" t="s">
        <v>249</v>
      </c>
      <c r="G720" s="5" t="s">
        <v>128</v>
      </c>
      <c r="H720" s="5" t="s">
        <v>142</v>
      </c>
      <c r="I720" s="6">
        <v>282</v>
      </c>
      <c r="J720" s="7">
        <v>44278</v>
      </c>
      <c r="K720" s="8" t="str">
        <f>IF(B720="","",IF(AND(I720="",J720=""),"Unknown",IF(OR(AND(ISNUMBER(I720),I720=0),AND(ISNUMBER(J720),J720&lt;=EDATE('Scoring Settings'!$B$4,-'Scoring Settings'!$B$5))),"Not in use",IF(AND(ISNUMBER(I720),I720&lt;'Scoring Settings'!$B$6),"Low use","Active"))))</f>
        <v>Active</v>
      </c>
      <c r="L720" s="5">
        <v>2</v>
      </c>
      <c r="M720" s="5">
        <v>4</v>
      </c>
      <c r="N720" s="5"/>
      <c r="O720" s="5" t="s">
        <v>143</v>
      </c>
      <c r="P720" s="5" t="s">
        <v>144</v>
      </c>
      <c r="Q720" s="9">
        <v>0</v>
      </c>
      <c r="R720" s="5" t="s">
        <v>145</v>
      </c>
      <c r="S720" s="5" t="s">
        <v>145</v>
      </c>
      <c r="T720" s="5" t="s">
        <v>146</v>
      </c>
      <c r="U720" s="7"/>
      <c r="V720" s="5" t="s">
        <v>135</v>
      </c>
      <c r="W720" s="6">
        <v>110</v>
      </c>
      <c r="X720" s="5" t="s">
        <v>79</v>
      </c>
      <c r="Y720" s="9">
        <v>1</v>
      </c>
      <c r="Z720" s="5" t="s">
        <v>80</v>
      </c>
      <c r="AA720" s="5" t="s">
        <v>205</v>
      </c>
      <c r="AB720" s="9">
        <v>1</v>
      </c>
      <c r="AC720" s="5" t="s">
        <v>79</v>
      </c>
      <c r="AD720" s="5" t="s">
        <v>82</v>
      </c>
      <c r="AE720" s="5" t="s">
        <v>82</v>
      </c>
      <c r="AF720" s="10">
        <v>25500</v>
      </c>
      <c r="AG720" s="7">
        <v>45808</v>
      </c>
      <c r="AH720" s="10"/>
      <c r="AI720" s="10"/>
      <c r="AJ720" s="11" t="str">
        <f t="shared" si="11"/>
        <v/>
      </c>
      <c r="AK720" s="12">
        <f>IF(B720="","",OR(K720="Not in use",K720="Low use")+AND(N720&lt;&gt;"",N720&lt;&gt;"TBD")+AND(ISNUMBER(U720),U720&lt;=EDATE('Scoring Settings'!$B$4,'Scoring Settings'!$B$8))+AND(ISNUMBER(L720),L720&lt;='Scoring Settings'!$B$7))</f>
        <v>1</v>
      </c>
      <c r="AL720" s="5" t="s">
        <v>83</v>
      </c>
      <c r="AM720" s="8" t="str">
        <f>IF(B720="","",IF(Z720="N","Easy",IF(OR(AND(ISNUMBER(AB720),AB720&gt;'Scoring Settings'!$B$11),AND(ISNUMBER(W720),W720&gt;'Scoring Settings'!$B$12),AND(ISNUMBER(M720),M720&lt;='Scoring Settings'!$B$13)),"High","Medium")))</f>
        <v>Medium</v>
      </c>
      <c r="AN720" s="5"/>
      <c r="AO720" s="7"/>
      <c r="AP720" s="5" t="s">
        <v>84</v>
      </c>
      <c r="AQ720" s="29" t="s">
        <v>247</v>
      </c>
    </row>
    <row r="721" spans="1:43" hidden="1">
      <c r="A721" s="28">
        <v>91407</v>
      </c>
      <c r="B721" s="5" t="s">
        <v>1095</v>
      </c>
      <c r="C721" s="5" t="s">
        <v>699</v>
      </c>
      <c r="D721" s="5" t="s">
        <v>297</v>
      </c>
      <c r="E721" s="5" t="s">
        <v>298</v>
      </c>
      <c r="F721" s="5" t="s">
        <v>209</v>
      </c>
      <c r="G721" s="5" t="s">
        <v>221</v>
      </c>
      <c r="H721" s="5" t="s">
        <v>71</v>
      </c>
      <c r="I721" s="6">
        <v>97</v>
      </c>
      <c r="J721" s="7">
        <v>44311</v>
      </c>
      <c r="K721" s="8" t="str">
        <f>IF(B721="","",IF(AND(I721="",J721=""),"Unknown",IF(OR(AND(ISNUMBER(I721),I721=0),AND(ISNUMBER(J721),J721&lt;=EDATE('Scoring Settings'!$B$4,-'Scoring Settings'!$B$5))),"Not in use",IF(AND(ISNUMBER(I721),I721&lt;'Scoring Settings'!$B$6),"Low use","Active"))))</f>
        <v>Active</v>
      </c>
      <c r="L721" s="5">
        <v>4</v>
      </c>
      <c r="M721" s="5">
        <v>2</v>
      </c>
      <c r="N721" s="5"/>
      <c r="O721" s="5" t="s">
        <v>130</v>
      </c>
      <c r="P721" s="5" t="s">
        <v>1096</v>
      </c>
      <c r="Q721" s="9">
        <v>3</v>
      </c>
      <c r="R721" s="5" t="s">
        <v>75</v>
      </c>
      <c r="S721" s="5" t="s">
        <v>121</v>
      </c>
      <c r="T721" s="5" t="s">
        <v>195</v>
      </c>
      <c r="U721" s="7">
        <v>46217</v>
      </c>
      <c r="V721" s="5" t="s">
        <v>95</v>
      </c>
      <c r="W721" s="6">
        <v>200</v>
      </c>
      <c r="X721" s="5" t="s">
        <v>79</v>
      </c>
      <c r="Y721" s="9">
        <v>3</v>
      </c>
      <c r="Z721" s="5" t="s">
        <v>80</v>
      </c>
      <c r="AA721" s="5" t="s">
        <v>205</v>
      </c>
      <c r="AB721" s="9">
        <v>17</v>
      </c>
      <c r="AC721" s="5" t="s">
        <v>82</v>
      </c>
      <c r="AD721" s="5" t="s">
        <v>82</v>
      </c>
      <c r="AE721" s="5" t="s">
        <v>82</v>
      </c>
      <c r="AF721" s="10">
        <v>27000</v>
      </c>
      <c r="AG721" s="7">
        <v>47634</v>
      </c>
      <c r="AH721" s="10"/>
      <c r="AI721" s="10"/>
      <c r="AJ721" s="11" t="str">
        <f t="shared" si="11"/>
        <v/>
      </c>
      <c r="AK721" s="12">
        <f>IF(B721="","",OR(K721="Not in use",K721="Low use")+AND(N721&lt;&gt;"",N721&lt;&gt;"TBD")+AND(ISNUMBER(U721),U721&lt;=EDATE('Scoring Settings'!$B$4,'Scoring Settings'!$B$8))+AND(ISNUMBER(L721),L721&lt;='Scoring Settings'!$B$7))</f>
        <v>0</v>
      </c>
      <c r="AL721" s="5" t="s">
        <v>83</v>
      </c>
      <c r="AM721" s="8" t="str">
        <f>IF(B721="","",IF(Z721="N","Easy",IF(OR(AND(ISNUMBER(AB721),AB721&gt;'Scoring Settings'!$B$11),AND(ISNUMBER(W721),W721&gt;'Scoring Settings'!$B$12),AND(ISNUMBER(M721),M721&lt;='Scoring Settings'!$B$13)),"High","Medium")))</f>
        <v>High</v>
      </c>
      <c r="AN721" s="5"/>
      <c r="AO721" s="7"/>
      <c r="AP721" s="5" t="s">
        <v>84</v>
      </c>
      <c r="AQ721" s="29" t="s">
        <v>247</v>
      </c>
    </row>
    <row r="722" spans="1:43" ht="57" hidden="1">
      <c r="A722" s="28">
        <v>149447</v>
      </c>
      <c r="B722" s="5" t="s">
        <v>1097</v>
      </c>
      <c r="C722" s="5" t="s">
        <v>13</v>
      </c>
      <c r="D722" s="5" t="s">
        <v>162</v>
      </c>
      <c r="E722" s="5" t="s">
        <v>68</v>
      </c>
      <c r="F722" s="5" t="s">
        <v>236</v>
      </c>
      <c r="G722" s="5" t="s">
        <v>284</v>
      </c>
      <c r="H722" s="5" t="s">
        <v>174</v>
      </c>
      <c r="I722" s="6">
        <v>732</v>
      </c>
      <c r="J722" s="7">
        <v>44303</v>
      </c>
      <c r="K722" s="8" t="str">
        <f>IF(B722="","",IF(AND(I722="",J722=""),"Unknown",IF(OR(AND(ISNUMBER(I722),I722=0),AND(ISNUMBER(J722),J722&lt;=EDATE('Scoring Settings'!$B$4,-'Scoring Settings'!$B$5))),"Not in use",IF(AND(ISNUMBER(I722),I722&lt;'Scoring Settings'!$B$6),"Low use","Active"))))</f>
        <v>Active</v>
      </c>
      <c r="L722" s="5">
        <v>4</v>
      </c>
      <c r="M722" s="5">
        <v>2</v>
      </c>
      <c r="N722" s="5"/>
      <c r="O722" s="5" t="s">
        <v>191</v>
      </c>
      <c r="P722" s="5" t="s">
        <v>192</v>
      </c>
      <c r="Q722" s="9">
        <v>0</v>
      </c>
      <c r="R722" s="5" t="s">
        <v>193</v>
      </c>
      <c r="S722" s="5" t="s">
        <v>318</v>
      </c>
      <c r="T722" s="5" t="s">
        <v>195</v>
      </c>
      <c r="U722" s="7"/>
      <c r="V722" s="5" t="s">
        <v>78</v>
      </c>
      <c r="W722" s="6">
        <v>46</v>
      </c>
      <c r="X722" s="5" t="s">
        <v>79</v>
      </c>
      <c r="Y722" s="9">
        <v>5</v>
      </c>
      <c r="Z722" s="5" t="s">
        <v>79</v>
      </c>
      <c r="AA722" s="5" t="s">
        <v>110</v>
      </c>
      <c r="AB722" s="9">
        <v>15</v>
      </c>
      <c r="AC722" s="5" t="s">
        <v>82</v>
      </c>
      <c r="AD722" s="5" t="s">
        <v>82</v>
      </c>
      <c r="AE722" s="5" t="s">
        <v>80</v>
      </c>
      <c r="AF722" s="10">
        <v>10000</v>
      </c>
      <c r="AG722" s="7">
        <v>45991</v>
      </c>
      <c r="AH722" s="10">
        <v>17500</v>
      </c>
      <c r="AI722" s="10">
        <v>10000</v>
      </c>
      <c r="AJ722" s="11">
        <f t="shared" si="11"/>
        <v>21</v>
      </c>
      <c r="AK722" s="12">
        <f>IF(B722="","",OR(K722="Not in use",K722="Low use")+AND(N722&lt;&gt;"",N722&lt;&gt;"TBD")+AND(ISNUMBER(U722),U722&lt;=EDATE('Scoring Settings'!$B$4,'Scoring Settings'!$B$8))+AND(ISNUMBER(L722),L722&lt;='Scoring Settings'!$B$7))</f>
        <v>0</v>
      </c>
      <c r="AL722" s="5" t="s">
        <v>111</v>
      </c>
      <c r="AM722" s="8" t="str">
        <f>IF(B722="","",IF(Z722="N","Easy",IF(OR(AND(ISNUMBER(AB722),AB722&gt;'Scoring Settings'!$B$11),AND(ISNUMBER(W722),W722&gt;'Scoring Settings'!$B$12),AND(ISNUMBER(M722),M722&lt;='Scoring Settings'!$B$13)),"High","Medium")))</f>
        <v>Easy</v>
      </c>
      <c r="AN722" s="5"/>
      <c r="AO722" s="7"/>
      <c r="AP722" s="5" t="s">
        <v>98</v>
      </c>
      <c r="AQ722" s="29" t="s">
        <v>1098</v>
      </c>
    </row>
    <row r="723" spans="1:43" hidden="1">
      <c r="A723" s="28">
        <v>107757</v>
      </c>
      <c r="B723" s="5" t="s">
        <v>1100</v>
      </c>
      <c r="C723" s="5" t="s">
        <v>13</v>
      </c>
      <c r="D723" s="5" t="s">
        <v>162</v>
      </c>
      <c r="E723" s="5" t="s">
        <v>68</v>
      </c>
      <c r="F723" s="5" t="s">
        <v>103</v>
      </c>
      <c r="G723" s="5" t="s">
        <v>404</v>
      </c>
      <c r="H723" s="5" t="s">
        <v>142</v>
      </c>
      <c r="I723" s="6">
        <v>53</v>
      </c>
      <c r="J723" s="7">
        <v>44291</v>
      </c>
      <c r="K723" s="8" t="str">
        <f>IF(B723="","",IF(AND(I723="",J723=""),"Unknown",IF(OR(AND(ISNUMBER(I723),I723=0),AND(ISNUMBER(J723),J723&lt;=EDATE('Scoring Settings'!$B$4,-'Scoring Settings'!$B$5))),"Not in use",IF(AND(ISNUMBER(I723),I723&lt;'Scoring Settings'!$B$6),"Low use","Active"))))</f>
        <v>Active</v>
      </c>
      <c r="L723" s="5">
        <v>4</v>
      </c>
      <c r="M723" s="5">
        <v>2</v>
      </c>
      <c r="N723" s="5" t="s">
        <v>72</v>
      </c>
      <c r="O723" s="5" t="s">
        <v>143</v>
      </c>
      <c r="P723" s="5" t="s">
        <v>144</v>
      </c>
      <c r="Q723" s="9">
        <v>0</v>
      </c>
      <c r="R723" s="5" t="s">
        <v>145</v>
      </c>
      <c r="S723" s="5" t="s">
        <v>145</v>
      </c>
      <c r="T723" s="5" t="s">
        <v>146</v>
      </c>
      <c r="U723" s="7"/>
      <c r="V723" s="5" t="s">
        <v>135</v>
      </c>
      <c r="W723" s="6">
        <v>95</v>
      </c>
      <c r="X723" s="5" t="s">
        <v>79</v>
      </c>
      <c r="Y723" s="9">
        <v>3</v>
      </c>
      <c r="Z723" s="5" t="s">
        <v>79</v>
      </c>
      <c r="AA723" s="5" t="s">
        <v>110</v>
      </c>
      <c r="AB723" s="9">
        <v>24</v>
      </c>
      <c r="AC723" s="5" t="s">
        <v>82</v>
      </c>
      <c r="AD723" s="5" t="s">
        <v>80</v>
      </c>
      <c r="AE723" s="5" t="s">
        <v>80</v>
      </c>
      <c r="AF723" s="10">
        <v>11500</v>
      </c>
      <c r="AG723" s="7">
        <v>48273</v>
      </c>
      <c r="AH723" s="10"/>
      <c r="AI723" s="10"/>
      <c r="AJ723" s="11" t="str">
        <f t="shared" si="11"/>
        <v/>
      </c>
      <c r="AK723" s="12">
        <f>IF(B723="","",OR(K723="Not in use",K723="Low use")+AND(N723&lt;&gt;"",N723&lt;&gt;"TBD")+AND(ISNUMBER(U723),U723&lt;=EDATE('Scoring Settings'!$B$4,'Scoring Settings'!$B$8))+AND(ISNUMBER(L723),L723&lt;='Scoring Settings'!$B$7))</f>
        <v>0</v>
      </c>
      <c r="AL723" s="5" t="s">
        <v>83</v>
      </c>
      <c r="AM723" s="8" t="str">
        <f>IF(B723="","",IF(Z723="N","Easy",IF(OR(AND(ISNUMBER(AB723),AB723&gt;'Scoring Settings'!$B$11),AND(ISNUMBER(W723),W723&gt;'Scoring Settings'!$B$12),AND(ISNUMBER(M723),M723&lt;='Scoring Settings'!$B$13)),"High","Medium")))</f>
        <v>Easy</v>
      </c>
      <c r="AN723" s="5"/>
      <c r="AO723" s="7"/>
      <c r="AP723" s="5" t="s">
        <v>84</v>
      </c>
      <c r="AQ723" s="29" t="s">
        <v>314</v>
      </c>
    </row>
    <row r="724" spans="1:43" hidden="1">
      <c r="A724" s="28">
        <v>136615</v>
      </c>
      <c r="B724" s="5" t="s">
        <v>1101</v>
      </c>
      <c r="C724" s="5" t="s">
        <v>464</v>
      </c>
      <c r="D724" s="5" t="s">
        <v>88</v>
      </c>
      <c r="E724" s="5" t="s">
        <v>68</v>
      </c>
      <c r="F724" s="5" t="s">
        <v>560</v>
      </c>
      <c r="G724" s="5" t="s">
        <v>128</v>
      </c>
      <c r="H724" s="5" t="s">
        <v>189</v>
      </c>
      <c r="I724" s="6">
        <v>3769</v>
      </c>
      <c r="J724" s="7">
        <v>44277</v>
      </c>
      <c r="K724" s="8" t="str">
        <f>IF(B724="","",IF(AND(I724="",J724=""),"Unknown",IF(OR(AND(ISNUMBER(I724),I724=0),AND(ISNUMBER(J724),J724&lt;=EDATE('Scoring Settings'!$B$4,-'Scoring Settings'!$B$5))),"Not in use",IF(AND(ISNUMBER(I724),I724&lt;'Scoring Settings'!$B$6),"Low use","Active"))))</f>
        <v>Active</v>
      </c>
      <c r="L724" s="5">
        <v>3</v>
      </c>
      <c r="M724" s="5">
        <v>4</v>
      </c>
      <c r="N724" s="5" t="s">
        <v>180</v>
      </c>
      <c r="O724" s="5" t="s">
        <v>73</v>
      </c>
      <c r="P724" s="5" t="s">
        <v>1102</v>
      </c>
      <c r="Q724" s="9">
        <v>3</v>
      </c>
      <c r="R724" s="5" t="s">
        <v>335</v>
      </c>
      <c r="S724" s="5" t="s">
        <v>336</v>
      </c>
      <c r="T724" s="5" t="s">
        <v>77</v>
      </c>
      <c r="U724" s="7">
        <v>45473</v>
      </c>
      <c r="V724" s="5" t="s">
        <v>78</v>
      </c>
      <c r="W724" s="6">
        <v>8</v>
      </c>
      <c r="X724" s="5" t="s">
        <v>80</v>
      </c>
      <c r="Y724" s="9">
        <v>5</v>
      </c>
      <c r="Z724" s="5" t="s">
        <v>79</v>
      </c>
      <c r="AA724" s="5" t="s">
        <v>110</v>
      </c>
      <c r="AB724" s="9">
        <v>1</v>
      </c>
      <c r="AC724" s="5" t="s">
        <v>80</v>
      </c>
      <c r="AD724" s="5" t="s">
        <v>79</v>
      </c>
      <c r="AE724" s="5" t="s">
        <v>80</v>
      </c>
      <c r="AF724" s="10">
        <v>55000</v>
      </c>
      <c r="AG724" s="7">
        <v>46418</v>
      </c>
      <c r="AH724" s="10">
        <v>50500</v>
      </c>
      <c r="AI724" s="10">
        <v>37000</v>
      </c>
      <c r="AJ724" s="11">
        <f t="shared" si="11"/>
        <v>16.378378378378379</v>
      </c>
      <c r="AK724" s="12">
        <f>IF(B724="","",OR(K724="Not in use",K724="Low use")+AND(N724&lt;&gt;"",N724&lt;&gt;"TBD")+AND(ISNUMBER(U724),U724&lt;=EDATE('Scoring Settings'!$B$4,'Scoring Settings'!$B$8))+AND(ISNUMBER(L724),L724&lt;='Scoring Settings'!$B$7))</f>
        <v>1</v>
      </c>
      <c r="AL724" s="5" t="s">
        <v>111</v>
      </c>
      <c r="AM724" s="8" t="str">
        <f>IF(B724="","",IF(Z724="N","Easy",IF(OR(AND(ISNUMBER(AB724),AB724&gt;'Scoring Settings'!$B$11),AND(ISNUMBER(W724),W724&gt;'Scoring Settings'!$B$12),AND(ISNUMBER(M724),M724&lt;='Scoring Settings'!$B$13)),"High","Medium")))</f>
        <v>Easy</v>
      </c>
      <c r="AN724" s="5"/>
      <c r="AO724" s="7"/>
      <c r="AP724" s="5" t="s">
        <v>98</v>
      </c>
      <c r="AQ724" s="29" t="s">
        <v>112</v>
      </c>
    </row>
    <row r="725" spans="1:43" hidden="1">
      <c r="A725" s="28">
        <v>143960</v>
      </c>
      <c r="B725" s="5" t="s">
        <v>1105</v>
      </c>
      <c r="C725" s="5" t="s">
        <v>270</v>
      </c>
      <c r="D725" s="5" t="s">
        <v>139</v>
      </c>
      <c r="E725" s="5" t="s">
        <v>68</v>
      </c>
      <c r="F725" s="5" t="s">
        <v>312</v>
      </c>
      <c r="G725" s="5" t="s">
        <v>70</v>
      </c>
      <c r="H725" s="5" t="s">
        <v>142</v>
      </c>
      <c r="I725" s="6">
        <v>34</v>
      </c>
      <c r="J725" s="7">
        <v>44302</v>
      </c>
      <c r="K725" s="8" t="str">
        <f>IF(B725="","",IF(AND(I725="",J725=""),"Unknown",IF(OR(AND(ISNUMBER(I725),I725=0),AND(ISNUMBER(J725),J725&lt;=EDATE('Scoring Settings'!$B$4,-'Scoring Settings'!$B$5))),"Not in use",IF(AND(ISNUMBER(I725),I725&lt;'Scoring Settings'!$B$6),"Low use","Active"))))</f>
        <v>Active</v>
      </c>
      <c r="L725" s="5">
        <v>3</v>
      </c>
      <c r="M725" s="5">
        <v>3</v>
      </c>
      <c r="N725" s="5"/>
      <c r="O725" s="5" t="s">
        <v>143</v>
      </c>
      <c r="P725" s="5" t="s">
        <v>144</v>
      </c>
      <c r="Q725" s="9">
        <v>0</v>
      </c>
      <c r="R725" s="5" t="s">
        <v>145</v>
      </c>
      <c r="S725" s="5" t="s">
        <v>145</v>
      </c>
      <c r="T725" s="5" t="s">
        <v>146</v>
      </c>
      <c r="U725" s="7"/>
      <c r="V725" s="5" t="s">
        <v>95</v>
      </c>
      <c r="W725" s="6">
        <v>85</v>
      </c>
      <c r="X725" s="5" t="s">
        <v>79</v>
      </c>
      <c r="Y725" s="9">
        <v>2</v>
      </c>
      <c r="Z725" s="5" t="s">
        <v>79</v>
      </c>
      <c r="AA725" s="5" t="s">
        <v>110</v>
      </c>
      <c r="AB725" s="9">
        <v>6</v>
      </c>
      <c r="AC725" s="5" t="s">
        <v>79</v>
      </c>
      <c r="AD725" s="5" t="s">
        <v>82</v>
      </c>
      <c r="AE725" s="5" t="s">
        <v>79</v>
      </c>
      <c r="AF725" s="10">
        <v>14000</v>
      </c>
      <c r="AG725" s="7">
        <v>45688</v>
      </c>
      <c r="AH725" s="10"/>
      <c r="AI725" s="10"/>
      <c r="AJ725" s="11" t="str">
        <f t="shared" si="11"/>
        <v/>
      </c>
      <c r="AK725" s="12">
        <f>IF(B725="","",OR(K725="Not in use",K725="Low use")+AND(N725&lt;&gt;"",N725&lt;&gt;"TBD")+AND(ISNUMBER(U725),U725&lt;=EDATE('Scoring Settings'!$B$4,'Scoring Settings'!$B$8))+AND(ISNUMBER(L725),L725&lt;='Scoring Settings'!$B$7))</f>
        <v>0</v>
      </c>
      <c r="AL725" s="5" t="s">
        <v>83</v>
      </c>
      <c r="AM725" s="8" t="str">
        <f>IF(B725="","",IF(Z725="N","Easy",IF(OR(AND(ISNUMBER(AB725),AB725&gt;'Scoring Settings'!$B$11),AND(ISNUMBER(W725),W725&gt;'Scoring Settings'!$B$12),AND(ISNUMBER(M725),M725&lt;='Scoring Settings'!$B$13)),"High","Medium")))</f>
        <v>Easy</v>
      </c>
      <c r="AN725" s="5"/>
      <c r="AO725" s="7"/>
      <c r="AP725" s="5" t="s">
        <v>84</v>
      </c>
      <c r="AQ725" s="29" t="s">
        <v>247</v>
      </c>
    </row>
    <row r="726" spans="1:43" hidden="1">
      <c r="A726" s="28">
        <v>153000</v>
      </c>
      <c r="B726" s="5" t="s">
        <v>1108</v>
      </c>
      <c r="C726" s="5" t="s">
        <v>156</v>
      </c>
      <c r="D726" s="5" t="s">
        <v>139</v>
      </c>
      <c r="E726" s="5" t="s">
        <v>68</v>
      </c>
      <c r="F726" s="5" t="s">
        <v>157</v>
      </c>
      <c r="G726" s="5" t="s">
        <v>226</v>
      </c>
      <c r="H726" s="5" t="s">
        <v>118</v>
      </c>
      <c r="I726" s="6">
        <v>399</v>
      </c>
      <c r="J726" s="7">
        <v>44289</v>
      </c>
      <c r="K726" s="8" t="str">
        <f>IF(B726="","",IF(AND(I726="",J726=""),"Unknown",IF(OR(AND(ISNUMBER(I726),I726=0),AND(ISNUMBER(J726),J726&lt;=EDATE('Scoring Settings'!$B$4,-'Scoring Settings'!$B$5))),"Not in use",IF(AND(ISNUMBER(I726),I726&lt;'Scoring Settings'!$B$6),"Low use","Active"))))</f>
        <v>Active</v>
      </c>
      <c r="L726" s="5">
        <v>3</v>
      </c>
      <c r="M726" s="5">
        <v>4</v>
      </c>
      <c r="N726" s="5"/>
      <c r="O726" s="5" t="s">
        <v>191</v>
      </c>
      <c r="P726" s="5" t="s">
        <v>192</v>
      </c>
      <c r="Q726" s="9">
        <v>0</v>
      </c>
      <c r="R726" s="5" t="s">
        <v>193</v>
      </c>
      <c r="S726" s="5" t="s">
        <v>194</v>
      </c>
      <c r="T726" s="5" t="s">
        <v>195</v>
      </c>
      <c r="U726" s="7"/>
      <c r="V726" s="5" t="s">
        <v>135</v>
      </c>
      <c r="W726" s="6">
        <v>440</v>
      </c>
      <c r="X726" s="5" t="s">
        <v>79</v>
      </c>
      <c r="Y726" s="9">
        <v>1</v>
      </c>
      <c r="Z726" s="5" t="s">
        <v>80</v>
      </c>
      <c r="AA726" s="5" t="s">
        <v>81</v>
      </c>
      <c r="AB726" s="9">
        <v>1</v>
      </c>
      <c r="AC726" s="5" t="s">
        <v>80</v>
      </c>
      <c r="AD726" s="5" t="s">
        <v>82</v>
      </c>
      <c r="AE726" s="5" t="s">
        <v>79</v>
      </c>
      <c r="AF726" s="10">
        <v>13500</v>
      </c>
      <c r="AG726" s="7">
        <v>49429</v>
      </c>
      <c r="AH726" s="10"/>
      <c r="AI726" s="10"/>
      <c r="AJ726" s="11" t="str">
        <f t="shared" si="11"/>
        <v/>
      </c>
      <c r="AK726" s="12">
        <f>IF(B726="","",OR(K726="Not in use",K726="Low use")+AND(N726&lt;&gt;"",N726&lt;&gt;"TBD")+AND(ISNUMBER(U726),U726&lt;=EDATE('Scoring Settings'!$B$4,'Scoring Settings'!$B$8))+AND(ISNUMBER(L726),L726&lt;='Scoring Settings'!$B$7))</f>
        <v>0</v>
      </c>
      <c r="AL726" s="5" t="s">
        <v>83</v>
      </c>
      <c r="AM726" s="8" t="str">
        <f>IF(B726="","",IF(Z726="N","Easy",IF(OR(AND(ISNUMBER(AB726),AB726&gt;'Scoring Settings'!$B$11),AND(ISNUMBER(W726),W726&gt;'Scoring Settings'!$B$12),AND(ISNUMBER(M726),M726&lt;='Scoring Settings'!$B$13)),"High","Medium")))</f>
        <v>Medium</v>
      </c>
      <c r="AN726" s="5"/>
      <c r="AO726" s="7"/>
      <c r="AP726" s="5" t="s">
        <v>84</v>
      </c>
      <c r="AQ726" s="29" t="s">
        <v>206</v>
      </c>
    </row>
    <row r="727" spans="1:43" hidden="1">
      <c r="A727" s="28">
        <v>179587</v>
      </c>
      <c r="B727" s="5" t="s">
        <v>1121</v>
      </c>
      <c r="C727" s="5" t="s">
        <v>161</v>
      </c>
      <c r="D727" s="5" t="s">
        <v>162</v>
      </c>
      <c r="E727" s="5" t="s">
        <v>68</v>
      </c>
      <c r="F727" s="5" t="s">
        <v>419</v>
      </c>
      <c r="G727" s="5" t="s">
        <v>271</v>
      </c>
      <c r="H727" s="5" t="s">
        <v>174</v>
      </c>
      <c r="I727" s="6">
        <v>15</v>
      </c>
      <c r="J727" s="7">
        <v>44220</v>
      </c>
      <c r="K727" s="8" t="str">
        <f>IF(B727="","",IF(AND(I727="",J727=""),"Unknown",IF(OR(AND(ISNUMBER(I727),I727=0),AND(ISNUMBER(J727),J727&lt;=EDATE('Scoring Settings'!$B$4,-'Scoring Settings'!$B$5))),"Not in use",IF(AND(ISNUMBER(I727),I727&lt;'Scoring Settings'!$B$6),"Low use","Active"))))</f>
        <v>Low use</v>
      </c>
      <c r="L727" s="5">
        <v>5</v>
      </c>
      <c r="M727" s="5">
        <v>1</v>
      </c>
      <c r="N727" s="5"/>
      <c r="O727" s="5" t="s">
        <v>73</v>
      </c>
      <c r="P727" s="5" t="s">
        <v>1122</v>
      </c>
      <c r="Q727" s="9">
        <v>1</v>
      </c>
      <c r="R727" s="5" t="s">
        <v>166</v>
      </c>
      <c r="S727" s="5" t="s">
        <v>308</v>
      </c>
      <c r="T727" s="5" t="s">
        <v>77</v>
      </c>
      <c r="U727" s="7">
        <v>45209</v>
      </c>
      <c r="V727" s="5" t="s">
        <v>78</v>
      </c>
      <c r="W727" s="6">
        <v>120</v>
      </c>
      <c r="X727" s="5" t="s">
        <v>79</v>
      </c>
      <c r="Y727" s="9">
        <v>1</v>
      </c>
      <c r="Z727" s="5" t="s">
        <v>80</v>
      </c>
      <c r="AA727" s="5" t="s">
        <v>205</v>
      </c>
      <c r="AB727" s="9">
        <v>17</v>
      </c>
      <c r="AC727" s="5" t="s">
        <v>82</v>
      </c>
      <c r="AD727" s="5" t="s">
        <v>82</v>
      </c>
      <c r="AE727" s="5" t="s">
        <v>82</v>
      </c>
      <c r="AF727" s="10">
        <v>120000</v>
      </c>
      <c r="AG727" s="7">
        <v>45991</v>
      </c>
      <c r="AH727" s="10"/>
      <c r="AI727" s="10"/>
      <c r="AJ727" s="11" t="str">
        <f t="shared" si="11"/>
        <v/>
      </c>
      <c r="AK727" s="12">
        <f>IF(B727="","",OR(K727="Not in use",K727="Low use")+AND(N727&lt;&gt;"",N727&lt;&gt;"TBD")+AND(ISNUMBER(U727),U727&lt;=EDATE('Scoring Settings'!$B$4,'Scoring Settings'!$B$8))+AND(ISNUMBER(L727),L727&lt;='Scoring Settings'!$B$7))</f>
        <v>1</v>
      </c>
      <c r="AL727" s="5" t="s">
        <v>83</v>
      </c>
      <c r="AM727" s="8" t="str">
        <f>IF(B727="","",IF(Z727="N","Easy",IF(OR(AND(ISNUMBER(AB727),AB727&gt;'Scoring Settings'!$B$11),AND(ISNUMBER(W727),W727&gt;'Scoring Settings'!$B$12),AND(ISNUMBER(M727),M727&lt;='Scoring Settings'!$B$13)),"High","Medium")))</f>
        <v>High</v>
      </c>
      <c r="AN727" s="5"/>
      <c r="AO727" s="7"/>
      <c r="AP727" s="5" t="s">
        <v>98</v>
      </c>
      <c r="AQ727" s="29" t="s">
        <v>273</v>
      </c>
    </row>
    <row r="728" spans="1:43" hidden="1">
      <c r="A728" s="28">
        <v>87783</v>
      </c>
      <c r="B728" s="5" t="s">
        <v>1123</v>
      </c>
      <c r="C728" s="5" t="s">
        <v>371</v>
      </c>
      <c r="D728" s="5" t="s">
        <v>162</v>
      </c>
      <c r="E728" s="5" t="s">
        <v>298</v>
      </c>
      <c r="F728" s="5" t="s">
        <v>243</v>
      </c>
      <c r="G728" s="5" t="s">
        <v>117</v>
      </c>
      <c r="H728" s="5" t="s">
        <v>189</v>
      </c>
      <c r="I728" s="6"/>
      <c r="J728" s="7"/>
      <c r="K728" s="8" t="str">
        <f>IF(B728="","",IF(AND(I728="",J728=""),"Unknown",IF(OR(AND(ISNUMBER(I728),I728=0),AND(ISNUMBER(J728),J728&lt;=EDATE('Scoring Settings'!$B$4,-'Scoring Settings'!$B$5))),"Not in use",IF(AND(ISNUMBER(I728),I728&lt;'Scoring Settings'!$B$6),"Low use","Active"))))</f>
        <v>Unknown</v>
      </c>
      <c r="L728" s="5">
        <v>3</v>
      </c>
      <c r="M728" s="5">
        <v>4</v>
      </c>
      <c r="N728" s="5"/>
      <c r="O728" s="5" t="s">
        <v>73</v>
      </c>
      <c r="P728" s="5" t="s">
        <v>1124</v>
      </c>
      <c r="Q728" s="9">
        <v>4</v>
      </c>
      <c r="R728" s="5" t="s">
        <v>182</v>
      </c>
      <c r="S728" s="5" t="s">
        <v>183</v>
      </c>
      <c r="T728" s="5" t="s">
        <v>184</v>
      </c>
      <c r="U728" s="7">
        <v>42855</v>
      </c>
      <c r="V728" s="5" t="s">
        <v>78</v>
      </c>
      <c r="W728" s="6">
        <v>78</v>
      </c>
      <c r="X728" s="5" t="s">
        <v>79</v>
      </c>
      <c r="Y728" s="9">
        <v>3</v>
      </c>
      <c r="Z728" s="5" t="s">
        <v>79</v>
      </c>
      <c r="AA728" s="5" t="s">
        <v>110</v>
      </c>
      <c r="AB728" s="9">
        <v>3</v>
      </c>
      <c r="AC728" s="5" t="s">
        <v>82</v>
      </c>
      <c r="AD728" s="5" t="s">
        <v>79</v>
      </c>
      <c r="AE728" s="5" t="s">
        <v>80</v>
      </c>
      <c r="AF728" s="10">
        <v>37500</v>
      </c>
      <c r="AG728" s="7">
        <v>48457</v>
      </c>
      <c r="AH728" s="10"/>
      <c r="AI728" s="10"/>
      <c r="AJ728" s="11" t="str">
        <f t="shared" si="11"/>
        <v/>
      </c>
      <c r="AK728" s="12">
        <f>IF(B728="","",OR(K728="Not in use",K728="Low use")+AND(N728&lt;&gt;"",N728&lt;&gt;"TBD")+AND(ISNUMBER(U728),U728&lt;=EDATE('Scoring Settings'!$B$4,'Scoring Settings'!$B$8))+AND(ISNUMBER(L728),L728&lt;='Scoring Settings'!$B$7))</f>
        <v>1</v>
      </c>
      <c r="AL728" s="5" t="s">
        <v>111</v>
      </c>
      <c r="AM728" s="8" t="str">
        <f>IF(B728="","",IF(Z728="N","Easy",IF(OR(AND(ISNUMBER(AB728),AB728&gt;'Scoring Settings'!$B$11),AND(ISNUMBER(W728),W728&gt;'Scoring Settings'!$B$12),AND(ISNUMBER(M728),M728&lt;='Scoring Settings'!$B$13)),"High","Medium")))</f>
        <v>Easy</v>
      </c>
      <c r="AN728" s="5"/>
      <c r="AO728" s="7"/>
      <c r="AP728" s="5" t="s">
        <v>98</v>
      </c>
      <c r="AQ728" s="29" t="s">
        <v>112</v>
      </c>
    </row>
    <row r="729" spans="1:43" hidden="1">
      <c r="A729" s="28">
        <v>67272</v>
      </c>
      <c r="B729" s="5" t="s">
        <v>1130</v>
      </c>
      <c r="C729" s="5" t="s">
        <v>234</v>
      </c>
      <c r="D729" s="5" t="s">
        <v>102</v>
      </c>
      <c r="E729" s="5" t="s">
        <v>68</v>
      </c>
      <c r="F729" s="5" t="s">
        <v>387</v>
      </c>
      <c r="G729" s="5" t="s">
        <v>271</v>
      </c>
      <c r="H729" s="5" t="s">
        <v>105</v>
      </c>
      <c r="I729" s="6">
        <v>933</v>
      </c>
      <c r="J729" s="7">
        <v>44290</v>
      </c>
      <c r="K729" s="8" t="str">
        <f>IF(B729="","",IF(AND(I729="",J729=""),"Unknown",IF(OR(AND(ISNUMBER(I729),I729=0),AND(ISNUMBER(J729),J729&lt;=EDATE('Scoring Settings'!$B$4,-'Scoring Settings'!$B$5))),"Not in use",IF(AND(ISNUMBER(I729),I729&lt;'Scoring Settings'!$B$6),"Low use","Active"))))</f>
        <v>Active</v>
      </c>
      <c r="L729" s="5">
        <v>3</v>
      </c>
      <c r="M729" s="5">
        <v>3</v>
      </c>
      <c r="N729" s="5"/>
      <c r="O729" s="5" t="s">
        <v>130</v>
      </c>
      <c r="P729" s="5" t="s">
        <v>1131</v>
      </c>
      <c r="Q729" s="9">
        <v>1</v>
      </c>
      <c r="R729" s="5" t="s">
        <v>166</v>
      </c>
      <c r="S729" s="5" t="s">
        <v>308</v>
      </c>
      <c r="T729" s="5" t="s">
        <v>195</v>
      </c>
      <c r="U729" s="7">
        <v>45209</v>
      </c>
      <c r="V729" s="5" t="s">
        <v>95</v>
      </c>
      <c r="W729" s="6">
        <v>17</v>
      </c>
      <c r="X729" s="5" t="s">
        <v>80</v>
      </c>
      <c r="Y729" s="9">
        <v>7</v>
      </c>
      <c r="Z729" s="5" t="s">
        <v>80</v>
      </c>
      <c r="AA729" s="5" t="s">
        <v>185</v>
      </c>
      <c r="AB729" s="9">
        <v>2</v>
      </c>
      <c r="AC729" s="5" t="s">
        <v>79</v>
      </c>
      <c r="AD729" s="5" t="s">
        <v>82</v>
      </c>
      <c r="AE729" s="5" t="s">
        <v>80</v>
      </c>
      <c r="AF729" s="10">
        <v>23000</v>
      </c>
      <c r="AG729" s="7">
        <v>47422</v>
      </c>
      <c r="AH729" s="10">
        <v>31000</v>
      </c>
      <c r="AI729" s="10">
        <v>19500</v>
      </c>
      <c r="AJ729" s="11">
        <f t="shared" si="11"/>
        <v>19.076923076923077</v>
      </c>
      <c r="AK729" s="12">
        <f>IF(B729="","",OR(K729="Not in use",K729="Low use")+AND(N729&lt;&gt;"",N729&lt;&gt;"TBD")+AND(ISNUMBER(U729),U729&lt;=EDATE('Scoring Settings'!$B$4,'Scoring Settings'!$B$8))+AND(ISNUMBER(L729),L729&lt;='Scoring Settings'!$B$7))</f>
        <v>0</v>
      </c>
      <c r="AL729" s="5" t="s">
        <v>111</v>
      </c>
      <c r="AM729" s="8" t="str">
        <f>IF(B729="","",IF(Z729="N","Easy",IF(OR(AND(ISNUMBER(AB729),AB729&gt;'Scoring Settings'!$B$11),AND(ISNUMBER(W729),W729&gt;'Scoring Settings'!$B$12),AND(ISNUMBER(M729),M729&lt;='Scoring Settings'!$B$13)),"High","Medium")))</f>
        <v>Medium</v>
      </c>
      <c r="AN729" s="5"/>
      <c r="AO729" s="7"/>
      <c r="AP729" s="5" t="s">
        <v>98</v>
      </c>
      <c r="AQ729" s="29" t="s">
        <v>112</v>
      </c>
    </row>
    <row r="730" spans="1:43" hidden="1">
      <c r="A730" s="28">
        <v>54211</v>
      </c>
      <c r="B730" s="5" t="s">
        <v>1134</v>
      </c>
      <c r="C730" s="5" t="s">
        <v>126</v>
      </c>
      <c r="D730" s="5" t="s">
        <v>88</v>
      </c>
      <c r="E730" s="5" t="s">
        <v>68</v>
      </c>
      <c r="F730" s="5" t="s">
        <v>266</v>
      </c>
      <c r="G730" s="5" t="s">
        <v>70</v>
      </c>
      <c r="H730" s="5" t="s">
        <v>142</v>
      </c>
      <c r="I730" s="6">
        <v>347</v>
      </c>
      <c r="J730" s="7">
        <v>44282</v>
      </c>
      <c r="K730" s="8" t="str">
        <f>IF(B730="","",IF(AND(I730="",J730=""),"Unknown",IF(OR(AND(ISNUMBER(I730),I730=0),AND(ISNUMBER(J730),J730&lt;=EDATE('Scoring Settings'!$B$4,-'Scoring Settings'!$B$5))),"Not in use",IF(AND(ISNUMBER(I730),I730&lt;'Scoring Settings'!$B$6),"Low use","Active"))))</f>
        <v>Active</v>
      </c>
      <c r="L730" s="5">
        <v>2</v>
      </c>
      <c r="M730" s="5">
        <v>3</v>
      </c>
      <c r="N730" s="5" t="s">
        <v>433</v>
      </c>
      <c r="O730" s="5" t="s">
        <v>143</v>
      </c>
      <c r="P730" s="5" t="s">
        <v>144</v>
      </c>
      <c r="Q730" s="9">
        <v>0</v>
      </c>
      <c r="R730" s="5" t="s">
        <v>145</v>
      </c>
      <c r="S730" s="5" t="s">
        <v>145</v>
      </c>
      <c r="T730" s="5" t="s">
        <v>146</v>
      </c>
      <c r="U730" s="7"/>
      <c r="V730" s="5" t="s">
        <v>135</v>
      </c>
      <c r="W730" s="6">
        <v>100</v>
      </c>
      <c r="X730" s="5" t="s">
        <v>79</v>
      </c>
      <c r="Y730" s="9">
        <v>1</v>
      </c>
      <c r="Z730" s="5" t="s">
        <v>80</v>
      </c>
      <c r="AA730" s="5" t="s">
        <v>205</v>
      </c>
      <c r="AB730" s="9">
        <v>5</v>
      </c>
      <c r="AC730" s="5" t="s">
        <v>82</v>
      </c>
      <c r="AD730" s="5" t="s">
        <v>79</v>
      </c>
      <c r="AE730" s="5" t="s">
        <v>79</v>
      </c>
      <c r="AF730" s="10">
        <v>65000</v>
      </c>
      <c r="AG730" s="7">
        <v>47907</v>
      </c>
      <c r="AH730" s="10">
        <v>46500</v>
      </c>
      <c r="AI730" s="10">
        <v>34500</v>
      </c>
      <c r="AJ730" s="11">
        <f t="shared" si="11"/>
        <v>16.173913043478262</v>
      </c>
      <c r="AK730" s="12">
        <f>IF(B730="","",OR(K730="Not in use",K730="Low use")+AND(N730&lt;&gt;"",N730&lt;&gt;"TBD")+AND(ISNUMBER(U730),U730&lt;=EDATE('Scoring Settings'!$B$4,'Scoring Settings'!$B$8))+AND(ISNUMBER(L730),L730&lt;='Scoring Settings'!$B$7))</f>
        <v>2</v>
      </c>
      <c r="AL730" s="5" t="s">
        <v>111</v>
      </c>
      <c r="AM730" s="8" t="str">
        <f>IF(B730="","",IF(Z730="N","Easy",IF(OR(AND(ISNUMBER(AB730),AB730&gt;'Scoring Settings'!$B$11),AND(ISNUMBER(W730),W730&gt;'Scoring Settings'!$B$12),AND(ISNUMBER(M730),M730&lt;='Scoring Settings'!$B$13)),"High","Medium")))</f>
        <v>Medium</v>
      </c>
      <c r="AN730" s="5"/>
      <c r="AO730" s="7"/>
      <c r="AP730" s="5" t="s">
        <v>98</v>
      </c>
      <c r="AQ730" s="29" t="s">
        <v>112</v>
      </c>
    </row>
    <row r="731" spans="1:43" hidden="1">
      <c r="A731" s="28">
        <v>43346</v>
      </c>
      <c r="B731" s="5" t="s">
        <v>1138</v>
      </c>
      <c r="C731" s="5" t="s">
        <v>13</v>
      </c>
      <c r="D731" s="5" t="s">
        <v>162</v>
      </c>
      <c r="E731" s="5" t="s">
        <v>68</v>
      </c>
      <c r="F731" s="5" t="s">
        <v>178</v>
      </c>
      <c r="G731" s="5" t="s">
        <v>117</v>
      </c>
      <c r="H731" s="5" t="s">
        <v>189</v>
      </c>
      <c r="I731" s="6">
        <v>8</v>
      </c>
      <c r="J731" s="7">
        <v>44220</v>
      </c>
      <c r="K731" s="8" t="str">
        <f>IF(B731="","",IF(AND(I731="",J731=""),"Unknown",IF(OR(AND(ISNUMBER(I731),I731=0),AND(ISNUMBER(J731),J731&lt;=EDATE('Scoring Settings'!$B$4,-'Scoring Settings'!$B$5))),"Not in use",IF(AND(ISNUMBER(I731),I731&lt;'Scoring Settings'!$B$6),"Low use","Active"))))</f>
        <v>Low use</v>
      </c>
      <c r="L731" s="5">
        <v>4</v>
      </c>
      <c r="M731" s="5">
        <v>2</v>
      </c>
      <c r="N731" s="5"/>
      <c r="O731" s="5" t="s">
        <v>130</v>
      </c>
      <c r="P731" s="5" t="s">
        <v>1139</v>
      </c>
      <c r="Q731" s="9">
        <v>4</v>
      </c>
      <c r="R731" s="5" t="s">
        <v>107</v>
      </c>
      <c r="S731" s="5" t="s">
        <v>108</v>
      </c>
      <c r="T731" s="5" t="s">
        <v>195</v>
      </c>
      <c r="U731" s="7">
        <v>43655</v>
      </c>
      <c r="V731" s="5" t="s">
        <v>95</v>
      </c>
      <c r="W731" s="6">
        <v>100</v>
      </c>
      <c r="X731" s="5" t="s">
        <v>79</v>
      </c>
      <c r="Y731" s="9">
        <v>3</v>
      </c>
      <c r="Z731" s="5" t="s">
        <v>79</v>
      </c>
      <c r="AA731" s="5" t="s">
        <v>110</v>
      </c>
      <c r="AB731" s="9">
        <v>5</v>
      </c>
      <c r="AC731" s="5" t="s">
        <v>82</v>
      </c>
      <c r="AD731" s="5" t="s">
        <v>79</v>
      </c>
      <c r="AE731" s="5" t="s">
        <v>79</v>
      </c>
      <c r="AF731" s="10">
        <v>85000</v>
      </c>
      <c r="AG731" s="7">
        <v>48273</v>
      </c>
      <c r="AH731" s="10">
        <v>80500</v>
      </c>
      <c r="AI731" s="10">
        <v>63500</v>
      </c>
      <c r="AJ731" s="11">
        <f t="shared" si="11"/>
        <v>15.21259842519685</v>
      </c>
      <c r="AK731" s="12">
        <f>IF(B731="","",OR(K731="Not in use",K731="Low use")+AND(N731&lt;&gt;"",N731&lt;&gt;"TBD")+AND(ISNUMBER(U731),U731&lt;=EDATE('Scoring Settings'!$B$4,'Scoring Settings'!$B$8))+AND(ISNUMBER(L731),L731&lt;='Scoring Settings'!$B$7))</f>
        <v>2</v>
      </c>
      <c r="AL731" s="5" t="s">
        <v>111</v>
      </c>
      <c r="AM731" s="8" t="str">
        <f>IF(B731="","",IF(Z731="N","Easy",IF(OR(AND(ISNUMBER(AB731),AB731&gt;'Scoring Settings'!$B$11),AND(ISNUMBER(W731),W731&gt;'Scoring Settings'!$B$12),AND(ISNUMBER(M731),M731&lt;='Scoring Settings'!$B$13)),"High","Medium")))</f>
        <v>Easy</v>
      </c>
      <c r="AN731" s="5"/>
      <c r="AO731" s="7"/>
      <c r="AP731" s="5" t="s">
        <v>98</v>
      </c>
      <c r="AQ731" s="29" t="s">
        <v>124</v>
      </c>
    </row>
    <row r="732" spans="1:43" hidden="1">
      <c r="A732" s="28">
        <v>53331</v>
      </c>
      <c r="B732" s="5" t="s">
        <v>1140</v>
      </c>
      <c r="C732" s="5" t="s">
        <v>172</v>
      </c>
      <c r="D732" s="5" t="s">
        <v>162</v>
      </c>
      <c r="E732" s="5" t="s">
        <v>68</v>
      </c>
      <c r="F732" s="5" t="s">
        <v>263</v>
      </c>
      <c r="G732" s="5" t="s">
        <v>284</v>
      </c>
      <c r="H732" s="5" t="s">
        <v>118</v>
      </c>
      <c r="I732" s="6">
        <v>140</v>
      </c>
      <c r="J732" s="7">
        <v>44296</v>
      </c>
      <c r="K732" s="8" t="str">
        <f>IF(B732="","",IF(AND(I732="",J732=""),"Unknown",IF(OR(AND(ISNUMBER(I732),I732=0),AND(ISNUMBER(J732),J732&lt;=EDATE('Scoring Settings'!$B$4,-'Scoring Settings'!$B$5))),"Not in use",IF(AND(ISNUMBER(I732),I732&lt;'Scoring Settings'!$B$6),"Low use","Active"))))</f>
        <v>Active</v>
      </c>
      <c r="L732" s="5">
        <v>5</v>
      </c>
      <c r="M732" s="5">
        <v>1</v>
      </c>
      <c r="N732" s="5"/>
      <c r="O732" s="5" t="s">
        <v>191</v>
      </c>
      <c r="P732" s="5" t="s">
        <v>192</v>
      </c>
      <c r="Q732" s="9">
        <v>0</v>
      </c>
      <c r="R732" s="5" t="s">
        <v>193</v>
      </c>
      <c r="S732" s="5" t="s">
        <v>318</v>
      </c>
      <c r="T732" s="5" t="s">
        <v>195</v>
      </c>
      <c r="U732" s="7">
        <v>44742</v>
      </c>
      <c r="V732" s="5" t="s">
        <v>95</v>
      </c>
      <c r="W732" s="6">
        <v>30</v>
      </c>
      <c r="X732" s="5" t="s">
        <v>79</v>
      </c>
      <c r="Y732" s="9">
        <v>7</v>
      </c>
      <c r="Z732" s="5" t="s">
        <v>79</v>
      </c>
      <c r="AA732" s="5" t="s">
        <v>110</v>
      </c>
      <c r="AB732" s="9">
        <v>25</v>
      </c>
      <c r="AC732" s="5" t="s">
        <v>82</v>
      </c>
      <c r="AD732" s="5" t="s">
        <v>80</v>
      </c>
      <c r="AE732" s="5" t="s">
        <v>79</v>
      </c>
      <c r="AF732" s="10">
        <v>115000</v>
      </c>
      <c r="AG732" s="7">
        <v>45900</v>
      </c>
      <c r="AH732" s="10"/>
      <c r="AI732" s="10"/>
      <c r="AJ732" s="11" t="str">
        <f t="shared" si="11"/>
        <v/>
      </c>
      <c r="AK732" s="12">
        <f>IF(B732="","",OR(K732="Not in use",K732="Low use")+AND(N732&lt;&gt;"",N732&lt;&gt;"TBD")+AND(ISNUMBER(U732),U732&lt;=EDATE('Scoring Settings'!$B$4,'Scoring Settings'!$B$8))+AND(ISNUMBER(L732),L732&lt;='Scoring Settings'!$B$7))</f>
        <v>0</v>
      </c>
      <c r="AL732" s="5" t="s">
        <v>83</v>
      </c>
      <c r="AM732" s="8" t="str">
        <f>IF(B732="","",IF(Z732="N","Easy",IF(OR(AND(ISNUMBER(AB732),AB732&gt;'Scoring Settings'!$B$11),AND(ISNUMBER(W732),W732&gt;'Scoring Settings'!$B$12),AND(ISNUMBER(M732),M732&lt;='Scoring Settings'!$B$13)),"High","Medium")))</f>
        <v>Easy</v>
      </c>
      <c r="AN732" s="5"/>
      <c r="AO732" s="7"/>
      <c r="AP732" s="5" t="s">
        <v>84</v>
      </c>
      <c r="AQ732" s="29" t="s">
        <v>273</v>
      </c>
    </row>
    <row r="733" spans="1:43" hidden="1">
      <c r="A733" s="28">
        <v>86600</v>
      </c>
      <c r="B733" s="5" t="s">
        <v>1141</v>
      </c>
      <c r="C733" s="5" t="s">
        <v>423</v>
      </c>
      <c r="D733" s="5" t="s">
        <v>67</v>
      </c>
      <c r="E733" s="5" t="s">
        <v>311</v>
      </c>
      <c r="F733" s="5" t="s">
        <v>387</v>
      </c>
      <c r="G733" s="5" t="s">
        <v>271</v>
      </c>
      <c r="H733" s="5" t="s">
        <v>142</v>
      </c>
      <c r="I733" s="6">
        <v>1665</v>
      </c>
      <c r="J733" s="7">
        <v>44293</v>
      </c>
      <c r="K733" s="8" t="str">
        <f>IF(B733="","",IF(AND(I733="",J733=""),"Unknown",IF(OR(AND(ISNUMBER(I733),I733=0),AND(ISNUMBER(J733),J733&lt;=EDATE('Scoring Settings'!$B$4,-'Scoring Settings'!$B$5))),"Not in use",IF(AND(ISNUMBER(I733),I733&lt;'Scoring Settings'!$B$6),"Low use","Active"))))</f>
        <v>Active</v>
      </c>
      <c r="L733" s="5">
        <v>5</v>
      </c>
      <c r="M733" s="5">
        <v>1</v>
      </c>
      <c r="N733" s="5" t="s">
        <v>1142</v>
      </c>
      <c r="O733" s="5" t="s">
        <v>143</v>
      </c>
      <c r="P733" s="5" t="s">
        <v>144</v>
      </c>
      <c r="Q733" s="9">
        <v>0</v>
      </c>
      <c r="R733" s="5" t="s">
        <v>145</v>
      </c>
      <c r="S733" s="5" t="s">
        <v>145</v>
      </c>
      <c r="T733" s="5" t="s">
        <v>146</v>
      </c>
      <c r="U733" s="7"/>
      <c r="V733" s="5" t="s">
        <v>135</v>
      </c>
      <c r="W733" s="6">
        <v>170</v>
      </c>
      <c r="X733" s="5" t="s">
        <v>80</v>
      </c>
      <c r="Y733" s="9">
        <v>10</v>
      </c>
      <c r="Z733" s="5" t="s">
        <v>79</v>
      </c>
      <c r="AA733" s="5" t="s">
        <v>110</v>
      </c>
      <c r="AB733" s="9">
        <v>82</v>
      </c>
      <c r="AC733" s="5" t="s">
        <v>79</v>
      </c>
      <c r="AD733" s="5" t="s">
        <v>82</v>
      </c>
      <c r="AE733" s="5" t="s">
        <v>80</v>
      </c>
      <c r="AF733" s="10">
        <v>165000</v>
      </c>
      <c r="AG733" s="7">
        <v>47391</v>
      </c>
      <c r="AH733" s="10">
        <v>693500</v>
      </c>
      <c r="AI733" s="10">
        <v>101500</v>
      </c>
      <c r="AJ733" s="11">
        <f t="shared" si="11"/>
        <v>81.990147783251231</v>
      </c>
      <c r="AK733" s="12">
        <f>IF(B733="","",OR(K733="Not in use",K733="Low use")+AND(N733&lt;&gt;"",N733&lt;&gt;"TBD")+AND(ISNUMBER(U733),U733&lt;=EDATE('Scoring Settings'!$B$4,'Scoring Settings'!$B$8))+AND(ISNUMBER(L733),L733&lt;='Scoring Settings'!$B$7))</f>
        <v>1</v>
      </c>
      <c r="AL733" s="5" t="s">
        <v>111</v>
      </c>
      <c r="AM733" s="8" t="str">
        <f>IF(B733="","",IF(Z733="N","Easy",IF(OR(AND(ISNUMBER(AB733),AB733&gt;'Scoring Settings'!$B$11),AND(ISNUMBER(W733),W733&gt;'Scoring Settings'!$B$12),AND(ISNUMBER(M733),M733&lt;='Scoring Settings'!$B$13)),"High","Medium")))</f>
        <v>Easy</v>
      </c>
      <c r="AN733" s="5"/>
      <c r="AO733" s="7"/>
      <c r="AP733" s="5" t="s">
        <v>98</v>
      </c>
      <c r="AQ733" s="29" t="s">
        <v>159</v>
      </c>
    </row>
    <row r="734" spans="1:43" hidden="1">
      <c r="A734" s="28">
        <v>81480</v>
      </c>
      <c r="B734" s="5" t="s">
        <v>1143</v>
      </c>
      <c r="C734" s="5" t="s">
        <v>225</v>
      </c>
      <c r="D734" s="5" t="s">
        <v>67</v>
      </c>
      <c r="E734" s="5" t="s">
        <v>311</v>
      </c>
      <c r="F734" s="5" t="s">
        <v>178</v>
      </c>
      <c r="G734" s="5" t="s">
        <v>226</v>
      </c>
      <c r="H734" s="5" t="s">
        <v>142</v>
      </c>
      <c r="I734" s="6">
        <v>297</v>
      </c>
      <c r="J734" s="7">
        <v>44297</v>
      </c>
      <c r="K734" s="8" t="str">
        <f>IF(B734="","",IF(AND(I734="",J734=""),"Unknown",IF(OR(AND(ISNUMBER(I734),I734=0),AND(ISNUMBER(J734),J734&lt;=EDATE('Scoring Settings'!$B$4,-'Scoring Settings'!$B$5))),"Not in use",IF(AND(ISNUMBER(I734),I734&lt;'Scoring Settings'!$B$6),"Low use","Active"))))</f>
        <v>Active</v>
      </c>
      <c r="L734" s="5">
        <v>5</v>
      </c>
      <c r="M734" s="5">
        <v>1</v>
      </c>
      <c r="N734" s="5" t="s">
        <v>72</v>
      </c>
      <c r="O734" s="5" t="s">
        <v>143</v>
      </c>
      <c r="P734" s="5" t="s">
        <v>144</v>
      </c>
      <c r="Q734" s="9">
        <v>0</v>
      </c>
      <c r="R734" s="5" t="s">
        <v>145</v>
      </c>
      <c r="S734" s="5" t="s">
        <v>145</v>
      </c>
      <c r="T734" s="5" t="s">
        <v>146</v>
      </c>
      <c r="U734" s="7"/>
      <c r="V734" s="5" t="s">
        <v>78</v>
      </c>
      <c r="W734" s="6">
        <v>150</v>
      </c>
      <c r="X734" s="5" t="s">
        <v>79</v>
      </c>
      <c r="Y734" s="9">
        <v>3</v>
      </c>
      <c r="Z734" s="5" t="s">
        <v>80</v>
      </c>
      <c r="AA734" s="5" t="s">
        <v>81</v>
      </c>
      <c r="AB734" s="9">
        <v>18</v>
      </c>
      <c r="AC734" s="5" t="s">
        <v>79</v>
      </c>
      <c r="AD734" s="5" t="s">
        <v>82</v>
      </c>
      <c r="AE734" s="5" t="s">
        <v>82</v>
      </c>
      <c r="AF734" s="10">
        <v>525000</v>
      </c>
      <c r="AG734" s="7">
        <v>49309</v>
      </c>
      <c r="AH734" s="10"/>
      <c r="AI734" s="10"/>
      <c r="AJ734" s="11" t="str">
        <f t="shared" si="11"/>
        <v/>
      </c>
      <c r="AK734" s="12">
        <f>IF(B734="","",OR(K734="Not in use",K734="Low use")+AND(N734&lt;&gt;"",N734&lt;&gt;"TBD")+AND(ISNUMBER(U734),U734&lt;=EDATE('Scoring Settings'!$B$4,'Scoring Settings'!$B$8))+AND(ISNUMBER(L734),L734&lt;='Scoring Settings'!$B$7))</f>
        <v>0</v>
      </c>
      <c r="AL734" s="5" t="s">
        <v>83</v>
      </c>
      <c r="AM734" s="8" t="str">
        <f>IF(B734="","",IF(Z734="N","Easy",IF(OR(AND(ISNUMBER(AB734),AB734&gt;'Scoring Settings'!$B$11),AND(ISNUMBER(W734),W734&gt;'Scoring Settings'!$B$12),AND(ISNUMBER(M734),M734&lt;='Scoring Settings'!$B$13)),"High","Medium")))</f>
        <v>High</v>
      </c>
      <c r="AN734" s="5"/>
      <c r="AO734" s="7"/>
      <c r="AP734" s="5" t="s">
        <v>84</v>
      </c>
      <c r="AQ734" s="29" t="s">
        <v>206</v>
      </c>
    </row>
    <row r="735" spans="1:43" hidden="1">
      <c r="A735" s="28">
        <v>192999</v>
      </c>
      <c r="B735" s="5" t="s">
        <v>1144</v>
      </c>
      <c r="C735" s="5" t="s">
        <v>234</v>
      </c>
      <c r="D735" s="5" t="s">
        <v>102</v>
      </c>
      <c r="E735" s="5" t="s">
        <v>68</v>
      </c>
      <c r="F735" s="5" t="s">
        <v>249</v>
      </c>
      <c r="G735" s="5" t="s">
        <v>90</v>
      </c>
      <c r="H735" s="5" t="s">
        <v>71</v>
      </c>
      <c r="I735" s="6">
        <v>368</v>
      </c>
      <c r="J735" s="7">
        <v>44274</v>
      </c>
      <c r="K735" s="8" t="str">
        <f>IF(B735="","",IF(AND(I735="",J735=""),"Unknown",IF(OR(AND(ISNUMBER(I735),I735=0),AND(ISNUMBER(J735),J735&lt;=EDATE('Scoring Settings'!$B$4,-'Scoring Settings'!$B$5))),"Not in use",IF(AND(ISNUMBER(I735),I735&lt;'Scoring Settings'!$B$6),"Low use","Active"))))</f>
        <v>Active</v>
      </c>
      <c r="L735" s="5">
        <v>2</v>
      </c>
      <c r="M735" s="5">
        <v>4</v>
      </c>
      <c r="N735" s="5" t="s">
        <v>72</v>
      </c>
      <c r="O735" s="5" t="s">
        <v>73</v>
      </c>
      <c r="P735" s="5" t="s">
        <v>1145</v>
      </c>
      <c r="Q735" s="9">
        <v>2</v>
      </c>
      <c r="R735" s="5" t="s">
        <v>75</v>
      </c>
      <c r="S735" s="5" t="s">
        <v>121</v>
      </c>
      <c r="T735" s="5" t="s">
        <v>77</v>
      </c>
      <c r="U735" s="7">
        <v>46217</v>
      </c>
      <c r="V735" s="5" t="s">
        <v>135</v>
      </c>
      <c r="W735" s="6">
        <v>320</v>
      </c>
      <c r="X735" s="5" t="s">
        <v>79</v>
      </c>
      <c r="Y735" s="9">
        <v>5</v>
      </c>
      <c r="Z735" s="5" t="s">
        <v>79</v>
      </c>
      <c r="AA735" s="5" t="s">
        <v>110</v>
      </c>
      <c r="AB735" s="9">
        <v>1</v>
      </c>
      <c r="AC735" s="5" t="s">
        <v>79</v>
      </c>
      <c r="AD735" s="5" t="s">
        <v>80</v>
      </c>
      <c r="AE735" s="5" t="s">
        <v>79</v>
      </c>
      <c r="AF735" s="10">
        <v>36500</v>
      </c>
      <c r="AG735" s="7">
        <v>48121</v>
      </c>
      <c r="AH735" s="10"/>
      <c r="AI735" s="10"/>
      <c r="AJ735" s="11" t="str">
        <f t="shared" si="11"/>
        <v/>
      </c>
      <c r="AK735" s="12">
        <f>IF(B735="","",OR(K735="Not in use",K735="Low use")+AND(N735&lt;&gt;"",N735&lt;&gt;"TBD")+AND(ISNUMBER(U735),U735&lt;=EDATE('Scoring Settings'!$B$4,'Scoring Settings'!$B$8))+AND(ISNUMBER(L735),L735&lt;='Scoring Settings'!$B$7))</f>
        <v>1</v>
      </c>
      <c r="AL735" s="5" t="s">
        <v>111</v>
      </c>
      <c r="AM735" s="8" t="str">
        <f>IF(B735="","",IF(Z735="N","Easy",IF(OR(AND(ISNUMBER(AB735),AB735&gt;'Scoring Settings'!$B$11),AND(ISNUMBER(W735),W735&gt;'Scoring Settings'!$B$12),AND(ISNUMBER(M735),M735&lt;='Scoring Settings'!$B$13)),"High","Medium")))</f>
        <v>Easy</v>
      </c>
      <c r="AN735" s="5"/>
      <c r="AO735" s="7"/>
      <c r="AP735" s="5" t="s">
        <v>98</v>
      </c>
      <c r="AQ735" s="29" t="s">
        <v>218</v>
      </c>
    </row>
    <row r="736" spans="1:43" hidden="1">
      <c r="A736" s="28">
        <v>87063</v>
      </c>
      <c r="B736" s="5" t="s">
        <v>1149</v>
      </c>
      <c r="C736" s="5" t="s">
        <v>242</v>
      </c>
      <c r="D736" s="5" t="s">
        <v>115</v>
      </c>
      <c r="E736" s="5" t="s">
        <v>68</v>
      </c>
      <c r="F736" s="5" t="s">
        <v>396</v>
      </c>
      <c r="G736" s="5" t="s">
        <v>237</v>
      </c>
      <c r="H736" s="5" t="s">
        <v>118</v>
      </c>
      <c r="I736" s="6">
        <v>181</v>
      </c>
      <c r="J736" s="7">
        <v>44304</v>
      </c>
      <c r="K736" s="8" t="str">
        <f>IF(B736="","",IF(AND(I736="",J736=""),"Unknown",IF(OR(AND(ISNUMBER(I736),I736=0),AND(ISNUMBER(J736),J736&lt;=EDATE('Scoring Settings'!$B$4,-'Scoring Settings'!$B$5))),"Not in use",IF(AND(ISNUMBER(I736),I736&lt;'Scoring Settings'!$B$6),"Low use","Active"))))</f>
        <v>Active</v>
      </c>
      <c r="L736" s="5">
        <v>4</v>
      </c>
      <c r="M736" s="5">
        <v>1</v>
      </c>
      <c r="N736" s="5"/>
      <c r="O736" s="5" t="s">
        <v>130</v>
      </c>
      <c r="P736" s="5" t="s">
        <v>1150</v>
      </c>
      <c r="Q736" s="9">
        <v>3</v>
      </c>
      <c r="R736" s="5" t="s">
        <v>166</v>
      </c>
      <c r="S736" s="5" t="s">
        <v>564</v>
      </c>
      <c r="T736" s="5" t="s">
        <v>168</v>
      </c>
      <c r="U736" s="7">
        <v>44754</v>
      </c>
      <c r="V736" s="5" t="s">
        <v>135</v>
      </c>
      <c r="W736" s="6">
        <v>550</v>
      </c>
      <c r="X736" s="5" t="s">
        <v>80</v>
      </c>
      <c r="Y736" s="9">
        <v>10</v>
      </c>
      <c r="Z736" s="5" t="s">
        <v>79</v>
      </c>
      <c r="AA736" s="5" t="s">
        <v>110</v>
      </c>
      <c r="AB736" s="9">
        <v>60</v>
      </c>
      <c r="AC736" s="5" t="s">
        <v>80</v>
      </c>
      <c r="AD736" s="5" t="s">
        <v>82</v>
      </c>
      <c r="AE736" s="5" t="s">
        <v>82</v>
      </c>
      <c r="AF736" s="10">
        <v>115000</v>
      </c>
      <c r="AG736" s="7">
        <v>46265</v>
      </c>
      <c r="AH736" s="10"/>
      <c r="AI736" s="10"/>
      <c r="AJ736" s="11" t="str">
        <f t="shared" si="11"/>
        <v/>
      </c>
      <c r="AK736" s="12">
        <f>IF(B736="","",OR(K736="Not in use",K736="Low use")+AND(N736&lt;&gt;"",N736&lt;&gt;"TBD")+AND(ISNUMBER(U736),U736&lt;=EDATE('Scoring Settings'!$B$4,'Scoring Settings'!$B$8))+AND(ISNUMBER(L736),L736&lt;='Scoring Settings'!$B$7))</f>
        <v>0</v>
      </c>
      <c r="AL736" s="5" t="s">
        <v>83</v>
      </c>
      <c r="AM736" s="8" t="str">
        <f>IF(B736="","",IF(Z736="N","Easy",IF(OR(AND(ISNUMBER(AB736),AB736&gt;'Scoring Settings'!$B$11),AND(ISNUMBER(W736),W736&gt;'Scoring Settings'!$B$12),AND(ISNUMBER(M736),M736&lt;='Scoring Settings'!$B$13)),"High","Medium")))</f>
        <v>Easy</v>
      </c>
      <c r="AN736" s="5"/>
      <c r="AO736" s="7"/>
      <c r="AP736" s="5" t="s">
        <v>84</v>
      </c>
      <c r="AQ736" s="29" t="s">
        <v>206</v>
      </c>
    </row>
    <row r="737" spans="1:43" hidden="1">
      <c r="A737" s="28">
        <v>173729</v>
      </c>
      <c r="B737" s="5" t="s">
        <v>1153</v>
      </c>
      <c r="C737" s="5" t="s">
        <v>114</v>
      </c>
      <c r="D737" s="5" t="s">
        <v>115</v>
      </c>
      <c r="E737" s="5" t="s">
        <v>68</v>
      </c>
      <c r="F737" s="5" t="s">
        <v>188</v>
      </c>
      <c r="G737" s="5" t="s">
        <v>153</v>
      </c>
      <c r="H737" s="5" t="s">
        <v>129</v>
      </c>
      <c r="I737" s="6">
        <v>0</v>
      </c>
      <c r="J737" s="7">
        <v>43851</v>
      </c>
      <c r="K737" s="8" t="str">
        <f>IF(B737="","",IF(AND(I737="",J737=""),"Unknown",IF(OR(AND(ISNUMBER(I737),I737=0),AND(ISNUMBER(J737),J737&lt;=EDATE('Scoring Settings'!$B$4,-'Scoring Settings'!$B$5))),"Not in use",IF(AND(ISNUMBER(I737),I737&lt;'Scoring Settings'!$B$6),"Low use","Active"))))</f>
        <v>Not in use</v>
      </c>
      <c r="L737" s="5">
        <v>4</v>
      </c>
      <c r="M737" s="5">
        <v>2</v>
      </c>
      <c r="N737" s="5" t="s">
        <v>668</v>
      </c>
      <c r="O737" s="5" t="s">
        <v>191</v>
      </c>
      <c r="P737" s="5" t="s">
        <v>192</v>
      </c>
      <c r="Q737" s="9">
        <v>0</v>
      </c>
      <c r="R737" s="5" t="s">
        <v>193</v>
      </c>
      <c r="S737" s="5" t="s">
        <v>194</v>
      </c>
      <c r="T737" s="5" t="s">
        <v>195</v>
      </c>
      <c r="U737" s="7"/>
      <c r="V737" s="5" t="s">
        <v>135</v>
      </c>
      <c r="W737" s="6">
        <v>15</v>
      </c>
      <c r="X737" s="5" t="s">
        <v>80</v>
      </c>
      <c r="Y737" s="9">
        <v>7</v>
      </c>
      <c r="Z737" s="5" t="s">
        <v>79</v>
      </c>
      <c r="AA737" s="5" t="s">
        <v>110</v>
      </c>
      <c r="AB737" s="9">
        <v>7</v>
      </c>
      <c r="AC737" s="5" t="s">
        <v>79</v>
      </c>
      <c r="AD737" s="5" t="s">
        <v>80</v>
      </c>
      <c r="AE737" s="5" t="s">
        <v>82</v>
      </c>
      <c r="AF737" s="10">
        <v>13000</v>
      </c>
      <c r="AG737" s="7">
        <v>48213</v>
      </c>
      <c r="AH737" s="10">
        <v>18500</v>
      </c>
      <c r="AI737" s="10">
        <v>11000</v>
      </c>
      <c r="AJ737" s="11">
        <f t="shared" si="11"/>
        <v>20.181818181818183</v>
      </c>
      <c r="AK737" s="12">
        <f>IF(B737="","",OR(K737="Not in use",K737="Low use")+AND(N737&lt;&gt;"",N737&lt;&gt;"TBD")+AND(ISNUMBER(U737),U737&lt;=EDATE('Scoring Settings'!$B$4,'Scoring Settings'!$B$8))+AND(ISNUMBER(L737),L737&lt;='Scoring Settings'!$B$7))</f>
        <v>2</v>
      </c>
      <c r="AL737" s="5" t="s">
        <v>111</v>
      </c>
      <c r="AM737" s="8" t="str">
        <f>IF(B737="","",IF(Z737="N","Easy",IF(OR(AND(ISNUMBER(AB737),AB737&gt;'Scoring Settings'!$B$11),AND(ISNUMBER(W737),W737&gt;'Scoring Settings'!$B$12),AND(ISNUMBER(M737),M737&lt;='Scoring Settings'!$B$13)),"High","Medium")))</f>
        <v>Easy</v>
      </c>
      <c r="AN737" s="5"/>
      <c r="AO737" s="7"/>
      <c r="AP737" s="5" t="s">
        <v>98</v>
      </c>
      <c r="AQ737" s="29" t="s">
        <v>218</v>
      </c>
    </row>
    <row r="738" spans="1:43" hidden="1">
      <c r="A738" s="28">
        <v>138786</v>
      </c>
      <c r="B738" s="5" t="s">
        <v>1154</v>
      </c>
      <c r="C738" s="5" t="s">
        <v>114</v>
      </c>
      <c r="D738" s="5" t="s">
        <v>115</v>
      </c>
      <c r="E738" s="5" t="s">
        <v>311</v>
      </c>
      <c r="F738" s="5" t="s">
        <v>152</v>
      </c>
      <c r="G738" s="5" t="s">
        <v>117</v>
      </c>
      <c r="H738" s="5" t="s">
        <v>142</v>
      </c>
      <c r="I738" s="6">
        <v>1483</v>
      </c>
      <c r="J738" s="7">
        <v>44271</v>
      </c>
      <c r="K738" s="8" t="str">
        <f>IF(B738="","",IF(AND(I738="",J738=""),"Unknown",IF(OR(AND(ISNUMBER(I738),I738=0),AND(ISNUMBER(J738),J738&lt;=EDATE('Scoring Settings'!$B$4,-'Scoring Settings'!$B$5))),"Not in use",IF(AND(ISNUMBER(I738),I738&lt;'Scoring Settings'!$B$6),"Low use","Active"))))</f>
        <v>Active</v>
      </c>
      <c r="L738" s="5">
        <v>3</v>
      </c>
      <c r="M738" s="5">
        <v>2</v>
      </c>
      <c r="N738" s="5" t="s">
        <v>72</v>
      </c>
      <c r="O738" s="5" t="s">
        <v>143</v>
      </c>
      <c r="P738" s="5" t="s">
        <v>144</v>
      </c>
      <c r="Q738" s="9">
        <v>0</v>
      </c>
      <c r="R738" s="5" t="s">
        <v>145</v>
      </c>
      <c r="S738" s="5" t="s">
        <v>145</v>
      </c>
      <c r="T738" s="5" t="s">
        <v>146</v>
      </c>
      <c r="U738" s="7"/>
      <c r="V738" s="5" t="s">
        <v>135</v>
      </c>
      <c r="W738" s="6">
        <v>220</v>
      </c>
      <c r="X738" s="5" t="s">
        <v>79</v>
      </c>
      <c r="Y738" s="9">
        <v>5</v>
      </c>
      <c r="Z738" s="5" t="s">
        <v>80</v>
      </c>
      <c r="AA738" s="5" t="s">
        <v>123</v>
      </c>
      <c r="AB738" s="9">
        <v>29</v>
      </c>
      <c r="AC738" s="5" t="s">
        <v>79</v>
      </c>
      <c r="AD738" s="5" t="s">
        <v>82</v>
      </c>
      <c r="AE738" s="5" t="s">
        <v>80</v>
      </c>
      <c r="AF738" s="10">
        <v>18500</v>
      </c>
      <c r="AG738" s="7">
        <v>47452</v>
      </c>
      <c r="AH738" s="10"/>
      <c r="AI738" s="10"/>
      <c r="AJ738" s="11" t="str">
        <f t="shared" si="11"/>
        <v/>
      </c>
      <c r="AK738" s="12">
        <f>IF(B738="","",OR(K738="Not in use",K738="Low use")+AND(N738&lt;&gt;"",N738&lt;&gt;"TBD")+AND(ISNUMBER(U738),U738&lt;=EDATE('Scoring Settings'!$B$4,'Scoring Settings'!$B$8))+AND(ISNUMBER(L738),L738&lt;='Scoring Settings'!$B$7))</f>
        <v>0</v>
      </c>
      <c r="AL738" s="5" t="s">
        <v>83</v>
      </c>
      <c r="AM738" s="8" t="str">
        <f>IF(B738="","",IF(Z738="N","Easy",IF(OR(AND(ISNUMBER(AB738),AB738&gt;'Scoring Settings'!$B$11),AND(ISNUMBER(W738),W738&gt;'Scoring Settings'!$B$12),AND(ISNUMBER(M738),M738&lt;='Scoring Settings'!$B$13)),"High","Medium")))</f>
        <v>High</v>
      </c>
      <c r="AN738" s="5"/>
      <c r="AO738" s="7"/>
      <c r="AP738" s="5" t="s">
        <v>84</v>
      </c>
      <c r="AQ738" s="29" t="s">
        <v>314</v>
      </c>
    </row>
    <row r="739" spans="1:43" hidden="1">
      <c r="A739" s="28">
        <v>15861</v>
      </c>
      <c r="B739" s="5" t="s">
        <v>1161</v>
      </c>
      <c r="C739" s="5" t="s">
        <v>126</v>
      </c>
      <c r="D739" s="5" t="s">
        <v>88</v>
      </c>
      <c r="E739" s="5" t="s">
        <v>298</v>
      </c>
      <c r="F739" s="5" t="s">
        <v>387</v>
      </c>
      <c r="G739" s="5" t="s">
        <v>267</v>
      </c>
      <c r="H739" s="5" t="s">
        <v>105</v>
      </c>
      <c r="I739" s="6">
        <v>131</v>
      </c>
      <c r="J739" s="7">
        <v>44291</v>
      </c>
      <c r="K739" s="8" t="str">
        <f>IF(B739="","",IF(AND(I739="",J739=""),"Unknown",IF(OR(AND(ISNUMBER(I739),I739=0),AND(ISNUMBER(J739),J739&lt;=EDATE('Scoring Settings'!$B$4,-'Scoring Settings'!$B$5))),"Not in use",IF(AND(ISNUMBER(I739),I739&lt;'Scoring Settings'!$B$6),"Low use","Active"))))</f>
        <v>Active</v>
      </c>
      <c r="L739" s="5">
        <v>5</v>
      </c>
      <c r="M739" s="5">
        <v>1</v>
      </c>
      <c r="N739" s="5"/>
      <c r="O739" s="5" t="s">
        <v>191</v>
      </c>
      <c r="P739" s="5" t="s">
        <v>192</v>
      </c>
      <c r="Q739" s="9">
        <v>0</v>
      </c>
      <c r="R739" s="5" t="s">
        <v>193</v>
      </c>
      <c r="S739" s="5" t="s">
        <v>318</v>
      </c>
      <c r="T739" s="5" t="s">
        <v>195</v>
      </c>
      <c r="U739" s="7"/>
      <c r="V739" s="5" t="s">
        <v>135</v>
      </c>
      <c r="W739" s="6">
        <v>42</v>
      </c>
      <c r="X739" s="5" t="s">
        <v>79</v>
      </c>
      <c r="Y739" s="9">
        <v>1</v>
      </c>
      <c r="Z739" s="5" t="s">
        <v>79</v>
      </c>
      <c r="AA739" s="5" t="s">
        <v>110</v>
      </c>
      <c r="AB739" s="9">
        <v>32</v>
      </c>
      <c r="AC739" s="5" t="s">
        <v>79</v>
      </c>
      <c r="AD739" s="5" t="s">
        <v>79</v>
      </c>
      <c r="AE739" s="5" t="s">
        <v>82</v>
      </c>
      <c r="AF739" s="10">
        <v>75000</v>
      </c>
      <c r="AG739" s="7">
        <v>48426</v>
      </c>
      <c r="AH739" s="10"/>
      <c r="AI739" s="10"/>
      <c r="AJ739" s="11" t="str">
        <f t="shared" si="11"/>
        <v/>
      </c>
      <c r="AK739" s="12">
        <f>IF(B739="","",OR(K739="Not in use",K739="Low use")+AND(N739&lt;&gt;"",N739&lt;&gt;"TBD")+AND(ISNUMBER(U739),U739&lt;=EDATE('Scoring Settings'!$B$4,'Scoring Settings'!$B$8))+AND(ISNUMBER(L739),L739&lt;='Scoring Settings'!$B$7))</f>
        <v>0</v>
      </c>
      <c r="AL739" s="5" t="s">
        <v>83</v>
      </c>
      <c r="AM739" s="8" t="str">
        <f>IF(B739="","",IF(Z739="N","Easy",IF(OR(AND(ISNUMBER(AB739),AB739&gt;'Scoring Settings'!$B$11),AND(ISNUMBER(W739),W739&gt;'Scoring Settings'!$B$12),AND(ISNUMBER(M739),M739&lt;='Scoring Settings'!$B$13)),"High","Medium")))</f>
        <v>Easy</v>
      </c>
      <c r="AN739" s="5"/>
      <c r="AO739" s="7"/>
      <c r="AP739" s="5" t="s">
        <v>84</v>
      </c>
      <c r="AQ739" s="29" t="s">
        <v>206</v>
      </c>
    </row>
    <row r="740" spans="1:43" hidden="1">
      <c r="A740" s="28">
        <v>174222</v>
      </c>
      <c r="B740" s="5" t="s">
        <v>1164</v>
      </c>
      <c r="C740" s="5" t="s">
        <v>371</v>
      </c>
      <c r="D740" s="5" t="s">
        <v>162</v>
      </c>
      <c r="E740" s="5" t="s">
        <v>311</v>
      </c>
      <c r="F740" s="5" t="s">
        <v>157</v>
      </c>
      <c r="G740" s="5" t="s">
        <v>404</v>
      </c>
      <c r="H740" s="5" t="s">
        <v>118</v>
      </c>
      <c r="I740" s="6">
        <v>191</v>
      </c>
      <c r="J740" s="7">
        <v>44290</v>
      </c>
      <c r="K740" s="8" t="str">
        <f>IF(B740="","",IF(AND(I740="",J740=""),"Unknown",IF(OR(AND(ISNUMBER(I740),I740=0),AND(ISNUMBER(J740),J740&lt;=EDATE('Scoring Settings'!$B$4,-'Scoring Settings'!$B$5))),"Not in use",IF(AND(ISNUMBER(I740),I740&lt;'Scoring Settings'!$B$6),"Low use","Active"))))</f>
        <v>Active</v>
      </c>
      <c r="L740" s="5">
        <v>4</v>
      </c>
      <c r="M740" s="5">
        <v>1</v>
      </c>
      <c r="N740" s="5"/>
      <c r="O740" s="5" t="s">
        <v>73</v>
      </c>
      <c r="P740" s="5" t="s">
        <v>1165</v>
      </c>
      <c r="Q740" s="9">
        <v>1</v>
      </c>
      <c r="R740" s="5" t="s">
        <v>335</v>
      </c>
      <c r="S740" s="5" t="s">
        <v>336</v>
      </c>
      <c r="T740" s="5" t="s">
        <v>122</v>
      </c>
      <c r="U740" s="7">
        <v>45473</v>
      </c>
      <c r="V740" s="5" t="s">
        <v>135</v>
      </c>
      <c r="W740" s="6">
        <v>350</v>
      </c>
      <c r="X740" s="5" t="s">
        <v>79</v>
      </c>
      <c r="Y740" s="9">
        <v>3</v>
      </c>
      <c r="Z740" s="5" t="s">
        <v>79</v>
      </c>
      <c r="AA740" s="5" t="s">
        <v>110</v>
      </c>
      <c r="AB740" s="9">
        <v>26</v>
      </c>
      <c r="AC740" s="5" t="s">
        <v>82</v>
      </c>
      <c r="AD740" s="5" t="s">
        <v>82</v>
      </c>
      <c r="AE740" s="5" t="s">
        <v>82</v>
      </c>
      <c r="AF740" s="10">
        <v>80000</v>
      </c>
      <c r="AG740" s="7">
        <v>46418</v>
      </c>
      <c r="AH740" s="10"/>
      <c r="AI740" s="10"/>
      <c r="AJ740" s="11" t="str">
        <f t="shared" si="11"/>
        <v/>
      </c>
      <c r="AK740" s="12">
        <f>IF(B740="","",OR(K740="Not in use",K740="Low use")+AND(N740&lt;&gt;"",N740&lt;&gt;"TBD")+AND(ISNUMBER(U740),U740&lt;=EDATE('Scoring Settings'!$B$4,'Scoring Settings'!$B$8))+AND(ISNUMBER(L740),L740&lt;='Scoring Settings'!$B$7))</f>
        <v>0</v>
      </c>
      <c r="AL740" s="5" t="s">
        <v>83</v>
      </c>
      <c r="AM740" s="8" t="str">
        <f>IF(B740="","",IF(Z740="N","Easy",IF(OR(AND(ISNUMBER(AB740),AB740&gt;'Scoring Settings'!$B$11),AND(ISNUMBER(W740),W740&gt;'Scoring Settings'!$B$12),AND(ISNUMBER(M740),M740&lt;='Scoring Settings'!$B$13)),"High","Medium")))</f>
        <v>Easy</v>
      </c>
      <c r="AN740" s="5"/>
      <c r="AO740" s="7"/>
      <c r="AP740" s="5" t="s">
        <v>84</v>
      </c>
      <c r="AQ740" s="29" t="s">
        <v>247</v>
      </c>
    </row>
    <row r="741" spans="1:43" hidden="1">
      <c r="A741" s="28">
        <v>165053</v>
      </c>
      <c r="B741" s="5" t="s">
        <v>1174</v>
      </c>
      <c r="C741" s="5" t="s">
        <v>634</v>
      </c>
      <c r="D741" s="5" t="s">
        <v>297</v>
      </c>
      <c r="E741" s="5" t="s">
        <v>68</v>
      </c>
      <c r="F741" s="5" t="s">
        <v>201</v>
      </c>
      <c r="G741" s="5" t="s">
        <v>267</v>
      </c>
      <c r="H741" s="5" t="s">
        <v>142</v>
      </c>
      <c r="I741" s="6">
        <v>4</v>
      </c>
      <c r="J741" s="7">
        <v>43894</v>
      </c>
      <c r="K741" s="8" t="str">
        <f>IF(B741="","",IF(AND(I741="",J741=""),"Unknown",IF(OR(AND(ISNUMBER(I741),I741=0),AND(ISNUMBER(J741),J741&lt;=EDATE('Scoring Settings'!$B$4,-'Scoring Settings'!$B$5))),"Not in use",IF(AND(ISNUMBER(I741),I741&lt;'Scoring Settings'!$B$6),"Low use","Active"))))</f>
        <v>Not in use</v>
      </c>
      <c r="L741" s="5">
        <v>3</v>
      </c>
      <c r="M741" s="5">
        <v>4</v>
      </c>
      <c r="N741" s="5" t="s">
        <v>617</v>
      </c>
      <c r="O741" s="5" t="s">
        <v>143</v>
      </c>
      <c r="P741" s="5" t="s">
        <v>144</v>
      </c>
      <c r="Q741" s="9">
        <v>0</v>
      </c>
      <c r="R741" s="5" t="s">
        <v>145</v>
      </c>
      <c r="S741" s="5" t="s">
        <v>145</v>
      </c>
      <c r="T741" s="5" t="s">
        <v>146</v>
      </c>
      <c r="U741" s="7"/>
      <c r="V741" s="5" t="s">
        <v>95</v>
      </c>
      <c r="W741" s="6">
        <v>7</v>
      </c>
      <c r="X741" s="5" t="s">
        <v>80</v>
      </c>
      <c r="Y741" s="9">
        <v>7</v>
      </c>
      <c r="Z741" s="5" t="s">
        <v>80</v>
      </c>
      <c r="AA741" s="5" t="s">
        <v>185</v>
      </c>
      <c r="AB741" s="9">
        <v>1</v>
      </c>
      <c r="AC741" s="5" t="s">
        <v>79</v>
      </c>
      <c r="AD741" s="5" t="s">
        <v>79</v>
      </c>
      <c r="AE741" s="5" t="s">
        <v>80</v>
      </c>
      <c r="AF741" s="10">
        <v>31500</v>
      </c>
      <c r="AG741" s="7">
        <v>46356</v>
      </c>
      <c r="AH741" s="10"/>
      <c r="AI741" s="10"/>
      <c r="AJ741" s="11" t="str">
        <f t="shared" si="11"/>
        <v/>
      </c>
      <c r="AK741" s="12">
        <f>IF(B741="","",OR(K741="Not in use",K741="Low use")+AND(N741&lt;&gt;"",N741&lt;&gt;"TBD")+AND(ISNUMBER(U741),U741&lt;=EDATE('Scoring Settings'!$B$4,'Scoring Settings'!$B$8))+AND(ISNUMBER(L741),L741&lt;='Scoring Settings'!$B$7))</f>
        <v>2</v>
      </c>
      <c r="AL741" s="5" t="s">
        <v>111</v>
      </c>
      <c r="AM741" s="8" t="str">
        <f>IF(B741="","",IF(Z741="N","Easy",IF(OR(AND(ISNUMBER(AB741),AB741&gt;'Scoring Settings'!$B$11),AND(ISNUMBER(W741),W741&gt;'Scoring Settings'!$B$12),AND(ISNUMBER(M741),M741&lt;='Scoring Settings'!$B$13)),"High","Medium")))</f>
        <v>Medium</v>
      </c>
      <c r="AN741" s="5"/>
      <c r="AO741" s="7"/>
      <c r="AP741" s="5" t="s">
        <v>98</v>
      </c>
      <c r="AQ741" s="29" t="s">
        <v>124</v>
      </c>
    </row>
    <row r="742" spans="1:43" hidden="1">
      <c r="A742" s="28">
        <v>110439</v>
      </c>
      <c r="B742" s="5" t="s">
        <v>1177</v>
      </c>
      <c r="C742" s="5" t="s">
        <v>138</v>
      </c>
      <c r="D742" s="5" t="s">
        <v>139</v>
      </c>
      <c r="E742" s="5" t="s">
        <v>68</v>
      </c>
      <c r="F742" s="5" t="s">
        <v>173</v>
      </c>
      <c r="G742" s="5" t="s">
        <v>284</v>
      </c>
      <c r="H742" s="5" t="s">
        <v>118</v>
      </c>
      <c r="I742" s="6">
        <v>0</v>
      </c>
      <c r="J742" s="7">
        <v>44178</v>
      </c>
      <c r="K742" s="8" t="str">
        <f>IF(B742="","",IF(AND(I742="",J742=""),"Unknown",IF(OR(AND(ISNUMBER(I742),I742=0),AND(ISNUMBER(J742),J742&lt;=EDATE('Scoring Settings'!$B$4,-'Scoring Settings'!$B$5))),"Not in use",IF(AND(ISNUMBER(I742),I742&lt;'Scoring Settings'!$B$6),"Low use","Active"))))</f>
        <v>Not in use</v>
      </c>
      <c r="L742" s="5">
        <v>4</v>
      </c>
      <c r="M742" s="5">
        <v>3</v>
      </c>
      <c r="N742" s="5" t="s">
        <v>366</v>
      </c>
      <c r="O742" s="5" t="s">
        <v>130</v>
      </c>
      <c r="P742" s="5" t="s">
        <v>1178</v>
      </c>
      <c r="Q742" s="9">
        <v>3</v>
      </c>
      <c r="R742" s="5" t="s">
        <v>72</v>
      </c>
      <c r="S742" s="5" t="s">
        <v>94</v>
      </c>
      <c r="T742" s="5" t="s">
        <v>134</v>
      </c>
      <c r="U742" s="7">
        <v>44561</v>
      </c>
      <c r="V742" s="5" t="s">
        <v>78</v>
      </c>
      <c r="W742" s="6">
        <v>52</v>
      </c>
      <c r="X742" s="5" t="s">
        <v>79</v>
      </c>
      <c r="Y742" s="9">
        <v>5</v>
      </c>
      <c r="Z742" s="5" t="s">
        <v>80</v>
      </c>
      <c r="AA742" s="5" t="s">
        <v>81</v>
      </c>
      <c r="AB742" s="9">
        <v>4</v>
      </c>
      <c r="AC742" s="5" t="s">
        <v>80</v>
      </c>
      <c r="AD742" s="5" t="s">
        <v>79</v>
      </c>
      <c r="AE742" s="5" t="s">
        <v>79</v>
      </c>
      <c r="AF742" s="10">
        <v>34000</v>
      </c>
      <c r="AG742" s="7">
        <v>46326</v>
      </c>
      <c r="AH742" s="10"/>
      <c r="AI742" s="10"/>
      <c r="AJ742" s="11" t="str">
        <f t="shared" si="11"/>
        <v/>
      </c>
      <c r="AK742" s="12">
        <f>IF(B742="","",OR(K742="Not in use",K742="Low use")+AND(N742&lt;&gt;"",N742&lt;&gt;"TBD")+AND(ISNUMBER(U742),U742&lt;=EDATE('Scoring Settings'!$B$4,'Scoring Settings'!$B$8))+AND(ISNUMBER(L742),L742&lt;='Scoring Settings'!$B$7))</f>
        <v>3</v>
      </c>
      <c r="AL742" s="5" t="s">
        <v>111</v>
      </c>
      <c r="AM742" s="8" t="str">
        <f>IF(B742="","",IF(Z742="N","Easy",IF(OR(AND(ISNUMBER(AB742),AB742&gt;'Scoring Settings'!$B$11),AND(ISNUMBER(W742),W742&gt;'Scoring Settings'!$B$12),AND(ISNUMBER(M742),M742&lt;='Scoring Settings'!$B$13)),"High","Medium")))</f>
        <v>Medium</v>
      </c>
      <c r="AN742" s="5"/>
      <c r="AO742" s="7"/>
      <c r="AP742" s="5" t="s">
        <v>98</v>
      </c>
      <c r="AQ742" s="29" t="s">
        <v>218</v>
      </c>
    </row>
    <row r="743" spans="1:43" hidden="1">
      <c r="A743" s="28">
        <v>13062</v>
      </c>
      <c r="B743" s="5" t="s">
        <v>1179</v>
      </c>
      <c r="C743" s="5" t="s">
        <v>156</v>
      </c>
      <c r="D743" s="5" t="s">
        <v>139</v>
      </c>
      <c r="E743" s="5" t="s">
        <v>68</v>
      </c>
      <c r="F743" s="5" t="s">
        <v>188</v>
      </c>
      <c r="G743" s="5" t="s">
        <v>141</v>
      </c>
      <c r="H743" s="5" t="s">
        <v>189</v>
      </c>
      <c r="I743" s="6">
        <v>47</v>
      </c>
      <c r="J743" s="7">
        <v>44294</v>
      </c>
      <c r="K743" s="8" t="str">
        <f>IF(B743="","",IF(AND(I743="",J743=""),"Unknown",IF(OR(AND(ISNUMBER(I743),I743=0),AND(ISNUMBER(J743),J743&lt;=EDATE('Scoring Settings'!$B$4,-'Scoring Settings'!$B$5))),"Not in use",IF(AND(ISNUMBER(I743),I743&lt;'Scoring Settings'!$B$6),"Low use","Active"))))</f>
        <v>Active</v>
      </c>
      <c r="L743" s="5">
        <v>4</v>
      </c>
      <c r="M743" s="5">
        <v>2</v>
      </c>
      <c r="N743" s="5"/>
      <c r="O743" s="5" t="s">
        <v>73</v>
      </c>
      <c r="P743" s="5" t="s">
        <v>1180</v>
      </c>
      <c r="Q743" s="9">
        <v>7</v>
      </c>
      <c r="R743" s="5" t="s">
        <v>256</v>
      </c>
      <c r="S743" s="5" t="s">
        <v>257</v>
      </c>
      <c r="T743" s="5" t="s">
        <v>77</v>
      </c>
      <c r="U743" s="7" t="s">
        <v>72</v>
      </c>
      <c r="V743" s="5" t="s">
        <v>95</v>
      </c>
      <c r="W743" s="6">
        <v>180</v>
      </c>
      <c r="X743" s="5" t="s">
        <v>79</v>
      </c>
      <c r="Y743" s="9">
        <v>1</v>
      </c>
      <c r="Z743" s="5" t="s">
        <v>80</v>
      </c>
      <c r="AA743" s="5" t="s">
        <v>185</v>
      </c>
      <c r="AB743" s="9">
        <v>25</v>
      </c>
      <c r="AC743" s="5" t="s">
        <v>82</v>
      </c>
      <c r="AD743" s="5" t="s">
        <v>79</v>
      </c>
      <c r="AE743" s="5" t="s">
        <v>80</v>
      </c>
      <c r="AF743" s="10">
        <v>145000</v>
      </c>
      <c r="AG743" s="7">
        <v>45716</v>
      </c>
      <c r="AH743" s="10"/>
      <c r="AI743" s="10"/>
      <c r="AJ743" s="11" t="str">
        <f t="shared" si="11"/>
        <v/>
      </c>
      <c r="AK743" s="12">
        <f>IF(B743="","",OR(K743="Not in use",K743="Low use")+AND(N743&lt;&gt;"",N743&lt;&gt;"TBD")+AND(ISNUMBER(U743),U743&lt;=EDATE('Scoring Settings'!$B$4,'Scoring Settings'!$B$8))+AND(ISNUMBER(L743),L743&lt;='Scoring Settings'!$B$7))</f>
        <v>0</v>
      </c>
      <c r="AL743" s="5" t="s">
        <v>83</v>
      </c>
      <c r="AM743" s="8" t="str">
        <f>IF(B743="","",IF(Z743="N","Easy",IF(OR(AND(ISNUMBER(AB743),AB743&gt;'Scoring Settings'!$B$11),AND(ISNUMBER(W743),W743&gt;'Scoring Settings'!$B$12),AND(ISNUMBER(M743),M743&lt;='Scoring Settings'!$B$13)),"High","Medium")))</f>
        <v>High</v>
      </c>
      <c r="AN743" s="5"/>
      <c r="AO743" s="7"/>
      <c r="AP743" s="5" t="s">
        <v>84</v>
      </c>
      <c r="AQ743" s="29" t="s">
        <v>247</v>
      </c>
    </row>
    <row r="744" spans="1:43" hidden="1">
      <c r="A744" s="28">
        <v>189258</v>
      </c>
      <c r="B744" s="5" t="s">
        <v>1184</v>
      </c>
      <c r="C744" s="5" t="s">
        <v>380</v>
      </c>
      <c r="D744" s="5" t="s">
        <v>102</v>
      </c>
      <c r="E744" s="5" t="s">
        <v>68</v>
      </c>
      <c r="F744" s="5" t="s">
        <v>312</v>
      </c>
      <c r="G744" s="5" t="s">
        <v>356</v>
      </c>
      <c r="H744" s="5" t="s">
        <v>91</v>
      </c>
      <c r="I744" s="6">
        <v>25</v>
      </c>
      <c r="J744" s="7">
        <v>44302</v>
      </c>
      <c r="K744" s="8" t="str">
        <f>IF(B744="","",IF(AND(I744="",J744=""),"Unknown",IF(OR(AND(ISNUMBER(I744),I744=0),AND(ISNUMBER(J744),J744&lt;=EDATE('Scoring Settings'!$B$4,-'Scoring Settings'!$B$5))),"Not in use",IF(AND(ISNUMBER(I744),I744&lt;'Scoring Settings'!$B$6),"Low use","Active"))))</f>
        <v>Active</v>
      </c>
      <c r="L744" s="5">
        <v>3</v>
      </c>
      <c r="M744" s="5">
        <v>2</v>
      </c>
      <c r="N744" s="5"/>
      <c r="O744" s="5" t="s">
        <v>130</v>
      </c>
      <c r="P744" s="5" t="s">
        <v>996</v>
      </c>
      <c r="Q744" s="9">
        <v>2</v>
      </c>
      <c r="R744" s="5" t="s">
        <v>75</v>
      </c>
      <c r="S744" s="5" t="s">
        <v>121</v>
      </c>
      <c r="T744" s="5" t="s">
        <v>195</v>
      </c>
      <c r="U744" s="7">
        <v>46217</v>
      </c>
      <c r="V744" s="5" t="s">
        <v>135</v>
      </c>
      <c r="W744" s="6">
        <v>4700</v>
      </c>
      <c r="X744" s="5" t="s">
        <v>79</v>
      </c>
      <c r="Y744" s="9">
        <v>3</v>
      </c>
      <c r="Z744" s="5" t="s">
        <v>80</v>
      </c>
      <c r="AA744" s="5" t="s">
        <v>81</v>
      </c>
      <c r="AB744" s="9">
        <v>21</v>
      </c>
      <c r="AC744" s="5" t="s">
        <v>79</v>
      </c>
      <c r="AD744" s="5" t="s">
        <v>80</v>
      </c>
      <c r="AE744" s="5" t="s">
        <v>80</v>
      </c>
      <c r="AF744" s="10">
        <v>42500</v>
      </c>
      <c r="AG744" s="7">
        <v>47208</v>
      </c>
      <c r="AH744" s="10"/>
      <c r="AI744" s="10"/>
      <c r="AJ744" s="11" t="str">
        <f t="shared" si="11"/>
        <v/>
      </c>
      <c r="AK744" s="12">
        <f>IF(B744="","",OR(K744="Not in use",K744="Low use")+AND(N744&lt;&gt;"",N744&lt;&gt;"TBD")+AND(ISNUMBER(U744),U744&lt;=EDATE('Scoring Settings'!$B$4,'Scoring Settings'!$B$8))+AND(ISNUMBER(L744),L744&lt;='Scoring Settings'!$B$7))</f>
        <v>0</v>
      </c>
      <c r="AL744" s="5" t="s">
        <v>83</v>
      </c>
      <c r="AM744" s="8" t="str">
        <f>IF(B744="","",IF(Z744="N","Easy",IF(OR(AND(ISNUMBER(AB744),AB744&gt;'Scoring Settings'!$B$11),AND(ISNUMBER(W744),W744&gt;'Scoring Settings'!$B$12),AND(ISNUMBER(M744),M744&lt;='Scoring Settings'!$B$13)),"High","Medium")))</f>
        <v>High</v>
      </c>
      <c r="AN744" s="5"/>
      <c r="AO744" s="7"/>
      <c r="AP744" s="5" t="s">
        <v>98</v>
      </c>
      <c r="AQ744" s="29" t="s">
        <v>85</v>
      </c>
    </row>
    <row r="745" spans="1:43" ht="42.75" hidden="1">
      <c r="A745" s="28">
        <v>94956</v>
      </c>
      <c r="B745" s="5" t="s">
        <v>1185</v>
      </c>
      <c r="C745" s="5" t="s">
        <v>599</v>
      </c>
      <c r="D745" s="5" t="s">
        <v>67</v>
      </c>
      <c r="E745" s="5" t="s">
        <v>68</v>
      </c>
      <c r="F745" s="5" t="s">
        <v>346</v>
      </c>
      <c r="G745" s="5" t="s">
        <v>153</v>
      </c>
      <c r="H745" s="5" t="s">
        <v>105</v>
      </c>
      <c r="I745" s="6">
        <v>280</v>
      </c>
      <c r="J745" s="7">
        <v>44271</v>
      </c>
      <c r="K745" s="8" t="str">
        <f>IF(B745="","",IF(AND(I745="",J745=""),"Unknown",IF(OR(AND(ISNUMBER(I745),I745=0),AND(ISNUMBER(J745),J745&lt;=EDATE('Scoring Settings'!$B$4,-'Scoring Settings'!$B$5))),"Not in use",IF(AND(ISNUMBER(I745),I745&lt;'Scoring Settings'!$B$6),"Low use","Active"))))</f>
        <v>Active</v>
      </c>
      <c r="L745" s="5">
        <v>3</v>
      </c>
      <c r="M745" s="5">
        <v>2</v>
      </c>
      <c r="N745" s="5" t="s">
        <v>190</v>
      </c>
      <c r="O745" s="5" t="s">
        <v>130</v>
      </c>
      <c r="P745" s="5" t="s">
        <v>1186</v>
      </c>
      <c r="Q745" s="9">
        <v>1</v>
      </c>
      <c r="R745" s="5" t="s">
        <v>166</v>
      </c>
      <c r="S745" s="5" t="s">
        <v>308</v>
      </c>
      <c r="T745" s="5" t="s">
        <v>134</v>
      </c>
      <c r="U745" s="7">
        <v>45209</v>
      </c>
      <c r="V745" s="5" t="s">
        <v>135</v>
      </c>
      <c r="W745" s="6">
        <v>190</v>
      </c>
      <c r="X745" s="5" t="s">
        <v>80</v>
      </c>
      <c r="Y745" s="9">
        <v>7</v>
      </c>
      <c r="Z745" s="5" t="s">
        <v>79</v>
      </c>
      <c r="AA745" s="5" t="s">
        <v>110</v>
      </c>
      <c r="AB745" s="9">
        <v>27</v>
      </c>
      <c r="AC745" s="5" t="s">
        <v>80</v>
      </c>
      <c r="AD745" s="5" t="s">
        <v>82</v>
      </c>
      <c r="AE745" s="5" t="s">
        <v>79</v>
      </c>
      <c r="AF745" s="10">
        <v>38500</v>
      </c>
      <c r="AG745" s="7">
        <v>47664</v>
      </c>
      <c r="AH745" s="10"/>
      <c r="AI745" s="10"/>
      <c r="AJ745" s="11" t="str">
        <f t="shared" si="11"/>
        <v/>
      </c>
      <c r="AK745" s="12">
        <f>IF(B745="","",OR(K745="Not in use",K745="Low use")+AND(N745&lt;&gt;"",N745&lt;&gt;"TBD")+AND(ISNUMBER(U745),U745&lt;=EDATE('Scoring Settings'!$B$4,'Scoring Settings'!$B$8))+AND(ISNUMBER(L745),L745&lt;='Scoring Settings'!$B$7))</f>
        <v>1</v>
      </c>
      <c r="AL745" s="5" t="s">
        <v>111</v>
      </c>
      <c r="AM745" s="8" t="str">
        <f>IF(B745="","",IF(Z745="N","Easy",IF(OR(AND(ISNUMBER(AB745),AB745&gt;'Scoring Settings'!$B$11),AND(ISNUMBER(W745),W745&gt;'Scoring Settings'!$B$12),AND(ISNUMBER(M745),M745&lt;='Scoring Settings'!$B$13)),"High","Medium")))</f>
        <v>Easy</v>
      </c>
      <c r="AN745" s="5"/>
      <c r="AO745" s="7"/>
      <c r="AP745" s="5" t="s">
        <v>98</v>
      </c>
      <c r="AQ745" s="29" t="s">
        <v>1187</v>
      </c>
    </row>
    <row r="746" spans="1:43" hidden="1">
      <c r="A746" s="28">
        <v>59480</v>
      </c>
      <c r="B746" s="5" t="s">
        <v>1188</v>
      </c>
      <c r="C746" s="5" t="s">
        <v>599</v>
      </c>
      <c r="D746" s="5" t="s">
        <v>67</v>
      </c>
      <c r="E746" s="5" t="s">
        <v>68</v>
      </c>
      <c r="F746" s="5" t="s">
        <v>326</v>
      </c>
      <c r="G746" s="5" t="s">
        <v>117</v>
      </c>
      <c r="H746" s="5" t="s">
        <v>118</v>
      </c>
      <c r="I746" s="6">
        <v>21</v>
      </c>
      <c r="J746" s="7">
        <v>44217</v>
      </c>
      <c r="K746" s="8" t="str">
        <f>IF(B746="","",IF(AND(I746="",J746=""),"Unknown",IF(OR(AND(ISNUMBER(I746),I746=0),AND(ISNUMBER(J746),J746&lt;=EDATE('Scoring Settings'!$B$4,-'Scoring Settings'!$B$5))),"Not in use",IF(AND(ISNUMBER(I746),I746&lt;'Scoring Settings'!$B$6),"Low use","Active"))))</f>
        <v>Low use</v>
      </c>
      <c r="L746" s="5">
        <v>3</v>
      </c>
      <c r="M746" s="5">
        <v>3</v>
      </c>
      <c r="N746" s="5"/>
      <c r="O746" s="5" t="s">
        <v>73</v>
      </c>
      <c r="P746" s="5" t="s">
        <v>1189</v>
      </c>
      <c r="Q746" s="9">
        <v>1</v>
      </c>
      <c r="R746" s="5" t="s">
        <v>132</v>
      </c>
      <c r="S746" s="5" t="s">
        <v>133</v>
      </c>
      <c r="T746" s="5" t="s">
        <v>122</v>
      </c>
      <c r="U746" s="7">
        <v>44227</v>
      </c>
      <c r="V746" s="5" t="s">
        <v>78</v>
      </c>
      <c r="W746" s="6">
        <v>1450</v>
      </c>
      <c r="X746" s="5" t="s">
        <v>79</v>
      </c>
      <c r="Y746" s="9">
        <v>7</v>
      </c>
      <c r="Z746" s="5" t="s">
        <v>79</v>
      </c>
      <c r="AA746" s="5" t="s">
        <v>110</v>
      </c>
      <c r="AB746" s="9">
        <v>8</v>
      </c>
      <c r="AC746" s="5" t="s">
        <v>82</v>
      </c>
      <c r="AD746" s="5" t="s">
        <v>79</v>
      </c>
      <c r="AE746" s="5" t="s">
        <v>82</v>
      </c>
      <c r="AF746" s="10">
        <v>15000</v>
      </c>
      <c r="AG746" s="7">
        <v>46752</v>
      </c>
      <c r="AH746" s="10"/>
      <c r="AI746" s="10"/>
      <c r="AJ746" s="11" t="str">
        <f t="shared" si="11"/>
        <v/>
      </c>
      <c r="AK746" s="12">
        <f>IF(B746="","",OR(K746="Not in use",K746="Low use")+AND(N746&lt;&gt;"",N746&lt;&gt;"TBD")+AND(ISNUMBER(U746),U746&lt;=EDATE('Scoring Settings'!$B$4,'Scoring Settings'!$B$8))+AND(ISNUMBER(L746),L746&lt;='Scoring Settings'!$B$7))</f>
        <v>2</v>
      </c>
      <c r="AL746" s="5" t="s">
        <v>111</v>
      </c>
      <c r="AM746" s="8" t="str">
        <f>IF(B746="","",IF(Z746="N","Easy",IF(OR(AND(ISNUMBER(AB746),AB746&gt;'Scoring Settings'!$B$11),AND(ISNUMBER(W746),W746&gt;'Scoring Settings'!$B$12),AND(ISNUMBER(M746),M746&lt;='Scoring Settings'!$B$13)),"High","Medium")))</f>
        <v>Easy</v>
      </c>
      <c r="AN746" s="5"/>
      <c r="AO746" s="7"/>
      <c r="AP746" s="5" t="s">
        <v>98</v>
      </c>
      <c r="AQ746" s="29" t="s">
        <v>112</v>
      </c>
    </row>
    <row r="747" spans="1:43" hidden="1">
      <c r="A747" s="28">
        <v>60988</v>
      </c>
      <c r="B747" s="5" t="s">
        <v>1193</v>
      </c>
      <c r="C747" s="5" t="s">
        <v>380</v>
      </c>
      <c r="D747" s="5" t="s">
        <v>102</v>
      </c>
      <c r="E747" s="5" t="s">
        <v>311</v>
      </c>
      <c r="F747" s="5" t="s">
        <v>419</v>
      </c>
      <c r="G747" s="5" t="s">
        <v>284</v>
      </c>
      <c r="H747" s="5" t="s">
        <v>91</v>
      </c>
      <c r="I747" s="6">
        <v>146</v>
      </c>
      <c r="J747" s="7">
        <v>44302</v>
      </c>
      <c r="K747" s="8" t="str">
        <f>IF(B747="","",IF(AND(I747="",J747=""),"Unknown",IF(OR(AND(ISNUMBER(I747),I747=0),AND(ISNUMBER(J747),J747&lt;=EDATE('Scoring Settings'!$B$4,-'Scoring Settings'!$B$5))),"Not in use",IF(AND(ISNUMBER(I747),I747&lt;'Scoring Settings'!$B$6),"Low use","Active"))))</f>
        <v>Active</v>
      </c>
      <c r="L747" s="5">
        <v>4</v>
      </c>
      <c r="M747" s="5">
        <v>3</v>
      </c>
      <c r="N747" s="5"/>
      <c r="O747" s="5" t="s">
        <v>73</v>
      </c>
      <c r="P747" s="5" t="s">
        <v>1194</v>
      </c>
      <c r="Q747" s="9">
        <v>3</v>
      </c>
      <c r="R747" s="5" t="s">
        <v>203</v>
      </c>
      <c r="S747" s="5" t="s">
        <v>508</v>
      </c>
      <c r="T747" s="5" t="s">
        <v>109</v>
      </c>
      <c r="U747" s="7">
        <v>47269</v>
      </c>
      <c r="V747" s="5" t="s">
        <v>135</v>
      </c>
      <c r="W747" s="6">
        <v>130</v>
      </c>
      <c r="X747" s="5" t="s">
        <v>80</v>
      </c>
      <c r="Y747" s="9">
        <v>7</v>
      </c>
      <c r="Z747" s="5" t="s">
        <v>79</v>
      </c>
      <c r="AA747" s="5" t="s">
        <v>110</v>
      </c>
      <c r="AB747" s="9">
        <v>6</v>
      </c>
      <c r="AC747" s="5" t="s">
        <v>79</v>
      </c>
      <c r="AD747" s="5" t="s">
        <v>79</v>
      </c>
      <c r="AE747" s="5" t="s">
        <v>82</v>
      </c>
      <c r="AF747" s="10">
        <v>45500</v>
      </c>
      <c r="AG747" s="7">
        <v>45716</v>
      </c>
      <c r="AH747" s="10"/>
      <c r="AI747" s="10"/>
      <c r="AJ747" s="11" t="str">
        <f t="shared" si="11"/>
        <v/>
      </c>
      <c r="AK747" s="12">
        <f>IF(B747="","",OR(K747="Not in use",K747="Low use")+AND(N747&lt;&gt;"",N747&lt;&gt;"TBD")+AND(ISNUMBER(U747),U747&lt;=EDATE('Scoring Settings'!$B$4,'Scoring Settings'!$B$8))+AND(ISNUMBER(L747),L747&lt;='Scoring Settings'!$B$7))</f>
        <v>0</v>
      </c>
      <c r="AL747" s="5" t="s">
        <v>83</v>
      </c>
      <c r="AM747" s="8" t="str">
        <f>IF(B747="","",IF(Z747="N","Easy",IF(OR(AND(ISNUMBER(AB747),AB747&gt;'Scoring Settings'!$B$11),AND(ISNUMBER(W747),W747&gt;'Scoring Settings'!$B$12),AND(ISNUMBER(M747),M747&lt;='Scoring Settings'!$B$13)),"High","Medium")))</f>
        <v>Easy</v>
      </c>
      <c r="AN747" s="5"/>
      <c r="AO747" s="7"/>
      <c r="AP747" s="5" t="s">
        <v>84</v>
      </c>
      <c r="AQ747" s="29" t="s">
        <v>247</v>
      </c>
    </row>
    <row r="748" spans="1:43" hidden="1">
      <c r="A748" s="28">
        <v>12386</v>
      </c>
      <c r="B748" s="5" t="s">
        <v>1198</v>
      </c>
      <c r="C748" s="5" t="s">
        <v>161</v>
      </c>
      <c r="D748" s="5" t="s">
        <v>162</v>
      </c>
      <c r="E748" s="5" t="s">
        <v>298</v>
      </c>
      <c r="F748" s="5" t="s">
        <v>140</v>
      </c>
      <c r="G748" s="5" t="s">
        <v>141</v>
      </c>
      <c r="H748" s="5" t="s">
        <v>174</v>
      </c>
      <c r="I748" s="6">
        <v>717</v>
      </c>
      <c r="J748" s="7">
        <v>44298</v>
      </c>
      <c r="K748" s="8" t="str">
        <f>IF(B748="","",IF(AND(I748="",J748=""),"Unknown",IF(OR(AND(ISNUMBER(I748),I748=0),AND(ISNUMBER(J748),J748&lt;=EDATE('Scoring Settings'!$B$4,-'Scoring Settings'!$B$5))),"Not in use",IF(AND(ISNUMBER(I748),I748&lt;'Scoring Settings'!$B$6),"Low use","Active"))))</f>
        <v>Active</v>
      </c>
      <c r="L748" s="5">
        <v>5</v>
      </c>
      <c r="M748" s="5">
        <v>1</v>
      </c>
      <c r="N748" s="5"/>
      <c r="O748" s="5" t="s">
        <v>73</v>
      </c>
      <c r="P748" s="5" t="s">
        <v>1112</v>
      </c>
      <c r="Q748" s="9">
        <v>4</v>
      </c>
      <c r="R748" s="5" t="s">
        <v>203</v>
      </c>
      <c r="S748" s="5" t="s">
        <v>508</v>
      </c>
      <c r="T748" s="5" t="s">
        <v>122</v>
      </c>
      <c r="U748" s="7">
        <v>47269</v>
      </c>
      <c r="V748" s="5" t="s">
        <v>135</v>
      </c>
      <c r="W748" s="6">
        <v>68</v>
      </c>
      <c r="X748" s="5" t="s">
        <v>80</v>
      </c>
      <c r="Y748" s="9">
        <v>10</v>
      </c>
      <c r="Z748" s="5" t="s">
        <v>80</v>
      </c>
      <c r="AA748" s="5" t="s">
        <v>147</v>
      </c>
      <c r="AB748" s="9">
        <v>24</v>
      </c>
      <c r="AC748" s="5" t="s">
        <v>80</v>
      </c>
      <c r="AD748" s="5" t="s">
        <v>80</v>
      </c>
      <c r="AE748" s="5" t="s">
        <v>79</v>
      </c>
      <c r="AF748" s="10">
        <v>325000</v>
      </c>
      <c r="AG748" s="7">
        <v>49613</v>
      </c>
      <c r="AH748" s="10"/>
      <c r="AI748" s="10"/>
      <c r="AJ748" s="11" t="str">
        <f t="shared" si="11"/>
        <v/>
      </c>
      <c r="AK748" s="12">
        <f>IF(B748="","",OR(K748="Not in use",K748="Low use")+AND(N748&lt;&gt;"",N748&lt;&gt;"TBD")+AND(ISNUMBER(U748),U748&lt;=EDATE('Scoring Settings'!$B$4,'Scoring Settings'!$B$8))+AND(ISNUMBER(L748),L748&lt;='Scoring Settings'!$B$7))</f>
        <v>0</v>
      </c>
      <c r="AL748" s="5" t="s">
        <v>83</v>
      </c>
      <c r="AM748" s="8" t="str">
        <f>IF(B748="","",IF(Z748="N","Easy",IF(OR(AND(ISNUMBER(AB748),AB748&gt;'Scoring Settings'!$B$11),AND(ISNUMBER(W748),W748&gt;'Scoring Settings'!$B$12),AND(ISNUMBER(M748),M748&lt;='Scoring Settings'!$B$13)),"High","Medium")))</f>
        <v>High</v>
      </c>
      <c r="AN748" s="5"/>
      <c r="AO748" s="7"/>
      <c r="AP748" s="5" t="s">
        <v>84</v>
      </c>
      <c r="AQ748" s="29" t="s">
        <v>247</v>
      </c>
    </row>
    <row r="749" spans="1:43" hidden="1">
      <c r="A749" s="28">
        <v>128257</v>
      </c>
      <c r="B749" s="5" t="s">
        <v>1201</v>
      </c>
      <c r="C749" s="5" t="s">
        <v>293</v>
      </c>
      <c r="D749" s="5" t="s">
        <v>162</v>
      </c>
      <c r="E749" s="5" t="s">
        <v>68</v>
      </c>
      <c r="F749" s="5" t="s">
        <v>201</v>
      </c>
      <c r="G749" s="5" t="s">
        <v>70</v>
      </c>
      <c r="H749" s="5" t="s">
        <v>71</v>
      </c>
      <c r="I749" s="6">
        <v>4</v>
      </c>
      <c r="J749" s="7">
        <v>44176</v>
      </c>
      <c r="K749" s="8" t="str">
        <f>IF(B749="","",IF(AND(I749="",J749=""),"Unknown",IF(OR(AND(ISNUMBER(I749),I749=0),AND(ISNUMBER(J749),J749&lt;=EDATE('Scoring Settings'!$B$4,-'Scoring Settings'!$B$5))),"Not in use",IF(AND(ISNUMBER(I749),I749&lt;'Scoring Settings'!$B$6),"Low use","Active"))))</f>
        <v>Low use</v>
      </c>
      <c r="L749" s="5">
        <v>5</v>
      </c>
      <c r="M749" s="5">
        <v>2</v>
      </c>
      <c r="N749" s="5"/>
      <c r="O749" s="5" t="s">
        <v>191</v>
      </c>
      <c r="P749" s="5" t="s">
        <v>192</v>
      </c>
      <c r="Q749" s="9">
        <v>0</v>
      </c>
      <c r="R749" s="5" t="s">
        <v>193</v>
      </c>
      <c r="S749" s="5" t="s">
        <v>318</v>
      </c>
      <c r="T749" s="5" t="s">
        <v>195</v>
      </c>
      <c r="U749" s="7">
        <v>44742</v>
      </c>
      <c r="V749" s="5" t="s">
        <v>95</v>
      </c>
      <c r="W749" s="6">
        <v>1</v>
      </c>
      <c r="X749" s="5" t="s">
        <v>79</v>
      </c>
      <c r="Y749" s="9">
        <v>2</v>
      </c>
      <c r="Z749" s="5" t="s">
        <v>80</v>
      </c>
      <c r="AA749" s="5" t="s">
        <v>147</v>
      </c>
      <c r="AB749" s="9">
        <v>29</v>
      </c>
      <c r="AC749" s="5" t="s">
        <v>80</v>
      </c>
      <c r="AD749" s="5" t="s">
        <v>82</v>
      </c>
      <c r="AE749" s="5" t="s">
        <v>82</v>
      </c>
      <c r="AF749" s="10">
        <v>38500</v>
      </c>
      <c r="AG749" s="7">
        <v>48730</v>
      </c>
      <c r="AH749" s="10"/>
      <c r="AI749" s="10"/>
      <c r="AJ749" s="11" t="str">
        <f t="shared" si="11"/>
        <v/>
      </c>
      <c r="AK749" s="12">
        <f>IF(B749="","",OR(K749="Not in use",K749="Low use")+AND(N749&lt;&gt;"",N749&lt;&gt;"TBD")+AND(ISNUMBER(U749),U749&lt;=EDATE('Scoring Settings'!$B$4,'Scoring Settings'!$B$8))+AND(ISNUMBER(L749),L749&lt;='Scoring Settings'!$B$7))</f>
        <v>1</v>
      </c>
      <c r="AL749" s="5" t="s">
        <v>83</v>
      </c>
      <c r="AM749" s="8" t="str">
        <f>IF(B749="","",IF(Z749="N","Easy",IF(OR(AND(ISNUMBER(AB749),AB749&gt;'Scoring Settings'!$B$11),AND(ISNUMBER(W749),W749&gt;'Scoring Settings'!$B$12),AND(ISNUMBER(M749),M749&lt;='Scoring Settings'!$B$13)),"High","Medium")))</f>
        <v>High</v>
      </c>
      <c r="AN749" s="5"/>
      <c r="AO749" s="7"/>
      <c r="AP749" s="5" t="s">
        <v>84</v>
      </c>
      <c r="AQ749" s="29" t="s">
        <v>247</v>
      </c>
    </row>
    <row r="750" spans="1:43" hidden="1">
      <c r="A750" s="28">
        <v>146438</v>
      </c>
      <c r="B750" s="5" t="s">
        <v>1204</v>
      </c>
      <c r="C750" s="5" t="s">
        <v>409</v>
      </c>
      <c r="D750" s="5" t="s">
        <v>115</v>
      </c>
      <c r="E750" s="5" t="s">
        <v>68</v>
      </c>
      <c r="F750" s="5" t="s">
        <v>236</v>
      </c>
      <c r="G750" s="5" t="s">
        <v>210</v>
      </c>
      <c r="H750" s="5" t="s">
        <v>105</v>
      </c>
      <c r="I750" s="6">
        <v>0</v>
      </c>
      <c r="J750" s="7">
        <v>44230</v>
      </c>
      <c r="K750" s="8" t="str">
        <f>IF(B750="","",IF(AND(I750="",J750=""),"Unknown",IF(OR(AND(ISNUMBER(I750),I750=0),AND(ISNUMBER(J750),J750&lt;=EDATE('Scoring Settings'!$B$4,-'Scoring Settings'!$B$5))),"Not in use",IF(AND(ISNUMBER(I750),I750&lt;'Scoring Settings'!$B$6),"Low use","Active"))))</f>
        <v>Not in use</v>
      </c>
      <c r="L750" s="5">
        <v>5</v>
      </c>
      <c r="M750" s="5">
        <v>1</v>
      </c>
      <c r="N750" s="5" t="s">
        <v>930</v>
      </c>
      <c r="O750" s="5" t="s">
        <v>73</v>
      </c>
      <c r="P750" s="5" t="s">
        <v>1205</v>
      </c>
      <c r="Q750" s="9">
        <v>6</v>
      </c>
      <c r="R750" s="5" t="s">
        <v>93</v>
      </c>
      <c r="S750" s="5" t="s">
        <v>94</v>
      </c>
      <c r="T750" s="5" t="s">
        <v>77</v>
      </c>
      <c r="U750" s="7">
        <v>44561</v>
      </c>
      <c r="V750" s="5" t="s">
        <v>135</v>
      </c>
      <c r="W750" s="6">
        <v>7</v>
      </c>
      <c r="X750" s="5" t="s">
        <v>80</v>
      </c>
      <c r="Y750" s="9">
        <v>5</v>
      </c>
      <c r="Z750" s="5" t="s">
        <v>80</v>
      </c>
      <c r="AA750" s="5" t="s">
        <v>205</v>
      </c>
      <c r="AB750" s="9">
        <v>25</v>
      </c>
      <c r="AC750" s="5" t="s">
        <v>82</v>
      </c>
      <c r="AD750" s="5" t="s">
        <v>82</v>
      </c>
      <c r="AE750" s="5" t="s">
        <v>82</v>
      </c>
      <c r="AF750" s="10">
        <v>100000</v>
      </c>
      <c r="AG750" s="7">
        <v>47149</v>
      </c>
      <c r="AH750" s="10"/>
      <c r="AI750" s="10"/>
      <c r="AJ750" s="11" t="str">
        <f t="shared" si="11"/>
        <v/>
      </c>
      <c r="AK750" s="12">
        <f>IF(B750="","",OR(K750="Not in use",K750="Low use")+AND(N750&lt;&gt;"",N750&lt;&gt;"TBD")+AND(ISNUMBER(U750),U750&lt;=EDATE('Scoring Settings'!$B$4,'Scoring Settings'!$B$8))+AND(ISNUMBER(L750),L750&lt;='Scoring Settings'!$B$7))</f>
        <v>3</v>
      </c>
      <c r="AL750" s="5" t="s">
        <v>111</v>
      </c>
      <c r="AM750" s="8" t="str">
        <f>IF(B750="","",IF(Z750="N","Easy",IF(OR(AND(ISNUMBER(AB750),AB750&gt;'Scoring Settings'!$B$11),AND(ISNUMBER(W750),W750&gt;'Scoring Settings'!$B$12),AND(ISNUMBER(M750),M750&lt;='Scoring Settings'!$B$13)),"High","Medium")))</f>
        <v>High</v>
      </c>
      <c r="AN750" s="5"/>
      <c r="AO750" s="7"/>
      <c r="AP750" s="5" t="s">
        <v>98</v>
      </c>
      <c r="AQ750" s="29" t="s">
        <v>124</v>
      </c>
    </row>
    <row r="751" spans="1:43" ht="57" hidden="1">
      <c r="A751" s="28">
        <v>83289</v>
      </c>
      <c r="B751" s="5" t="s">
        <v>1206</v>
      </c>
      <c r="C751" s="5" t="s">
        <v>495</v>
      </c>
      <c r="D751" s="5" t="s">
        <v>162</v>
      </c>
      <c r="E751" s="5" t="s">
        <v>298</v>
      </c>
      <c r="F751" s="5" t="s">
        <v>266</v>
      </c>
      <c r="G751" s="5" t="s">
        <v>278</v>
      </c>
      <c r="H751" s="5" t="s">
        <v>142</v>
      </c>
      <c r="I751" s="6"/>
      <c r="J751" s="7"/>
      <c r="K751" s="8" t="str">
        <f>IF(B751="","",IF(AND(I751="",J751=""),"Unknown",IF(OR(AND(ISNUMBER(I751),I751=0),AND(ISNUMBER(J751),J751&lt;=EDATE('Scoring Settings'!$B$4,-'Scoring Settings'!$B$5))),"Not in use",IF(AND(ISNUMBER(I751),I751&lt;'Scoring Settings'!$B$6),"Low use","Active"))))</f>
        <v>Unknown</v>
      </c>
      <c r="L751" s="5">
        <v>5</v>
      </c>
      <c r="M751" s="5">
        <v>1</v>
      </c>
      <c r="N751" s="5" t="s">
        <v>72</v>
      </c>
      <c r="O751" s="5" t="s">
        <v>143</v>
      </c>
      <c r="P751" s="5" t="s">
        <v>144</v>
      </c>
      <c r="Q751" s="9">
        <v>0</v>
      </c>
      <c r="R751" s="5" t="s">
        <v>145</v>
      </c>
      <c r="S751" s="5" t="s">
        <v>145</v>
      </c>
      <c r="T751" s="5" t="s">
        <v>146</v>
      </c>
      <c r="U751" s="7"/>
      <c r="V751" s="5" t="s">
        <v>135</v>
      </c>
      <c r="W751" s="6">
        <v>3750</v>
      </c>
      <c r="X751" s="5" t="s">
        <v>80</v>
      </c>
      <c r="Y751" s="9">
        <v>7</v>
      </c>
      <c r="Z751" s="5" t="s">
        <v>80</v>
      </c>
      <c r="AA751" s="5" t="s">
        <v>185</v>
      </c>
      <c r="AB751" s="9">
        <v>40</v>
      </c>
      <c r="AC751" s="5" t="s">
        <v>82</v>
      </c>
      <c r="AD751" s="5" t="s">
        <v>82</v>
      </c>
      <c r="AE751" s="5" t="s">
        <v>79</v>
      </c>
      <c r="AF751" s="10">
        <v>215000</v>
      </c>
      <c r="AG751" s="7">
        <v>47208</v>
      </c>
      <c r="AH751" s="10">
        <v>484000</v>
      </c>
      <c r="AI751" s="10">
        <v>136500</v>
      </c>
      <c r="AJ751" s="11">
        <f t="shared" si="11"/>
        <v>42.549450549450547</v>
      </c>
      <c r="AK751" s="12">
        <f>IF(B751="","",OR(K751="Not in use",K751="Low use")+AND(N751&lt;&gt;"",N751&lt;&gt;"TBD")+AND(ISNUMBER(U751),U751&lt;=EDATE('Scoring Settings'!$B$4,'Scoring Settings'!$B$8))+AND(ISNUMBER(L751),L751&lt;='Scoring Settings'!$B$7))</f>
        <v>0</v>
      </c>
      <c r="AL751" s="5" t="s">
        <v>111</v>
      </c>
      <c r="AM751" s="8" t="str">
        <f>IF(B751="","",IF(Z751="N","Easy",IF(OR(AND(ISNUMBER(AB751),AB751&gt;'Scoring Settings'!$B$11),AND(ISNUMBER(W751),W751&gt;'Scoring Settings'!$B$12),AND(ISNUMBER(M751),M751&lt;='Scoring Settings'!$B$13)),"High","Medium")))</f>
        <v>High</v>
      </c>
      <c r="AN751" s="5"/>
      <c r="AO751" s="7"/>
      <c r="AP751" s="5" t="s">
        <v>98</v>
      </c>
      <c r="AQ751" s="29" t="s">
        <v>1207</v>
      </c>
    </row>
    <row r="752" spans="1:43" hidden="1">
      <c r="A752" s="28">
        <v>147054</v>
      </c>
      <c r="B752" s="5" t="s">
        <v>1210</v>
      </c>
      <c r="C752" s="5" t="s">
        <v>390</v>
      </c>
      <c r="D752" s="5" t="s">
        <v>88</v>
      </c>
      <c r="E752" s="5" t="s">
        <v>68</v>
      </c>
      <c r="F752" s="5" t="s">
        <v>127</v>
      </c>
      <c r="G752" s="5" t="s">
        <v>221</v>
      </c>
      <c r="H752" s="5" t="s">
        <v>174</v>
      </c>
      <c r="I752" s="6">
        <v>207</v>
      </c>
      <c r="J752" s="7">
        <v>44315</v>
      </c>
      <c r="K752" s="8" t="str">
        <f>IF(B752="","",IF(AND(I752="",J752=""),"Unknown",IF(OR(AND(ISNUMBER(I752),I752=0),AND(ISNUMBER(J752),J752&lt;=EDATE('Scoring Settings'!$B$4,-'Scoring Settings'!$B$5))),"Not in use",IF(AND(ISNUMBER(I752),I752&lt;'Scoring Settings'!$B$6),"Low use","Active"))))</f>
        <v>Active</v>
      </c>
      <c r="L752" s="5">
        <v>2</v>
      </c>
      <c r="M752" s="5">
        <v>3</v>
      </c>
      <c r="N752" s="5" t="s">
        <v>180</v>
      </c>
      <c r="O752" s="5" t="s">
        <v>73</v>
      </c>
      <c r="P752" s="5" t="s">
        <v>1211</v>
      </c>
      <c r="Q752" s="9">
        <v>4</v>
      </c>
      <c r="R752" s="5" t="s">
        <v>182</v>
      </c>
      <c r="S752" s="5" t="s">
        <v>183</v>
      </c>
      <c r="T752" s="5" t="s">
        <v>109</v>
      </c>
      <c r="U752" s="7">
        <v>42855</v>
      </c>
      <c r="V752" s="5" t="s">
        <v>78</v>
      </c>
      <c r="W752" s="6">
        <v>37</v>
      </c>
      <c r="X752" s="5" t="s">
        <v>79</v>
      </c>
      <c r="Y752" s="9">
        <v>3</v>
      </c>
      <c r="Z752" s="5" t="s">
        <v>80</v>
      </c>
      <c r="AA752" s="5" t="s">
        <v>205</v>
      </c>
      <c r="AB752" s="9">
        <v>8</v>
      </c>
      <c r="AC752" s="5" t="s">
        <v>82</v>
      </c>
      <c r="AD752" s="5" t="s">
        <v>80</v>
      </c>
      <c r="AE752" s="5" t="s">
        <v>82</v>
      </c>
      <c r="AF752" s="10">
        <v>60000</v>
      </c>
      <c r="AG752" s="7">
        <v>45869</v>
      </c>
      <c r="AH752" s="10"/>
      <c r="AI752" s="10"/>
      <c r="AJ752" s="11" t="str">
        <f t="shared" si="11"/>
        <v/>
      </c>
      <c r="AK752" s="12">
        <f>IF(B752="","",OR(K752="Not in use",K752="Low use")+AND(N752&lt;&gt;"",N752&lt;&gt;"TBD")+AND(ISNUMBER(U752),U752&lt;=EDATE('Scoring Settings'!$B$4,'Scoring Settings'!$B$8))+AND(ISNUMBER(L752),L752&lt;='Scoring Settings'!$B$7))</f>
        <v>3</v>
      </c>
      <c r="AL752" s="5" t="s">
        <v>111</v>
      </c>
      <c r="AM752" s="8" t="str">
        <f>IF(B752="","",IF(Z752="N","Easy",IF(OR(AND(ISNUMBER(AB752),AB752&gt;'Scoring Settings'!$B$11),AND(ISNUMBER(W752),W752&gt;'Scoring Settings'!$B$12),AND(ISNUMBER(M752),M752&lt;='Scoring Settings'!$B$13)),"High","Medium")))</f>
        <v>High</v>
      </c>
      <c r="AN752" s="5"/>
      <c r="AO752" s="7"/>
      <c r="AP752" s="5" t="s">
        <v>98</v>
      </c>
      <c r="AQ752" s="29" t="s">
        <v>159</v>
      </c>
    </row>
    <row r="753" spans="1:43" hidden="1">
      <c r="A753" s="28">
        <v>92012</v>
      </c>
      <c r="B753" s="5" t="s">
        <v>1212</v>
      </c>
      <c r="C753" s="5" t="s">
        <v>409</v>
      </c>
      <c r="D753" s="5" t="s">
        <v>115</v>
      </c>
      <c r="E753" s="5" t="s">
        <v>68</v>
      </c>
      <c r="F753" s="5" t="s">
        <v>89</v>
      </c>
      <c r="G753" s="5" t="s">
        <v>104</v>
      </c>
      <c r="H753" s="5" t="s">
        <v>118</v>
      </c>
      <c r="I753" s="6">
        <v>25</v>
      </c>
      <c r="J753" s="7">
        <v>44301</v>
      </c>
      <c r="K753" s="8" t="str">
        <f>IF(B753="","",IF(AND(I753="",J753=""),"Unknown",IF(OR(AND(ISNUMBER(I753),I753=0),AND(ISNUMBER(J753),J753&lt;=EDATE('Scoring Settings'!$B$4,-'Scoring Settings'!$B$5))),"Not in use",IF(AND(ISNUMBER(I753),I753&lt;'Scoring Settings'!$B$6),"Low use","Active"))))</f>
        <v>Active</v>
      </c>
      <c r="L753" s="5">
        <v>5</v>
      </c>
      <c r="M753" s="5">
        <v>2</v>
      </c>
      <c r="N753" s="5"/>
      <c r="O753" s="5" t="s">
        <v>130</v>
      </c>
      <c r="P753" s="5" t="s">
        <v>1213</v>
      </c>
      <c r="Q753" s="9">
        <v>4</v>
      </c>
      <c r="R753" s="5" t="s">
        <v>239</v>
      </c>
      <c r="S753" s="5" t="s">
        <v>240</v>
      </c>
      <c r="T753" s="5" t="s">
        <v>134</v>
      </c>
      <c r="U753" s="7">
        <v>44316</v>
      </c>
      <c r="V753" s="5" t="s">
        <v>78</v>
      </c>
      <c r="W753" s="6">
        <v>74</v>
      </c>
      <c r="X753" s="5" t="s">
        <v>80</v>
      </c>
      <c r="Y753" s="9">
        <v>5</v>
      </c>
      <c r="Z753" s="5" t="s">
        <v>80</v>
      </c>
      <c r="AA753" s="5" t="s">
        <v>123</v>
      </c>
      <c r="AB753" s="9">
        <v>13</v>
      </c>
      <c r="AC753" s="5" t="s">
        <v>79</v>
      </c>
      <c r="AD753" s="5" t="s">
        <v>79</v>
      </c>
      <c r="AE753" s="5" t="s">
        <v>80</v>
      </c>
      <c r="AF753" s="10">
        <v>75000</v>
      </c>
      <c r="AG753" s="7">
        <v>45869</v>
      </c>
      <c r="AH753" s="10">
        <v>101500</v>
      </c>
      <c r="AI753" s="10">
        <v>48000</v>
      </c>
      <c r="AJ753" s="11">
        <f t="shared" si="11"/>
        <v>25.375</v>
      </c>
      <c r="AK753" s="12">
        <f>IF(B753="","",OR(K753="Not in use",K753="Low use")+AND(N753&lt;&gt;"",N753&lt;&gt;"TBD")+AND(ISNUMBER(U753),U753&lt;=EDATE('Scoring Settings'!$B$4,'Scoring Settings'!$B$8))+AND(ISNUMBER(L753),L753&lt;='Scoring Settings'!$B$7))</f>
        <v>1</v>
      </c>
      <c r="AL753" s="5" t="s">
        <v>111</v>
      </c>
      <c r="AM753" s="8" t="str">
        <f>IF(B753="","",IF(Z753="N","Easy",IF(OR(AND(ISNUMBER(AB753),AB753&gt;'Scoring Settings'!$B$11),AND(ISNUMBER(W753),W753&gt;'Scoring Settings'!$B$12),AND(ISNUMBER(M753),M753&lt;='Scoring Settings'!$B$13)),"High","Medium")))</f>
        <v>High</v>
      </c>
      <c r="AN753" s="5"/>
      <c r="AO753" s="7"/>
      <c r="AP753" s="5" t="s">
        <v>98</v>
      </c>
      <c r="AQ753" s="29" t="s">
        <v>159</v>
      </c>
    </row>
    <row r="754" spans="1:43" hidden="1">
      <c r="A754" s="28">
        <v>44096</v>
      </c>
      <c r="B754" s="5" t="s">
        <v>1224</v>
      </c>
      <c r="C754" s="5" t="s">
        <v>515</v>
      </c>
      <c r="D754" s="5" t="s">
        <v>102</v>
      </c>
      <c r="E754" s="5" t="s">
        <v>68</v>
      </c>
      <c r="F754" s="5" t="s">
        <v>396</v>
      </c>
      <c r="G754" s="5" t="s">
        <v>117</v>
      </c>
      <c r="H754" s="5" t="s">
        <v>129</v>
      </c>
      <c r="I754" s="6">
        <v>31</v>
      </c>
      <c r="J754" s="7">
        <v>44291</v>
      </c>
      <c r="K754" s="8" t="str">
        <f>IF(B754="","",IF(AND(I754="",J754=""),"Unknown",IF(OR(AND(ISNUMBER(I754),I754=0),AND(ISNUMBER(J754),J754&lt;=EDATE('Scoring Settings'!$B$4,-'Scoring Settings'!$B$5))),"Not in use",IF(AND(ISNUMBER(I754),I754&lt;'Scoring Settings'!$B$6),"Low use","Active"))))</f>
        <v>Active</v>
      </c>
      <c r="L754" s="5">
        <v>4</v>
      </c>
      <c r="M754" s="5">
        <v>2</v>
      </c>
      <c r="N754" s="5"/>
      <c r="O754" s="5" t="s">
        <v>73</v>
      </c>
      <c r="P754" s="5" t="s">
        <v>1225</v>
      </c>
      <c r="Q754" s="9">
        <v>8</v>
      </c>
      <c r="R754" s="5" t="s">
        <v>256</v>
      </c>
      <c r="S754" s="5" t="s">
        <v>257</v>
      </c>
      <c r="T754" s="5" t="s">
        <v>122</v>
      </c>
      <c r="U754" s="7">
        <v>45077</v>
      </c>
      <c r="V754" s="5" t="s">
        <v>95</v>
      </c>
      <c r="W754" s="6">
        <v>49</v>
      </c>
      <c r="X754" s="5" t="s">
        <v>79</v>
      </c>
      <c r="Y754" s="9">
        <v>5</v>
      </c>
      <c r="Z754" s="5" t="s">
        <v>80</v>
      </c>
      <c r="AA754" s="5" t="s">
        <v>205</v>
      </c>
      <c r="AB754" s="9">
        <v>15</v>
      </c>
      <c r="AC754" s="5" t="s">
        <v>80</v>
      </c>
      <c r="AD754" s="5" t="s">
        <v>80</v>
      </c>
      <c r="AE754" s="5" t="s">
        <v>79</v>
      </c>
      <c r="AF754" s="10">
        <v>145000</v>
      </c>
      <c r="AG754" s="7">
        <v>47452</v>
      </c>
      <c r="AH754" s="10"/>
      <c r="AI754" s="10"/>
      <c r="AJ754" s="11" t="str">
        <f t="shared" si="11"/>
        <v/>
      </c>
      <c r="AK754" s="12">
        <f>IF(B754="","",OR(K754="Not in use",K754="Low use")+AND(N754&lt;&gt;"",N754&lt;&gt;"TBD")+AND(ISNUMBER(U754),U754&lt;=EDATE('Scoring Settings'!$B$4,'Scoring Settings'!$B$8))+AND(ISNUMBER(L754),L754&lt;='Scoring Settings'!$B$7))</f>
        <v>0</v>
      </c>
      <c r="AL754" s="5" t="s">
        <v>83</v>
      </c>
      <c r="AM754" s="8" t="str">
        <f>IF(B754="","",IF(Z754="N","Easy",IF(OR(AND(ISNUMBER(AB754),AB754&gt;'Scoring Settings'!$B$11),AND(ISNUMBER(W754),W754&gt;'Scoring Settings'!$B$12),AND(ISNUMBER(M754),M754&lt;='Scoring Settings'!$B$13)),"High","Medium")))</f>
        <v>High</v>
      </c>
      <c r="AN754" s="5"/>
      <c r="AO754" s="7"/>
      <c r="AP754" s="5" t="s">
        <v>84</v>
      </c>
      <c r="AQ754" s="29" t="s">
        <v>247</v>
      </c>
    </row>
    <row r="755" spans="1:43" hidden="1">
      <c r="A755" s="28">
        <v>173398</v>
      </c>
      <c r="B755" s="5" t="s">
        <v>1226</v>
      </c>
      <c r="C755" s="5" t="s">
        <v>325</v>
      </c>
      <c r="D755" s="5" t="s">
        <v>139</v>
      </c>
      <c r="E755" s="5" t="s">
        <v>68</v>
      </c>
      <c r="F755" s="5" t="s">
        <v>127</v>
      </c>
      <c r="G755" s="5" t="s">
        <v>141</v>
      </c>
      <c r="H755" s="5" t="s">
        <v>91</v>
      </c>
      <c r="I755" s="6">
        <v>143</v>
      </c>
      <c r="J755" s="7">
        <v>44306</v>
      </c>
      <c r="K755" s="8" t="str">
        <f>IF(B755="","",IF(AND(I755="",J755=""),"Unknown",IF(OR(AND(ISNUMBER(I755),I755=0),AND(ISNUMBER(J755),J755&lt;=EDATE('Scoring Settings'!$B$4,-'Scoring Settings'!$B$5))),"Not in use",IF(AND(ISNUMBER(I755),I755&lt;'Scoring Settings'!$B$6),"Low use","Active"))))</f>
        <v>Active</v>
      </c>
      <c r="L755" s="5">
        <v>4</v>
      </c>
      <c r="M755" s="5">
        <v>2</v>
      </c>
      <c r="N755" s="5"/>
      <c r="O755" s="5" t="s">
        <v>73</v>
      </c>
      <c r="P755" s="5" t="s">
        <v>1227</v>
      </c>
      <c r="Q755" s="9">
        <v>1</v>
      </c>
      <c r="R755" s="5" t="s">
        <v>72</v>
      </c>
      <c r="S755" s="5" t="s">
        <v>121</v>
      </c>
      <c r="T755" s="5" t="s">
        <v>184</v>
      </c>
      <c r="U755" s="7">
        <v>46217</v>
      </c>
      <c r="V755" s="5" t="s">
        <v>135</v>
      </c>
      <c r="W755" s="6">
        <v>160</v>
      </c>
      <c r="X755" s="5" t="s">
        <v>79</v>
      </c>
      <c r="Y755" s="9">
        <v>5</v>
      </c>
      <c r="Z755" s="5" t="s">
        <v>80</v>
      </c>
      <c r="AA755" s="5" t="s">
        <v>81</v>
      </c>
      <c r="AB755" s="9">
        <v>16</v>
      </c>
      <c r="AC755" s="5" t="s">
        <v>82</v>
      </c>
      <c r="AD755" s="5" t="s">
        <v>82</v>
      </c>
      <c r="AE755" s="5" t="s">
        <v>79</v>
      </c>
      <c r="AF755" s="10">
        <v>47500</v>
      </c>
      <c r="AG755" s="7">
        <v>46295</v>
      </c>
      <c r="AH755" s="10"/>
      <c r="AI755" s="10"/>
      <c r="AJ755" s="11" t="str">
        <f t="shared" si="11"/>
        <v/>
      </c>
      <c r="AK755" s="12">
        <f>IF(B755="","",OR(K755="Not in use",K755="Low use")+AND(N755&lt;&gt;"",N755&lt;&gt;"TBD")+AND(ISNUMBER(U755),U755&lt;=EDATE('Scoring Settings'!$B$4,'Scoring Settings'!$B$8))+AND(ISNUMBER(L755),L755&lt;='Scoring Settings'!$B$7))</f>
        <v>0</v>
      </c>
      <c r="AL755" s="5" t="s">
        <v>83</v>
      </c>
      <c r="AM755" s="8" t="str">
        <f>IF(B755="","",IF(Z755="N","Easy",IF(OR(AND(ISNUMBER(AB755),AB755&gt;'Scoring Settings'!$B$11),AND(ISNUMBER(W755),W755&gt;'Scoring Settings'!$B$12),AND(ISNUMBER(M755),M755&lt;='Scoring Settings'!$B$13)),"High","Medium")))</f>
        <v>High</v>
      </c>
      <c r="AN755" s="5"/>
      <c r="AO755" s="7"/>
      <c r="AP755" s="5" t="s">
        <v>84</v>
      </c>
      <c r="AQ755" s="29" t="s">
        <v>273</v>
      </c>
    </row>
    <row r="756" spans="1:43" hidden="1">
      <c r="A756" s="28">
        <v>145774</v>
      </c>
      <c r="B756" s="5" t="s">
        <v>1228</v>
      </c>
      <c r="C756" s="5" t="s">
        <v>87</v>
      </c>
      <c r="D756" s="5" t="s">
        <v>88</v>
      </c>
      <c r="E756" s="5" t="s">
        <v>68</v>
      </c>
      <c r="F756" s="5" t="s">
        <v>103</v>
      </c>
      <c r="G756" s="5" t="s">
        <v>128</v>
      </c>
      <c r="H756" s="5" t="s">
        <v>91</v>
      </c>
      <c r="I756" s="6">
        <v>6</v>
      </c>
      <c r="J756" s="7">
        <v>44057</v>
      </c>
      <c r="K756" s="8" t="str">
        <f>IF(B756="","",IF(AND(I756="",J756=""),"Unknown",IF(OR(AND(ISNUMBER(I756),I756=0),AND(ISNUMBER(J756),J756&lt;=EDATE('Scoring Settings'!$B$4,-'Scoring Settings'!$B$5))),"Not in use",IF(AND(ISNUMBER(I756),I756&lt;'Scoring Settings'!$B$6),"Low use","Active"))))</f>
        <v>Not in use</v>
      </c>
      <c r="L756" s="5">
        <v>5</v>
      </c>
      <c r="M756" s="5">
        <v>1</v>
      </c>
      <c r="N756" s="5" t="s">
        <v>180</v>
      </c>
      <c r="O756" s="5" t="s">
        <v>73</v>
      </c>
      <c r="P756" s="5" t="s">
        <v>1229</v>
      </c>
      <c r="Q756" s="9">
        <v>1</v>
      </c>
      <c r="R756" s="5" t="s">
        <v>166</v>
      </c>
      <c r="S756" s="5" t="s">
        <v>308</v>
      </c>
      <c r="T756" s="5" t="s">
        <v>72</v>
      </c>
      <c r="U756" s="7">
        <v>45209</v>
      </c>
      <c r="V756" s="5" t="s">
        <v>78</v>
      </c>
      <c r="W756" s="6">
        <v>150</v>
      </c>
      <c r="X756" s="5" t="s">
        <v>80</v>
      </c>
      <c r="Y756" s="9">
        <v>5</v>
      </c>
      <c r="Z756" s="5" t="s">
        <v>79</v>
      </c>
      <c r="AA756" s="5" t="s">
        <v>110</v>
      </c>
      <c r="AB756" s="9">
        <v>71</v>
      </c>
      <c r="AC756" s="5" t="s">
        <v>82</v>
      </c>
      <c r="AD756" s="5" t="s">
        <v>79</v>
      </c>
      <c r="AE756" s="5" t="s">
        <v>79</v>
      </c>
      <c r="AF756" s="10">
        <v>90000</v>
      </c>
      <c r="AG756" s="7">
        <v>48913</v>
      </c>
      <c r="AH756" s="10"/>
      <c r="AI756" s="10"/>
      <c r="AJ756" s="11" t="str">
        <f t="shared" si="11"/>
        <v/>
      </c>
      <c r="AK756" s="12">
        <f>IF(B756="","",OR(K756="Not in use",K756="Low use")+AND(N756&lt;&gt;"",N756&lt;&gt;"TBD")+AND(ISNUMBER(U756),U756&lt;=EDATE('Scoring Settings'!$B$4,'Scoring Settings'!$B$8))+AND(ISNUMBER(L756),L756&lt;='Scoring Settings'!$B$7))</f>
        <v>2</v>
      </c>
      <c r="AL756" s="5" t="s">
        <v>111</v>
      </c>
      <c r="AM756" s="8" t="str">
        <f>IF(B756="","",IF(Z756="N","Easy",IF(OR(AND(ISNUMBER(AB756),AB756&gt;'Scoring Settings'!$B$11),AND(ISNUMBER(W756),W756&gt;'Scoring Settings'!$B$12),AND(ISNUMBER(M756),M756&lt;='Scoring Settings'!$B$13)),"High","Medium")))</f>
        <v>Easy</v>
      </c>
      <c r="AN756" s="5"/>
      <c r="AO756" s="7"/>
      <c r="AP756" s="5" t="s">
        <v>98</v>
      </c>
      <c r="AQ756" s="29" t="s">
        <v>112</v>
      </c>
    </row>
    <row r="757" spans="1:43" hidden="1">
      <c r="A757" s="28">
        <v>13558</v>
      </c>
      <c r="B757" s="5" t="s">
        <v>1230</v>
      </c>
      <c r="C757" s="5" t="s">
        <v>156</v>
      </c>
      <c r="D757" s="5" t="s">
        <v>139</v>
      </c>
      <c r="E757" s="5" t="s">
        <v>311</v>
      </c>
      <c r="F757" s="5" t="s">
        <v>288</v>
      </c>
      <c r="G757" s="5" t="s">
        <v>226</v>
      </c>
      <c r="H757" s="5" t="s">
        <v>71</v>
      </c>
      <c r="I757" s="6">
        <v>22</v>
      </c>
      <c r="J757" s="7">
        <v>44240</v>
      </c>
      <c r="K757" s="8" t="str">
        <f>IF(B757="","",IF(AND(I757="",J757=""),"Unknown",IF(OR(AND(ISNUMBER(I757),I757=0),AND(ISNUMBER(J757),J757&lt;=EDATE('Scoring Settings'!$B$4,-'Scoring Settings'!$B$5))),"Not in use",IF(AND(ISNUMBER(I757),I757&lt;'Scoring Settings'!$B$6),"Low use","Active"))))</f>
        <v>Low use</v>
      </c>
      <c r="L757" s="5">
        <v>5</v>
      </c>
      <c r="M757" s="5">
        <v>1</v>
      </c>
      <c r="N757" s="5" t="s">
        <v>1006</v>
      </c>
      <c r="O757" s="5" t="s">
        <v>73</v>
      </c>
      <c r="P757" s="5" t="s">
        <v>321</v>
      </c>
      <c r="Q757" s="9">
        <v>4</v>
      </c>
      <c r="R757" s="5" t="s">
        <v>358</v>
      </c>
      <c r="S757" s="5" t="s">
        <v>133</v>
      </c>
      <c r="T757" s="5" t="s">
        <v>184</v>
      </c>
      <c r="U757" s="7">
        <v>43555</v>
      </c>
      <c r="V757" s="5" t="s">
        <v>135</v>
      </c>
      <c r="W757" s="6">
        <v>150</v>
      </c>
      <c r="X757" s="5" t="s">
        <v>79</v>
      </c>
      <c r="Y757" s="9">
        <v>3</v>
      </c>
      <c r="Z757" s="5" t="s">
        <v>79</v>
      </c>
      <c r="AA757" s="5" t="s">
        <v>110</v>
      </c>
      <c r="AB757" s="9">
        <v>89</v>
      </c>
      <c r="AC757" s="5" t="s">
        <v>80</v>
      </c>
      <c r="AD757" s="5" t="s">
        <v>79</v>
      </c>
      <c r="AE757" s="5" t="s">
        <v>82</v>
      </c>
      <c r="AF757" s="10">
        <v>250000</v>
      </c>
      <c r="AG757" s="7">
        <v>48975</v>
      </c>
      <c r="AH757" s="10"/>
      <c r="AI757" s="10"/>
      <c r="AJ757" s="11" t="str">
        <f t="shared" si="11"/>
        <v/>
      </c>
      <c r="AK757" s="12">
        <f>IF(B757="","",OR(K757="Not in use",K757="Low use")+AND(N757&lt;&gt;"",N757&lt;&gt;"TBD")+AND(ISNUMBER(U757),U757&lt;=EDATE('Scoring Settings'!$B$4,'Scoring Settings'!$B$8))+AND(ISNUMBER(L757),L757&lt;='Scoring Settings'!$B$7))</f>
        <v>3</v>
      </c>
      <c r="AL757" s="5" t="s">
        <v>111</v>
      </c>
      <c r="AM757" s="8" t="str">
        <f>IF(B757="","",IF(Z757="N","Easy",IF(OR(AND(ISNUMBER(AB757),AB757&gt;'Scoring Settings'!$B$11),AND(ISNUMBER(W757),W757&gt;'Scoring Settings'!$B$12),AND(ISNUMBER(M757),M757&lt;='Scoring Settings'!$B$13)),"High","Medium")))</f>
        <v>Easy</v>
      </c>
      <c r="AN757" s="5"/>
      <c r="AO757" s="7"/>
      <c r="AP757" s="5" t="s">
        <v>98</v>
      </c>
      <c r="AQ757" s="29" t="s">
        <v>112</v>
      </c>
    </row>
    <row r="758" spans="1:43" hidden="1">
      <c r="A758" s="28">
        <v>143954</v>
      </c>
      <c r="B758" s="5" t="s">
        <v>1233</v>
      </c>
      <c r="C758" s="5" t="s">
        <v>259</v>
      </c>
      <c r="D758" s="5" t="s">
        <v>67</v>
      </c>
      <c r="E758" s="5" t="s">
        <v>298</v>
      </c>
      <c r="F758" s="5" t="s">
        <v>302</v>
      </c>
      <c r="G758" s="5" t="s">
        <v>117</v>
      </c>
      <c r="H758" s="5" t="s">
        <v>129</v>
      </c>
      <c r="I758" s="6">
        <v>253</v>
      </c>
      <c r="J758" s="7">
        <v>44307</v>
      </c>
      <c r="K758" s="8" t="str">
        <f>IF(B758="","",IF(AND(I758="",J758=""),"Unknown",IF(OR(AND(ISNUMBER(I758),I758=0),AND(ISNUMBER(J758),J758&lt;=EDATE('Scoring Settings'!$B$4,-'Scoring Settings'!$B$5))),"Not in use",IF(AND(ISNUMBER(I758),I758&lt;'Scoring Settings'!$B$6),"Low use","Active"))))</f>
        <v>Active</v>
      </c>
      <c r="L758" s="5">
        <v>1</v>
      </c>
      <c r="M758" s="5">
        <v>3</v>
      </c>
      <c r="N758" s="5"/>
      <c r="O758" s="5" t="s">
        <v>130</v>
      </c>
      <c r="P758" s="5" t="s">
        <v>1234</v>
      </c>
      <c r="Q758" s="9">
        <v>3</v>
      </c>
      <c r="R758" s="5" t="s">
        <v>166</v>
      </c>
      <c r="S758" s="5" t="s">
        <v>167</v>
      </c>
      <c r="T758" s="5" t="s">
        <v>168</v>
      </c>
      <c r="U758" s="7">
        <v>45482</v>
      </c>
      <c r="V758" s="5" t="s">
        <v>135</v>
      </c>
      <c r="W758" s="6">
        <v>33</v>
      </c>
      <c r="X758" s="5" t="s">
        <v>80</v>
      </c>
      <c r="Y758" s="9">
        <v>7</v>
      </c>
      <c r="Z758" s="5" t="s">
        <v>79</v>
      </c>
      <c r="AA758" s="5" t="s">
        <v>110</v>
      </c>
      <c r="AB758" s="9">
        <v>7</v>
      </c>
      <c r="AC758" s="5" t="s">
        <v>82</v>
      </c>
      <c r="AD758" s="5" t="s">
        <v>82</v>
      </c>
      <c r="AE758" s="5" t="s">
        <v>82</v>
      </c>
      <c r="AF758" s="10">
        <v>34000</v>
      </c>
      <c r="AG758" s="7">
        <v>47907</v>
      </c>
      <c r="AH758" s="10">
        <v>16500</v>
      </c>
      <c r="AI758" s="10">
        <v>20500</v>
      </c>
      <c r="AJ758" s="11">
        <f t="shared" si="11"/>
        <v>9.6585365853658551</v>
      </c>
      <c r="AK758" s="12">
        <f>IF(B758="","",OR(K758="Not in use",K758="Low use")+AND(N758&lt;&gt;"",N758&lt;&gt;"TBD")+AND(ISNUMBER(U758),U758&lt;=EDATE('Scoring Settings'!$B$4,'Scoring Settings'!$B$8))+AND(ISNUMBER(L758),L758&lt;='Scoring Settings'!$B$7))</f>
        <v>1</v>
      </c>
      <c r="AL758" s="5" t="s">
        <v>111</v>
      </c>
      <c r="AM758" s="8" t="str">
        <f>IF(B758="","",IF(Z758="N","Easy",IF(OR(AND(ISNUMBER(AB758),AB758&gt;'Scoring Settings'!$B$11),AND(ISNUMBER(W758),W758&gt;'Scoring Settings'!$B$12),AND(ISNUMBER(M758),M758&lt;='Scoring Settings'!$B$13)),"High","Medium")))</f>
        <v>Easy</v>
      </c>
      <c r="AN758" s="5"/>
      <c r="AO758" s="7"/>
      <c r="AP758" s="5" t="s">
        <v>98</v>
      </c>
      <c r="AQ758" s="29" t="s">
        <v>124</v>
      </c>
    </row>
    <row r="759" spans="1:43" hidden="1">
      <c r="A759" s="28">
        <v>44516</v>
      </c>
      <c r="B759" s="5" t="s">
        <v>1247</v>
      </c>
      <c r="C759" s="5" t="s">
        <v>699</v>
      </c>
      <c r="D759" s="5" t="s">
        <v>297</v>
      </c>
      <c r="E759" s="5" t="s">
        <v>68</v>
      </c>
      <c r="F759" s="5" t="s">
        <v>127</v>
      </c>
      <c r="G759" s="5" t="s">
        <v>141</v>
      </c>
      <c r="H759" s="5" t="s">
        <v>174</v>
      </c>
      <c r="I759" s="6">
        <v>80</v>
      </c>
      <c r="J759" s="7">
        <v>44314</v>
      </c>
      <c r="K759" s="8" t="str">
        <f>IF(B759="","",IF(AND(I759="",J759=""),"Unknown",IF(OR(AND(ISNUMBER(I759),I759=0),AND(ISNUMBER(J759),J759&lt;=EDATE('Scoring Settings'!$B$4,-'Scoring Settings'!$B$5))),"Not in use",IF(AND(ISNUMBER(I759),I759&lt;'Scoring Settings'!$B$6),"Low use","Active"))))</f>
        <v>Active</v>
      </c>
      <c r="L759" s="5">
        <v>4</v>
      </c>
      <c r="M759" s="5">
        <v>3</v>
      </c>
      <c r="N759" s="5" t="s">
        <v>723</v>
      </c>
      <c r="O759" s="5" t="s">
        <v>191</v>
      </c>
      <c r="P759" s="5" t="s">
        <v>192</v>
      </c>
      <c r="Q759" s="9">
        <v>0</v>
      </c>
      <c r="R759" s="5" t="s">
        <v>193</v>
      </c>
      <c r="S759" s="5" t="s">
        <v>318</v>
      </c>
      <c r="T759" s="5" t="s">
        <v>195</v>
      </c>
      <c r="U759" s="7"/>
      <c r="V759" s="5" t="s">
        <v>135</v>
      </c>
      <c r="W759" s="6">
        <v>110</v>
      </c>
      <c r="X759" s="5" t="s">
        <v>80</v>
      </c>
      <c r="Y759" s="9">
        <v>10</v>
      </c>
      <c r="Z759" s="5" t="s">
        <v>80</v>
      </c>
      <c r="AA759" s="5" t="s">
        <v>123</v>
      </c>
      <c r="AB759" s="9">
        <v>5</v>
      </c>
      <c r="AC759" s="5" t="s">
        <v>82</v>
      </c>
      <c r="AD759" s="5" t="s">
        <v>82</v>
      </c>
      <c r="AE759" s="5" t="s">
        <v>79</v>
      </c>
      <c r="AF759" s="10">
        <v>16500</v>
      </c>
      <c r="AG759" s="7">
        <v>46752</v>
      </c>
      <c r="AH759" s="10"/>
      <c r="AI759" s="10"/>
      <c r="AJ759" s="11" t="str">
        <f t="shared" si="11"/>
        <v/>
      </c>
      <c r="AK759" s="12">
        <f>IF(B759="","",OR(K759="Not in use",K759="Low use")+AND(N759&lt;&gt;"",N759&lt;&gt;"TBD")+AND(ISNUMBER(U759),U759&lt;=EDATE('Scoring Settings'!$B$4,'Scoring Settings'!$B$8))+AND(ISNUMBER(L759),L759&lt;='Scoring Settings'!$B$7))</f>
        <v>1</v>
      </c>
      <c r="AL759" s="5" t="s">
        <v>111</v>
      </c>
      <c r="AM759" s="8" t="str">
        <f>IF(B759="","",IF(Z759="N","Easy",IF(OR(AND(ISNUMBER(AB759),AB759&gt;'Scoring Settings'!$B$11),AND(ISNUMBER(W759),W759&gt;'Scoring Settings'!$B$12),AND(ISNUMBER(M759),M759&lt;='Scoring Settings'!$B$13)),"High","Medium")))</f>
        <v>Medium</v>
      </c>
      <c r="AN759" s="5"/>
      <c r="AO759" s="7"/>
      <c r="AP759" s="5" t="s">
        <v>98</v>
      </c>
      <c r="AQ759" s="29" t="s">
        <v>112</v>
      </c>
    </row>
    <row r="760" spans="1:43" hidden="1">
      <c r="A760" s="28">
        <v>189435</v>
      </c>
      <c r="B760" s="5" t="s">
        <v>1248</v>
      </c>
      <c r="C760" s="5" t="s">
        <v>515</v>
      </c>
      <c r="D760" s="5" t="s">
        <v>102</v>
      </c>
      <c r="E760" s="5" t="s">
        <v>68</v>
      </c>
      <c r="F760" s="5" t="s">
        <v>201</v>
      </c>
      <c r="G760" s="5" t="s">
        <v>117</v>
      </c>
      <c r="H760" s="5" t="s">
        <v>189</v>
      </c>
      <c r="I760" s="6">
        <v>21</v>
      </c>
      <c r="J760" s="7">
        <v>44174</v>
      </c>
      <c r="K760" s="8" t="str">
        <f>IF(B760="","",IF(AND(I760="",J760=""),"Unknown",IF(OR(AND(ISNUMBER(I760),I760=0),AND(ISNUMBER(J760),J760&lt;=EDATE('Scoring Settings'!$B$4,-'Scoring Settings'!$B$5))),"Not in use",IF(AND(ISNUMBER(I760),I760&lt;'Scoring Settings'!$B$6),"Low use","Active"))))</f>
        <v>Low use</v>
      </c>
      <c r="L760" s="5">
        <v>5</v>
      </c>
      <c r="M760" s="5">
        <v>2</v>
      </c>
      <c r="N760" s="5" t="s">
        <v>784</v>
      </c>
      <c r="O760" s="5" t="s">
        <v>73</v>
      </c>
      <c r="P760" s="5" t="s">
        <v>1249</v>
      </c>
      <c r="Q760" s="9">
        <v>4</v>
      </c>
      <c r="R760" s="5" t="s">
        <v>203</v>
      </c>
      <c r="S760" s="5" t="s">
        <v>204</v>
      </c>
      <c r="T760" s="5" t="s">
        <v>184</v>
      </c>
      <c r="U760" s="7">
        <v>47269</v>
      </c>
      <c r="V760" s="5" t="s">
        <v>78</v>
      </c>
      <c r="W760" s="6">
        <v>110</v>
      </c>
      <c r="X760" s="5" t="s">
        <v>80</v>
      </c>
      <c r="Y760" s="9">
        <v>7</v>
      </c>
      <c r="Z760" s="5" t="s">
        <v>80</v>
      </c>
      <c r="AA760" s="5" t="s">
        <v>147</v>
      </c>
      <c r="AB760" s="9">
        <v>5</v>
      </c>
      <c r="AC760" s="5" t="s">
        <v>80</v>
      </c>
      <c r="AD760" s="5" t="s">
        <v>82</v>
      </c>
      <c r="AE760" s="5" t="s">
        <v>79</v>
      </c>
      <c r="AF760" s="10">
        <v>90000</v>
      </c>
      <c r="AG760" s="7">
        <v>46965</v>
      </c>
      <c r="AH760" s="10">
        <v>117000</v>
      </c>
      <c r="AI760" s="10">
        <v>70500</v>
      </c>
      <c r="AJ760" s="11">
        <f t="shared" si="11"/>
        <v>19.914893617021278</v>
      </c>
      <c r="AK760" s="12">
        <f>IF(B760="","",OR(K760="Not in use",K760="Low use")+AND(N760&lt;&gt;"",N760&lt;&gt;"TBD")+AND(ISNUMBER(U760),U760&lt;=EDATE('Scoring Settings'!$B$4,'Scoring Settings'!$B$8))+AND(ISNUMBER(L760),L760&lt;='Scoring Settings'!$B$7))</f>
        <v>2</v>
      </c>
      <c r="AL760" s="5" t="s">
        <v>111</v>
      </c>
      <c r="AM760" s="8" t="str">
        <f>IF(B760="","",IF(Z760="N","Easy",IF(OR(AND(ISNUMBER(AB760),AB760&gt;'Scoring Settings'!$B$11),AND(ISNUMBER(W760),W760&gt;'Scoring Settings'!$B$12),AND(ISNUMBER(M760),M760&lt;='Scoring Settings'!$B$13)),"High","Medium")))</f>
        <v>High</v>
      </c>
      <c r="AN760" s="5"/>
      <c r="AO760" s="7"/>
      <c r="AP760" s="5" t="s">
        <v>98</v>
      </c>
      <c r="AQ760" s="29" t="s">
        <v>124</v>
      </c>
    </row>
    <row r="761" spans="1:43" hidden="1">
      <c r="A761" s="28">
        <v>144842</v>
      </c>
      <c r="B761" s="5" t="s">
        <v>1250</v>
      </c>
      <c r="C761" s="5" t="s">
        <v>126</v>
      </c>
      <c r="D761" s="5" t="s">
        <v>88</v>
      </c>
      <c r="E761" s="5" t="s">
        <v>68</v>
      </c>
      <c r="F761" s="5" t="s">
        <v>209</v>
      </c>
      <c r="G761" s="5" t="s">
        <v>90</v>
      </c>
      <c r="H761" s="5" t="s">
        <v>142</v>
      </c>
      <c r="I761" s="6">
        <v>5</v>
      </c>
      <c r="J761" s="7">
        <v>43713</v>
      </c>
      <c r="K761" s="8" t="str">
        <f>IF(B761="","",IF(AND(I761="",J761=""),"Unknown",IF(OR(AND(ISNUMBER(I761),I761=0),AND(ISNUMBER(J761),J761&lt;=EDATE('Scoring Settings'!$B$4,-'Scoring Settings'!$B$5))),"Not in use",IF(AND(ISNUMBER(I761),I761&lt;'Scoring Settings'!$B$6),"Low use","Active"))))</f>
        <v>Not in use</v>
      </c>
      <c r="L761" s="5">
        <v>5</v>
      </c>
      <c r="M761" s="5">
        <v>1</v>
      </c>
      <c r="N761" s="5"/>
      <c r="O761" s="5" t="s">
        <v>143</v>
      </c>
      <c r="P761" s="5" t="s">
        <v>144</v>
      </c>
      <c r="Q761" s="9">
        <v>0</v>
      </c>
      <c r="R761" s="5" t="s">
        <v>145</v>
      </c>
      <c r="S761" s="5" t="s">
        <v>145</v>
      </c>
      <c r="T761" s="5" t="s">
        <v>146</v>
      </c>
      <c r="U761" s="7"/>
      <c r="V761" s="5" t="s">
        <v>135</v>
      </c>
      <c r="W761" s="6">
        <v>11</v>
      </c>
      <c r="X761" s="5" t="s">
        <v>79</v>
      </c>
      <c r="Y761" s="9">
        <v>3</v>
      </c>
      <c r="Z761" s="5" t="s">
        <v>80</v>
      </c>
      <c r="AA761" s="5" t="s">
        <v>81</v>
      </c>
      <c r="AB761" s="9">
        <v>78</v>
      </c>
      <c r="AC761" s="5" t="s">
        <v>79</v>
      </c>
      <c r="AD761" s="5" t="s">
        <v>82</v>
      </c>
      <c r="AE761" s="5" t="s">
        <v>79</v>
      </c>
      <c r="AF761" s="10">
        <v>180000</v>
      </c>
      <c r="AG761" s="7">
        <v>46142</v>
      </c>
      <c r="AH761" s="10"/>
      <c r="AI761" s="10"/>
      <c r="AJ761" s="11" t="str">
        <f t="shared" si="11"/>
        <v/>
      </c>
      <c r="AK761" s="12">
        <f>IF(B761="","",OR(K761="Not in use",K761="Low use")+AND(N761&lt;&gt;"",N761&lt;&gt;"TBD")+AND(ISNUMBER(U761),U761&lt;=EDATE('Scoring Settings'!$B$4,'Scoring Settings'!$B$8))+AND(ISNUMBER(L761),L761&lt;='Scoring Settings'!$B$7))</f>
        <v>1</v>
      </c>
      <c r="AL761" s="5" t="s">
        <v>111</v>
      </c>
      <c r="AM761" s="8" t="str">
        <f>IF(B761="","",IF(Z761="N","Easy",IF(OR(AND(ISNUMBER(AB761),AB761&gt;'Scoring Settings'!$B$11),AND(ISNUMBER(W761),W761&gt;'Scoring Settings'!$B$12),AND(ISNUMBER(M761),M761&lt;='Scoring Settings'!$B$13)),"High","Medium")))</f>
        <v>High</v>
      </c>
      <c r="AN761" s="5"/>
      <c r="AO761" s="7"/>
      <c r="AP761" s="5" t="s">
        <v>98</v>
      </c>
      <c r="AQ761" s="29" t="s">
        <v>159</v>
      </c>
    </row>
    <row r="762" spans="1:43" hidden="1">
      <c r="A762" s="28">
        <v>56883</v>
      </c>
      <c r="B762" s="5" t="s">
        <v>1251</v>
      </c>
      <c r="C762" s="5" t="s">
        <v>495</v>
      </c>
      <c r="D762" s="5" t="s">
        <v>162</v>
      </c>
      <c r="E762" s="5" t="s">
        <v>68</v>
      </c>
      <c r="F762" s="5" t="s">
        <v>152</v>
      </c>
      <c r="G762" s="5" t="s">
        <v>90</v>
      </c>
      <c r="H762" s="5" t="s">
        <v>91</v>
      </c>
      <c r="I762" s="6">
        <v>25</v>
      </c>
      <c r="J762" s="7">
        <v>44290</v>
      </c>
      <c r="K762" s="8" t="str">
        <f>IF(B762="","",IF(AND(I762="",J762=""),"Unknown",IF(OR(AND(ISNUMBER(I762),I762=0),AND(ISNUMBER(J762),J762&lt;=EDATE('Scoring Settings'!$B$4,-'Scoring Settings'!$B$5))),"Not in use",IF(AND(ISNUMBER(I762),I762&lt;'Scoring Settings'!$B$6),"Low use","Active"))))</f>
        <v>Active</v>
      </c>
      <c r="L762" s="5">
        <v>5</v>
      </c>
      <c r="M762" s="5">
        <v>1</v>
      </c>
      <c r="N762" s="5" t="s">
        <v>458</v>
      </c>
      <c r="O762" s="5" t="s">
        <v>73</v>
      </c>
      <c r="P762" s="5" t="s">
        <v>923</v>
      </c>
      <c r="Q762" s="9">
        <v>2</v>
      </c>
      <c r="R762" s="5" t="s">
        <v>93</v>
      </c>
      <c r="S762" s="5" t="s">
        <v>94</v>
      </c>
      <c r="T762" s="5" t="s">
        <v>77</v>
      </c>
      <c r="U762" s="7">
        <v>44561</v>
      </c>
      <c r="V762" s="5" t="s">
        <v>135</v>
      </c>
      <c r="W762" s="6">
        <v>170</v>
      </c>
      <c r="X762" s="5" t="s">
        <v>79</v>
      </c>
      <c r="Y762" s="9">
        <v>2</v>
      </c>
      <c r="Z762" s="5" t="s">
        <v>79</v>
      </c>
      <c r="AA762" s="5" t="s">
        <v>110</v>
      </c>
      <c r="AB762" s="9">
        <v>37</v>
      </c>
      <c r="AC762" s="5" t="s">
        <v>79</v>
      </c>
      <c r="AD762" s="5" t="s">
        <v>82</v>
      </c>
      <c r="AE762" s="5" t="s">
        <v>79</v>
      </c>
      <c r="AF762" s="10">
        <v>110000</v>
      </c>
      <c r="AG762" s="7">
        <v>46081</v>
      </c>
      <c r="AH762" s="10">
        <v>97500</v>
      </c>
      <c r="AI762" s="10">
        <v>77000</v>
      </c>
      <c r="AJ762" s="11">
        <f t="shared" si="11"/>
        <v>15.194805194805195</v>
      </c>
      <c r="AK762" s="12">
        <f>IF(B762="","",OR(K762="Not in use",K762="Low use")+AND(N762&lt;&gt;"",N762&lt;&gt;"TBD")+AND(ISNUMBER(U762),U762&lt;=EDATE('Scoring Settings'!$B$4,'Scoring Settings'!$B$8))+AND(ISNUMBER(L762),L762&lt;='Scoring Settings'!$B$7))</f>
        <v>2</v>
      </c>
      <c r="AL762" s="5" t="s">
        <v>111</v>
      </c>
      <c r="AM762" s="8" t="str">
        <f>IF(B762="","",IF(Z762="N","Easy",IF(OR(AND(ISNUMBER(AB762),AB762&gt;'Scoring Settings'!$B$11),AND(ISNUMBER(W762),W762&gt;'Scoring Settings'!$B$12),AND(ISNUMBER(M762),M762&lt;='Scoring Settings'!$B$13)),"High","Medium")))</f>
        <v>Easy</v>
      </c>
      <c r="AN762" s="5"/>
      <c r="AO762" s="7"/>
      <c r="AP762" s="5" t="s">
        <v>98</v>
      </c>
      <c r="AQ762" s="29" t="s">
        <v>112</v>
      </c>
    </row>
    <row r="763" spans="1:43" hidden="1">
      <c r="A763" s="28">
        <v>83285</v>
      </c>
      <c r="B763" s="5" t="s">
        <v>1254</v>
      </c>
      <c r="C763" s="5" t="s">
        <v>395</v>
      </c>
      <c r="D763" s="5" t="s">
        <v>88</v>
      </c>
      <c r="E763" s="5" t="s">
        <v>311</v>
      </c>
      <c r="F763" s="5" t="s">
        <v>299</v>
      </c>
      <c r="G763" s="5" t="s">
        <v>221</v>
      </c>
      <c r="H763" s="5" t="s">
        <v>129</v>
      </c>
      <c r="I763" s="6">
        <v>19</v>
      </c>
      <c r="J763" s="7">
        <v>44310</v>
      </c>
      <c r="K763" s="8" t="str">
        <f>IF(B763="","",IF(AND(I763="",J763=""),"Unknown",IF(OR(AND(ISNUMBER(I763),I763=0),AND(ISNUMBER(J763),J763&lt;=EDATE('Scoring Settings'!$B$4,-'Scoring Settings'!$B$5))),"Not in use",IF(AND(ISNUMBER(I763),I763&lt;'Scoring Settings'!$B$6),"Low use","Active"))))</f>
        <v>Low use</v>
      </c>
      <c r="L763" s="5">
        <v>3</v>
      </c>
      <c r="M763" s="5">
        <v>3</v>
      </c>
      <c r="N763" s="5"/>
      <c r="O763" s="5" t="s">
        <v>73</v>
      </c>
      <c r="P763" s="5" t="s">
        <v>1255</v>
      </c>
      <c r="Q763" s="9">
        <v>1</v>
      </c>
      <c r="R763" s="5" t="s">
        <v>251</v>
      </c>
      <c r="S763" s="5" t="s">
        <v>133</v>
      </c>
      <c r="T763" s="5" t="s">
        <v>109</v>
      </c>
      <c r="U763" s="7">
        <v>44165</v>
      </c>
      <c r="V763" s="5" t="s">
        <v>95</v>
      </c>
      <c r="W763" s="6">
        <v>850</v>
      </c>
      <c r="X763" s="5" t="s">
        <v>79</v>
      </c>
      <c r="Y763" s="9">
        <v>1</v>
      </c>
      <c r="Z763" s="5" t="s">
        <v>79</v>
      </c>
      <c r="AA763" s="5" t="s">
        <v>110</v>
      </c>
      <c r="AB763" s="9">
        <v>3</v>
      </c>
      <c r="AC763" s="5" t="s">
        <v>82</v>
      </c>
      <c r="AD763" s="5" t="s">
        <v>82</v>
      </c>
      <c r="AE763" s="5" t="s">
        <v>82</v>
      </c>
      <c r="AF763" s="10">
        <v>30000</v>
      </c>
      <c r="AG763" s="7">
        <v>47391</v>
      </c>
      <c r="AH763" s="10">
        <v>34000</v>
      </c>
      <c r="AI763" s="10">
        <v>29500</v>
      </c>
      <c r="AJ763" s="11">
        <f t="shared" si="11"/>
        <v>13.830508474576272</v>
      </c>
      <c r="AK763" s="12">
        <f>IF(B763="","",OR(K763="Not in use",K763="Low use")+AND(N763&lt;&gt;"",N763&lt;&gt;"TBD")+AND(ISNUMBER(U763),U763&lt;=EDATE('Scoring Settings'!$B$4,'Scoring Settings'!$B$8))+AND(ISNUMBER(L763),L763&lt;='Scoring Settings'!$B$7))</f>
        <v>2</v>
      </c>
      <c r="AL763" s="5" t="s">
        <v>111</v>
      </c>
      <c r="AM763" s="8" t="str">
        <f>IF(B763="","",IF(Z763="N","Easy",IF(OR(AND(ISNUMBER(AB763),AB763&gt;'Scoring Settings'!$B$11),AND(ISNUMBER(W763),W763&gt;'Scoring Settings'!$B$12),AND(ISNUMBER(M763),M763&lt;='Scoring Settings'!$B$13)),"High","Medium")))</f>
        <v>Easy</v>
      </c>
      <c r="AN763" s="5"/>
      <c r="AO763" s="7"/>
      <c r="AP763" s="5" t="s">
        <v>98</v>
      </c>
      <c r="AQ763" s="29" t="s">
        <v>159</v>
      </c>
    </row>
    <row r="764" spans="1:43" hidden="1">
      <c r="A764" s="28">
        <v>19599</v>
      </c>
      <c r="B764" s="5" t="s">
        <v>1264</v>
      </c>
      <c r="C764" s="5" t="s">
        <v>371</v>
      </c>
      <c r="D764" s="5" t="s">
        <v>162</v>
      </c>
      <c r="E764" s="5" t="s">
        <v>68</v>
      </c>
      <c r="F764" s="5" t="s">
        <v>69</v>
      </c>
      <c r="G764" s="5" t="s">
        <v>70</v>
      </c>
      <c r="H764" s="5" t="s">
        <v>105</v>
      </c>
      <c r="I764" s="6">
        <v>452</v>
      </c>
      <c r="J764" s="7">
        <v>44302</v>
      </c>
      <c r="K764" s="8" t="str">
        <f>IF(B764="","",IF(AND(I764="",J764=""),"Unknown",IF(OR(AND(ISNUMBER(I764),I764=0),AND(ISNUMBER(J764),J764&lt;=EDATE('Scoring Settings'!$B$4,-'Scoring Settings'!$B$5))),"Not in use",IF(AND(ISNUMBER(I764),I764&lt;'Scoring Settings'!$B$6),"Low use","Active"))))</f>
        <v>Active</v>
      </c>
      <c r="L764" s="5">
        <v>5</v>
      </c>
      <c r="M764" s="5">
        <v>1</v>
      </c>
      <c r="N764" s="5"/>
      <c r="O764" s="5" t="s">
        <v>73</v>
      </c>
      <c r="P764" s="5" t="s">
        <v>1265</v>
      </c>
      <c r="Q764" s="9">
        <v>8</v>
      </c>
      <c r="R764" s="5" t="s">
        <v>478</v>
      </c>
      <c r="S764" s="5" t="s">
        <v>479</v>
      </c>
      <c r="T764" s="5" t="s">
        <v>184</v>
      </c>
      <c r="U764" s="7">
        <v>43844</v>
      </c>
      <c r="V764" s="5" t="s">
        <v>78</v>
      </c>
      <c r="W764" s="6">
        <v>890</v>
      </c>
      <c r="X764" s="5" t="s">
        <v>79</v>
      </c>
      <c r="Y764" s="9">
        <v>3</v>
      </c>
      <c r="Z764" s="5" t="s">
        <v>80</v>
      </c>
      <c r="AA764" s="5" t="s">
        <v>205</v>
      </c>
      <c r="AB764" s="9">
        <v>61</v>
      </c>
      <c r="AC764" s="5" t="s">
        <v>82</v>
      </c>
      <c r="AD764" s="5" t="s">
        <v>82</v>
      </c>
      <c r="AE764" s="5" t="s">
        <v>82</v>
      </c>
      <c r="AF764" s="10">
        <v>270000</v>
      </c>
      <c r="AG764" s="7">
        <v>46812</v>
      </c>
      <c r="AH764" s="10">
        <v>581500</v>
      </c>
      <c r="AI764" s="10">
        <v>254000</v>
      </c>
      <c r="AJ764" s="11">
        <f t="shared" si="11"/>
        <v>27.472440944881889</v>
      </c>
      <c r="AK764" s="12">
        <f>IF(B764="","",OR(K764="Not in use",K764="Low use")+AND(N764&lt;&gt;"",N764&lt;&gt;"TBD")+AND(ISNUMBER(U764),U764&lt;=EDATE('Scoring Settings'!$B$4,'Scoring Settings'!$B$8))+AND(ISNUMBER(L764),L764&lt;='Scoring Settings'!$B$7))</f>
        <v>1</v>
      </c>
      <c r="AL764" s="5" t="s">
        <v>111</v>
      </c>
      <c r="AM764" s="8" t="str">
        <f>IF(B764="","",IF(Z764="N","Easy",IF(OR(AND(ISNUMBER(AB764),AB764&gt;'Scoring Settings'!$B$11),AND(ISNUMBER(W764),W764&gt;'Scoring Settings'!$B$12),AND(ISNUMBER(M764),M764&lt;='Scoring Settings'!$B$13)),"High","Medium")))</f>
        <v>High</v>
      </c>
      <c r="AN764" s="5"/>
      <c r="AO764" s="7"/>
      <c r="AP764" s="5" t="s">
        <v>98</v>
      </c>
      <c r="AQ764" s="29" t="s">
        <v>218</v>
      </c>
    </row>
    <row r="765" spans="1:43" hidden="1">
      <c r="A765" s="28">
        <v>37080</v>
      </c>
      <c r="B765" s="5" t="s">
        <v>1272</v>
      </c>
      <c r="C765" s="5" t="s">
        <v>161</v>
      </c>
      <c r="D765" s="5" t="s">
        <v>162</v>
      </c>
      <c r="E765" s="5" t="s">
        <v>68</v>
      </c>
      <c r="F765" s="5" t="s">
        <v>69</v>
      </c>
      <c r="G765" s="5" t="s">
        <v>210</v>
      </c>
      <c r="H765" s="5" t="s">
        <v>189</v>
      </c>
      <c r="I765" s="6">
        <v>690</v>
      </c>
      <c r="J765" s="7">
        <v>44283</v>
      </c>
      <c r="K765" s="8" t="str">
        <f>IF(B765="","",IF(AND(I765="",J765=""),"Unknown",IF(OR(AND(ISNUMBER(I765),I765=0),AND(ISNUMBER(J765),J765&lt;=EDATE('Scoring Settings'!$B$4,-'Scoring Settings'!$B$5))),"Not in use",IF(AND(ISNUMBER(I765),I765&lt;'Scoring Settings'!$B$6),"Low use","Active"))))</f>
        <v>Active</v>
      </c>
      <c r="L765" s="5">
        <v>1</v>
      </c>
      <c r="M765" s="5">
        <v>4</v>
      </c>
      <c r="N765" s="5"/>
      <c r="O765" s="5" t="s">
        <v>73</v>
      </c>
      <c r="P765" s="5" t="s">
        <v>1273</v>
      </c>
      <c r="Q765" s="9">
        <v>1</v>
      </c>
      <c r="R765" s="5" t="s">
        <v>352</v>
      </c>
      <c r="S765" s="5" t="s">
        <v>353</v>
      </c>
      <c r="T765" s="5" t="s">
        <v>72</v>
      </c>
      <c r="U765" s="7">
        <v>47127</v>
      </c>
      <c r="V765" s="5" t="s">
        <v>135</v>
      </c>
      <c r="W765" s="6">
        <v>200</v>
      </c>
      <c r="X765" s="5" t="s">
        <v>79</v>
      </c>
      <c r="Y765" s="9">
        <v>7</v>
      </c>
      <c r="Z765" s="5" t="s">
        <v>80</v>
      </c>
      <c r="AA765" s="5" t="s">
        <v>81</v>
      </c>
      <c r="AB765" s="9">
        <v>3</v>
      </c>
      <c r="AC765" s="5" t="s">
        <v>79</v>
      </c>
      <c r="AD765" s="5" t="s">
        <v>79</v>
      </c>
      <c r="AE765" s="5" t="s">
        <v>79</v>
      </c>
      <c r="AF765" s="10">
        <v>28000</v>
      </c>
      <c r="AG765" s="7">
        <v>49095</v>
      </c>
      <c r="AH765" s="10">
        <v>45500</v>
      </c>
      <c r="AI765" s="10">
        <v>24000</v>
      </c>
      <c r="AJ765" s="11">
        <f t="shared" si="11"/>
        <v>22.75</v>
      </c>
      <c r="AK765" s="12">
        <f>IF(B765="","",OR(K765="Not in use",K765="Low use")+AND(N765&lt;&gt;"",N765&lt;&gt;"TBD")+AND(ISNUMBER(U765),U765&lt;=EDATE('Scoring Settings'!$B$4,'Scoring Settings'!$B$8))+AND(ISNUMBER(L765),L765&lt;='Scoring Settings'!$B$7))</f>
        <v>1</v>
      </c>
      <c r="AL765" s="5" t="s">
        <v>111</v>
      </c>
      <c r="AM765" s="8" t="str">
        <f>IF(B765="","",IF(Z765="N","Easy",IF(OR(AND(ISNUMBER(AB765),AB765&gt;'Scoring Settings'!$B$11),AND(ISNUMBER(W765),W765&gt;'Scoring Settings'!$B$12),AND(ISNUMBER(M765),M765&lt;='Scoring Settings'!$B$13)),"High","Medium")))</f>
        <v>Medium</v>
      </c>
      <c r="AN765" s="5"/>
      <c r="AO765" s="7"/>
      <c r="AP765" s="5" t="s">
        <v>98</v>
      </c>
      <c r="AQ765" s="29" t="s">
        <v>124</v>
      </c>
    </row>
    <row r="766" spans="1:43" hidden="1">
      <c r="A766" s="28">
        <v>68225</v>
      </c>
      <c r="B766" s="5" t="s">
        <v>1274</v>
      </c>
      <c r="C766" s="5" t="s">
        <v>220</v>
      </c>
      <c r="D766" s="5" t="s">
        <v>139</v>
      </c>
      <c r="E766" s="5" t="s">
        <v>68</v>
      </c>
      <c r="F766" s="5" t="s">
        <v>116</v>
      </c>
      <c r="G766" s="5" t="s">
        <v>153</v>
      </c>
      <c r="H766" s="5" t="s">
        <v>105</v>
      </c>
      <c r="I766" s="6">
        <v>1705</v>
      </c>
      <c r="J766" s="7">
        <v>44297</v>
      </c>
      <c r="K766" s="8" t="str">
        <f>IF(B766="","",IF(AND(I766="",J766=""),"Unknown",IF(OR(AND(ISNUMBER(I766),I766=0),AND(ISNUMBER(J766),J766&lt;=EDATE('Scoring Settings'!$B$4,-'Scoring Settings'!$B$5))),"Not in use",IF(AND(ISNUMBER(I766),I766&lt;'Scoring Settings'!$B$6),"Low use","Active"))))</f>
        <v>Active</v>
      </c>
      <c r="L766" s="5">
        <v>4</v>
      </c>
      <c r="M766" s="5">
        <v>2</v>
      </c>
      <c r="N766" s="5"/>
      <c r="O766" s="5" t="s">
        <v>130</v>
      </c>
      <c r="P766" s="5" t="s">
        <v>1275</v>
      </c>
      <c r="Q766" s="9">
        <v>1</v>
      </c>
      <c r="R766" s="5" t="s">
        <v>335</v>
      </c>
      <c r="S766" s="5" t="s">
        <v>336</v>
      </c>
      <c r="T766" s="5" t="s">
        <v>134</v>
      </c>
      <c r="U766" s="7" t="s">
        <v>72</v>
      </c>
      <c r="V766" s="5" t="s">
        <v>78</v>
      </c>
      <c r="W766" s="6">
        <v>72</v>
      </c>
      <c r="X766" s="5" t="s">
        <v>79</v>
      </c>
      <c r="Y766" s="9">
        <v>2</v>
      </c>
      <c r="Z766" s="5" t="s">
        <v>80</v>
      </c>
      <c r="AA766" s="5" t="s">
        <v>81</v>
      </c>
      <c r="AB766" s="9">
        <v>20</v>
      </c>
      <c r="AC766" s="5" t="s">
        <v>82</v>
      </c>
      <c r="AD766" s="5" t="s">
        <v>82</v>
      </c>
      <c r="AE766" s="5" t="s">
        <v>79</v>
      </c>
      <c r="AF766" s="10">
        <v>22500</v>
      </c>
      <c r="AG766" s="7">
        <v>49034</v>
      </c>
      <c r="AH766" s="10"/>
      <c r="AI766" s="10"/>
      <c r="AJ766" s="11" t="str">
        <f t="shared" si="11"/>
        <v/>
      </c>
      <c r="AK766" s="12">
        <f>IF(B766="","",OR(K766="Not in use",K766="Low use")+AND(N766&lt;&gt;"",N766&lt;&gt;"TBD")+AND(ISNUMBER(U766),U766&lt;=EDATE('Scoring Settings'!$B$4,'Scoring Settings'!$B$8))+AND(ISNUMBER(L766),L766&lt;='Scoring Settings'!$B$7))</f>
        <v>0</v>
      </c>
      <c r="AL766" s="5" t="s">
        <v>83</v>
      </c>
      <c r="AM766" s="8" t="str">
        <f>IF(B766="","",IF(Z766="N","Easy",IF(OR(AND(ISNUMBER(AB766),AB766&gt;'Scoring Settings'!$B$11),AND(ISNUMBER(W766),W766&gt;'Scoring Settings'!$B$12),AND(ISNUMBER(M766),M766&lt;='Scoring Settings'!$B$13)),"High","Medium")))</f>
        <v>High</v>
      </c>
      <c r="AN766" s="5"/>
      <c r="AO766" s="7"/>
      <c r="AP766" s="5" t="s">
        <v>84</v>
      </c>
      <c r="AQ766" s="29" t="s">
        <v>314</v>
      </c>
    </row>
    <row r="767" spans="1:43" hidden="1">
      <c r="A767" s="28">
        <v>130096</v>
      </c>
      <c r="B767" s="5" t="s">
        <v>1282</v>
      </c>
      <c r="C767" s="5" t="s">
        <v>395</v>
      </c>
      <c r="D767" s="5" t="s">
        <v>88</v>
      </c>
      <c r="E767" s="5" t="s">
        <v>68</v>
      </c>
      <c r="F767" s="5" t="s">
        <v>299</v>
      </c>
      <c r="G767" s="5" t="s">
        <v>90</v>
      </c>
      <c r="H767" s="5" t="s">
        <v>189</v>
      </c>
      <c r="I767" s="6">
        <v>699</v>
      </c>
      <c r="J767" s="7">
        <v>44282</v>
      </c>
      <c r="K767" s="8" t="str">
        <f>IF(B767="","",IF(AND(I767="",J767=""),"Unknown",IF(OR(AND(ISNUMBER(I767),I767=0),AND(ISNUMBER(J767),J767&lt;=EDATE('Scoring Settings'!$B$4,-'Scoring Settings'!$B$5))),"Not in use",IF(AND(ISNUMBER(I767),I767&lt;'Scoring Settings'!$B$6),"Low use","Active"))))</f>
        <v>Active</v>
      </c>
      <c r="L767" s="5">
        <v>3</v>
      </c>
      <c r="M767" s="5">
        <v>2</v>
      </c>
      <c r="N767" s="5"/>
      <c r="O767" s="5" t="s">
        <v>130</v>
      </c>
      <c r="P767" s="5" t="s">
        <v>1283</v>
      </c>
      <c r="Q767" s="9">
        <v>2</v>
      </c>
      <c r="R767" s="5" t="s">
        <v>166</v>
      </c>
      <c r="S767" s="5" t="s">
        <v>564</v>
      </c>
      <c r="T767" s="5" t="s">
        <v>168</v>
      </c>
      <c r="U767" s="7">
        <v>44754</v>
      </c>
      <c r="V767" s="5" t="s">
        <v>78</v>
      </c>
      <c r="W767" s="6">
        <v>79</v>
      </c>
      <c r="X767" s="5" t="s">
        <v>79</v>
      </c>
      <c r="Y767" s="9">
        <v>2</v>
      </c>
      <c r="Z767" s="5" t="s">
        <v>80</v>
      </c>
      <c r="AA767" s="5" t="s">
        <v>81</v>
      </c>
      <c r="AB767" s="9">
        <v>22</v>
      </c>
      <c r="AC767" s="5" t="s">
        <v>79</v>
      </c>
      <c r="AD767" s="5" t="s">
        <v>82</v>
      </c>
      <c r="AE767" s="5" t="s">
        <v>79</v>
      </c>
      <c r="AF767" s="10">
        <v>65000</v>
      </c>
      <c r="AG767" s="7">
        <v>46752</v>
      </c>
      <c r="AH767" s="10">
        <v>124500</v>
      </c>
      <c r="AI767" s="10">
        <v>59500</v>
      </c>
      <c r="AJ767" s="11">
        <f t="shared" si="11"/>
        <v>25.109243697478995</v>
      </c>
      <c r="AK767" s="12">
        <f>IF(B767="","",OR(K767="Not in use",K767="Low use")+AND(N767&lt;&gt;"",N767&lt;&gt;"TBD")+AND(ISNUMBER(U767),U767&lt;=EDATE('Scoring Settings'!$B$4,'Scoring Settings'!$B$8))+AND(ISNUMBER(L767),L767&lt;='Scoring Settings'!$B$7))</f>
        <v>0</v>
      </c>
      <c r="AL767" s="5" t="s">
        <v>111</v>
      </c>
      <c r="AM767" s="8" t="str">
        <f>IF(B767="","",IF(Z767="N","Easy",IF(OR(AND(ISNUMBER(AB767),AB767&gt;'Scoring Settings'!$B$11),AND(ISNUMBER(W767),W767&gt;'Scoring Settings'!$B$12),AND(ISNUMBER(M767),M767&lt;='Scoring Settings'!$B$13)),"High","Medium")))</f>
        <v>High</v>
      </c>
      <c r="AN767" s="5"/>
      <c r="AO767" s="7"/>
      <c r="AP767" s="5" t="s">
        <v>98</v>
      </c>
      <c r="AQ767" s="29" t="s">
        <v>124</v>
      </c>
    </row>
    <row r="768" spans="1:43" hidden="1">
      <c r="A768" s="28">
        <v>44702</v>
      </c>
      <c r="B768" s="5" t="s">
        <v>1295</v>
      </c>
      <c r="C768" s="5" t="s">
        <v>265</v>
      </c>
      <c r="D768" s="5" t="s">
        <v>102</v>
      </c>
      <c r="E768" s="5" t="s">
        <v>68</v>
      </c>
      <c r="F768" s="5" t="s">
        <v>69</v>
      </c>
      <c r="G768" s="5" t="s">
        <v>226</v>
      </c>
      <c r="H768" s="5" t="s">
        <v>105</v>
      </c>
      <c r="I768" s="6">
        <v>1063</v>
      </c>
      <c r="J768" s="7">
        <v>44280</v>
      </c>
      <c r="K768" s="8" t="str">
        <f>IF(B768="","",IF(AND(I768="",J768=""),"Unknown",IF(OR(AND(ISNUMBER(I768),I768=0),AND(ISNUMBER(J768),J768&lt;=EDATE('Scoring Settings'!$B$4,-'Scoring Settings'!$B$5))),"Not in use",IF(AND(ISNUMBER(I768),I768&lt;'Scoring Settings'!$B$6),"Low use","Active"))))</f>
        <v>Active</v>
      </c>
      <c r="L768" s="5">
        <v>3</v>
      </c>
      <c r="M768" s="5">
        <v>2</v>
      </c>
      <c r="N768" s="5"/>
      <c r="O768" s="5" t="s">
        <v>73</v>
      </c>
      <c r="P768" s="5" t="s">
        <v>1296</v>
      </c>
      <c r="Q768" s="9">
        <v>2</v>
      </c>
      <c r="R768" s="5" t="s">
        <v>182</v>
      </c>
      <c r="S768" s="5" t="s">
        <v>183</v>
      </c>
      <c r="T768" s="5" t="s">
        <v>77</v>
      </c>
      <c r="U768" s="7">
        <v>42855</v>
      </c>
      <c r="V768" s="5" t="s">
        <v>135</v>
      </c>
      <c r="W768" s="6">
        <v>410</v>
      </c>
      <c r="X768" s="5" t="s">
        <v>79</v>
      </c>
      <c r="Y768" s="9">
        <v>3</v>
      </c>
      <c r="Z768" s="5" t="s">
        <v>79</v>
      </c>
      <c r="AA768" s="5" t="s">
        <v>110</v>
      </c>
      <c r="AB768" s="9">
        <v>23</v>
      </c>
      <c r="AC768" s="5" t="s">
        <v>80</v>
      </c>
      <c r="AD768" s="5" t="s">
        <v>82</v>
      </c>
      <c r="AE768" s="5" t="s">
        <v>80</v>
      </c>
      <c r="AF768" s="10">
        <v>65000</v>
      </c>
      <c r="AG768" s="7">
        <v>45930</v>
      </c>
      <c r="AH768" s="10"/>
      <c r="AI768" s="10"/>
      <c r="AJ768" s="11" t="str">
        <f t="shared" si="11"/>
        <v/>
      </c>
      <c r="AK768" s="12">
        <f>IF(B768="","",OR(K768="Not in use",K768="Low use")+AND(N768&lt;&gt;"",N768&lt;&gt;"TBD")+AND(ISNUMBER(U768),U768&lt;=EDATE('Scoring Settings'!$B$4,'Scoring Settings'!$B$8))+AND(ISNUMBER(L768),L768&lt;='Scoring Settings'!$B$7))</f>
        <v>1</v>
      </c>
      <c r="AL768" s="5" t="s">
        <v>83</v>
      </c>
      <c r="AM768" s="8" t="str">
        <f>IF(B768="","",IF(Z768="N","Easy",IF(OR(AND(ISNUMBER(AB768),AB768&gt;'Scoring Settings'!$B$11),AND(ISNUMBER(W768),W768&gt;'Scoring Settings'!$B$12),AND(ISNUMBER(M768),M768&lt;='Scoring Settings'!$B$13)),"High","Medium")))</f>
        <v>Easy</v>
      </c>
      <c r="AN768" s="5"/>
      <c r="AO768" s="7"/>
      <c r="AP768" s="5" t="s">
        <v>98</v>
      </c>
      <c r="AQ768" s="29" t="s">
        <v>314</v>
      </c>
    </row>
    <row r="769" spans="1:43" ht="42.75" hidden="1">
      <c r="A769" s="28">
        <v>143639</v>
      </c>
      <c r="B769" s="5" t="s">
        <v>1301</v>
      </c>
      <c r="C769" s="5" t="s">
        <v>225</v>
      </c>
      <c r="D769" s="5" t="s">
        <v>67</v>
      </c>
      <c r="E769" s="5" t="s">
        <v>298</v>
      </c>
      <c r="F769" s="5" t="s">
        <v>396</v>
      </c>
      <c r="G769" s="5" t="s">
        <v>179</v>
      </c>
      <c r="H769" s="5" t="s">
        <v>142</v>
      </c>
      <c r="I769" s="6">
        <v>388</v>
      </c>
      <c r="J769" s="7">
        <v>44304</v>
      </c>
      <c r="K769" s="8" t="str">
        <f>IF(B769="","",IF(AND(I769="",J769=""),"Unknown",IF(OR(AND(ISNUMBER(I769),I769=0),AND(ISNUMBER(J769),J769&lt;=EDATE('Scoring Settings'!$B$4,-'Scoring Settings'!$B$5))),"Not in use",IF(AND(ISNUMBER(I769),I769&lt;'Scoring Settings'!$B$6),"Low use","Active"))))</f>
        <v>Active</v>
      </c>
      <c r="L769" s="5">
        <v>5</v>
      </c>
      <c r="M769" s="5">
        <v>1</v>
      </c>
      <c r="N769" s="5" t="s">
        <v>72</v>
      </c>
      <c r="O769" s="5" t="s">
        <v>143</v>
      </c>
      <c r="P769" s="5" t="s">
        <v>144</v>
      </c>
      <c r="Q769" s="9">
        <v>0</v>
      </c>
      <c r="R769" s="5" t="s">
        <v>145</v>
      </c>
      <c r="S769" s="5" t="s">
        <v>145</v>
      </c>
      <c r="T769" s="5" t="s">
        <v>146</v>
      </c>
      <c r="U769" s="7">
        <v>45716</v>
      </c>
      <c r="V769" s="5" t="s">
        <v>78</v>
      </c>
      <c r="W769" s="6">
        <v>250</v>
      </c>
      <c r="X769" s="5" t="s">
        <v>80</v>
      </c>
      <c r="Y769" s="9">
        <v>10</v>
      </c>
      <c r="Z769" s="5" t="s">
        <v>80</v>
      </c>
      <c r="AA769" s="5" t="s">
        <v>205</v>
      </c>
      <c r="AB769" s="9">
        <v>41</v>
      </c>
      <c r="AC769" s="5" t="s">
        <v>79</v>
      </c>
      <c r="AD769" s="5" t="s">
        <v>79</v>
      </c>
      <c r="AE769" s="5" t="s">
        <v>80</v>
      </c>
      <c r="AF769" s="10">
        <v>155000</v>
      </c>
      <c r="AG769" s="7">
        <v>46843</v>
      </c>
      <c r="AH769" s="10">
        <v>364000</v>
      </c>
      <c r="AI769" s="10">
        <v>75000</v>
      </c>
      <c r="AJ769" s="11">
        <f t="shared" si="11"/>
        <v>58.24</v>
      </c>
      <c r="AK769" s="12">
        <f>IF(B769="","",OR(K769="Not in use",K769="Low use")+AND(N769&lt;&gt;"",N769&lt;&gt;"TBD")+AND(ISNUMBER(U769),U769&lt;=EDATE('Scoring Settings'!$B$4,'Scoring Settings'!$B$8))+AND(ISNUMBER(L769),L769&lt;='Scoring Settings'!$B$7))</f>
        <v>0</v>
      </c>
      <c r="AL769" s="5" t="s">
        <v>111</v>
      </c>
      <c r="AM769" s="8" t="str">
        <f>IF(B769="","",IF(Z769="N","Easy",IF(OR(AND(ISNUMBER(AB769),AB769&gt;'Scoring Settings'!$B$11),AND(ISNUMBER(W769),W769&gt;'Scoring Settings'!$B$12),AND(ISNUMBER(M769),M769&lt;='Scoring Settings'!$B$13)),"High","Medium")))</f>
        <v>High</v>
      </c>
      <c r="AN769" s="5"/>
      <c r="AO769" s="7"/>
      <c r="AP769" s="5" t="s">
        <v>98</v>
      </c>
      <c r="AQ769" s="29" t="s">
        <v>1302</v>
      </c>
    </row>
    <row r="770" spans="1:43" hidden="1">
      <c r="A770" s="28">
        <v>177304</v>
      </c>
      <c r="B770" s="5" t="s">
        <v>1312</v>
      </c>
      <c r="C770" s="5" t="s">
        <v>87</v>
      </c>
      <c r="D770" s="5" t="s">
        <v>88</v>
      </c>
      <c r="E770" s="5" t="s">
        <v>298</v>
      </c>
      <c r="F770" s="5" t="s">
        <v>560</v>
      </c>
      <c r="G770" s="5" t="s">
        <v>141</v>
      </c>
      <c r="H770" s="5" t="s">
        <v>91</v>
      </c>
      <c r="I770" s="6">
        <v>5</v>
      </c>
      <c r="J770" s="7">
        <v>43701</v>
      </c>
      <c r="K770" s="8" t="str">
        <f>IF(B770="","",IF(AND(I770="",J770=""),"Unknown",IF(OR(AND(ISNUMBER(I770),I770=0),AND(ISNUMBER(J770),J770&lt;=EDATE('Scoring Settings'!$B$4,-'Scoring Settings'!$B$5))),"Not in use",IF(AND(ISNUMBER(I770),I770&lt;'Scoring Settings'!$B$6),"Low use","Active"))))</f>
        <v>Not in use</v>
      </c>
      <c r="L770" s="5">
        <v>4</v>
      </c>
      <c r="M770" s="5">
        <v>3</v>
      </c>
      <c r="N770" s="5"/>
      <c r="O770" s="5" t="s">
        <v>73</v>
      </c>
      <c r="P770" s="5" t="s">
        <v>1313</v>
      </c>
      <c r="Q770" s="9">
        <v>4</v>
      </c>
      <c r="R770" s="5" t="s">
        <v>203</v>
      </c>
      <c r="S770" s="5" t="s">
        <v>508</v>
      </c>
      <c r="T770" s="5" t="s">
        <v>122</v>
      </c>
      <c r="U770" s="7">
        <v>47269</v>
      </c>
      <c r="V770" s="5" t="s">
        <v>135</v>
      </c>
      <c r="W770" s="6">
        <v>44</v>
      </c>
      <c r="X770" s="5" t="s">
        <v>79</v>
      </c>
      <c r="Y770" s="9">
        <v>5</v>
      </c>
      <c r="Z770" s="5" t="s">
        <v>79</v>
      </c>
      <c r="AA770" s="5" t="s">
        <v>110</v>
      </c>
      <c r="AB770" s="9">
        <v>3</v>
      </c>
      <c r="AC770" s="5" t="s">
        <v>82</v>
      </c>
      <c r="AD770" s="5" t="s">
        <v>79</v>
      </c>
      <c r="AE770" s="5" t="s">
        <v>79</v>
      </c>
      <c r="AF770" s="10">
        <v>80000</v>
      </c>
      <c r="AG770" s="7">
        <v>46721</v>
      </c>
      <c r="AH770" s="10"/>
      <c r="AI770" s="10"/>
      <c r="AJ770" s="11" t="str">
        <f t="shared" si="11"/>
        <v/>
      </c>
      <c r="AK770" s="12">
        <f>IF(B770="","",OR(K770="Not in use",K770="Low use")+AND(N770&lt;&gt;"",N770&lt;&gt;"TBD")+AND(ISNUMBER(U770),U770&lt;=EDATE('Scoring Settings'!$B$4,'Scoring Settings'!$B$8))+AND(ISNUMBER(L770),L770&lt;='Scoring Settings'!$B$7))</f>
        <v>1</v>
      </c>
      <c r="AL770" s="5" t="s">
        <v>111</v>
      </c>
      <c r="AM770" s="8" t="str">
        <f>IF(B770="","",IF(Z770="N","Easy",IF(OR(AND(ISNUMBER(AB770),AB770&gt;'Scoring Settings'!$B$11),AND(ISNUMBER(W770),W770&gt;'Scoring Settings'!$B$12),AND(ISNUMBER(M770),M770&lt;='Scoring Settings'!$B$13)),"High","Medium")))</f>
        <v>Easy</v>
      </c>
      <c r="AN770" s="5"/>
      <c r="AO770" s="7"/>
      <c r="AP770" s="5" t="s">
        <v>98</v>
      </c>
      <c r="AQ770" s="29" t="s">
        <v>112</v>
      </c>
    </row>
    <row r="771" spans="1:43" hidden="1">
      <c r="A771" s="28">
        <v>135296</v>
      </c>
      <c r="B771" s="5" t="s">
        <v>1314</v>
      </c>
      <c r="C771" s="5" t="s">
        <v>161</v>
      </c>
      <c r="D771" s="5" t="s">
        <v>162</v>
      </c>
      <c r="E771" s="5" t="s">
        <v>68</v>
      </c>
      <c r="F771" s="5" t="s">
        <v>173</v>
      </c>
      <c r="G771" s="5" t="s">
        <v>104</v>
      </c>
      <c r="H771" s="5" t="s">
        <v>142</v>
      </c>
      <c r="I771" s="6">
        <v>1920</v>
      </c>
      <c r="J771" s="7">
        <v>44284</v>
      </c>
      <c r="K771" s="8" t="str">
        <f>IF(B771="","",IF(AND(I771="",J771=""),"Unknown",IF(OR(AND(ISNUMBER(I771),I771=0),AND(ISNUMBER(J771),J771&lt;=EDATE('Scoring Settings'!$B$4,-'Scoring Settings'!$B$5))),"Not in use",IF(AND(ISNUMBER(I771),I771&lt;'Scoring Settings'!$B$6),"Low use","Active"))))</f>
        <v>Active</v>
      </c>
      <c r="L771" s="5">
        <v>4</v>
      </c>
      <c r="M771" s="5">
        <v>2</v>
      </c>
      <c r="N771" s="5" t="s">
        <v>72</v>
      </c>
      <c r="O771" s="5" t="s">
        <v>143</v>
      </c>
      <c r="P771" s="5" t="s">
        <v>144</v>
      </c>
      <c r="Q771" s="9">
        <v>0</v>
      </c>
      <c r="R771" s="5" t="s">
        <v>145</v>
      </c>
      <c r="S771" s="5" t="s">
        <v>145</v>
      </c>
      <c r="T771" s="5" t="s">
        <v>146</v>
      </c>
      <c r="U771" s="7"/>
      <c r="V771" s="5" t="s">
        <v>135</v>
      </c>
      <c r="W771" s="6">
        <v>6</v>
      </c>
      <c r="X771" s="5" t="s">
        <v>79</v>
      </c>
      <c r="Y771" s="9">
        <v>3</v>
      </c>
      <c r="Z771" s="5" t="s">
        <v>80</v>
      </c>
      <c r="AA771" s="5" t="s">
        <v>205</v>
      </c>
      <c r="AB771" s="9">
        <v>7</v>
      </c>
      <c r="AC771" s="5" t="s">
        <v>82</v>
      </c>
      <c r="AD771" s="5" t="s">
        <v>79</v>
      </c>
      <c r="AE771" s="5" t="s">
        <v>79</v>
      </c>
      <c r="AF771" s="10">
        <v>80000</v>
      </c>
      <c r="AG771" s="7">
        <v>48852</v>
      </c>
      <c r="AH771" s="10"/>
      <c r="AI771" s="10"/>
      <c r="AJ771" s="11" t="str">
        <f t="shared" si="11"/>
        <v/>
      </c>
      <c r="AK771" s="12">
        <f>IF(B771="","",OR(K771="Not in use",K771="Low use")+AND(N771&lt;&gt;"",N771&lt;&gt;"TBD")+AND(ISNUMBER(U771),U771&lt;=EDATE('Scoring Settings'!$B$4,'Scoring Settings'!$B$8))+AND(ISNUMBER(L771),L771&lt;='Scoring Settings'!$B$7))</f>
        <v>0</v>
      </c>
      <c r="AL771" s="5" t="s">
        <v>83</v>
      </c>
      <c r="AM771" s="8" t="str">
        <f>IF(B771="","",IF(Z771="N","Easy",IF(OR(AND(ISNUMBER(AB771),AB771&gt;'Scoring Settings'!$B$11),AND(ISNUMBER(W771),W771&gt;'Scoring Settings'!$B$12),AND(ISNUMBER(M771),M771&lt;='Scoring Settings'!$B$13)),"High","Medium")))</f>
        <v>High</v>
      </c>
      <c r="AN771" s="5"/>
      <c r="AO771" s="7"/>
      <c r="AP771" s="5" t="s">
        <v>84</v>
      </c>
      <c r="AQ771" s="29" t="s">
        <v>247</v>
      </c>
    </row>
    <row r="772" spans="1:43" hidden="1">
      <c r="A772" s="28">
        <v>151392</v>
      </c>
      <c r="B772" s="5" t="s">
        <v>1317</v>
      </c>
      <c r="C772" s="5" t="s">
        <v>483</v>
      </c>
      <c r="D772" s="5" t="s">
        <v>88</v>
      </c>
      <c r="E772" s="5" t="s">
        <v>298</v>
      </c>
      <c r="F772" s="5" t="s">
        <v>236</v>
      </c>
      <c r="G772" s="5" t="s">
        <v>210</v>
      </c>
      <c r="H772" s="5" t="s">
        <v>129</v>
      </c>
      <c r="I772" s="6">
        <v>10</v>
      </c>
      <c r="J772" s="7">
        <v>44214</v>
      </c>
      <c r="K772" s="8" t="str">
        <f>IF(B772="","",IF(AND(I772="",J772=""),"Unknown",IF(OR(AND(ISNUMBER(I772),I772=0),AND(ISNUMBER(J772),J772&lt;=EDATE('Scoring Settings'!$B$4,-'Scoring Settings'!$B$5))),"Not in use",IF(AND(ISNUMBER(I772),I772&lt;'Scoring Settings'!$B$6),"Low use","Active"))))</f>
        <v>Low use</v>
      </c>
      <c r="L772" s="5">
        <v>5</v>
      </c>
      <c r="M772" s="5">
        <v>1</v>
      </c>
      <c r="N772" s="5"/>
      <c r="O772" s="5" t="s">
        <v>73</v>
      </c>
      <c r="P772" s="5" t="s">
        <v>1318</v>
      </c>
      <c r="Q772" s="9">
        <v>5</v>
      </c>
      <c r="R772" s="5" t="s">
        <v>182</v>
      </c>
      <c r="S772" s="5" t="s">
        <v>183</v>
      </c>
      <c r="T772" s="5" t="s">
        <v>72</v>
      </c>
      <c r="U772" s="7">
        <v>42855</v>
      </c>
      <c r="V772" s="5" t="s">
        <v>135</v>
      </c>
      <c r="W772" s="6">
        <v>260</v>
      </c>
      <c r="X772" s="5" t="s">
        <v>79</v>
      </c>
      <c r="Y772" s="9">
        <v>2</v>
      </c>
      <c r="Z772" s="5" t="s">
        <v>79</v>
      </c>
      <c r="AA772" s="5" t="s">
        <v>110</v>
      </c>
      <c r="AB772" s="9">
        <v>73</v>
      </c>
      <c r="AC772" s="5" t="s">
        <v>79</v>
      </c>
      <c r="AD772" s="5" t="s">
        <v>82</v>
      </c>
      <c r="AE772" s="5" t="s">
        <v>80</v>
      </c>
      <c r="AF772" s="10">
        <v>160000</v>
      </c>
      <c r="AG772" s="7">
        <v>46203</v>
      </c>
      <c r="AH772" s="10"/>
      <c r="AI772" s="10"/>
      <c r="AJ772" s="11" t="str">
        <f t="shared" si="11"/>
        <v/>
      </c>
      <c r="AK772" s="12">
        <f>IF(B772="","",OR(K772="Not in use",K772="Low use")+AND(N772&lt;&gt;"",N772&lt;&gt;"TBD")+AND(ISNUMBER(U772),U772&lt;=EDATE('Scoring Settings'!$B$4,'Scoring Settings'!$B$8))+AND(ISNUMBER(L772),L772&lt;='Scoring Settings'!$B$7))</f>
        <v>2</v>
      </c>
      <c r="AL772" s="5" t="s">
        <v>111</v>
      </c>
      <c r="AM772" s="8" t="str">
        <f>IF(B772="","",IF(Z772="N","Easy",IF(OR(AND(ISNUMBER(AB772),AB772&gt;'Scoring Settings'!$B$11),AND(ISNUMBER(W772),W772&gt;'Scoring Settings'!$B$12),AND(ISNUMBER(M772),M772&lt;='Scoring Settings'!$B$13)),"High","Medium")))</f>
        <v>Easy</v>
      </c>
      <c r="AN772" s="5"/>
      <c r="AO772" s="7"/>
      <c r="AP772" s="5" t="s">
        <v>98</v>
      </c>
      <c r="AQ772" s="29" t="s">
        <v>218</v>
      </c>
    </row>
    <row r="773" spans="1:43" hidden="1">
      <c r="A773" s="28">
        <v>38085</v>
      </c>
      <c r="B773" s="5" t="s">
        <v>1331</v>
      </c>
      <c r="C773" s="5" t="s">
        <v>156</v>
      </c>
      <c r="D773" s="5" t="s">
        <v>139</v>
      </c>
      <c r="E773" s="5" t="s">
        <v>68</v>
      </c>
      <c r="F773" s="5" t="s">
        <v>157</v>
      </c>
      <c r="G773" s="5" t="s">
        <v>128</v>
      </c>
      <c r="H773" s="5" t="s">
        <v>91</v>
      </c>
      <c r="I773" s="6">
        <v>404</v>
      </c>
      <c r="J773" s="7">
        <v>44271</v>
      </c>
      <c r="K773" s="8" t="str">
        <f>IF(B773="","",IF(AND(I773="",J773=""),"Unknown",IF(OR(AND(ISNUMBER(I773),I773=0),AND(ISNUMBER(J773),J773&lt;=EDATE('Scoring Settings'!$B$4,-'Scoring Settings'!$B$5))),"Not in use",IF(AND(ISNUMBER(I773),I773&lt;'Scoring Settings'!$B$6),"Low use","Active"))))</f>
        <v>Active</v>
      </c>
      <c r="L773" s="5">
        <v>2</v>
      </c>
      <c r="M773" s="5">
        <v>3</v>
      </c>
      <c r="N773" s="5" t="s">
        <v>72</v>
      </c>
      <c r="O773" s="5" t="s">
        <v>73</v>
      </c>
      <c r="P773" s="5" t="s">
        <v>1332</v>
      </c>
      <c r="Q773" s="9">
        <v>1</v>
      </c>
      <c r="R773" s="5" t="s">
        <v>239</v>
      </c>
      <c r="S773" s="5" t="s">
        <v>240</v>
      </c>
      <c r="T773" s="5" t="s">
        <v>72</v>
      </c>
      <c r="U773" s="7">
        <v>44316</v>
      </c>
      <c r="V773" s="5" t="s">
        <v>135</v>
      </c>
      <c r="W773" s="6">
        <v>140</v>
      </c>
      <c r="X773" s="5" t="s">
        <v>80</v>
      </c>
      <c r="Y773" s="9">
        <v>7</v>
      </c>
      <c r="Z773" s="5" t="s">
        <v>80</v>
      </c>
      <c r="AA773" s="5" t="s">
        <v>123</v>
      </c>
      <c r="AB773" s="9">
        <v>4</v>
      </c>
      <c r="AC773" s="5" t="s">
        <v>80</v>
      </c>
      <c r="AD773" s="5" t="s">
        <v>80</v>
      </c>
      <c r="AE773" s="5" t="s">
        <v>79</v>
      </c>
      <c r="AF773" s="10">
        <v>21000</v>
      </c>
      <c r="AG773" s="7">
        <v>48121</v>
      </c>
      <c r="AH773" s="10">
        <v>23000</v>
      </c>
      <c r="AI773" s="10">
        <v>17500</v>
      </c>
      <c r="AJ773" s="11">
        <f t="shared" ref="AJ773:AJ836" si="12">IF(AND(ISNUMBER(AH773),ISNUMBER(AI773),N(AI773)&gt;0),AH773/AI773*12,"")</f>
        <v>15.771428571428572</v>
      </c>
      <c r="AK773" s="12">
        <f>IF(B773="","",OR(K773="Not in use",K773="Low use")+AND(N773&lt;&gt;"",N773&lt;&gt;"TBD")+AND(ISNUMBER(U773),U773&lt;=EDATE('Scoring Settings'!$B$4,'Scoring Settings'!$B$8))+AND(ISNUMBER(L773),L773&lt;='Scoring Settings'!$B$7))</f>
        <v>2</v>
      </c>
      <c r="AL773" s="5" t="s">
        <v>111</v>
      </c>
      <c r="AM773" s="8" t="str">
        <f>IF(B773="","",IF(Z773="N","Easy",IF(OR(AND(ISNUMBER(AB773),AB773&gt;'Scoring Settings'!$B$11),AND(ISNUMBER(W773),W773&gt;'Scoring Settings'!$B$12),AND(ISNUMBER(M773),M773&lt;='Scoring Settings'!$B$13)),"High","Medium")))</f>
        <v>Medium</v>
      </c>
      <c r="AN773" s="5"/>
      <c r="AO773" s="7"/>
      <c r="AP773" s="5" t="s">
        <v>98</v>
      </c>
      <c r="AQ773" s="29" t="s">
        <v>112</v>
      </c>
    </row>
    <row r="774" spans="1:43" hidden="1">
      <c r="A774" s="28">
        <v>99947</v>
      </c>
      <c r="B774" s="5" t="s">
        <v>1333</v>
      </c>
      <c r="C774" s="5" t="s">
        <v>470</v>
      </c>
      <c r="D774" s="5" t="s">
        <v>297</v>
      </c>
      <c r="E774" s="5" t="s">
        <v>298</v>
      </c>
      <c r="F774" s="5" t="s">
        <v>560</v>
      </c>
      <c r="G774" s="5" t="s">
        <v>271</v>
      </c>
      <c r="H774" s="5" t="s">
        <v>174</v>
      </c>
      <c r="I774" s="6">
        <v>3327</v>
      </c>
      <c r="J774" s="7">
        <v>44284</v>
      </c>
      <c r="K774" s="8" t="str">
        <f>IF(B774="","",IF(AND(I774="",J774=""),"Unknown",IF(OR(AND(ISNUMBER(I774),I774=0),AND(ISNUMBER(J774),J774&lt;=EDATE('Scoring Settings'!$B$4,-'Scoring Settings'!$B$5))),"Not in use",IF(AND(ISNUMBER(I774),I774&lt;'Scoring Settings'!$B$6),"Low use","Active"))))</f>
        <v>Active</v>
      </c>
      <c r="L774" s="5">
        <v>4</v>
      </c>
      <c r="M774" s="5">
        <v>2</v>
      </c>
      <c r="N774" s="5"/>
      <c r="O774" s="5" t="s">
        <v>73</v>
      </c>
      <c r="P774" s="5" t="s">
        <v>1334</v>
      </c>
      <c r="Q774" s="9">
        <v>5</v>
      </c>
      <c r="R774" s="5" t="s">
        <v>358</v>
      </c>
      <c r="S774" s="5" t="s">
        <v>72</v>
      </c>
      <c r="T774" s="5" t="s">
        <v>72</v>
      </c>
      <c r="U774" s="7">
        <v>43555</v>
      </c>
      <c r="V774" s="5" t="s">
        <v>135</v>
      </c>
      <c r="W774" s="6">
        <v>15</v>
      </c>
      <c r="X774" s="5" t="s">
        <v>80</v>
      </c>
      <c r="Y774" s="9">
        <v>5</v>
      </c>
      <c r="Z774" s="5" t="s">
        <v>79</v>
      </c>
      <c r="AA774" s="5" t="s">
        <v>110</v>
      </c>
      <c r="AB774" s="9">
        <v>5</v>
      </c>
      <c r="AC774" s="5" t="s">
        <v>80</v>
      </c>
      <c r="AD774" s="5" t="s">
        <v>80</v>
      </c>
      <c r="AE774" s="5" t="s">
        <v>79</v>
      </c>
      <c r="AF774" s="10">
        <v>60000</v>
      </c>
      <c r="AG774" s="7">
        <v>46599</v>
      </c>
      <c r="AH774" s="10"/>
      <c r="AI774" s="10"/>
      <c r="AJ774" s="11" t="str">
        <f t="shared" si="12"/>
        <v/>
      </c>
      <c r="AK774" s="12">
        <f>IF(B774="","",OR(K774="Not in use",K774="Low use")+AND(N774&lt;&gt;"",N774&lt;&gt;"TBD")+AND(ISNUMBER(U774),U774&lt;=EDATE('Scoring Settings'!$B$4,'Scoring Settings'!$B$8))+AND(ISNUMBER(L774),L774&lt;='Scoring Settings'!$B$7))</f>
        <v>1</v>
      </c>
      <c r="AL774" s="5" t="s">
        <v>111</v>
      </c>
      <c r="AM774" s="8" t="str">
        <f>IF(B774="","",IF(Z774="N","Easy",IF(OR(AND(ISNUMBER(AB774),AB774&gt;'Scoring Settings'!$B$11),AND(ISNUMBER(W774),W774&gt;'Scoring Settings'!$B$12),AND(ISNUMBER(M774),M774&lt;='Scoring Settings'!$B$13)),"High","Medium")))</f>
        <v>Easy</v>
      </c>
      <c r="AN774" s="5"/>
      <c r="AO774" s="7"/>
      <c r="AP774" s="5" t="s">
        <v>98</v>
      </c>
      <c r="AQ774" s="29" t="s">
        <v>218</v>
      </c>
    </row>
    <row r="775" spans="1:43" hidden="1">
      <c r="A775" s="28">
        <v>152160</v>
      </c>
      <c r="B775" s="5" t="s">
        <v>1335</v>
      </c>
      <c r="C775" s="5" t="s">
        <v>262</v>
      </c>
      <c r="D775" s="5" t="s">
        <v>67</v>
      </c>
      <c r="E775" s="5" t="s">
        <v>311</v>
      </c>
      <c r="F775" s="5" t="s">
        <v>288</v>
      </c>
      <c r="G775" s="5" t="s">
        <v>237</v>
      </c>
      <c r="H775" s="5" t="s">
        <v>142</v>
      </c>
      <c r="I775" s="6">
        <v>877</v>
      </c>
      <c r="J775" s="7">
        <v>44297</v>
      </c>
      <c r="K775" s="8" t="str">
        <f>IF(B775="","",IF(AND(I775="",J775=""),"Unknown",IF(OR(AND(ISNUMBER(I775),I775=0),AND(ISNUMBER(J775),J775&lt;=EDATE('Scoring Settings'!$B$4,-'Scoring Settings'!$B$5))),"Not in use",IF(AND(ISNUMBER(I775),I775&lt;'Scoring Settings'!$B$6),"Low use","Active"))))</f>
        <v>Active</v>
      </c>
      <c r="L775" s="5">
        <v>4</v>
      </c>
      <c r="M775" s="5">
        <v>2</v>
      </c>
      <c r="N775" s="5"/>
      <c r="O775" s="5" t="s">
        <v>143</v>
      </c>
      <c r="P775" s="5" t="s">
        <v>144</v>
      </c>
      <c r="Q775" s="9">
        <v>0</v>
      </c>
      <c r="R775" s="5" t="s">
        <v>145</v>
      </c>
      <c r="S775" s="5" t="s">
        <v>145</v>
      </c>
      <c r="T775" s="5" t="s">
        <v>146</v>
      </c>
      <c r="U775" s="7">
        <v>46053</v>
      </c>
      <c r="V775" s="5" t="s">
        <v>135</v>
      </c>
      <c r="W775" s="6">
        <v>20</v>
      </c>
      <c r="X775" s="5" t="s">
        <v>79</v>
      </c>
      <c r="Y775" s="9">
        <v>2</v>
      </c>
      <c r="Z775" s="5" t="s">
        <v>80</v>
      </c>
      <c r="AA775" s="5" t="s">
        <v>185</v>
      </c>
      <c r="AB775" s="9">
        <v>30</v>
      </c>
      <c r="AC775" s="5" t="s">
        <v>82</v>
      </c>
      <c r="AD775" s="5" t="s">
        <v>82</v>
      </c>
      <c r="AE775" s="5" t="s">
        <v>79</v>
      </c>
      <c r="AF775" s="10">
        <v>120000</v>
      </c>
      <c r="AG775" s="7">
        <v>48091</v>
      </c>
      <c r="AH775" s="10"/>
      <c r="AI775" s="10"/>
      <c r="AJ775" s="11" t="str">
        <f t="shared" si="12"/>
        <v/>
      </c>
      <c r="AK775" s="12">
        <f>IF(B775="","",OR(K775="Not in use",K775="Low use")+AND(N775&lt;&gt;"",N775&lt;&gt;"TBD")+AND(ISNUMBER(U775),U775&lt;=EDATE('Scoring Settings'!$B$4,'Scoring Settings'!$B$8))+AND(ISNUMBER(L775),L775&lt;='Scoring Settings'!$B$7))</f>
        <v>0</v>
      </c>
      <c r="AL775" s="5" t="s">
        <v>83</v>
      </c>
      <c r="AM775" s="8" t="str">
        <f>IF(B775="","",IF(Z775="N","Easy",IF(OR(AND(ISNUMBER(AB775),AB775&gt;'Scoring Settings'!$B$11),AND(ISNUMBER(W775),W775&gt;'Scoring Settings'!$B$12),AND(ISNUMBER(M775),M775&lt;='Scoring Settings'!$B$13)),"High","Medium")))</f>
        <v>High</v>
      </c>
      <c r="AN775" s="5"/>
      <c r="AO775" s="7"/>
      <c r="AP775" s="5" t="s">
        <v>84</v>
      </c>
      <c r="AQ775" s="29" t="s">
        <v>85</v>
      </c>
    </row>
    <row r="776" spans="1:43" hidden="1">
      <c r="A776" s="28">
        <v>53416</v>
      </c>
      <c r="B776" s="5" t="s">
        <v>1336</v>
      </c>
      <c r="C776" s="5" t="s">
        <v>293</v>
      </c>
      <c r="D776" s="5" t="s">
        <v>162</v>
      </c>
      <c r="E776" s="5" t="s">
        <v>68</v>
      </c>
      <c r="F776" s="5" t="s">
        <v>103</v>
      </c>
      <c r="G776" s="5" t="s">
        <v>104</v>
      </c>
      <c r="H776" s="5" t="s">
        <v>189</v>
      </c>
      <c r="I776" s="6">
        <v>1</v>
      </c>
      <c r="J776" s="7">
        <v>44117</v>
      </c>
      <c r="K776" s="8" t="str">
        <f>IF(B776="","",IF(AND(I776="",J776=""),"Unknown",IF(OR(AND(ISNUMBER(I776),I776=0),AND(ISNUMBER(J776),J776&lt;=EDATE('Scoring Settings'!$B$4,-'Scoring Settings'!$B$5))),"Not in use",IF(AND(ISNUMBER(I776),I776&lt;'Scoring Settings'!$B$6),"Low use","Active"))))</f>
        <v>Not in use</v>
      </c>
      <c r="L776" s="5">
        <v>4</v>
      </c>
      <c r="M776" s="5">
        <v>2</v>
      </c>
      <c r="N776" s="5"/>
      <c r="O776" s="5" t="s">
        <v>73</v>
      </c>
      <c r="P776" s="5" t="s">
        <v>1337</v>
      </c>
      <c r="Q776" s="9">
        <v>4</v>
      </c>
      <c r="R776" s="5" t="s">
        <v>358</v>
      </c>
      <c r="S776" s="5" t="s">
        <v>133</v>
      </c>
      <c r="T776" s="5" t="s">
        <v>184</v>
      </c>
      <c r="U776" s="7">
        <v>43555</v>
      </c>
      <c r="V776" s="5" t="s">
        <v>135</v>
      </c>
      <c r="W776" s="6">
        <v>35</v>
      </c>
      <c r="X776" s="5" t="s">
        <v>79</v>
      </c>
      <c r="Y776" s="9">
        <v>2</v>
      </c>
      <c r="Z776" s="5" t="s">
        <v>80</v>
      </c>
      <c r="AA776" s="5" t="s">
        <v>205</v>
      </c>
      <c r="AB776" s="9">
        <v>12</v>
      </c>
      <c r="AC776" s="5" t="s">
        <v>79</v>
      </c>
      <c r="AD776" s="5" t="s">
        <v>82</v>
      </c>
      <c r="AE776" s="5" t="s">
        <v>82</v>
      </c>
      <c r="AF776" s="10">
        <v>95000</v>
      </c>
      <c r="AG776" s="7">
        <v>47573</v>
      </c>
      <c r="AH776" s="10"/>
      <c r="AI776" s="10"/>
      <c r="AJ776" s="11" t="str">
        <f t="shared" si="12"/>
        <v/>
      </c>
      <c r="AK776" s="12">
        <f>IF(B776="","",OR(K776="Not in use",K776="Low use")+AND(N776&lt;&gt;"",N776&lt;&gt;"TBD")+AND(ISNUMBER(U776),U776&lt;=EDATE('Scoring Settings'!$B$4,'Scoring Settings'!$B$8))+AND(ISNUMBER(L776),L776&lt;='Scoring Settings'!$B$7))</f>
        <v>2</v>
      </c>
      <c r="AL776" s="5" t="s">
        <v>111</v>
      </c>
      <c r="AM776" s="8" t="str">
        <f>IF(B776="","",IF(Z776="N","Easy",IF(OR(AND(ISNUMBER(AB776),AB776&gt;'Scoring Settings'!$B$11),AND(ISNUMBER(W776),W776&gt;'Scoring Settings'!$B$12),AND(ISNUMBER(M776),M776&lt;='Scoring Settings'!$B$13)),"High","Medium")))</f>
        <v>High</v>
      </c>
      <c r="AN776" s="5"/>
      <c r="AO776" s="7"/>
      <c r="AP776" s="5" t="s">
        <v>98</v>
      </c>
      <c r="AQ776" s="29" t="s">
        <v>112</v>
      </c>
    </row>
    <row r="777" spans="1:43" hidden="1">
      <c r="A777" s="28">
        <v>75315</v>
      </c>
      <c r="B777" s="5" t="s">
        <v>1338</v>
      </c>
      <c r="C777" s="5" t="s">
        <v>262</v>
      </c>
      <c r="D777" s="5" t="s">
        <v>67</v>
      </c>
      <c r="E777" s="5" t="s">
        <v>68</v>
      </c>
      <c r="F777" s="5" t="s">
        <v>173</v>
      </c>
      <c r="G777" s="5" t="s">
        <v>153</v>
      </c>
      <c r="H777" s="5" t="s">
        <v>142</v>
      </c>
      <c r="I777" s="6">
        <v>25</v>
      </c>
      <c r="J777" s="7">
        <v>44311</v>
      </c>
      <c r="K777" s="8" t="str">
        <f>IF(B777="","",IF(AND(I777="",J777=""),"Unknown",IF(OR(AND(ISNUMBER(I777),I777=0),AND(ISNUMBER(J777),J777&lt;=EDATE('Scoring Settings'!$B$4,-'Scoring Settings'!$B$5))),"Not in use",IF(AND(ISNUMBER(I777),I777&lt;'Scoring Settings'!$B$6),"Low use","Active"))))</f>
        <v>Active</v>
      </c>
      <c r="L777" s="5">
        <v>3</v>
      </c>
      <c r="M777" s="5">
        <v>3</v>
      </c>
      <c r="N777" s="5" t="s">
        <v>72</v>
      </c>
      <c r="O777" s="5" t="s">
        <v>143</v>
      </c>
      <c r="P777" s="5" t="s">
        <v>144</v>
      </c>
      <c r="Q777" s="9">
        <v>0</v>
      </c>
      <c r="R777" s="5" t="s">
        <v>145</v>
      </c>
      <c r="S777" s="5" t="s">
        <v>145</v>
      </c>
      <c r="T777" s="5" t="s">
        <v>146</v>
      </c>
      <c r="U777" s="7"/>
      <c r="V777" s="5" t="s">
        <v>78</v>
      </c>
      <c r="W777" s="6">
        <v>340</v>
      </c>
      <c r="X777" s="5" t="s">
        <v>79</v>
      </c>
      <c r="Y777" s="9">
        <v>2</v>
      </c>
      <c r="Z777" s="5" t="s">
        <v>80</v>
      </c>
      <c r="AA777" s="5" t="s">
        <v>147</v>
      </c>
      <c r="AB777" s="9">
        <v>7</v>
      </c>
      <c r="AC777" s="5" t="s">
        <v>79</v>
      </c>
      <c r="AD777" s="5" t="s">
        <v>82</v>
      </c>
      <c r="AE777" s="5" t="s">
        <v>80</v>
      </c>
      <c r="AF777" s="10">
        <v>22500</v>
      </c>
      <c r="AG777" s="7">
        <v>48395</v>
      </c>
      <c r="AH777" s="10"/>
      <c r="AI777" s="10"/>
      <c r="AJ777" s="11" t="str">
        <f t="shared" si="12"/>
        <v/>
      </c>
      <c r="AK777" s="12">
        <f>IF(B777="","",OR(K777="Not in use",K777="Low use")+AND(N777&lt;&gt;"",N777&lt;&gt;"TBD")+AND(ISNUMBER(U777),U777&lt;=EDATE('Scoring Settings'!$B$4,'Scoring Settings'!$B$8))+AND(ISNUMBER(L777),L777&lt;='Scoring Settings'!$B$7))</f>
        <v>0</v>
      </c>
      <c r="AL777" s="5" t="s">
        <v>83</v>
      </c>
      <c r="AM777" s="8" t="str">
        <f>IF(B777="","",IF(Z777="N","Easy",IF(OR(AND(ISNUMBER(AB777),AB777&gt;'Scoring Settings'!$B$11),AND(ISNUMBER(W777),W777&gt;'Scoring Settings'!$B$12),AND(ISNUMBER(M777),M777&lt;='Scoring Settings'!$B$13)),"High","Medium")))</f>
        <v>High</v>
      </c>
      <c r="AN777" s="5"/>
      <c r="AO777" s="7"/>
      <c r="AP777" s="5" t="s">
        <v>98</v>
      </c>
      <c r="AQ777" s="29" t="s">
        <v>273</v>
      </c>
    </row>
    <row r="778" spans="1:43" hidden="1">
      <c r="A778" s="28">
        <v>122241</v>
      </c>
      <c r="B778" s="5" t="s">
        <v>1341</v>
      </c>
      <c r="C778" s="5" t="s">
        <v>371</v>
      </c>
      <c r="D778" s="5" t="s">
        <v>162</v>
      </c>
      <c r="E778" s="5" t="s">
        <v>68</v>
      </c>
      <c r="F778" s="5" t="s">
        <v>560</v>
      </c>
      <c r="G778" s="5" t="s">
        <v>278</v>
      </c>
      <c r="H778" s="5" t="s">
        <v>142</v>
      </c>
      <c r="I778" s="6">
        <v>46</v>
      </c>
      <c r="J778" s="7">
        <v>44296</v>
      </c>
      <c r="K778" s="8" t="str">
        <f>IF(B778="","",IF(AND(I778="",J778=""),"Unknown",IF(OR(AND(ISNUMBER(I778),I778=0),AND(ISNUMBER(J778),J778&lt;=EDATE('Scoring Settings'!$B$4,-'Scoring Settings'!$B$5))),"Not in use",IF(AND(ISNUMBER(I778),I778&lt;'Scoring Settings'!$B$6),"Low use","Active"))))</f>
        <v>Active</v>
      </c>
      <c r="L778" s="5">
        <v>5</v>
      </c>
      <c r="M778" s="5">
        <v>1</v>
      </c>
      <c r="N778" s="5"/>
      <c r="O778" s="5" t="s">
        <v>143</v>
      </c>
      <c r="P778" s="5" t="s">
        <v>144</v>
      </c>
      <c r="Q778" s="9">
        <v>0</v>
      </c>
      <c r="R778" s="5" t="s">
        <v>145</v>
      </c>
      <c r="S778" s="5" t="s">
        <v>145</v>
      </c>
      <c r="T778" s="5" t="s">
        <v>146</v>
      </c>
      <c r="U778" s="7"/>
      <c r="V778" s="5" t="s">
        <v>135</v>
      </c>
      <c r="W778" s="6">
        <v>720</v>
      </c>
      <c r="X778" s="5" t="s">
        <v>79</v>
      </c>
      <c r="Y778" s="9">
        <v>7</v>
      </c>
      <c r="Z778" s="5" t="s">
        <v>79</v>
      </c>
      <c r="AA778" s="5" t="s">
        <v>110</v>
      </c>
      <c r="AB778" s="9">
        <v>78</v>
      </c>
      <c r="AC778" s="5" t="s">
        <v>82</v>
      </c>
      <c r="AD778" s="5" t="s">
        <v>82</v>
      </c>
      <c r="AE778" s="5" t="s">
        <v>79</v>
      </c>
      <c r="AF778" s="10">
        <v>42500</v>
      </c>
      <c r="AG778" s="7">
        <v>48395</v>
      </c>
      <c r="AH778" s="10"/>
      <c r="AI778" s="10"/>
      <c r="AJ778" s="11" t="str">
        <f t="shared" si="12"/>
        <v/>
      </c>
      <c r="AK778" s="12">
        <f>IF(B778="","",OR(K778="Not in use",K778="Low use")+AND(N778&lt;&gt;"",N778&lt;&gt;"TBD")+AND(ISNUMBER(U778),U778&lt;=EDATE('Scoring Settings'!$B$4,'Scoring Settings'!$B$8))+AND(ISNUMBER(L778),L778&lt;='Scoring Settings'!$B$7))</f>
        <v>0</v>
      </c>
      <c r="AL778" s="5" t="s">
        <v>83</v>
      </c>
      <c r="AM778" s="8" t="str">
        <f>IF(B778="","",IF(Z778="N","Easy",IF(OR(AND(ISNUMBER(AB778),AB778&gt;'Scoring Settings'!$B$11),AND(ISNUMBER(W778),W778&gt;'Scoring Settings'!$B$12),AND(ISNUMBER(M778),M778&lt;='Scoring Settings'!$B$13)),"High","Medium")))</f>
        <v>Easy</v>
      </c>
      <c r="AN778" s="5"/>
      <c r="AO778" s="7"/>
      <c r="AP778" s="5" t="s">
        <v>84</v>
      </c>
      <c r="AQ778" s="29" t="s">
        <v>314</v>
      </c>
    </row>
    <row r="779" spans="1:43" ht="42.75" hidden="1">
      <c r="A779" s="28">
        <v>21407</v>
      </c>
      <c r="B779" s="5" t="s">
        <v>1349</v>
      </c>
      <c r="C779" s="5" t="s">
        <v>187</v>
      </c>
      <c r="D779" s="5" t="s">
        <v>67</v>
      </c>
      <c r="E779" s="5" t="s">
        <v>68</v>
      </c>
      <c r="F779" s="5" t="s">
        <v>326</v>
      </c>
      <c r="G779" s="5" t="s">
        <v>104</v>
      </c>
      <c r="H779" s="5" t="s">
        <v>129</v>
      </c>
      <c r="I779" s="6">
        <v>173</v>
      </c>
      <c r="J779" s="7">
        <v>44273</v>
      </c>
      <c r="K779" s="8" t="str">
        <f>IF(B779="","",IF(AND(I779="",J779=""),"Unknown",IF(OR(AND(ISNUMBER(I779),I779=0),AND(ISNUMBER(J779),J779&lt;=EDATE('Scoring Settings'!$B$4,-'Scoring Settings'!$B$5))),"Not in use",IF(AND(ISNUMBER(I779),I779&lt;'Scoring Settings'!$B$6),"Low use","Active"))))</f>
        <v>Active</v>
      </c>
      <c r="L779" s="5">
        <v>4</v>
      </c>
      <c r="M779" s="5">
        <v>2</v>
      </c>
      <c r="N779" s="5"/>
      <c r="O779" s="5" t="s">
        <v>73</v>
      </c>
      <c r="P779" s="5" t="s">
        <v>1350</v>
      </c>
      <c r="Q779" s="9">
        <v>1</v>
      </c>
      <c r="R779" s="5" t="s">
        <v>166</v>
      </c>
      <c r="S779" s="5" t="s">
        <v>167</v>
      </c>
      <c r="T779" s="5" t="s">
        <v>77</v>
      </c>
      <c r="U779" s="7">
        <v>45482</v>
      </c>
      <c r="V779" s="5" t="s">
        <v>78</v>
      </c>
      <c r="W779" s="6">
        <v>84</v>
      </c>
      <c r="X779" s="5" t="s">
        <v>79</v>
      </c>
      <c r="Y779" s="9">
        <v>2</v>
      </c>
      <c r="Z779" s="5" t="s">
        <v>79</v>
      </c>
      <c r="AA779" s="5" t="s">
        <v>110</v>
      </c>
      <c r="AB779" s="9">
        <v>28</v>
      </c>
      <c r="AC779" s="5" t="s">
        <v>80</v>
      </c>
      <c r="AD779" s="5" t="s">
        <v>82</v>
      </c>
      <c r="AE779" s="5" t="s">
        <v>82</v>
      </c>
      <c r="AF779" s="10">
        <v>31500</v>
      </c>
      <c r="AG779" s="7">
        <v>49034</v>
      </c>
      <c r="AH779" s="10">
        <v>63500</v>
      </c>
      <c r="AI779" s="10">
        <v>30000</v>
      </c>
      <c r="AJ779" s="11">
        <f t="shared" si="12"/>
        <v>25.4</v>
      </c>
      <c r="AK779" s="12">
        <f>IF(B779="","",OR(K779="Not in use",K779="Low use")+AND(N779&lt;&gt;"",N779&lt;&gt;"TBD")+AND(ISNUMBER(U779),U779&lt;=EDATE('Scoring Settings'!$B$4,'Scoring Settings'!$B$8))+AND(ISNUMBER(L779),L779&lt;='Scoring Settings'!$B$7))</f>
        <v>0</v>
      </c>
      <c r="AL779" s="5" t="s">
        <v>111</v>
      </c>
      <c r="AM779" s="8" t="str">
        <f>IF(B779="","",IF(Z779="N","Easy",IF(OR(AND(ISNUMBER(AB779),AB779&gt;'Scoring Settings'!$B$11),AND(ISNUMBER(W779),W779&gt;'Scoring Settings'!$B$12),AND(ISNUMBER(M779),M779&lt;='Scoring Settings'!$B$13)),"High","Medium")))</f>
        <v>Easy</v>
      </c>
      <c r="AN779" s="5"/>
      <c r="AO779" s="7"/>
      <c r="AP779" s="5" t="s">
        <v>98</v>
      </c>
      <c r="AQ779" s="29" t="s">
        <v>1187</v>
      </c>
    </row>
    <row r="780" spans="1:43" hidden="1">
      <c r="A780" s="28">
        <v>64695</v>
      </c>
      <c r="B780" s="5" t="s">
        <v>1351</v>
      </c>
      <c r="C780" s="5" t="s">
        <v>343</v>
      </c>
      <c r="D780" s="5" t="s">
        <v>102</v>
      </c>
      <c r="E780" s="5" t="s">
        <v>68</v>
      </c>
      <c r="F780" s="5" t="s">
        <v>476</v>
      </c>
      <c r="G780" s="5" t="s">
        <v>210</v>
      </c>
      <c r="H780" s="5" t="s">
        <v>142</v>
      </c>
      <c r="I780" s="6">
        <v>281</v>
      </c>
      <c r="J780" s="7">
        <v>44295</v>
      </c>
      <c r="K780" s="8" t="str">
        <f>IF(B780="","",IF(AND(I780="",J780=""),"Unknown",IF(OR(AND(ISNUMBER(I780),I780=0),AND(ISNUMBER(J780),J780&lt;=EDATE('Scoring Settings'!$B$4,-'Scoring Settings'!$B$5))),"Not in use",IF(AND(ISNUMBER(I780),I780&lt;'Scoring Settings'!$B$6),"Low use","Active"))))</f>
        <v>Active</v>
      </c>
      <c r="L780" s="5">
        <v>4</v>
      </c>
      <c r="M780" s="5">
        <v>2</v>
      </c>
      <c r="N780" s="5" t="s">
        <v>72</v>
      </c>
      <c r="O780" s="5" t="s">
        <v>143</v>
      </c>
      <c r="P780" s="5" t="s">
        <v>144</v>
      </c>
      <c r="Q780" s="9">
        <v>0</v>
      </c>
      <c r="R780" s="5" t="s">
        <v>145</v>
      </c>
      <c r="S780" s="5" t="s">
        <v>145</v>
      </c>
      <c r="T780" s="5" t="s">
        <v>146</v>
      </c>
      <c r="U780" s="7"/>
      <c r="V780" s="5" t="s">
        <v>95</v>
      </c>
      <c r="W780" s="6">
        <v>290</v>
      </c>
      <c r="X780" s="5" t="s">
        <v>79</v>
      </c>
      <c r="Y780" s="9">
        <v>3</v>
      </c>
      <c r="Z780" s="5" t="s">
        <v>80</v>
      </c>
      <c r="AA780" s="5" t="s">
        <v>123</v>
      </c>
      <c r="AB780" s="9">
        <v>24</v>
      </c>
      <c r="AC780" s="5" t="s">
        <v>79</v>
      </c>
      <c r="AD780" s="5" t="s">
        <v>82</v>
      </c>
      <c r="AE780" s="5" t="s">
        <v>80</v>
      </c>
      <c r="AF780" s="10">
        <v>85000</v>
      </c>
      <c r="AG780" s="7">
        <v>46721</v>
      </c>
      <c r="AH780" s="10"/>
      <c r="AI780" s="10"/>
      <c r="AJ780" s="11" t="str">
        <f t="shared" si="12"/>
        <v/>
      </c>
      <c r="AK780" s="12">
        <f>IF(B780="","",OR(K780="Not in use",K780="Low use")+AND(N780&lt;&gt;"",N780&lt;&gt;"TBD")+AND(ISNUMBER(U780),U780&lt;=EDATE('Scoring Settings'!$B$4,'Scoring Settings'!$B$8))+AND(ISNUMBER(L780),L780&lt;='Scoring Settings'!$B$7))</f>
        <v>0</v>
      </c>
      <c r="AL780" s="5" t="s">
        <v>83</v>
      </c>
      <c r="AM780" s="8" t="str">
        <f>IF(B780="","",IF(Z780="N","Easy",IF(OR(AND(ISNUMBER(AB780),AB780&gt;'Scoring Settings'!$B$11),AND(ISNUMBER(W780),W780&gt;'Scoring Settings'!$B$12),AND(ISNUMBER(M780),M780&lt;='Scoring Settings'!$B$13)),"High","Medium")))</f>
        <v>High</v>
      </c>
      <c r="AN780" s="5"/>
      <c r="AO780" s="7"/>
      <c r="AP780" s="5" t="s">
        <v>84</v>
      </c>
      <c r="AQ780" s="29" t="s">
        <v>247</v>
      </c>
    </row>
    <row r="781" spans="1:43" hidden="1">
      <c r="A781" s="28">
        <v>96698</v>
      </c>
      <c r="B781" s="5" t="s">
        <v>1355</v>
      </c>
      <c r="C781" s="5" t="s">
        <v>126</v>
      </c>
      <c r="D781" s="5" t="s">
        <v>88</v>
      </c>
      <c r="E781" s="5" t="s">
        <v>68</v>
      </c>
      <c r="F781" s="5" t="s">
        <v>387</v>
      </c>
      <c r="G781" s="5" t="s">
        <v>221</v>
      </c>
      <c r="H781" s="5" t="s">
        <v>71</v>
      </c>
      <c r="I781" s="6">
        <v>24</v>
      </c>
      <c r="J781" s="7">
        <v>44312</v>
      </c>
      <c r="K781" s="8" t="str">
        <f>IF(B781="","",IF(AND(I781="",J781=""),"Unknown",IF(OR(AND(ISNUMBER(I781),I781=0),AND(ISNUMBER(J781),J781&lt;=EDATE('Scoring Settings'!$B$4,-'Scoring Settings'!$B$5))),"Not in use",IF(AND(ISNUMBER(I781),I781&lt;'Scoring Settings'!$B$6),"Low use","Active"))))</f>
        <v>Low use</v>
      </c>
      <c r="L781" s="5">
        <v>4</v>
      </c>
      <c r="M781" s="5">
        <v>3</v>
      </c>
      <c r="N781" s="5"/>
      <c r="O781" s="5" t="s">
        <v>73</v>
      </c>
      <c r="P781" s="5" t="s">
        <v>1356</v>
      </c>
      <c r="Q781" s="9">
        <v>1</v>
      </c>
      <c r="R781" s="5" t="s">
        <v>166</v>
      </c>
      <c r="S781" s="5" t="s">
        <v>308</v>
      </c>
      <c r="T781" s="5" t="s">
        <v>122</v>
      </c>
      <c r="U781" s="7">
        <v>45209</v>
      </c>
      <c r="V781" s="5" t="s">
        <v>135</v>
      </c>
      <c r="W781" s="6">
        <v>28</v>
      </c>
      <c r="X781" s="5" t="s">
        <v>79</v>
      </c>
      <c r="Y781" s="9">
        <v>1</v>
      </c>
      <c r="Z781" s="5" t="s">
        <v>80</v>
      </c>
      <c r="AA781" s="5" t="s">
        <v>185</v>
      </c>
      <c r="AB781" s="9">
        <v>5</v>
      </c>
      <c r="AC781" s="5" t="s">
        <v>82</v>
      </c>
      <c r="AD781" s="5" t="s">
        <v>82</v>
      </c>
      <c r="AE781" s="5" t="s">
        <v>82</v>
      </c>
      <c r="AF781" s="10">
        <v>37500</v>
      </c>
      <c r="AG781" s="7">
        <v>47452</v>
      </c>
      <c r="AH781" s="10">
        <v>22500</v>
      </c>
      <c r="AI781" s="10">
        <v>34500</v>
      </c>
      <c r="AJ781" s="11">
        <f t="shared" si="12"/>
        <v>7.8260869565217392</v>
      </c>
      <c r="AK781" s="12">
        <f>IF(B781="","",OR(K781="Not in use",K781="Low use")+AND(N781&lt;&gt;"",N781&lt;&gt;"TBD")+AND(ISNUMBER(U781),U781&lt;=EDATE('Scoring Settings'!$B$4,'Scoring Settings'!$B$8))+AND(ISNUMBER(L781),L781&lt;='Scoring Settings'!$B$7))</f>
        <v>1</v>
      </c>
      <c r="AL781" s="5" t="s">
        <v>111</v>
      </c>
      <c r="AM781" s="8" t="str">
        <f>IF(B781="","",IF(Z781="N","Easy",IF(OR(AND(ISNUMBER(AB781),AB781&gt;'Scoring Settings'!$B$11),AND(ISNUMBER(W781),W781&gt;'Scoring Settings'!$B$12),AND(ISNUMBER(M781),M781&lt;='Scoring Settings'!$B$13)),"High","Medium")))</f>
        <v>Medium</v>
      </c>
      <c r="AN781" s="5"/>
      <c r="AO781" s="7"/>
      <c r="AP781" s="5" t="s">
        <v>98</v>
      </c>
      <c r="AQ781" s="29" t="s">
        <v>159</v>
      </c>
    </row>
    <row r="782" spans="1:43" hidden="1">
      <c r="A782" s="28">
        <v>62531</v>
      </c>
      <c r="B782" s="5" t="s">
        <v>1357</v>
      </c>
      <c r="C782" s="5" t="s">
        <v>13</v>
      </c>
      <c r="D782" s="5" t="s">
        <v>162</v>
      </c>
      <c r="E782" s="5" t="s">
        <v>68</v>
      </c>
      <c r="F782" s="5" t="s">
        <v>89</v>
      </c>
      <c r="G782" s="5" t="s">
        <v>404</v>
      </c>
      <c r="H782" s="5" t="s">
        <v>174</v>
      </c>
      <c r="I782" s="6">
        <v>5</v>
      </c>
      <c r="J782" s="7">
        <v>43862</v>
      </c>
      <c r="K782" s="8" t="str">
        <f>IF(B782="","",IF(AND(I782="",J782=""),"Unknown",IF(OR(AND(ISNUMBER(I782),I782=0),AND(ISNUMBER(J782),J782&lt;=EDATE('Scoring Settings'!$B$4,-'Scoring Settings'!$B$5))),"Not in use",IF(AND(ISNUMBER(I782),I782&lt;'Scoring Settings'!$B$6),"Low use","Active"))))</f>
        <v>Not in use</v>
      </c>
      <c r="L782" s="5">
        <v>4</v>
      </c>
      <c r="M782" s="5">
        <v>2</v>
      </c>
      <c r="N782" s="5"/>
      <c r="O782" s="5" t="s">
        <v>73</v>
      </c>
      <c r="P782" s="5" t="s">
        <v>1358</v>
      </c>
      <c r="Q782" s="9">
        <v>7</v>
      </c>
      <c r="R782" s="5" t="s">
        <v>132</v>
      </c>
      <c r="S782" s="5" t="s">
        <v>133</v>
      </c>
      <c r="T782" s="5" t="s">
        <v>109</v>
      </c>
      <c r="U782" s="7">
        <v>44227</v>
      </c>
      <c r="V782" s="5" t="s">
        <v>95</v>
      </c>
      <c r="W782" s="6">
        <v>400</v>
      </c>
      <c r="X782" s="5" t="s">
        <v>79</v>
      </c>
      <c r="Y782" s="9">
        <v>1</v>
      </c>
      <c r="Z782" s="5" t="s">
        <v>79</v>
      </c>
      <c r="AA782" s="5" t="s">
        <v>110</v>
      </c>
      <c r="AB782" s="9">
        <v>10</v>
      </c>
      <c r="AC782" s="5" t="s">
        <v>79</v>
      </c>
      <c r="AD782" s="5" t="s">
        <v>79</v>
      </c>
      <c r="AE782" s="5" t="s">
        <v>79</v>
      </c>
      <c r="AF782" s="10">
        <v>105000</v>
      </c>
      <c r="AG782" s="7">
        <v>47817</v>
      </c>
      <c r="AH782" s="10">
        <v>160000</v>
      </c>
      <c r="AI782" s="10">
        <v>70500</v>
      </c>
      <c r="AJ782" s="11">
        <f t="shared" si="12"/>
        <v>27.234042553191493</v>
      </c>
      <c r="AK782" s="12">
        <f>IF(B782="","",OR(K782="Not in use",K782="Low use")+AND(N782&lt;&gt;"",N782&lt;&gt;"TBD")+AND(ISNUMBER(U782),U782&lt;=EDATE('Scoring Settings'!$B$4,'Scoring Settings'!$B$8))+AND(ISNUMBER(L782),L782&lt;='Scoring Settings'!$B$7))</f>
        <v>2</v>
      </c>
      <c r="AL782" s="5" t="s">
        <v>111</v>
      </c>
      <c r="AM782" s="8" t="str">
        <f>IF(B782="","",IF(Z782="N","Easy",IF(OR(AND(ISNUMBER(AB782),AB782&gt;'Scoring Settings'!$B$11),AND(ISNUMBER(W782),W782&gt;'Scoring Settings'!$B$12),AND(ISNUMBER(M782),M782&lt;='Scoring Settings'!$B$13)),"High","Medium")))</f>
        <v>Easy</v>
      </c>
      <c r="AN782" s="5"/>
      <c r="AO782" s="7"/>
      <c r="AP782" s="5" t="s">
        <v>98</v>
      </c>
      <c r="AQ782" s="29" t="s">
        <v>218</v>
      </c>
    </row>
    <row r="783" spans="1:43" ht="42.75" hidden="1">
      <c r="A783" s="28">
        <v>14926</v>
      </c>
      <c r="B783" s="5" t="s">
        <v>1359</v>
      </c>
      <c r="C783" s="5" t="s">
        <v>495</v>
      </c>
      <c r="D783" s="5" t="s">
        <v>162</v>
      </c>
      <c r="E783" s="5" t="s">
        <v>311</v>
      </c>
      <c r="F783" s="5" t="s">
        <v>346</v>
      </c>
      <c r="G783" s="5" t="s">
        <v>237</v>
      </c>
      <c r="H783" s="5" t="s">
        <v>142</v>
      </c>
      <c r="I783" s="6">
        <v>155</v>
      </c>
      <c r="J783" s="7">
        <v>44292</v>
      </c>
      <c r="K783" s="8" t="str">
        <f>IF(B783="","",IF(AND(I783="",J783=""),"Unknown",IF(OR(AND(ISNUMBER(I783),I783=0),AND(ISNUMBER(J783),J783&lt;=EDATE('Scoring Settings'!$B$4,-'Scoring Settings'!$B$5))),"Not in use",IF(AND(ISNUMBER(I783),I783&lt;'Scoring Settings'!$B$6),"Low use","Active"))))</f>
        <v>Active</v>
      </c>
      <c r="L783" s="5">
        <v>4</v>
      </c>
      <c r="M783" s="5">
        <v>3</v>
      </c>
      <c r="N783" s="5"/>
      <c r="O783" s="5" t="s">
        <v>143</v>
      </c>
      <c r="P783" s="5" t="s">
        <v>144</v>
      </c>
      <c r="Q783" s="9">
        <v>0</v>
      </c>
      <c r="R783" s="5" t="s">
        <v>145</v>
      </c>
      <c r="S783" s="5" t="s">
        <v>145</v>
      </c>
      <c r="T783" s="5" t="s">
        <v>146</v>
      </c>
      <c r="U783" s="7">
        <v>44804</v>
      </c>
      <c r="V783" s="5" t="s">
        <v>135</v>
      </c>
      <c r="W783" s="6">
        <v>120</v>
      </c>
      <c r="X783" s="5" t="s">
        <v>79</v>
      </c>
      <c r="Y783" s="9">
        <v>5</v>
      </c>
      <c r="Z783" s="5" t="s">
        <v>80</v>
      </c>
      <c r="AA783" s="5" t="s">
        <v>185</v>
      </c>
      <c r="AB783" s="9">
        <v>4</v>
      </c>
      <c r="AC783" s="5" t="s">
        <v>80</v>
      </c>
      <c r="AD783" s="5" t="s">
        <v>79</v>
      </c>
      <c r="AE783" s="5" t="s">
        <v>82</v>
      </c>
      <c r="AF783" s="10">
        <v>115000</v>
      </c>
      <c r="AG783" s="7">
        <v>46203</v>
      </c>
      <c r="AH783" s="10">
        <v>110500</v>
      </c>
      <c r="AI783" s="10">
        <v>70500</v>
      </c>
      <c r="AJ783" s="11">
        <f t="shared" si="12"/>
        <v>18.808510638297872</v>
      </c>
      <c r="AK783" s="12">
        <f>IF(B783="","",OR(K783="Not in use",K783="Low use")+AND(N783&lt;&gt;"",N783&lt;&gt;"TBD")+AND(ISNUMBER(U783),U783&lt;=EDATE('Scoring Settings'!$B$4,'Scoring Settings'!$B$8))+AND(ISNUMBER(L783),L783&lt;='Scoring Settings'!$B$7))</f>
        <v>0</v>
      </c>
      <c r="AL783" s="5" t="s">
        <v>111</v>
      </c>
      <c r="AM783" s="8" t="str">
        <f>IF(B783="","",IF(Z783="N","Easy",IF(OR(AND(ISNUMBER(AB783),AB783&gt;'Scoring Settings'!$B$11),AND(ISNUMBER(W783),W783&gt;'Scoring Settings'!$B$12),AND(ISNUMBER(M783),M783&lt;='Scoring Settings'!$B$13)),"High","Medium")))</f>
        <v>Medium</v>
      </c>
      <c r="AN783" s="5"/>
      <c r="AO783" s="7"/>
      <c r="AP783" s="5" t="s">
        <v>98</v>
      </c>
      <c r="AQ783" s="29" t="s">
        <v>1360</v>
      </c>
    </row>
    <row r="784" spans="1:43" hidden="1">
      <c r="A784" s="28">
        <v>117055</v>
      </c>
      <c r="B784" s="5" t="s">
        <v>1363</v>
      </c>
      <c r="C784" s="5" t="s">
        <v>156</v>
      </c>
      <c r="D784" s="5" t="s">
        <v>139</v>
      </c>
      <c r="E784" s="5" t="s">
        <v>311</v>
      </c>
      <c r="F784" s="5" t="s">
        <v>299</v>
      </c>
      <c r="G784" s="5" t="s">
        <v>104</v>
      </c>
      <c r="H784" s="5" t="s">
        <v>118</v>
      </c>
      <c r="I784" s="6">
        <v>668</v>
      </c>
      <c r="J784" s="7">
        <v>44308</v>
      </c>
      <c r="K784" s="8" t="str">
        <f>IF(B784="","",IF(AND(I784="",J784=""),"Unknown",IF(OR(AND(ISNUMBER(I784),I784=0),AND(ISNUMBER(J784),J784&lt;=EDATE('Scoring Settings'!$B$4,-'Scoring Settings'!$B$5))),"Not in use",IF(AND(ISNUMBER(I784),I784&lt;'Scoring Settings'!$B$6),"Low use","Active"))))</f>
        <v>Active</v>
      </c>
      <c r="L784" s="5">
        <v>4</v>
      </c>
      <c r="M784" s="5">
        <v>2</v>
      </c>
      <c r="N784" s="5"/>
      <c r="O784" s="5" t="s">
        <v>191</v>
      </c>
      <c r="P784" s="5" t="s">
        <v>192</v>
      </c>
      <c r="Q784" s="9">
        <v>0</v>
      </c>
      <c r="R784" s="5" t="s">
        <v>193</v>
      </c>
      <c r="S784" s="5" t="s">
        <v>318</v>
      </c>
      <c r="T784" s="5" t="s">
        <v>195</v>
      </c>
      <c r="U784" s="7"/>
      <c r="V784" s="5" t="s">
        <v>135</v>
      </c>
      <c r="W784" s="6">
        <v>540</v>
      </c>
      <c r="X784" s="5" t="s">
        <v>79</v>
      </c>
      <c r="Y784" s="9">
        <v>2</v>
      </c>
      <c r="Z784" s="5" t="s">
        <v>80</v>
      </c>
      <c r="AA784" s="5" t="s">
        <v>185</v>
      </c>
      <c r="AB784" s="9">
        <v>5</v>
      </c>
      <c r="AC784" s="5" t="s">
        <v>82</v>
      </c>
      <c r="AD784" s="5" t="s">
        <v>82</v>
      </c>
      <c r="AE784" s="5" t="s">
        <v>80</v>
      </c>
      <c r="AF784" s="10">
        <v>12500</v>
      </c>
      <c r="AG784" s="7">
        <v>47483</v>
      </c>
      <c r="AH784" s="10"/>
      <c r="AI784" s="10"/>
      <c r="AJ784" s="11" t="str">
        <f t="shared" si="12"/>
        <v/>
      </c>
      <c r="AK784" s="12">
        <f>IF(B784="","",OR(K784="Not in use",K784="Low use")+AND(N784&lt;&gt;"",N784&lt;&gt;"TBD")+AND(ISNUMBER(U784),U784&lt;=EDATE('Scoring Settings'!$B$4,'Scoring Settings'!$B$8))+AND(ISNUMBER(L784),L784&lt;='Scoring Settings'!$B$7))</f>
        <v>0</v>
      </c>
      <c r="AL784" s="5" t="s">
        <v>83</v>
      </c>
      <c r="AM784" s="8" t="str">
        <f>IF(B784="","",IF(Z784="N","Easy",IF(OR(AND(ISNUMBER(AB784),AB784&gt;'Scoring Settings'!$B$11),AND(ISNUMBER(W784),W784&gt;'Scoring Settings'!$B$12),AND(ISNUMBER(M784),M784&lt;='Scoring Settings'!$B$13)),"High","Medium")))</f>
        <v>High</v>
      </c>
      <c r="AN784" s="5"/>
      <c r="AO784" s="7"/>
      <c r="AP784" s="5" t="s">
        <v>84</v>
      </c>
      <c r="AQ784" s="29" t="s">
        <v>273</v>
      </c>
    </row>
    <row r="785" spans="1:43" hidden="1">
      <c r="A785" s="28">
        <v>177141</v>
      </c>
      <c r="B785" s="5" t="s">
        <v>1365</v>
      </c>
      <c r="C785" s="5" t="s">
        <v>515</v>
      </c>
      <c r="D785" s="5" t="s">
        <v>102</v>
      </c>
      <c r="E785" s="5" t="s">
        <v>68</v>
      </c>
      <c r="F785" s="5" t="s">
        <v>163</v>
      </c>
      <c r="G785" s="5" t="s">
        <v>117</v>
      </c>
      <c r="H785" s="5" t="s">
        <v>174</v>
      </c>
      <c r="I785" s="6">
        <v>192</v>
      </c>
      <c r="J785" s="7">
        <v>44294</v>
      </c>
      <c r="K785" s="8" t="str">
        <f>IF(B785="","",IF(AND(I785="",J785=""),"Unknown",IF(OR(AND(ISNUMBER(I785),I785=0),AND(ISNUMBER(J785),J785&lt;=EDATE('Scoring Settings'!$B$4,-'Scoring Settings'!$B$5))),"Not in use",IF(AND(ISNUMBER(I785),I785&lt;'Scoring Settings'!$B$6),"Low use","Active"))))</f>
        <v>Active</v>
      </c>
      <c r="L785" s="5">
        <v>5</v>
      </c>
      <c r="M785" s="5">
        <v>2</v>
      </c>
      <c r="N785" s="5"/>
      <c r="O785" s="5" t="s">
        <v>130</v>
      </c>
      <c r="P785" s="5" t="s">
        <v>1366</v>
      </c>
      <c r="Q785" s="9">
        <v>3</v>
      </c>
      <c r="R785" s="5" t="s">
        <v>75</v>
      </c>
      <c r="S785" s="5" t="s">
        <v>76</v>
      </c>
      <c r="T785" s="5" t="s">
        <v>168</v>
      </c>
      <c r="U785" s="7">
        <v>46399</v>
      </c>
      <c r="V785" s="5" t="s">
        <v>135</v>
      </c>
      <c r="W785" s="6">
        <v>29</v>
      </c>
      <c r="X785" s="5" t="s">
        <v>80</v>
      </c>
      <c r="Y785" s="9">
        <v>7</v>
      </c>
      <c r="Z785" s="5" t="s">
        <v>80</v>
      </c>
      <c r="AA785" s="5" t="s">
        <v>185</v>
      </c>
      <c r="AB785" s="9">
        <v>28</v>
      </c>
      <c r="AC785" s="5" t="s">
        <v>82</v>
      </c>
      <c r="AD785" s="5" t="s">
        <v>79</v>
      </c>
      <c r="AE785" s="5" t="s">
        <v>79</v>
      </c>
      <c r="AF785" s="10">
        <v>35500</v>
      </c>
      <c r="AG785" s="7">
        <v>47603</v>
      </c>
      <c r="AH785" s="10"/>
      <c r="AI785" s="10"/>
      <c r="AJ785" s="11" t="str">
        <f t="shared" si="12"/>
        <v/>
      </c>
      <c r="AK785" s="12">
        <f>IF(B785="","",OR(K785="Not in use",K785="Low use")+AND(N785&lt;&gt;"",N785&lt;&gt;"TBD")+AND(ISNUMBER(U785),U785&lt;=EDATE('Scoring Settings'!$B$4,'Scoring Settings'!$B$8))+AND(ISNUMBER(L785),L785&lt;='Scoring Settings'!$B$7))</f>
        <v>0</v>
      </c>
      <c r="AL785" s="5" t="s">
        <v>83</v>
      </c>
      <c r="AM785" s="8" t="str">
        <f>IF(B785="","",IF(Z785="N","Easy",IF(OR(AND(ISNUMBER(AB785),AB785&gt;'Scoring Settings'!$B$11),AND(ISNUMBER(W785),W785&gt;'Scoring Settings'!$B$12),AND(ISNUMBER(M785),M785&lt;='Scoring Settings'!$B$13)),"High","Medium")))</f>
        <v>High</v>
      </c>
      <c r="AN785" s="5"/>
      <c r="AO785" s="7"/>
      <c r="AP785" s="5" t="s">
        <v>84</v>
      </c>
      <c r="AQ785" s="29" t="s">
        <v>314</v>
      </c>
    </row>
    <row r="786" spans="1:43" hidden="1">
      <c r="A786" s="28">
        <v>88698</v>
      </c>
      <c r="B786" s="5" t="s">
        <v>1373</v>
      </c>
      <c r="C786" s="5" t="s">
        <v>495</v>
      </c>
      <c r="D786" s="5" t="s">
        <v>162</v>
      </c>
      <c r="E786" s="5" t="s">
        <v>311</v>
      </c>
      <c r="F786" s="5" t="s">
        <v>326</v>
      </c>
      <c r="G786" s="5" t="s">
        <v>70</v>
      </c>
      <c r="H786" s="5" t="s">
        <v>129</v>
      </c>
      <c r="I786" s="6">
        <v>507</v>
      </c>
      <c r="J786" s="7">
        <v>44284</v>
      </c>
      <c r="K786" s="8" t="str">
        <f>IF(B786="","",IF(AND(I786="",J786=""),"Unknown",IF(OR(AND(ISNUMBER(I786),I786=0),AND(ISNUMBER(J786),J786&lt;=EDATE('Scoring Settings'!$B$4,-'Scoring Settings'!$B$5))),"Not in use",IF(AND(ISNUMBER(I786),I786&lt;'Scoring Settings'!$B$6),"Low use","Active"))))</f>
        <v>Active</v>
      </c>
      <c r="L786" s="5">
        <v>5</v>
      </c>
      <c r="M786" s="5">
        <v>1</v>
      </c>
      <c r="N786" s="5" t="s">
        <v>72</v>
      </c>
      <c r="O786" s="5" t="s">
        <v>73</v>
      </c>
      <c r="P786" s="5" t="s">
        <v>1374</v>
      </c>
      <c r="Q786" s="9">
        <v>6</v>
      </c>
      <c r="R786" s="5" t="s">
        <v>245</v>
      </c>
      <c r="S786" s="5" t="s">
        <v>246</v>
      </c>
      <c r="T786" s="5" t="s">
        <v>122</v>
      </c>
      <c r="U786" s="7">
        <v>45777</v>
      </c>
      <c r="V786" s="5" t="s">
        <v>78</v>
      </c>
      <c r="W786" s="6">
        <v>2010</v>
      </c>
      <c r="X786" s="5" t="s">
        <v>79</v>
      </c>
      <c r="Y786" s="9">
        <v>7</v>
      </c>
      <c r="Z786" s="5" t="s">
        <v>79</v>
      </c>
      <c r="AA786" s="5" t="s">
        <v>110</v>
      </c>
      <c r="AB786" s="9">
        <v>33</v>
      </c>
      <c r="AC786" s="5" t="s">
        <v>82</v>
      </c>
      <c r="AD786" s="5" t="s">
        <v>82</v>
      </c>
      <c r="AE786" s="5" t="s">
        <v>79</v>
      </c>
      <c r="AF786" s="10">
        <v>220000</v>
      </c>
      <c r="AG786" s="7">
        <v>46203</v>
      </c>
      <c r="AH786" s="10"/>
      <c r="AI786" s="10"/>
      <c r="AJ786" s="11" t="str">
        <f t="shared" si="12"/>
        <v/>
      </c>
      <c r="AK786" s="12">
        <f>IF(B786="","",OR(K786="Not in use",K786="Low use")+AND(N786&lt;&gt;"",N786&lt;&gt;"TBD")+AND(ISNUMBER(U786),U786&lt;=EDATE('Scoring Settings'!$B$4,'Scoring Settings'!$B$8))+AND(ISNUMBER(L786),L786&lt;='Scoring Settings'!$B$7))</f>
        <v>0</v>
      </c>
      <c r="AL786" s="5" t="s">
        <v>83</v>
      </c>
      <c r="AM786" s="8" t="str">
        <f>IF(B786="","",IF(Z786="N","Easy",IF(OR(AND(ISNUMBER(AB786),AB786&gt;'Scoring Settings'!$B$11),AND(ISNUMBER(W786),W786&gt;'Scoring Settings'!$B$12),AND(ISNUMBER(M786),M786&lt;='Scoring Settings'!$B$13)),"High","Medium")))</f>
        <v>Easy</v>
      </c>
      <c r="AN786" s="5"/>
      <c r="AO786" s="7"/>
      <c r="AP786" s="5" t="s">
        <v>84</v>
      </c>
      <c r="AQ786" s="29" t="s">
        <v>247</v>
      </c>
    </row>
    <row r="787" spans="1:43" hidden="1">
      <c r="A787" s="28">
        <v>44168</v>
      </c>
      <c r="B787" s="5" t="s">
        <v>1375</v>
      </c>
      <c r="C787" s="5" t="s">
        <v>470</v>
      </c>
      <c r="D787" s="5" t="s">
        <v>297</v>
      </c>
      <c r="E787" s="5" t="s">
        <v>68</v>
      </c>
      <c r="F787" s="5" t="s">
        <v>288</v>
      </c>
      <c r="G787" s="5" t="s">
        <v>226</v>
      </c>
      <c r="H787" s="5" t="s">
        <v>105</v>
      </c>
      <c r="I787" s="6">
        <v>45</v>
      </c>
      <c r="J787" s="7">
        <v>44271</v>
      </c>
      <c r="K787" s="8" t="str">
        <f>IF(B787="","",IF(AND(I787="",J787=""),"Unknown",IF(OR(AND(ISNUMBER(I787),I787=0),AND(ISNUMBER(J787),J787&lt;=EDATE('Scoring Settings'!$B$4,-'Scoring Settings'!$B$5))),"Not in use",IF(AND(ISNUMBER(I787),I787&lt;'Scoring Settings'!$B$6),"Low use","Active"))))</f>
        <v>Active</v>
      </c>
      <c r="L787" s="5">
        <v>3</v>
      </c>
      <c r="M787" s="5">
        <v>2</v>
      </c>
      <c r="N787" s="5"/>
      <c r="O787" s="5" t="s">
        <v>130</v>
      </c>
      <c r="P787" s="5" t="s">
        <v>1376</v>
      </c>
      <c r="Q787" s="9">
        <v>4</v>
      </c>
      <c r="R787" s="5" t="s">
        <v>203</v>
      </c>
      <c r="S787" s="5" t="s">
        <v>204</v>
      </c>
      <c r="T787" s="5" t="s">
        <v>168</v>
      </c>
      <c r="U787" s="7">
        <v>47269</v>
      </c>
      <c r="V787" s="5" t="s">
        <v>135</v>
      </c>
      <c r="W787" s="6">
        <v>280</v>
      </c>
      <c r="X787" s="5" t="s">
        <v>80</v>
      </c>
      <c r="Y787" s="9">
        <v>5</v>
      </c>
      <c r="Z787" s="5" t="s">
        <v>80</v>
      </c>
      <c r="AA787" s="5" t="s">
        <v>147</v>
      </c>
      <c r="AB787" s="9">
        <v>28</v>
      </c>
      <c r="AC787" s="5" t="s">
        <v>82</v>
      </c>
      <c r="AD787" s="5" t="s">
        <v>82</v>
      </c>
      <c r="AE787" s="5" t="s">
        <v>79</v>
      </c>
      <c r="AF787" s="10">
        <v>65000</v>
      </c>
      <c r="AG787" s="7">
        <v>46568</v>
      </c>
      <c r="AH787" s="10"/>
      <c r="AI787" s="10"/>
      <c r="AJ787" s="11" t="str">
        <f t="shared" si="12"/>
        <v/>
      </c>
      <c r="AK787" s="12">
        <f>IF(B787="","",OR(K787="Not in use",K787="Low use")+AND(N787&lt;&gt;"",N787&lt;&gt;"TBD")+AND(ISNUMBER(U787),U787&lt;=EDATE('Scoring Settings'!$B$4,'Scoring Settings'!$B$8))+AND(ISNUMBER(L787),L787&lt;='Scoring Settings'!$B$7))</f>
        <v>0</v>
      </c>
      <c r="AL787" s="5" t="s">
        <v>83</v>
      </c>
      <c r="AM787" s="8" t="str">
        <f>IF(B787="","",IF(Z787="N","Easy",IF(OR(AND(ISNUMBER(AB787),AB787&gt;'Scoring Settings'!$B$11),AND(ISNUMBER(W787),W787&gt;'Scoring Settings'!$B$12),AND(ISNUMBER(M787),M787&lt;='Scoring Settings'!$B$13)),"High","Medium")))</f>
        <v>High</v>
      </c>
      <c r="AN787" s="5"/>
      <c r="AO787" s="7"/>
      <c r="AP787" s="5" t="s">
        <v>84</v>
      </c>
      <c r="AQ787" s="29" t="s">
        <v>206</v>
      </c>
    </row>
    <row r="788" spans="1:43" hidden="1">
      <c r="A788" s="28">
        <v>115217</v>
      </c>
      <c r="B788" s="5" t="s">
        <v>1377</v>
      </c>
      <c r="C788" s="5" t="s">
        <v>151</v>
      </c>
      <c r="D788" s="5" t="s">
        <v>102</v>
      </c>
      <c r="E788" s="5" t="s">
        <v>68</v>
      </c>
      <c r="F788" s="5" t="s">
        <v>243</v>
      </c>
      <c r="G788" s="5" t="s">
        <v>90</v>
      </c>
      <c r="H788" s="5" t="s">
        <v>142</v>
      </c>
      <c r="I788" s="6">
        <v>4244</v>
      </c>
      <c r="J788" s="7">
        <v>44304</v>
      </c>
      <c r="K788" s="8" t="str">
        <f>IF(B788="","",IF(AND(I788="",J788=""),"Unknown",IF(OR(AND(ISNUMBER(I788),I788=0),AND(ISNUMBER(J788),J788&lt;=EDATE('Scoring Settings'!$B$4,-'Scoring Settings'!$B$5))),"Not in use",IF(AND(ISNUMBER(I788),I788&lt;'Scoring Settings'!$B$6),"Low use","Active"))))</f>
        <v>Active</v>
      </c>
      <c r="L788" s="5">
        <v>4</v>
      </c>
      <c r="M788" s="5">
        <v>1</v>
      </c>
      <c r="N788" s="5" t="s">
        <v>72</v>
      </c>
      <c r="O788" s="5" t="s">
        <v>143</v>
      </c>
      <c r="P788" s="5" t="s">
        <v>144</v>
      </c>
      <c r="Q788" s="9">
        <v>0</v>
      </c>
      <c r="R788" s="5" t="s">
        <v>145</v>
      </c>
      <c r="S788" s="5" t="s">
        <v>145</v>
      </c>
      <c r="T788" s="5" t="s">
        <v>146</v>
      </c>
      <c r="U788" s="7"/>
      <c r="V788" s="5" t="s">
        <v>135</v>
      </c>
      <c r="W788" s="6">
        <v>750</v>
      </c>
      <c r="X788" s="5" t="s">
        <v>79</v>
      </c>
      <c r="Y788" s="9">
        <v>3</v>
      </c>
      <c r="Z788" s="5" t="s">
        <v>80</v>
      </c>
      <c r="AA788" s="5" t="s">
        <v>81</v>
      </c>
      <c r="AB788" s="9">
        <v>79</v>
      </c>
      <c r="AC788" s="5" t="s">
        <v>79</v>
      </c>
      <c r="AD788" s="5" t="s">
        <v>80</v>
      </c>
      <c r="AE788" s="5" t="s">
        <v>82</v>
      </c>
      <c r="AF788" s="10">
        <v>475000</v>
      </c>
      <c r="AG788" s="7">
        <v>46022</v>
      </c>
      <c r="AH788" s="10"/>
      <c r="AI788" s="10"/>
      <c r="AJ788" s="11" t="str">
        <f t="shared" si="12"/>
        <v/>
      </c>
      <c r="AK788" s="12">
        <f>IF(B788="","",OR(K788="Not in use",K788="Low use")+AND(N788&lt;&gt;"",N788&lt;&gt;"TBD")+AND(ISNUMBER(U788),U788&lt;=EDATE('Scoring Settings'!$B$4,'Scoring Settings'!$B$8))+AND(ISNUMBER(L788),L788&lt;='Scoring Settings'!$B$7))</f>
        <v>0</v>
      </c>
      <c r="AL788" s="5" t="s">
        <v>83</v>
      </c>
      <c r="AM788" s="8" t="str">
        <f>IF(B788="","",IF(Z788="N","Easy",IF(OR(AND(ISNUMBER(AB788),AB788&gt;'Scoring Settings'!$B$11),AND(ISNUMBER(W788),W788&gt;'Scoring Settings'!$B$12),AND(ISNUMBER(M788),M788&lt;='Scoring Settings'!$B$13)),"High","Medium")))</f>
        <v>High</v>
      </c>
      <c r="AN788" s="5"/>
      <c r="AO788" s="7"/>
      <c r="AP788" s="5" t="s">
        <v>84</v>
      </c>
      <c r="AQ788" s="29" t="s">
        <v>247</v>
      </c>
    </row>
    <row r="789" spans="1:43" hidden="1">
      <c r="A789" s="28">
        <v>137763</v>
      </c>
      <c r="B789" s="5" t="s">
        <v>1378</v>
      </c>
      <c r="C789" s="5" t="s">
        <v>262</v>
      </c>
      <c r="D789" s="5" t="s">
        <v>67</v>
      </c>
      <c r="E789" s="5" t="s">
        <v>298</v>
      </c>
      <c r="F789" s="5" t="s">
        <v>116</v>
      </c>
      <c r="G789" s="5" t="s">
        <v>153</v>
      </c>
      <c r="H789" s="5" t="s">
        <v>91</v>
      </c>
      <c r="I789" s="6">
        <v>109</v>
      </c>
      <c r="J789" s="7">
        <v>44282</v>
      </c>
      <c r="K789" s="8" t="str">
        <f>IF(B789="","",IF(AND(I789="",J789=""),"Unknown",IF(OR(AND(ISNUMBER(I789),I789=0),AND(ISNUMBER(J789),J789&lt;=EDATE('Scoring Settings'!$B$4,-'Scoring Settings'!$B$5))),"Not in use",IF(AND(ISNUMBER(I789),I789&lt;'Scoring Settings'!$B$6),"Low use","Active"))))</f>
        <v>Active</v>
      </c>
      <c r="L789" s="5">
        <v>5</v>
      </c>
      <c r="M789" s="5">
        <v>1</v>
      </c>
      <c r="N789" s="5"/>
      <c r="O789" s="5" t="s">
        <v>73</v>
      </c>
      <c r="P789" s="5" t="s">
        <v>1379</v>
      </c>
      <c r="Q789" s="9">
        <v>6</v>
      </c>
      <c r="R789" s="5" t="s">
        <v>335</v>
      </c>
      <c r="S789" s="5" t="s">
        <v>336</v>
      </c>
      <c r="T789" s="5" t="s">
        <v>72</v>
      </c>
      <c r="U789" s="7">
        <v>45473</v>
      </c>
      <c r="V789" s="5" t="s">
        <v>95</v>
      </c>
      <c r="W789" s="6">
        <v>250</v>
      </c>
      <c r="X789" s="5" t="s">
        <v>80</v>
      </c>
      <c r="Y789" s="9">
        <v>7</v>
      </c>
      <c r="Z789" s="5" t="s">
        <v>79</v>
      </c>
      <c r="AA789" s="5" t="s">
        <v>110</v>
      </c>
      <c r="AB789" s="9">
        <v>50</v>
      </c>
      <c r="AC789" s="5" t="s">
        <v>82</v>
      </c>
      <c r="AD789" s="5" t="s">
        <v>80</v>
      </c>
      <c r="AE789" s="5" t="s">
        <v>79</v>
      </c>
      <c r="AF789" s="10">
        <v>85000</v>
      </c>
      <c r="AG789" s="7">
        <v>46630</v>
      </c>
      <c r="AH789" s="10"/>
      <c r="AI789" s="10"/>
      <c r="AJ789" s="11" t="str">
        <f t="shared" si="12"/>
        <v/>
      </c>
      <c r="AK789" s="12">
        <f>IF(B789="","",OR(K789="Not in use",K789="Low use")+AND(N789&lt;&gt;"",N789&lt;&gt;"TBD")+AND(ISNUMBER(U789),U789&lt;=EDATE('Scoring Settings'!$B$4,'Scoring Settings'!$B$8))+AND(ISNUMBER(L789),L789&lt;='Scoring Settings'!$B$7))</f>
        <v>0</v>
      </c>
      <c r="AL789" s="5" t="s">
        <v>83</v>
      </c>
      <c r="AM789" s="8" t="str">
        <f>IF(B789="","",IF(Z789="N","Easy",IF(OR(AND(ISNUMBER(AB789),AB789&gt;'Scoring Settings'!$B$11),AND(ISNUMBER(W789),W789&gt;'Scoring Settings'!$B$12),AND(ISNUMBER(M789),M789&lt;='Scoring Settings'!$B$13)),"High","Medium")))</f>
        <v>Easy</v>
      </c>
      <c r="AN789" s="5"/>
      <c r="AO789" s="7"/>
      <c r="AP789" s="5" t="s">
        <v>84</v>
      </c>
      <c r="AQ789" s="29" t="s">
        <v>206</v>
      </c>
    </row>
    <row r="790" spans="1:43" hidden="1">
      <c r="A790" s="28">
        <v>152076</v>
      </c>
      <c r="B790" s="5" t="s">
        <v>1383</v>
      </c>
      <c r="C790" s="5" t="s">
        <v>338</v>
      </c>
      <c r="D790" s="5" t="s">
        <v>139</v>
      </c>
      <c r="E790" s="5" t="s">
        <v>68</v>
      </c>
      <c r="F790" s="5" t="s">
        <v>396</v>
      </c>
      <c r="G790" s="5" t="s">
        <v>141</v>
      </c>
      <c r="H790" s="5" t="s">
        <v>118</v>
      </c>
      <c r="I790" s="6">
        <v>21</v>
      </c>
      <c r="J790" s="7">
        <v>44269</v>
      </c>
      <c r="K790" s="8" t="str">
        <f>IF(B790="","",IF(AND(I790="",J790=""),"Unknown",IF(OR(AND(ISNUMBER(I790),I790=0),AND(ISNUMBER(J790),J790&lt;=EDATE('Scoring Settings'!$B$4,-'Scoring Settings'!$B$5))),"Not in use",IF(AND(ISNUMBER(I790),I790&lt;'Scoring Settings'!$B$6),"Low use","Active"))))</f>
        <v>Low use</v>
      </c>
      <c r="L790" s="5">
        <v>2</v>
      </c>
      <c r="M790" s="5">
        <v>3</v>
      </c>
      <c r="N790" s="5" t="s">
        <v>366</v>
      </c>
      <c r="O790" s="5" t="s">
        <v>73</v>
      </c>
      <c r="P790" s="5" t="s">
        <v>1384</v>
      </c>
      <c r="Q790" s="9">
        <v>3</v>
      </c>
      <c r="R790" s="5" t="s">
        <v>166</v>
      </c>
      <c r="S790" s="5" t="s">
        <v>564</v>
      </c>
      <c r="T790" s="5" t="s">
        <v>77</v>
      </c>
      <c r="U790" s="7">
        <v>44754</v>
      </c>
      <c r="V790" s="5" t="s">
        <v>78</v>
      </c>
      <c r="W790" s="6">
        <v>140</v>
      </c>
      <c r="X790" s="5" t="s">
        <v>79</v>
      </c>
      <c r="Y790" s="9">
        <v>3</v>
      </c>
      <c r="Z790" s="5" t="s">
        <v>79</v>
      </c>
      <c r="AA790" s="5" t="s">
        <v>110</v>
      </c>
      <c r="AB790" s="9">
        <v>8</v>
      </c>
      <c r="AC790" s="5" t="s">
        <v>80</v>
      </c>
      <c r="AD790" s="5" t="s">
        <v>80</v>
      </c>
      <c r="AE790" s="5" t="s">
        <v>80</v>
      </c>
      <c r="AF790" s="10">
        <v>60000</v>
      </c>
      <c r="AG790" s="7">
        <v>48852</v>
      </c>
      <c r="AH790" s="10"/>
      <c r="AI790" s="10"/>
      <c r="AJ790" s="11" t="str">
        <f t="shared" si="12"/>
        <v/>
      </c>
      <c r="AK790" s="12">
        <f>IF(B790="","",OR(K790="Not in use",K790="Low use")+AND(N790&lt;&gt;"",N790&lt;&gt;"TBD")+AND(ISNUMBER(U790),U790&lt;=EDATE('Scoring Settings'!$B$4,'Scoring Settings'!$B$8))+AND(ISNUMBER(L790),L790&lt;='Scoring Settings'!$B$7))</f>
        <v>3</v>
      </c>
      <c r="AL790" s="5" t="s">
        <v>111</v>
      </c>
      <c r="AM790" s="8" t="str">
        <f>IF(B790="","",IF(Z790="N","Easy",IF(OR(AND(ISNUMBER(AB790),AB790&gt;'Scoring Settings'!$B$11),AND(ISNUMBER(W790),W790&gt;'Scoring Settings'!$B$12),AND(ISNUMBER(M790),M790&lt;='Scoring Settings'!$B$13)),"High","Medium")))</f>
        <v>Easy</v>
      </c>
      <c r="AN790" s="5"/>
      <c r="AO790" s="7"/>
      <c r="AP790" s="5" t="s">
        <v>98</v>
      </c>
      <c r="AQ790" s="29" t="s">
        <v>112</v>
      </c>
    </row>
    <row r="791" spans="1:43" hidden="1">
      <c r="A791" s="28">
        <v>36960</v>
      </c>
      <c r="B791" s="5" t="s">
        <v>1385</v>
      </c>
      <c r="C791" s="5" t="s">
        <v>220</v>
      </c>
      <c r="D791" s="5" t="s">
        <v>139</v>
      </c>
      <c r="E791" s="5" t="s">
        <v>68</v>
      </c>
      <c r="F791" s="5" t="s">
        <v>346</v>
      </c>
      <c r="G791" s="5" t="s">
        <v>237</v>
      </c>
      <c r="H791" s="5" t="s">
        <v>71</v>
      </c>
      <c r="I791" s="6">
        <v>320</v>
      </c>
      <c r="J791" s="7">
        <v>44285</v>
      </c>
      <c r="K791" s="8" t="str">
        <f>IF(B791="","",IF(AND(I791="",J791=""),"Unknown",IF(OR(AND(ISNUMBER(I791),I791=0),AND(ISNUMBER(J791),J791&lt;=EDATE('Scoring Settings'!$B$4,-'Scoring Settings'!$B$5))),"Not in use",IF(AND(ISNUMBER(I791),I791&lt;'Scoring Settings'!$B$6),"Low use","Active"))))</f>
        <v>Active</v>
      </c>
      <c r="L791" s="5">
        <v>4</v>
      </c>
      <c r="M791" s="5">
        <v>1</v>
      </c>
      <c r="N791" s="5" t="s">
        <v>72</v>
      </c>
      <c r="O791" s="5" t="s">
        <v>73</v>
      </c>
      <c r="P791" s="5" t="s">
        <v>1386</v>
      </c>
      <c r="Q791" s="9">
        <v>7</v>
      </c>
      <c r="R791" s="5" t="s">
        <v>166</v>
      </c>
      <c r="S791" s="5" t="s">
        <v>167</v>
      </c>
      <c r="T791" s="5" t="s">
        <v>72</v>
      </c>
      <c r="U791" s="7">
        <v>45482</v>
      </c>
      <c r="V791" s="5" t="s">
        <v>135</v>
      </c>
      <c r="W791" s="6">
        <v>190</v>
      </c>
      <c r="X791" s="5" t="s">
        <v>79</v>
      </c>
      <c r="Y791" s="9">
        <v>5</v>
      </c>
      <c r="Z791" s="5" t="s">
        <v>79</v>
      </c>
      <c r="AA791" s="5" t="s">
        <v>110</v>
      </c>
      <c r="AB791" s="9">
        <v>84</v>
      </c>
      <c r="AC791" s="5" t="s">
        <v>79</v>
      </c>
      <c r="AD791" s="5" t="s">
        <v>82</v>
      </c>
      <c r="AE791" s="5" t="s">
        <v>82</v>
      </c>
      <c r="AF791" s="10">
        <v>345000</v>
      </c>
      <c r="AG791" s="7">
        <v>48457</v>
      </c>
      <c r="AH791" s="10"/>
      <c r="AI791" s="10"/>
      <c r="AJ791" s="11" t="str">
        <f t="shared" si="12"/>
        <v/>
      </c>
      <c r="AK791" s="12">
        <f>IF(B791="","",OR(K791="Not in use",K791="Low use")+AND(N791&lt;&gt;"",N791&lt;&gt;"TBD")+AND(ISNUMBER(U791),U791&lt;=EDATE('Scoring Settings'!$B$4,'Scoring Settings'!$B$8))+AND(ISNUMBER(L791),L791&lt;='Scoring Settings'!$B$7))</f>
        <v>0</v>
      </c>
      <c r="AL791" s="5" t="s">
        <v>83</v>
      </c>
      <c r="AM791" s="8" t="str">
        <f>IF(B791="","",IF(Z791="N","Easy",IF(OR(AND(ISNUMBER(AB791),AB791&gt;'Scoring Settings'!$B$11),AND(ISNUMBER(W791),W791&gt;'Scoring Settings'!$B$12),AND(ISNUMBER(M791),M791&lt;='Scoring Settings'!$B$13)),"High","Medium")))</f>
        <v>Easy</v>
      </c>
      <c r="AN791" s="5"/>
      <c r="AO791" s="7"/>
      <c r="AP791" s="5" t="s">
        <v>84</v>
      </c>
      <c r="AQ791" s="29" t="s">
        <v>247</v>
      </c>
    </row>
    <row r="792" spans="1:43" ht="42.75" hidden="1">
      <c r="A792" s="28">
        <v>178920</v>
      </c>
      <c r="B792" s="5" t="s">
        <v>1393</v>
      </c>
      <c r="C792" s="5" t="s">
        <v>259</v>
      </c>
      <c r="D792" s="5" t="s">
        <v>67</v>
      </c>
      <c r="E792" s="5" t="s">
        <v>68</v>
      </c>
      <c r="F792" s="5" t="s">
        <v>419</v>
      </c>
      <c r="G792" s="5" t="s">
        <v>267</v>
      </c>
      <c r="H792" s="5" t="s">
        <v>142</v>
      </c>
      <c r="I792" s="6">
        <v>422</v>
      </c>
      <c r="J792" s="7">
        <v>44312</v>
      </c>
      <c r="K792" s="8" t="str">
        <f>IF(B792="","",IF(AND(I792="",J792=""),"Unknown",IF(OR(AND(ISNUMBER(I792),I792=0),AND(ISNUMBER(J792),J792&lt;=EDATE('Scoring Settings'!$B$4,-'Scoring Settings'!$B$5))),"Not in use",IF(AND(ISNUMBER(I792),I792&lt;'Scoring Settings'!$B$6),"Low use","Active"))))</f>
        <v>Active</v>
      </c>
      <c r="L792" s="5">
        <v>4</v>
      </c>
      <c r="M792" s="5">
        <v>2</v>
      </c>
      <c r="N792" s="5"/>
      <c r="O792" s="5" t="s">
        <v>143</v>
      </c>
      <c r="P792" s="5" t="s">
        <v>144</v>
      </c>
      <c r="Q792" s="9">
        <v>0</v>
      </c>
      <c r="R792" s="5" t="s">
        <v>145</v>
      </c>
      <c r="S792" s="5" t="s">
        <v>145</v>
      </c>
      <c r="T792" s="5" t="s">
        <v>146</v>
      </c>
      <c r="U792" s="7"/>
      <c r="V792" s="5" t="s">
        <v>95</v>
      </c>
      <c r="W792" s="6">
        <v>290</v>
      </c>
      <c r="X792" s="5" t="s">
        <v>79</v>
      </c>
      <c r="Y792" s="9">
        <v>3</v>
      </c>
      <c r="Z792" s="5" t="s">
        <v>79</v>
      </c>
      <c r="AA792" s="5" t="s">
        <v>110</v>
      </c>
      <c r="AB792" s="9">
        <v>8</v>
      </c>
      <c r="AC792" s="5" t="s">
        <v>79</v>
      </c>
      <c r="AD792" s="5" t="s">
        <v>82</v>
      </c>
      <c r="AE792" s="5" t="s">
        <v>80</v>
      </c>
      <c r="AF792" s="10">
        <v>65000</v>
      </c>
      <c r="AG792" s="7">
        <v>48487</v>
      </c>
      <c r="AH792" s="10">
        <v>60500</v>
      </c>
      <c r="AI792" s="10">
        <v>25000</v>
      </c>
      <c r="AJ792" s="11">
        <f t="shared" si="12"/>
        <v>29.04</v>
      </c>
      <c r="AK792" s="12">
        <f>IF(B792="","",OR(K792="Not in use",K792="Low use")+AND(N792&lt;&gt;"",N792&lt;&gt;"TBD")+AND(ISNUMBER(U792),U792&lt;=EDATE('Scoring Settings'!$B$4,'Scoring Settings'!$B$8))+AND(ISNUMBER(L792),L792&lt;='Scoring Settings'!$B$7))</f>
        <v>0</v>
      </c>
      <c r="AL792" s="5" t="s">
        <v>111</v>
      </c>
      <c r="AM792" s="8" t="str">
        <f>IF(B792="","",IF(Z792="N","Easy",IF(OR(AND(ISNUMBER(AB792),AB792&gt;'Scoring Settings'!$B$11),AND(ISNUMBER(W792),W792&gt;'Scoring Settings'!$B$12),AND(ISNUMBER(M792),M792&lt;='Scoring Settings'!$B$13)),"High","Medium")))</f>
        <v>Easy</v>
      </c>
      <c r="AN792" s="5"/>
      <c r="AO792" s="7"/>
      <c r="AP792" s="5" t="s">
        <v>98</v>
      </c>
      <c r="AQ792" s="29" t="s">
        <v>368</v>
      </c>
    </row>
    <row r="793" spans="1:43" hidden="1">
      <c r="A793" s="28">
        <v>184271</v>
      </c>
      <c r="B793" s="5" t="s">
        <v>1399</v>
      </c>
      <c r="C793" s="5" t="s">
        <v>126</v>
      </c>
      <c r="D793" s="5" t="s">
        <v>88</v>
      </c>
      <c r="E793" s="5" t="s">
        <v>298</v>
      </c>
      <c r="F793" s="5" t="s">
        <v>173</v>
      </c>
      <c r="G793" s="5" t="s">
        <v>179</v>
      </c>
      <c r="H793" s="5" t="s">
        <v>142</v>
      </c>
      <c r="I793" s="6">
        <v>107</v>
      </c>
      <c r="J793" s="7">
        <v>44273</v>
      </c>
      <c r="K793" s="8" t="str">
        <f>IF(B793="","",IF(AND(I793="",J793=""),"Unknown",IF(OR(AND(ISNUMBER(I793),I793=0),AND(ISNUMBER(J793),J793&lt;=EDATE('Scoring Settings'!$B$4,-'Scoring Settings'!$B$5))),"Not in use",IF(AND(ISNUMBER(I793),I793&lt;'Scoring Settings'!$B$6),"Low use","Active"))))</f>
        <v>Active</v>
      </c>
      <c r="L793" s="5">
        <v>4</v>
      </c>
      <c r="M793" s="5">
        <v>1</v>
      </c>
      <c r="N793" s="5"/>
      <c r="O793" s="5" t="s">
        <v>143</v>
      </c>
      <c r="P793" s="5" t="s">
        <v>144</v>
      </c>
      <c r="Q793" s="9">
        <v>0</v>
      </c>
      <c r="R793" s="5" t="s">
        <v>145</v>
      </c>
      <c r="S793" s="5" t="s">
        <v>145</v>
      </c>
      <c r="T793" s="5" t="s">
        <v>146</v>
      </c>
      <c r="U793" s="7"/>
      <c r="V793" s="5" t="s">
        <v>78</v>
      </c>
      <c r="W793" s="6">
        <v>1410</v>
      </c>
      <c r="X793" s="5" t="s">
        <v>79</v>
      </c>
      <c r="Y793" s="9">
        <v>3</v>
      </c>
      <c r="Z793" s="5" t="s">
        <v>80</v>
      </c>
      <c r="AA793" s="5" t="s">
        <v>185</v>
      </c>
      <c r="AB793" s="9">
        <v>51</v>
      </c>
      <c r="AC793" s="5" t="s">
        <v>80</v>
      </c>
      <c r="AD793" s="5" t="s">
        <v>82</v>
      </c>
      <c r="AE793" s="5" t="s">
        <v>79</v>
      </c>
      <c r="AF793" s="10">
        <v>120000</v>
      </c>
      <c r="AG793" s="7">
        <v>47361</v>
      </c>
      <c r="AH793" s="10"/>
      <c r="AI793" s="10"/>
      <c r="AJ793" s="11" t="str">
        <f t="shared" si="12"/>
        <v/>
      </c>
      <c r="AK793" s="12">
        <f>IF(B793="","",OR(K793="Not in use",K793="Low use")+AND(N793&lt;&gt;"",N793&lt;&gt;"TBD")+AND(ISNUMBER(U793),U793&lt;=EDATE('Scoring Settings'!$B$4,'Scoring Settings'!$B$8))+AND(ISNUMBER(L793),L793&lt;='Scoring Settings'!$B$7))</f>
        <v>0</v>
      </c>
      <c r="AL793" s="5" t="s">
        <v>83</v>
      </c>
      <c r="AM793" s="8" t="str">
        <f>IF(B793="","",IF(Z793="N","Easy",IF(OR(AND(ISNUMBER(AB793),AB793&gt;'Scoring Settings'!$B$11),AND(ISNUMBER(W793),W793&gt;'Scoring Settings'!$B$12),AND(ISNUMBER(M793),M793&lt;='Scoring Settings'!$B$13)),"High","Medium")))</f>
        <v>High</v>
      </c>
      <c r="AN793" s="5"/>
      <c r="AO793" s="7"/>
      <c r="AP793" s="5" t="s">
        <v>84</v>
      </c>
      <c r="AQ793" s="29" t="s">
        <v>273</v>
      </c>
    </row>
    <row r="794" spans="1:43" hidden="1">
      <c r="A794" s="28">
        <v>94076</v>
      </c>
      <c r="B794" s="5" t="s">
        <v>1402</v>
      </c>
      <c r="C794" s="5" t="s">
        <v>325</v>
      </c>
      <c r="D794" s="5" t="s">
        <v>139</v>
      </c>
      <c r="E794" s="5" t="s">
        <v>68</v>
      </c>
      <c r="F794" s="5" t="s">
        <v>163</v>
      </c>
      <c r="G794" s="5" t="s">
        <v>70</v>
      </c>
      <c r="H794" s="5" t="s">
        <v>71</v>
      </c>
      <c r="I794" s="6">
        <v>25</v>
      </c>
      <c r="J794" s="7">
        <v>44283</v>
      </c>
      <c r="K794" s="8" t="str">
        <f>IF(B794="","",IF(AND(I794="",J794=""),"Unknown",IF(OR(AND(ISNUMBER(I794),I794=0),AND(ISNUMBER(J794),J794&lt;=EDATE('Scoring Settings'!$B$4,-'Scoring Settings'!$B$5))),"Not in use",IF(AND(ISNUMBER(I794),I794&lt;'Scoring Settings'!$B$6),"Low use","Active"))))</f>
        <v>Active</v>
      </c>
      <c r="L794" s="5">
        <v>5</v>
      </c>
      <c r="M794" s="5">
        <v>2</v>
      </c>
      <c r="N794" s="5"/>
      <c r="O794" s="5" t="s">
        <v>73</v>
      </c>
      <c r="P794" s="5" t="s">
        <v>1403</v>
      </c>
      <c r="Q794" s="9">
        <v>2</v>
      </c>
      <c r="R794" s="5" t="s">
        <v>75</v>
      </c>
      <c r="S794" s="5" t="s">
        <v>72</v>
      </c>
      <c r="T794" s="5" t="s">
        <v>72</v>
      </c>
      <c r="U794" s="7" t="s">
        <v>72</v>
      </c>
      <c r="V794" s="5" t="s">
        <v>135</v>
      </c>
      <c r="W794" s="6">
        <v>590</v>
      </c>
      <c r="X794" s="5" t="s">
        <v>79</v>
      </c>
      <c r="Y794" s="9">
        <v>3</v>
      </c>
      <c r="Z794" s="5" t="s">
        <v>79</v>
      </c>
      <c r="AA794" s="5" t="s">
        <v>110</v>
      </c>
      <c r="AB794" s="9">
        <v>20</v>
      </c>
      <c r="AC794" s="5" t="s">
        <v>82</v>
      </c>
      <c r="AD794" s="5" t="s">
        <v>82</v>
      </c>
      <c r="AE794" s="5" t="s">
        <v>82</v>
      </c>
      <c r="AF794" s="10">
        <v>75000</v>
      </c>
      <c r="AG794" s="7">
        <v>46752</v>
      </c>
      <c r="AH794" s="10"/>
      <c r="AI794" s="10"/>
      <c r="AJ794" s="11" t="str">
        <f t="shared" si="12"/>
        <v/>
      </c>
      <c r="AK794" s="12">
        <f>IF(B794="","",OR(K794="Not in use",K794="Low use")+AND(N794&lt;&gt;"",N794&lt;&gt;"TBD")+AND(ISNUMBER(U794),U794&lt;=EDATE('Scoring Settings'!$B$4,'Scoring Settings'!$B$8))+AND(ISNUMBER(L794),L794&lt;='Scoring Settings'!$B$7))</f>
        <v>0</v>
      </c>
      <c r="AL794" s="5" t="s">
        <v>83</v>
      </c>
      <c r="AM794" s="8" t="str">
        <f>IF(B794="","",IF(Z794="N","Easy",IF(OR(AND(ISNUMBER(AB794),AB794&gt;'Scoring Settings'!$B$11),AND(ISNUMBER(W794),W794&gt;'Scoring Settings'!$B$12),AND(ISNUMBER(M794),M794&lt;='Scoring Settings'!$B$13)),"High","Medium")))</f>
        <v>Easy</v>
      </c>
      <c r="AN794" s="5"/>
      <c r="AO794" s="7"/>
      <c r="AP794" s="5" t="s">
        <v>84</v>
      </c>
      <c r="AQ794" s="29" t="s">
        <v>314</v>
      </c>
    </row>
    <row r="795" spans="1:43" hidden="1">
      <c r="A795" s="28">
        <v>49431</v>
      </c>
      <c r="B795" s="5" t="s">
        <v>1406</v>
      </c>
      <c r="C795" s="5" t="s">
        <v>599</v>
      </c>
      <c r="D795" s="5" t="s">
        <v>67</v>
      </c>
      <c r="E795" s="5" t="s">
        <v>68</v>
      </c>
      <c r="F795" s="5" t="s">
        <v>346</v>
      </c>
      <c r="G795" s="5" t="s">
        <v>179</v>
      </c>
      <c r="H795" s="5" t="s">
        <v>142</v>
      </c>
      <c r="I795" s="6">
        <v>33</v>
      </c>
      <c r="J795" s="7">
        <v>44297</v>
      </c>
      <c r="K795" s="8" t="str">
        <f>IF(B795="","",IF(AND(I795="",J795=""),"Unknown",IF(OR(AND(ISNUMBER(I795),I795=0),AND(ISNUMBER(J795),J795&lt;=EDATE('Scoring Settings'!$B$4,-'Scoring Settings'!$B$5))),"Not in use",IF(AND(ISNUMBER(I795),I795&lt;'Scoring Settings'!$B$6),"Low use","Active"))))</f>
        <v>Active</v>
      </c>
      <c r="L795" s="5">
        <v>4</v>
      </c>
      <c r="M795" s="5">
        <v>2</v>
      </c>
      <c r="N795" s="5"/>
      <c r="O795" s="5" t="s">
        <v>143</v>
      </c>
      <c r="P795" s="5" t="s">
        <v>144</v>
      </c>
      <c r="Q795" s="9">
        <v>0</v>
      </c>
      <c r="R795" s="5" t="s">
        <v>145</v>
      </c>
      <c r="S795" s="5" t="s">
        <v>145</v>
      </c>
      <c r="T795" s="5" t="s">
        <v>146</v>
      </c>
      <c r="U795" s="7"/>
      <c r="V795" s="5" t="s">
        <v>135</v>
      </c>
      <c r="W795" s="6">
        <v>49</v>
      </c>
      <c r="X795" s="5" t="s">
        <v>80</v>
      </c>
      <c r="Y795" s="9">
        <v>7</v>
      </c>
      <c r="Z795" s="5" t="s">
        <v>79</v>
      </c>
      <c r="AA795" s="5" t="s">
        <v>110</v>
      </c>
      <c r="AB795" s="9">
        <v>16</v>
      </c>
      <c r="AC795" s="5" t="s">
        <v>82</v>
      </c>
      <c r="AD795" s="5" t="s">
        <v>80</v>
      </c>
      <c r="AE795" s="5" t="s">
        <v>82</v>
      </c>
      <c r="AF795" s="10">
        <v>130000</v>
      </c>
      <c r="AG795" s="7">
        <v>48760</v>
      </c>
      <c r="AH795" s="10"/>
      <c r="AI795" s="10"/>
      <c r="AJ795" s="11" t="str">
        <f t="shared" si="12"/>
        <v/>
      </c>
      <c r="AK795" s="12">
        <f>IF(B795="","",OR(K795="Not in use",K795="Low use")+AND(N795&lt;&gt;"",N795&lt;&gt;"TBD")+AND(ISNUMBER(U795),U795&lt;=EDATE('Scoring Settings'!$B$4,'Scoring Settings'!$B$8))+AND(ISNUMBER(L795),L795&lt;='Scoring Settings'!$B$7))</f>
        <v>0</v>
      </c>
      <c r="AL795" s="5" t="s">
        <v>83</v>
      </c>
      <c r="AM795" s="8" t="str">
        <f>IF(B795="","",IF(Z795="N","Easy",IF(OR(AND(ISNUMBER(AB795),AB795&gt;'Scoring Settings'!$B$11),AND(ISNUMBER(W795),W795&gt;'Scoring Settings'!$B$12),AND(ISNUMBER(M795),M795&lt;='Scoring Settings'!$B$13)),"High","Medium")))</f>
        <v>Easy</v>
      </c>
      <c r="AN795" s="5"/>
      <c r="AO795" s="7"/>
      <c r="AP795" s="5" t="s">
        <v>84</v>
      </c>
      <c r="AQ795" s="29" t="s">
        <v>273</v>
      </c>
    </row>
    <row r="796" spans="1:43" hidden="1">
      <c r="A796" s="28">
        <v>182491</v>
      </c>
      <c r="B796" s="5" t="s">
        <v>1407</v>
      </c>
      <c r="C796" s="5" t="s">
        <v>172</v>
      </c>
      <c r="D796" s="5" t="s">
        <v>162</v>
      </c>
      <c r="E796" s="5" t="s">
        <v>68</v>
      </c>
      <c r="F796" s="5" t="s">
        <v>152</v>
      </c>
      <c r="G796" s="5" t="s">
        <v>284</v>
      </c>
      <c r="H796" s="5" t="s">
        <v>118</v>
      </c>
      <c r="I796" s="6">
        <v>34</v>
      </c>
      <c r="J796" s="7">
        <v>44315</v>
      </c>
      <c r="K796" s="8" t="str">
        <f>IF(B796="","",IF(AND(I796="",J796=""),"Unknown",IF(OR(AND(ISNUMBER(I796),I796=0),AND(ISNUMBER(J796),J796&lt;=EDATE('Scoring Settings'!$B$4,-'Scoring Settings'!$B$5))),"Not in use",IF(AND(ISNUMBER(I796),I796&lt;'Scoring Settings'!$B$6),"Low use","Active"))))</f>
        <v>Active</v>
      </c>
      <c r="L796" s="5">
        <v>5</v>
      </c>
      <c r="M796" s="5">
        <v>2</v>
      </c>
      <c r="N796" s="5"/>
      <c r="O796" s="5" t="s">
        <v>73</v>
      </c>
      <c r="P796" s="5" t="s">
        <v>1408</v>
      </c>
      <c r="Q796" s="9">
        <v>1</v>
      </c>
      <c r="R796" s="5" t="s">
        <v>107</v>
      </c>
      <c r="S796" s="5" t="s">
        <v>108</v>
      </c>
      <c r="T796" s="5" t="s">
        <v>109</v>
      </c>
      <c r="U796" s="7">
        <v>43655</v>
      </c>
      <c r="V796" s="5" t="s">
        <v>95</v>
      </c>
      <c r="W796" s="6">
        <v>18</v>
      </c>
      <c r="X796" s="5" t="s">
        <v>79</v>
      </c>
      <c r="Y796" s="9">
        <v>5</v>
      </c>
      <c r="Z796" s="5" t="s">
        <v>79</v>
      </c>
      <c r="AA796" s="5" t="s">
        <v>110</v>
      </c>
      <c r="AB796" s="9">
        <v>23</v>
      </c>
      <c r="AC796" s="5" t="s">
        <v>82</v>
      </c>
      <c r="AD796" s="5" t="s">
        <v>80</v>
      </c>
      <c r="AE796" s="5" t="s">
        <v>79</v>
      </c>
      <c r="AF796" s="10">
        <v>33500</v>
      </c>
      <c r="AG796" s="7">
        <v>49217</v>
      </c>
      <c r="AH796" s="10"/>
      <c r="AI796" s="10"/>
      <c r="AJ796" s="11" t="str">
        <f t="shared" si="12"/>
        <v/>
      </c>
      <c r="AK796" s="12">
        <f>IF(B796="","",OR(K796="Not in use",K796="Low use")+AND(N796&lt;&gt;"",N796&lt;&gt;"TBD")+AND(ISNUMBER(U796),U796&lt;=EDATE('Scoring Settings'!$B$4,'Scoring Settings'!$B$8))+AND(ISNUMBER(L796),L796&lt;='Scoring Settings'!$B$7))</f>
        <v>1</v>
      </c>
      <c r="AL796" s="5" t="s">
        <v>83</v>
      </c>
      <c r="AM796" s="8" t="str">
        <f>IF(B796="","",IF(Z796="N","Easy",IF(OR(AND(ISNUMBER(AB796),AB796&gt;'Scoring Settings'!$B$11),AND(ISNUMBER(W796),W796&gt;'Scoring Settings'!$B$12),AND(ISNUMBER(M796),M796&lt;='Scoring Settings'!$B$13)),"High","Medium")))</f>
        <v>Easy</v>
      </c>
      <c r="AN796" s="5"/>
      <c r="AO796" s="7"/>
      <c r="AP796" s="5" t="s">
        <v>84</v>
      </c>
      <c r="AQ796" s="29" t="s">
        <v>85</v>
      </c>
    </row>
    <row r="797" spans="1:43" hidden="1">
      <c r="A797" s="28">
        <v>31704</v>
      </c>
      <c r="B797" s="5" t="s">
        <v>1409</v>
      </c>
      <c r="C797" s="5" t="s">
        <v>296</v>
      </c>
      <c r="D797" s="5" t="s">
        <v>297</v>
      </c>
      <c r="E797" s="5" t="s">
        <v>68</v>
      </c>
      <c r="F797" s="5" t="s">
        <v>188</v>
      </c>
      <c r="G797" s="5" t="s">
        <v>141</v>
      </c>
      <c r="H797" s="5" t="s">
        <v>91</v>
      </c>
      <c r="I797" s="6">
        <v>82</v>
      </c>
      <c r="J797" s="7">
        <v>44275</v>
      </c>
      <c r="K797" s="8" t="str">
        <f>IF(B797="","",IF(AND(I797="",J797=""),"Unknown",IF(OR(AND(ISNUMBER(I797),I797=0),AND(ISNUMBER(J797),J797&lt;=EDATE('Scoring Settings'!$B$4,-'Scoring Settings'!$B$5))),"Not in use",IF(AND(ISNUMBER(I797),I797&lt;'Scoring Settings'!$B$6),"Low use","Active"))))</f>
        <v>Active</v>
      </c>
      <c r="L797" s="5">
        <v>5</v>
      </c>
      <c r="M797" s="5">
        <v>2</v>
      </c>
      <c r="N797" s="5" t="s">
        <v>575</v>
      </c>
      <c r="O797" s="5" t="s">
        <v>73</v>
      </c>
      <c r="P797" s="5" t="s">
        <v>1410</v>
      </c>
      <c r="Q797" s="9">
        <v>3</v>
      </c>
      <c r="R797" s="5" t="s">
        <v>358</v>
      </c>
      <c r="S797" s="5" t="s">
        <v>133</v>
      </c>
      <c r="T797" s="5" t="s">
        <v>109</v>
      </c>
      <c r="U797" s="7">
        <v>43555</v>
      </c>
      <c r="V797" s="5" t="s">
        <v>135</v>
      </c>
      <c r="W797" s="6">
        <v>9</v>
      </c>
      <c r="X797" s="5" t="s">
        <v>80</v>
      </c>
      <c r="Y797" s="9">
        <v>10</v>
      </c>
      <c r="Z797" s="5" t="s">
        <v>79</v>
      </c>
      <c r="AA797" s="5" t="s">
        <v>110</v>
      </c>
      <c r="AB797" s="9">
        <v>8</v>
      </c>
      <c r="AC797" s="5" t="s">
        <v>80</v>
      </c>
      <c r="AD797" s="5" t="s">
        <v>80</v>
      </c>
      <c r="AE797" s="5" t="s">
        <v>82</v>
      </c>
      <c r="AF797" s="10">
        <v>85000</v>
      </c>
      <c r="AG797" s="7">
        <v>46752</v>
      </c>
      <c r="AH797" s="10"/>
      <c r="AI797" s="10"/>
      <c r="AJ797" s="11" t="str">
        <f t="shared" si="12"/>
        <v/>
      </c>
      <c r="AK797" s="12">
        <f>IF(B797="","",OR(K797="Not in use",K797="Low use")+AND(N797&lt;&gt;"",N797&lt;&gt;"TBD")+AND(ISNUMBER(U797),U797&lt;=EDATE('Scoring Settings'!$B$4,'Scoring Settings'!$B$8))+AND(ISNUMBER(L797),L797&lt;='Scoring Settings'!$B$7))</f>
        <v>2</v>
      </c>
      <c r="AL797" s="5" t="s">
        <v>111</v>
      </c>
      <c r="AM797" s="8" t="str">
        <f>IF(B797="","",IF(Z797="N","Easy",IF(OR(AND(ISNUMBER(AB797),AB797&gt;'Scoring Settings'!$B$11),AND(ISNUMBER(W797),W797&gt;'Scoring Settings'!$B$12),AND(ISNUMBER(M797),M797&lt;='Scoring Settings'!$B$13)),"High","Medium")))</f>
        <v>Easy</v>
      </c>
      <c r="AN797" s="5"/>
      <c r="AO797" s="7"/>
      <c r="AP797" s="5" t="s">
        <v>98</v>
      </c>
      <c r="AQ797" s="29" t="s">
        <v>112</v>
      </c>
    </row>
    <row r="798" spans="1:43" hidden="1">
      <c r="A798" s="28">
        <v>67733</v>
      </c>
      <c r="B798" s="5" t="s">
        <v>1416</v>
      </c>
      <c r="C798" s="5" t="s">
        <v>390</v>
      </c>
      <c r="D798" s="5" t="s">
        <v>88</v>
      </c>
      <c r="E798" s="5" t="s">
        <v>68</v>
      </c>
      <c r="F798" s="5" t="s">
        <v>476</v>
      </c>
      <c r="G798" s="5" t="s">
        <v>90</v>
      </c>
      <c r="H798" s="5" t="s">
        <v>142</v>
      </c>
      <c r="I798" s="6">
        <v>171</v>
      </c>
      <c r="J798" s="7">
        <v>44284</v>
      </c>
      <c r="K798" s="8" t="str">
        <f>IF(B798="","",IF(AND(I798="",J798=""),"Unknown",IF(OR(AND(ISNUMBER(I798),I798=0),AND(ISNUMBER(J798),J798&lt;=EDATE('Scoring Settings'!$B$4,-'Scoring Settings'!$B$5))),"Not in use",IF(AND(ISNUMBER(I798),I798&lt;'Scoring Settings'!$B$6),"Low use","Active"))))</f>
        <v>Active</v>
      </c>
      <c r="L798" s="5">
        <v>3</v>
      </c>
      <c r="M798" s="5">
        <v>3</v>
      </c>
      <c r="N798" s="5"/>
      <c r="O798" s="5" t="s">
        <v>143</v>
      </c>
      <c r="P798" s="5" t="s">
        <v>144</v>
      </c>
      <c r="Q798" s="9">
        <v>0</v>
      </c>
      <c r="R798" s="5" t="s">
        <v>145</v>
      </c>
      <c r="S798" s="5" t="s">
        <v>145</v>
      </c>
      <c r="T798" s="5" t="s">
        <v>146</v>
      </c>
      <c r="U798" s="7">
        <v>45716</v>
      </c>
      <c r="V798" s="5" t="s">
        <v>135</v>
      </c>
      <c r="W798" s="6">
        <v>5980</v>
      </c>
      <c r="X798" s="5" t="s">
        <v>79</v>
      </c>
      <c r="Y798" s="9">
        <v>7</v>
      </c>
      <c r="Z798" s="5" t="s">
        <v>80</v>
      </c>
      <c r="AA798" s="5" t="s">
        <v>81</v>
      </c>
      <c r="AB798" s="9">
        <v>8</v>
      </c>
      <c r="AC798" s="5" t="s">
        <v>80</v>
      </c>
      <c r="AD798" s="5" t="s">
        <v>79</v>
      </c>
      <c r="AE798" s="5" t="s">
        <v>79</v>
      </c>
      <c r="AF798" s="10">
        <v>70000</v>
      </c>
      <c r="AG798" s="7">
        <v>48334</v>
      </c>
      <c r="AH798" s="10"/>
      <c r="AI798" s="10"/>
      <c r="AJ798" s="11" t="str">
        <f t="shared" si="12"/>
        <v/>
      </c>
      <c r="AK798" s="12">
        <f>IF(B798="","",OR(K798="Not in use",K798="Low use")+AND(N798&lt;&gt;"",N798&lt;&gt;"TBD")+AND(ISNUMBER(U798),U798&lt;=EDATE('Scoring Settings'!$B$4,'Scoring Settings'!$B$8))+AND(ISNUMBER(L798),L798&lt;='Scoring Settings'!$B$7))</f>
        <v>0</v>
      </c>
      <c r="AL798" s="5" t="s">
        <v>111</v>
      </c>
      <c r="AM798" s="8" t="str">
        <f>IF(B798="","",IF(Z798="N","Easy",IF(OR(AND(ISNUMBER(AB798),AB798&gt;'Scoring Settings'!$B$11),AND(ISNUMBER(W798),W798&gt;'Scoring Settings'!$B$12),AND(ISNUMBER(M798),M798&lt;='Scoring Settings'!$B$13)),"High","Medium")))</f>
        <v>High</v>
      </c>
      <c r="AN798" s="5"/>
      <c r="AO798" s="7"/>
      <c r="AP798" s="5" t="s">
        <v>98</v>
      </c>
      <c r="AQ798" s="29" t="s">
        <v>124</v>
      </c>
    </row>
    <row r="799" spans="1:43" hidden="1">
      <c r="A799" s="28">
        <v>48987</v>
      </c>
      <c r="B799" s="5" t="s">
        <v>1419</v>
      </c>
      <c r="C799" s="5" t="s">
        <v>87</v>
      </c>
      <c r="D799" s="5" t="s">
        <v>88</v>
      </c>
      <c r="E799" s="5" t="s">
        <v>311</v>
      </c>
      <c r="F799" s="5" t="s">
        <v>89</v>
      </c>
      <c r="G799" s="5" t="s">
        <v>404</v>
      </c>
      <c r="H799" s="5" t="s">
        <v>174</v>
      </c>
      <c r="I799" s="6">
        <v>325</v>
      </c>
      <c r="J799" s="7">
        <v>44298</v>
      </c>
      <c r="K799" s="8" t="str">
        <f>IF(B799="","",IF(AND(I799="",J799=""),"Unknown",IF(OR(AND(ISNUMBER(I799),I799=0),AND(ISNUMBER(J799),J799&lt;=EDATE('Scoring Settings'!$B$4,-'Scoring Settings'!$B$5))),"Not in use",IF(AND(ISNUMBER(I799),I799&lt;'Scoring Settings'!$B$6),"Low use","Active"))))</f>
        <v>Active</v>
      </c>
      <c r="L799" s="5">
        <v>3</v>
      </c>
      <c r="M799" s="5">
        <v>2</v>
      </c>
      <c r="N799" s="5" t="s">
        <v>433</v>
      </c>
      <c r="O799" s="5" t="s">
        <v>73</v>
      </c>
      <c r="P799" s="5" t="s">
        <v>1420</v>
      </c>
      <c r="Q799" s="9">
        <v>2</v>
      </c>
      <c r="R799" s="5" t="s">
        <v>182</v>
      </c>
      <c r="S799" s="5" t="s">
        <v>183</v>
      </c>
      <c r="T799" s="5" t="s">
        <v>109</v>
      </c>
      <c r="U799" s="7">
        <v>42855</v>
      </c>
      <c r="V799" s="5" t="s">
        <v>135</v>
      </c>
      <c r="W799" s="6">
        <v>1980</v>
      </c>
      <c r="X799" s="5" t="s">
        <v>80</v>
      </c>
      <c r="Y799" s="9">
        <v>5</v>
      </c>
      <c r="Z799" s="5" t="s">
        <v>79</v>
      </c>
      <c r="AA799" s="5" t="s">
        <v>110</v>
      </c>
      <c r="AB799" s="9">
        <v>6</v>
      </c>
      <c r="AC799" s="5" t="s">
        <v>80</v>
      </c>
      <c r="AD799" s="5" t="s">
        <v>79</v>
      </c>
      <c r="AE799" s="5" t="s">
        <v>82</v>
      </c>
      <c r="AF799" s="10">
        <v>23500</v>
      </c>
      <c r="AG799" s="7">
        <v>49187</v>
      </c>
      <c r="AH799" s="10">
        <v>15000</v>
      </c>
      <c r="AI799" s="10">
        <v>19000</v>
      </c>
      <c r="AJ799" s="11">
        <f t="shared" si="12"/>
        <v>9.473684210526315</v>
      </c>
      <c r="AK799" s="12">
        <f>IF(B799="","",OR(K799="Not in use",K799="Low use")+AND(N799&lt;&gt;"",N799&lt;&gt;"TBD")+AND(ISNUMBER(U799),U799&lt;=EDATE('Scoring Settings'!$B$4,'Scoring Settings'!$B$8))+AND(ISNUMBER(L799),L799&lt;='Scoring Settings'!$B$7))</f>
        <v>2</v>
      </c>
      <c r="AL799" s="5" t="s">
        <v>111</v>
      </c>
      <c r="AM799" s="8" t="str">
        <f>IF(B799="","",IF(Z799="N","Easy",IF(OR(AND(ISNUMBER(AB799),AB799&gt;'Scoring Settings'!$B$11),AND(ISNUMBER(W799),W799&gt;'Scoring Settings'!$B$12),AND(ISNUMBER(M799),M799&lt;='Scoring Settings'!$B$13)),"High","Medium")))</f>
        <v>Easy</v>
      </c>
      <c r="AN799" s="5"/>
      <c r="AO799" s="7"/>
      <c r="AP799" s="5" t="s">
        <v>98</v>
      </c>
      <c r="AQ799" s="29" t="s">
        <v>218</v>
      </c>
    </row>
    <row r="800" spans="1:43" hidden="1">
      <c r="A800" s="28">
        <v>108984</v>
      </c>
      <c r="B800" s="5" t="s">
        <v>1423</v>
      </c>
      <c r="C800" s="5" t="s">
        <v>483</v>
      </c>
      <c r="D800" s="5" t="s">
        <v>88</v>
      </c>
      <c r="E800" s="5" t="s">
        <v>68</v>
      </c>
      <c r="F800" s="5" t="s">
        <v>178</v>
      </c>
      <c r="G800" s="5" t="s">
        <v>404</v>
      </c>
      <c r="H800" s="5" t="s">
        <v>91</v>
      </c>
      <c r="I800" s="6">
        <v>14</v>
      </c>
      <c r="J800" s="7">
        <v>44296</v>
      </c>
      <c r="K800" s="8" t="str">
        <f>IF(B800="","",IF(AND(I800="",J800=""),"Unknown",IF(OR(AND(ISNUMBER(I800),I800=0),AND(ISNUMBER(J800),J800&lt;=EDATE('Scoring Settings'!$B$4,-'Scoring Settings'!$B$5))),"Not in use",IF(AND(ISNUMBER(I800),I800&lt;'Scoring Settings'!$B$6),"Low use","Active"))))</f>
        <v>Low use</v>
      </c>
      <c r="L800" s="5">
        <v>3</v>
      </c>
      <c r="M800" s="5">
        <v>4</v>
      </c>
      <c r="N800" s="5"/>
      <c r="O800" s="5" t="s">
        <v>73</v>
      </c>
      <c r="P800" s="5" t="s">
        <v>718</v>
      </c>
      <c r="Q800" s="9">
        <v>1</v>
      </c>
      <c r="R800" s="5" t="s">
        <v>182</v>
      </c>
      <c r="S800" s="5" t="s">
        <v>183</v>
      </c>
      <c r="T800" s="5" t="s">
        <v>122</v>
      </c>
      <c r="U800" s="7">
        <v>42855</v>
      </c>
      <c r="V800" s="5" t="s">
        <v>135</v>
      </c>
      <c r="W800" s="6">
        <v>200</v>
      </c>
      <c r="X800" s="5" t="s">
        <v>80</v>
      </c>
      <c r="Y800" s="9">
        <v>7</v>
      </c>
      <c r="Z800" s="5" t="s">
        <v>80</v>
      </c>
      <c r="AA800" s="5" t="s">
        <v>185</v>
      </c>
      <c r="AB800" s="9">
        <v>1</v>
      </c>
      <c r="AC800" s="5" t="s">
        <v>79</v>
      </c>
      <c r="AD800" s="5" t="s">
        <v>80</v>
      </c>
      <c r="AE800" s="5" t="s">
        <v>82</v>
      </c>
      <c r="AF800" s="10">
        <v>35000</v>
      </c>
      <c r="AG800" s="7">
        <v>47269</v>
      </c>
      <c r="AH800" s="10"/>
      <c r="AI800" s="10"/>
      <c r="AJ800" s="11" t="str">
        <f t="shared" si="12"/>
        <v/>
      </c>
      <c r="AK800" s="12">
        <f>IF(B800="","",OR(K800="Not in use",K800="Low use")+AND(N800&lt;&gt;"",N800&lt;&gt;"TBD")+AND(ISNUMBER(U800),U800&lt;=EDATE('Scoring Settings'!$B$4,'Scoring Settings'!$B$8))+AND(ISNUMBER(L800),L800&lt;='Scoring Settings'!$B$7))</f>
        <v>2</v>
      </c>
      <c r="AL800" s="5" t="s">
        <v>111</v>
      </c>
      <c r="AM800" s="8" t="str">
        <f>IF(B800="","",IF(Z800="N","Easy",IF(OR(AND(ISNUMBER(AB800),AB800&gt;'Scoring Settings'!$B$11),AND(ISNUMBER(W800),W800&gt;'Scoring Settings'!$B$12),AND(ISNUMBER(M800),M800&lt;='Scoring Settings'!$B$13)),"High","Medium")))</f>
        <v>Medium</v>
      </c>
      <c r="AN800" s="5"/>
      <c r="AO800" s="7"/>
      <c r="AP800" s="5" t="s">
        <v>98</v>
      </c>
      <c r="AQ800" s="29" t="s">
        <v>124</v>
      </c>
    </row>
    <row r="801" spans="1:43" hidden="1">
      <c r="A801" s="28">
        <v>25044</v>
      </c>
      <c r="B801" s="5" t="s">
        <v>1424</v>
      </c>
      <c r="C801" s="5" t="s">
        <v>200</v>
      </c>
      <c r="D801" s="5" t="s">
        <v>115</v>
      </c>
      <c r="E801" s="5" t="s">
        <v>68</v>
      </c>
      <c r="F801" s="5" t="s">
        <v>178</v>
      </c>
      <c r="G801" s="5" t="s">
        <v>179</v>
      </c>
      <c r="H801" s="5" t="s">
        <v>129</v>
      </c>
      <c r="I801" s="6">
        <v>217</v>
      </c>
      <c r="J801" s="7">
        <v>44279</v>
      </c>
      <c r="K801" s="8" t="str">
        <f>IF(B801="","",IF(AND(I801="",J801=""),"Unknown",IF(OR(AND(ISNUMBER(I801),I801=0),AND(ISNUMBER(J801),J801&lt;=EDATE('Scoring Settings'!$B$4,-'Scoring Settings'!$B$5))),"Not in use",IF(AND(ISNUMBER(I801),I801&lt;'Scoring Settings'!$B$6),"Low use","Active"))))</f>
        <v>Active</v>
      </c>
      <c r="L801" s="5">
        <v>4</v>
      </c>
      <c r="M801" s="5">
        <v>1</v>
      </c>
      <c r="N801" s="5"/>
      <c r="O801" s="5" t="s">
        <v>73</v>
      </c>
      <c r="P801" s="5" t="s">
        <v>1425</v>
      </c>
      <c r="Q801" s="9">
        <v>7</v>
      </c>
      <c r="R801" s="5" t="s">
        <v>256</v>
      </c>
      <c r="S801" s="5" t="s">
        <v>257</v>
      </c>
      <c r="T801" s="5" t="s">
        <v>77</v>
      </c>
      <c r="U801" s="7">
        <v>45077</v>
      </c>
      <c r="V801" s="5" t="s">
        <v>78</v>
      </c>
      <c r="W801" s="6">
        <v>33</v>
      </c>
      <c r="X801" s="5" t="s">
        <v>79</v>
      </c>
      <c r="Y801" s="9">
        <v>1</v>
      </c>
      <c r="Z801" s="5" t="s">
        <v>80</v>
      </c>
      <c r="AA801" s="5" t="s">
        <v>205</v>
      </c>
      <c r="AB801" s="9">
        <v>30</v>
      </c>
      <c r="AC801" s="5" t="s">
        <v>80</v>
      </c>
      <c r="AD801" s="5" t="s">
        <v>79</v>
      </c>
      <c r="AE801" s="5" t="s">
        <v>82</v>
      </c>
      <c r="AF801" s="10">
        <v>130000</v>
      </c>
      <c r="AG801" s="7">
        <v>46326</v>
      </c>
      <c r="AH801" s="10"/>
      <c r="AI801" s="10"/>
      <c r="AJ801" s="11" t="str">
        <f t="shared" si="12"/>
        <v/>
      </c>
      <c r="AK801" s="12">
        <f>IF(B801="","",OR(K801="Not in use",K801="Low use")+AND(N801&lt;&gt;"",N801&lt;&gt;"TBD")+AND(ISNUMBER(U801),U801&lt;=EDATE('Scoring Settings'!$B$4,'Scoring Settings'!$B$8))+AND(ISNUMBER(L801),L801&lt;='Scoring Settings'!$B$7))</f>
        <v>0</v>
      </c>
      <c r="AL801" s="5" t="s">
        <v>83</v>
      </c>
      <c r="AM801" s="8" t="str">
        <f>IF(B801="","",IF(Z801="N","Easy",IF(OR(AND(ISNUMBER(AB801),AB801&gt;'Scoring Settings'!$B$11),AND(ISNUMBER(W801),W801&gt;'Scoring Settings'!$B$12),AND(ISNUMBER(M801),M801&lt;='Scoring Settings'!$B$13)),"High","Medium")))</f>
        <v>High</v>
      </c>
      <c r="AN801" s="5"/>
      <c r="AO801" s="7"/>
      <c r="AP801" s="5" t="s">
        <v>98</v>
      </c>
      <c r="AQ801" s="29" t="s">
        <v>314</v>
      </c>
    </row>
    <row r="802" spans="1:43" hidden="1">
      <c r="A802" s="28">
        <v>63299</v>
      </c>
      <c r="B802" s="5" t="s">
        <v>1427</v>
      </c>
      <c r="C802" s="5" t="s">
        <v>126</v>
      </c>
      <c r="D802" s="5" t="s">
        <v>88</v>
      </c>
      <c r="E802" s="5" t="s">
        <v>68</v>
      </c>
      <c r="F802" s="5" t="s">
        <v>419</v>
      </c>
      <c r="G802" s="5" t="s">
        <v>237</v>
      </c>
      <c r="H802" s="5" t="s">
        <v>71</v>
      </c>
      <c r="I802" s="6">
        <v>717</v>
      </c>
      <c r="J802" s="7">
        <v>44295</v>
      </c>
      <c r="K802" s="8" t="str">
        <f>IF(B802="","",IF(AND(I802="",J802=""),"Unknown",IF(OR(AND(ISNUMBER(I802),I802=0),AND(ISNUMBER(J802),J802&lt;=EDATE('Scoring Settings'!$B$4,-'Scoring Settings'!$B$5))),"Not in use",IF(AND(ISNUMBER(I802),I802&lt;'Scoring Settings'!$B$6),"Low use","Active"))))</f>
        <v>Active</v>
      </c>
      <c r="L802" s="5">
        <v>5</v>
      </c>
      <c r="M802" s="5">
        <v>2</v>
      </c>
      <c r="N802" s="5" t="s">
        <v>474</v>
      </c>
      <c r="O802" s="5" t="s">
        <v>73</v>
      </c>
      <c r="P802" s="5" t="s">
        <v>1428</v>
      </c>
      <c r="Q802" s="9">
        <v>6</v>
      </c>
      <c r="R802" s="5" t="s">
        <v>75</v>
      </c>
      <c r="S802" s="5" t="s">
        <v>76</v>
      </c>
      <c r="T802" s="5" t="s">
        <v>77</v>
      </c>
      <c r="U802" s="7">
        <v>46399</v>
      </c>
      <c r="V802" s="5" t="s">
        <v>135</v>
      </c>
      <c r="W802" s="6">
        <v>1030</v>
      </c>
      <c r="X802" s="5" t="s">
        <v>80</v>
      </c>
      <c r="Y802" s="9">
        <v>5</v>
      </c>
      <c r="Z802" s="5" t="s">
        <v>80</v>
      </c>
      <c r="AA802" s="5" t="s">
        <v>123</v>
      </c>
      <c r="AB802" s="9">
        <v>27</v>
      </c>
      <c r="AC802" s="5" t="s">
        <v>82</v>
      </c>
      <c r="AD802" s="5" t="s">
        <v>82</v>
      </c>
      <c r="AE802" s="5" t="s">
        <v>80</v>
      </c>
      <c r="AF802" s="10">
        <v>70000</v>
      </c>
      <c r="AG802" s="7">
        <v>48091</v>
      </c>
      <c r="AH802" s="10"/>
      <c r="AI802" s="10"/>
      <c r="AJ802" s="11" t="str">
        <f t="shared" si="12"/>
        <v/>
      </c>
      <c r="AK802" s="12">
        <f>IF(B802="","",OR(K802="Not in use",K802="Low use")+AND(N802&lt;&gt;"",N802&lt;&gt;"TBD")+AND(ISNUMBER(U802),U802&lt;=EDATE('Scoring Settings'!$B$4,'Scoring Settings'!$B$8))+AND(ISNUMBER(L802),L802&lt;='Scoring Settings'!$B$7))</f>
        <v>1</v>
      </c>
      <c r="AL802" s="5" t="s">
        <v>111</v>
      </c>
      <c r="AM802" s="8" t="str">
        <f>IF(B802="","",IF(Z802="N","Easy",IF(OR(AND(ISNUMBER(AB802),AB802&gt;'Scoring Settings'!$B$11),AND(ISNUMBER(W802),W802&gt;'Scoring Settings'!$B$12),AND(ISNUMBER(M802),M802&lt;='Scoring Settings'!$B$13)),"High","Medium")))</f>
        <v>High</v>
      </c>
      <c r="AN802" s="5"/>
      <c r="AO802" s="7"/>
      <c r="AP802" s="5" t="s">
        <v>98</v>
      </c>
      <c r="AQ802" s="29" t="s">
        <v>218</v>
      </c>
    </row>
    <row r="803" spans="1:43" hidden="1">
      <c r="A803" s="28">
        <v>28600</v>
      </c>
      <c r="B803" s="5" t="s">
        <v>1429</v>
      </c>
      <c r="C803" s="5" t="s">
        <v>495</v>
      </c>
      <c r="D803" s="5" t="s">
        <v>162</v>
      </c>
      <c r="E803" s="5" t="s">
        <v>68</v>
      </c>
      <c r="F803" s="5" t="s">
        <v>312</v>
      </c>
      <c r="G803" s="5" t="s">
        <v>141</v>
      </c>
      <c r="H803" s="5" t="s">
        <v>189</v>
      </c>
      <c r="I803" s="6">
        <v>784</v>
      </c>
      <c r="J803" s="7">
        <v>44310</v>
      </c>
      <c r="K803" s="8" t="str">
        <f>IF(B803="","",IF(AND(I803="",J803=""),"Unknown",IF(OR(AND(ISNUMBER(I803),I803=0),AND(ISNUMBER(J803),J803&lt;=EDATE('Scoring Settings'!$B$4,-'Scoring Settings'!$B$5))),"Not in use",IF(AND(ISNUMBER(I803),I803&lt;'Scoring Settings'!$B$6),"Low use","Active"))))</f>
        <v>Active</v>
      </c>
      <c r="L803" s="5">
        <v>3</v>
      </c>
      <c r="M803" s="5">
        <v>3</v>
      </c>
      <c r="N803" s="5"/>
      <c r="O803" s="5" t="s">
        <v>73</v>
      </c>
      <c r="P803" s="5" t="s">
        <v>1430</v>
      </c>
      <c r="Q803" s="9">
        <v>4</v>
      </c>
      <c r="R803" s="5" t="s">
        <v>203</v>
      </c>
      <c r="S803" s="5" t="s">
        <v>204</v>
      </c>
      <c r="T803" s="5" t="s">
        <v>109</v>
      </c>
      <c r="U803" s="7" t="s">
        <v>72</v>
      </c>
      <c r="V803" s="5" t="s">
        <v>135</v>
      </c>
      <c r="W803" s="6">
        <v>31</v>
      </c>
      <c r="X803" s="5" t="s">
        <v>80</v>
      </c>
      <c r="Y803" s="9">
        <v>7</v>
      </c>
      <c r="Z803" s="5" t="s">
        <v>80</v>
      </c>
      <c r="AA803" s="5" t="s">
        <v>185</v>
      </c>
      <c r="AB803" s="9">
        <v>1</v>
      </c>
      <c r="AC803" s="5" t="s">
        <v>82</v>
      </c>
      <c r="AD803" s="5" t="s">
        <v>79</v>
      </c>
      <c r="AE803" s="5" t="s">
        <v>80</v>
      </c>
      <c r="AF803" s="10">
        <v>65000</v>
      </c>
      <c r="AG803" s="7">
        <v>45716</v>
      </c>
      <c r="AH803" s="10"/>
      <c r="AI803" s="10"/>
      <c r="AJ803" s="11" t="str">
        <f t="shared" si="12"/>
        <v/>
      </c>
      <c r="AK803" s="12">
        <f>IF(B803="","",OR(K803="Not in use",K803="Low use")+AND(N803&lt;&gt;"",N803&lt;&gt;"TBD")+AND(ISNUMBER(U803),U803&lt;=EDATE('Scoring Settings'!$B$4,'Scoring Settings'!$B$8))+AND(ISNUMBER(L803),L803&lt;='Scoring Settings'!$B$7))</f>
        <v>0</v>
      </c>
      <c r="AL803" s="5" t="s">
        <v>83</v>
      </c>
      <c r="AM803" s="8" t="str">
        <f>IF(B803="","",IF(Z803="N","Easy",IF(OR(AND(ISNUMBER(AB803),AB803&gt;'Scoring Settings'!$B$11),AND(ISNUMBER(W803),W803&gt;'Scoring Settings'!$B$12),AND(ISNUMBER(M803),M803&lt;='Scoring Settings'!$B$13)),"High","Medium")))</f>
        <v>Medium</v>
      </c>
      <c r="AN803" s="5"/>
      <c r="AO803" s="7"/>
      <c r="AP803" s="5" t="s">
        <v>84</v>
      </c>
      <c r="AQ803" s="29" t="s">
        <v>247</v>
      </c>
    </row>
    <row r="804" spans="1:43" ht="57" hidden="1">
      <c r="A804" s="28">
        <v>173889</v>
      </c>
      <c r="B804" s="5" t="s">
        <v>1431</v>
      </c>
      <c r="C804" s="5" t="s">
        <v>371</v>
      </c>
      <c r="D804" s="5" t="s">
        <v>162</v>
      </c>
      <c r="E804" s="5" t="s">
        <v>68</v>
      </c>
      <c r="F804" s="5" t="s">
        <v>116</v>
      </c>
      <c r="G804" s="5" t="s">
        <v>278</v>
      </c>
      <c r="H804" s="5" t="s">
        <v>174</v>
      </c>
      <c r="I804" s="6">
        <v>24</v>
      </c>
      <c r="J804" s="7">
        <v>44219</v>
      </c>
      <c r="K804" s="8" t="str">
        <f>IF(B804="","",IF(AND(I804="",J804=""),"Unknown",IF(OR(AND(ISNUMBER(I804),I804=0),AND(ISNUMBER(J804),J804&lt;=EDATE('Scoring Settings'!$B$4,-'Scoring Settings'!$B$5))),"Not in use",IF(AND(ISNUMBER(I804),I804&lt;'Scoring Settings'!$B$6),"Low use","Active"))))</f>
        <v>Low use</v>
      </c>
      <c r="L804" s="5">
        <v>4</v>
      </c>
      <c r="M804" s="5">
        <v>2</v>
      </c>
      <c r="N804" s="5"/>
      <c r="O804" s="5" t="s">
        <v>73</v>
      </c>
      <c r="P804" s="5" t="s">
        <v>1432</v>
      </c>
      <c r="Q804" s="9">
        <v>4</v>
      </c>
      <c r="R804" s="5" t="s">
        <v>352</v>
      </c>
      <c r="S804" s="5" t="s">
        <v>353</v>
      </c>
      <c r="T804" s="5" t="s">
        <v>184</v>
      </c>
      <c r="U804" s="7">
        <v>47127</v>
      </c>
      <c r="V804" s="5" t="s">
        <v>78</v>
      </c>
      <c r="W804" s="6">
        <v>78</v>
      </c>
      <c r="X804" s="5" t="s">
        <v>79</v>
      </c>
      <c r="Y804" s="9">
        <v>7</v>
      </c>
      <c r="Z804" s="5" t="s">
        <v>80</v>
      </c>
      <c r="AA804" s="5" t="s">
        <v>123</v>
      </c>
      <c r="AB804" s="9">
        <v>21</v>
      </c>
      <c r="AC804" s="5" t="s">
        <v>79</v>
      </c>
      <c r="AD804" s="5" t="s">
        <v>79</v>
      </c>
      <c r="AE804" s="5" t="s">
        <v>79</v>
      </c>
      <c r="AF804" s="10">
        <v>100000</v>
      </c>
      <c r="AG804" s="7">
        <v>47848</v>
      </c>
      <c r="AH804" s="10">
        <v>105000</v>
      </c>
      <c r="AI804" s="10">
        <v>80500</v>
      </c>
      <c r="AJ804" s="11">
        <f t="shared" si="12"/>
        <v>15.652173913043478</v>
      </c>
      <c r="AK804" s="12">
        <f>IF(B804="","",OR(K804="Not in use",K804="Low use")+AND(N804&lt;&gt;"",N804&lt;&gt;"TBD")+AND(ISNUMBER(U804),U804&lt;=EDATE('Scoring Settings'!$B$4,'Scoring Settings'!$B$8))+AND(ISNUMBER(L804),L804&lt;='Scoring Settings'!$B$7))</f>
        <v>1</v>
      </c>
      <c r="AL804" s="5" t="s">
        <v>111</v>
      </c>
      <c r="AM804" s="8" t="str">
        <f>IF(B804="","",IF(Z804="N","Easy",IF(OR(AND(ISNUMBER(AB804),AB804&gt;'Scoring Settings'!$B$11),AND(ISNUMBER(W804),W804&gt;'Scoring Settings'!$B$12),AND(ISNUMBER(M804),M804&lt;='Scoring Settings'!$B$13)),"High","Medium")))</f>
        <v>High</v>
      </c>
      <c r="AN804" s="5"/>
      <c r="AO804" s="7"/>
      <c r="AP804" s="5" t="s">
        <v>98</v>
      </c>
      <c r="AQ804" s="29" t="s">
        <v>291</v>
      </c>
    </row>
    <row r="805" spans="1:43" hidden="1">
      <c r="A805" s="28">
        <v>124770</v>
      </c>
      <c r="B805" s="5" t="s">
        <v>1433</v>
      </c>
      <c r="C805" s="5" t="s">
        <v>409</v>
      </c>
      <c r="D805" s="5" t="s">
        <v>115</v>
      </c>
      <c r="E805" s="5" t="s">
        <v>68</v>
      </c>
      <c r="F805" s="5" t="s">
        <v>288</v>
      </c>
      <c r="G805" s="5" t="s">
        <v>117</v>
      </c>
      <c r="H805" s="5" t="s">
        <v>71</v>
      </c>
      <c r="I805" s="6">
        <v>22</v>
      </c>
      <c r="J805" s="7">
        <v>44168</v>
      </c>
      <c r="K805" s="8" t="str">
        <f>IF(B805="","",IF(AND(I805="",J805=""),"Unknown",IF(OR(AND(ISNUMBER(I805),I805=0),AND(ISNUMBER(J805),J805&lt;=EDATE('Scoring Settings'!$B$4,-'Scoring Settings'!$B$5))),"Not in use",IF(AND(ISNUMBER(I805),I805&lt;'Scoring Settings'!$B$6),"Low use","Active"))))</f>
        <v>Low use</v>
      </c>
      <c r="L805" s="5">
        <v>1</v>
      </c>
      <c r="M805" s="5">
        <v>4</v>
      </c>
      <c r="N805" s="5" t="s">
        <v>930</v>
      </c>
      <c r="O805" s="5" t="s">
        <v>73</v>
      </c>
      <c r="P805" s="5" t="s">
        <v>1434</v>
      </c>
      <c r="Q805" s="9">
        <v>2</v>
      </c>
      <c r="R805" s="5" t="s">
        <v>72</v>
      </c>
      <c r="S805" s="5" t="s">
        <v>353</v>
      </c>
      <c r="T805" s="5" t="s">
        <v>122</v>
      </c>
      <c r="U805" s="7">
        <v>47127</v>
      </c>
      <c r="V805" s="5" t="s">
        <v>135</v>
      </c>
      <c r="W805" s="6">
        <v>1960</v>
      </c>
      <c r="X805" s="5" t="s">
        <v>79</v>
      </c>
      <c r="Y805" s="9">
        <v>3</v>
      </c>
      <c r="Z805" s="5" t="s">
        <v>79</v>
      </c>
      <c r="AA805" s="5" t="s">
        <v>110</v>
      </c>
      <c r="AB805" s="9">
        <v>3</v>
      </c>
      <c r="AC805" s="5" t="s">
        <v>82</v>
      </c>
      <c r="AD805" s="5" t="s">
        <v>80</v>
      </c>
      <c r="AE805" s="5" t="s">
        <v>80</v>
      </c>
      <c r="AF805" s="10">
        <v>36000</v>
      </c>
      <c r="AG805" s="7">
        <v>48457</v>
      </c>
      <c r="AH805" s="10">
        <v>67500</v>
      </c>
      <c r="AI805" s="10">
        <v>20500</v>
      </c>
      <c r="AJ805" s="11">
        <f t="shared" si="12"/>
        <v>39.512195121951216</v>
      </c>
      <c r="AK805" s="12">
        <f>IF(B805="","",OR(K805="Not in use",K805="Low use")+AND(N805&lt;&gt;"",N805&lt;&gt;"TBD")+AND(ISNUMBER(U805),U805&lt;=EDATE('Scoring Settings'!$B$4,'Scoring Settings'!$B$8))+AND(ISNUMBER(L805),L805&lt;='Scoring Settings'!$B$7))</f>
        <v>3</v>
      </c>
      <c r="AL805" s="5" t="s">
        <v>111</v>
      </c>
      <c r="AM805" s="8" t="str">
        <f>IF(B805="","",IF(Z805="N","Easy",IF(OR(AND(ISNUMBER(AB805),AB805&gt;'Scoring Settings'!$B$11),AND(ISNUMBER(W805),W805&gt;'Scoring Settings'!$B$12),AND(ISNUMBER(M805),M805&lt;='Scoring Settings'!$B$13)),"High","Medium")))</f>
        <v>Easy</v>
      </c>
      <c r="AN805" s="5"/>
      <c r="AO805" s="7"/>
      <c r="AP805" s="5" t="s">
        <v>98</v>
      </c>
      <c r="AQ805" s="29" t="s">
        <v>159</v>
      </c>
    </row>
    <row r="806" spans="1:43" hidden="1">
      <c r="A806" s="28">
        <v>76841</v>
      </c>
      <c r="B806" s="5" t="s">
        <v>1435</v>
      </c>
      <c r="C806" s="5" t="s">
        <v>325</v>
      </c>
      <c r="D806" s="5" t="s">
        <v>139</v>
      </c>
      <c r="E806" s="5" t="s">
        <v>68</v>
      </c>
      <c r="F806" s="5" t="s">
        <v>163</v>
      </c>
      <c r="G806" s="5" t="s">
        <v>117</v>
      </c>
      <c r="H806" s="5" t="s">
        <v>71</v>
      </c>
      <c r="I806" s="6">
        <v>747</v>
      </c>
      <c r="J806" s="7">
        <v>44283</v>
      </c>
      <c r="K806" s="8" t="str">
        <f>IF(B806="","",IF(AND(I806="",J806=""),"Unknown",IF(OR(AND(ISNUMBER(I806),I806=0),AND(ISNUMBER(J806),J806&lt;=EDATE('Scoring Settings'!$B$4,-'Scoring Settings'!$B$5))),"Not in use",IF(AND(ISNUMBER(I806),I806&lt;'Scoring Settings'!$B$6),"Low use","Active"))))</f>
        <v>Active</v>
      </c>
      <c r="L806" s="5">
        <v>3</v>
      </c>
      <c r="M806" s="5">
        <v>2</v>
      </c>
      <c r="N806" s="5"/>
      <c r="O806" s="5" t="s">
        <v>73</v>
      </c>
      <c r="P806" s="5" t="s">
        <v>1436</v>
      </c>
      <c r="Q806" s="9">
        <v>1</v>
      </c>
      <c r="R806" s="5" t="s">
        <v>166</v>
      </c>
      <c r="S806" s="5" t="s">
        <v>308</v>
      </c>
      <c r="T806" s="5" t="s">
        <v>77</v>
      </c>
      <c r="U806" s="7">
        <v>45209</v>
      </c>
      <c r="V806" s="5" t="s">
        <v>135</v>
      </c>
      <c r="W806" s="6">
        <v>280</v>
      </c>
      <c r="X806" s="5" t="s">
        <v>79</v>
      </c>
      <c r="Y806" s="9">
        <v>7</v>
      </c>
      <c r="Z806" s="5" t="s">
        <v>79</v>
      </c>
      <c r="AA806" s="5" t="s">
        <v>110</v>
      </c>
      <c r="AB806" s="9">
        <v>29</v>
      </c>
      <c r="AC806" s="5" t="s">
        <v>82</v>
      </c>
      <c r="AD806" s="5" t="s">
        <v>82</v>
      </c>
      <c r="AE806" s="5" t="s">
        <v>79</v>
      </c>
      <c r="AF806" s="10">
        <v>33500</v>
      </c>
      <c r="AG806" s="7">
        <v>46203</v>
      </c>
      <c r="AH806" s="10"/>
      <c r="AI806" s="10"/>
      <c r="AJ806" s="11" t="str">
        <f t="shared" si="12"/>
        <v/>
      </c>
      <c r="AK806" s="12">
        <f>IF(B806="","",OR(K806="Not in use",K806="Low use")+AND(N806&lt;&gt;"",N806&lt;&gt;"TBD")+AND(ISNUMBER(U806),U806&lt;=EDATE('Scoring Settings'!$B$4,'Scoring Settings'!$B$8))+AND(ISNUMBER(L806),L806&lt;='Scoring Settings'!$B$7))</f>
        <v>0</v>
      </c>
      <c r="AL806" s="5" t="s">
        <v>111</v>
      </c>
      <c r="AM806" s="8" t="str">
        <f>IF(B806="","",IF(Z806="N","Easy",IF(OR(AND(ISNUMBER(AB806),AB806&gt;'Scoring Settings'!$B$11),AND(ISNUMBER(W806),W806&gt;'Scoring Settings'!$B$12),AND(ISNUMBER(M806),M806&lt;='Scoring Settings'!$B$13)),"High","Medium")))</f>
        <v>Easy</v>
      </c>
      <c r="AN806" s="5"/>
      <c r="AO806" s="7"/>
      <c r="AP806" s="5" t="s">
        <v>98</v>
      </c>
      <c r="AQ806" s="29" t="s">
        <v>218</v>
      </c>
    </row>
    <row r="807" spans="1:43" hidden="1">
      <c r="A807" s="28">
        <v>162724</v>
      </c>
      <c r="B807" s="5" t="s">
        <v>1438</v>
      </c>
      <c r="C807" s="5" t="s">
        <v>242</v>
      </c>
      <c r="D807" s="5" t="s">
        <v>115</v>
      </c>
      <c r="E807" s="5" t="s">
        <v>68</v>
      </c>
      <c r="F807" s="5" t="s">
        <v>560</v>
      </c>
      <c r="G807" s="5" t="s">
        <v>70</v>
      </c>
      <c r="H807" s="5" t="s">
        <v>129</v>
      </c>
      <c r="I807" s="6">
        <v>370</v>
      </c>
      <c r="J807" s="7">
        <v>44280</v>
      </c>
      <c r="K807" s="8" t="str">
        <f>IF(B807="","",IF(AND(I807="",J807=""),"Unknown",IF(OR(AND(ISNUMBER(I807),I807=0),AND(ISNUMBER(J807),J807&lt;=EDATE('Scoring Settings'!$B$4,-'Scoring Settings'!$B$5))),"Not in use",IF(AND(ISNUMBER(I807),I807&lt;'Scoring Settings'!$B$6),"Low use","Active"))))</f>
        <v>Active</v>
      </c>
      <c r="L807" s="5">
        <v>4</v>
      </c>
      <c r="M807" s="5">
        <v>2</v>
      </c>
      <c r="N807" s="5"/>
      <c r="O807" s="5" t="s">
        <v>130</v>
      </c>
      <c r="P807" s="5" t="s">
        <v>1439</v>
      </c>
      <c r="Q807" s="9">
        <v>1</v>
      </c>
      <c r="R807" s="5" t="s">
        <v>203</v>
      </c>
      <c r="S807" s="5" t="s">
        <v>508</v>
      </c>
      <c r="T807" s="5" t="s">
        <v>134</v>
      </c>
      <c r="U807" s="7">
        <v>47269</v>
      </c>
      <c r="V807" s="5" t="s">
        <v>135</v>
      </c>
      <c r="W807" s="6">
        <v>220</v>
      </c>
      <c r="X807" s="5" t="s">
        <v>79</v>
      </c>
      <c r="Y807" s="9">
        <v>3</v>
      </c>
      <c r="Z807" s="5" t="s">
        <v>80</v>
      </c>
      <c r="AA807" s="5" t="s">
        <v>147</v>
      </c>
      <c r="AB807" s="9">
        <v>15</v>
      </c>
      <c r="AC807" s="5" t="s">
        <v>79</v>
      </c>
      <c r="AD807" s="5" t="s">
        <v>82</v>
      </c>
      <c r="AE807" s="5" t="s">
        <v>80</v>
      </c>
      <c r="AF807" s="10">
        <v>19500</v>
      </c>
      <c r="AG807" s="7">
        <v>48244</v>
      </c>
      <c r="AH807" s="10"/>
      <c r="AI807" s="10"/>
      <c r="AJ807" s="11" t="str">
        <f t="shared" si="12"/>
        <v/>
      </c>
      <c r="AK807" s="12">
        <f>IF(B807="","",OR(K807="Not in use",K807="Low use")+AND(N807&lt;&gt;"",N807&lt;&gt;"TBD")+AND(ISNUMBER(U807),U807&lt;=EDATE('Scoring Settings'!$B$4,'Scoring Settings'!$B$8))+AND(ISNUMBER(L807),L807&lt;='Scoring Settings'!$B$7))</f>
        <v>0</v>
      </c>
      <c r="AL807" s="5" t="s">
        <v>83</v>
      </c>
      <c r="AM807" s="8" t="str">
        <f>IF(B807="","",IF(Z807="N","Easy",IF(OR(AND(ISNUMBER(AB807),AB807&gt;'Scoring Settings'!$B$11),AND(ISNUMBER(W807),W807&gt;'Scoring Settings'!$B$12),AND(ISNUMBER(M807),M807&lt;='Scoring Settings'!$B$13)),"High","Medium")))</f>
        <v>High</v>
      </c>
      <c r="AN807" s="5"/>
      <c r="AO807" s="7"/>
      <c r="AP807" s="5" t="s">
        <v>84</v>
      </c>
      <c r="AQ807" s="29" t="s">
        <v>314</v>
      </c>
    </row>
    <row r="808" spans="1:43" hidden="1">
      <c r="A808" s="28">
        <v>55151</v>
      </c>
      <c r="B808" s="5" t="s">
        <v>1443</v>
      </c>
      <c r="C808" s="5" t="s">
        <v>259</v>
      </c>
      <c r="D808" s="5" t="s">
        <v>67</v>
      </c>
      <c r="E808" s="5" t="s">
        <v>68</v>
      </c>
      <c r="F808" s="5" t="s">
        <v>236</v>
      </c>
      <c r="G808" s="5" t="s">
        <v>221</v>
      </c>
      <c r="H808" s="5" t="s">
        <v>118</v>
      </c>
      <c r="I808" s="6">
        <v>46</v>
      </c>
      <c r="J808" s="7">
        <v>44293</v>
      </c>
      <c r="K808" s="8" t="str">
        <f>IF(B808="","",IF(AND(I808="",J808=""),"Unknown",IF(OR(AND(ISNUMBER(I808),I808=0),AND(ISNUMBER(J808),J808&lt;=EDATE('Scoring Settings'!$B$4,-'Scoring Settings'!$B$5))),"Not in use",IF(AND(ISNUMBER(I808),I808&lt;'Scoring Settings'!$B$6),"Low use","Active"))))</f>
        <v>Active</v>
      </c>
      <c r="L808" s="5">
        <v>3</v>
      </c>
      <c r="M808" s="5">
        <v>4</v>
      </c>
      <c r="N808" s="5"/>
      <c r="O808" s="5" t="s">
        <v>73</v>
      </c>
      <c r="P808" s="5" t="s">
        <v>1444</v>
      </c>
      <c r="Q808" s="9">
        <v>2</v>
      </c>
      <c r="R808" s="5" t="s">
        <v>75</v>
      </c>
      <c r="S808" s="5" t="s">
        <v>121</v>
      </c>
      <c r="T808" s="5" t="s">
        <v>184</v>
      </c>
      <c r="U808" s="7">
        <v>46217</v>
      </c>
      <c r="V808" s="5" t="s">
        <v>95</v>
      </c>
      <c r="W808" s="6">
        <v>19</v>
      </c>
      <c r="X808" s="5" t="s">
        <v>80</v>
      </c>
      <c r="Y808" s="9">
        <v>10</v>
      </c>
      <c r="Z808" s="5" t="s">
        <v>80</v>
      </c>
      <c r="AA808" s="5" t="s">
        <v>81</v>
      </c>
      <c r="AB808" s="9">
        <v>0</v>
      </c>
      <c r="AC808" s="5" t="s">
        <v>80</v>
      </c>
      <c r="AD808" s="5" t="s">
        <v>82</v>
      </c>
      <c r="AE808" s="5" t="s">
        <v>79</v>
      </c>
      <c r="AF808" s="10">
        <v>44500</v>
      </c>
      <c r="AG808" s="7">
        <v>47817</v>
      </c>
      <c r="AH808" s="10"/>
      <c r="AI808" s="10"/>
      <c r="AJ808" s="11" t="str">
        <f t="shared" si="12"/>
        <v/>
      </c>
      <c r="AK808" s="12">
        <f>IF(B808="","",OR(K808="Not in use",K808="Low use")+AND(N808&lt;&gt;"",N808&lt;&gt;"TBD")+AND(ISNUMBER(U808),U808&lt;=EDATE('Scoring Settings'!$B$4,'Scoring Settings'!$B$8))+AND(ISNUMBER(L808),L808&lt;='Scoring Settings'!$B$7))</f>
        <v>0</v>
      </c>
      <c r="AL808" s="5" t="s">
        <v>83</v>
      </c>
      <c r="AM808" s="8" t="str">
        <f>IF(B808="","",IF(Z808="N","Easy",IF(OR(AND(ISNUMBER(AB808),AB808&gt;'Scoring Settings'!$B$11),AND(ISNUMBER(W808),W808&gt;'Scoring Settings'!$B$12),AND(ISNUMBER(M808),M808&lt;='Scoring Settings'!$B$13)),"High","Medium")))</f>
        <v>Medium</v>
      </c>
      <c r="AN808" s="5"/>
      <c r="AO808" s="7"/>
      <c r="AP808" s="5" t="s">
        <v>84</v>
      </c>
      <c r="AQ808" s="29" t="s">
        <v>273</v>
      </c>
    </row>
    <row r="809" spans="1:43" hidden="1">
      <c r="A809" s="28">
        <v>178632</v>
      </c>
      <c r="B809" s="5" t="s">
        <v>1445</v>
      </c>
      <c r="C809" s="5" t="s">
        <v>13</v>
      </c>
      <c r="D809" s="5" t="s">
        <v>162</v>
      </c>
      <c r="E809" s="5" t="s">
        <v>68</v>
      </c>
      <c r="F809" s="5" t="s">
        <v>312</v>
      </c>
      <c r="G809" s="5" t="s">
        <v>284</v>
      </c>
      <c r="H809" s="5" t="s">
        <v>71</v>
      </c>
      <c r="I809" s="6">
        <v>71</v>
      </c>
      <c r="J809" s="7">
        <v>44275</v>
      </c>
      <c r="K809" s="8" t="str">
        <f>IF(B809="","",IF(AND(I809="",J809=""),"Unknown",IF(OR(AND(ISNUMBER(I809),I809=0),AND(ISNUMBER(J809),J809&lt;=EDATE('Scoring Settings'!$B$4,-'Scoring Settings'!$B$5))),"Not in use",IF(AND(ISNUMBER(I809),I809&lt;'Scoring Settings'!$B$6),"Low use","Active"))))</f>
        <v>Active</v>
      </c>
      <c r="L809" s="5">
        <v>5</v>
      </c>
      <c r="M809" s="5">
        <v>2</v>
      </c>
      <c r="N809" s="5"/>
      <c r="O809" s="5" t="s">
        <v>73</v>
      </c>
      <c r="P809" s="5" t="s">
        <v>1446</v>
      </c>
      <c r="Q809" s="9">
        <v>8</v>
      </c>
      <c r="R809" s="5" t="s">
        <v>166</v>
      </c>
      <c r="S809" s="5" t="s">
        <v>167</v>
      </c>
      <c r="T809" s="5" t="s">
        <v>77</v>
      </c>
      <c r="U809" s="7">
        <v>45482</v>
      </c>
      <c r="V809" s="5" t="s">
        <v>135</v>
      </c>
      <c r="W809" s="6">
        <v>13</v>
      </c>
      <c r="X809" s="5" t="s">
        <v>80</v>
      </c>
      <c r="Y809" s="9">
        <v>10</v>
      </c>
      <c r="Z809" s="5" t="s">
        <v>79</v>
      </c>
      <c r="AA809" s="5" t="s">
        <v>110</v>
      </c>
      <c r="AB809" s="9">
        <v>5</v>
      </c>
      <c r="AC809" s="5" t="s">
        <v>82</v>
      </c>
      <c r="AD809" s="5" t="s">
        <v>80</v>
      </c>
      <c r="AE809" s="5" t="s">
        <v>82</v>
      </c>
      <c r="AF809" s="10">
        <v>190000</v>
      </c>
      <c r="AG809" s="7">
        <v>47999</v>
      </c>
      <c r="AH809" s="10"/>
      <c r="AI809" s="10"/>
      <c r="AJ809" s="11" t="str">
        <f t="shared" si="12"/>
        <v/>
      </c>
      <c r="AK809" s="12">
        <f>IF(B809="","",OR(K809="Not in use",K809="Low use")+AND(N809&lt;&gt;"",N809&lt;&gt;"TBD")+AND(ISNUMBER(U809),U809&lt;=EDATE('Scoring Settings'!$B$4,'Scoring Settings'!$B$8))+AND(ISNUMBER(L809),L809&lt;='Scoring Settings'!$B$7))</f>
        <v>0</v>
      </c>
      <c r="AL809" s="5" t="s">
        <v>83</v>
      </c>
      <c r="AM809" s="8" t="str">
        <f>IF(B809="","",IF(Z809="N","Easy",IF(OR(AND(ISNUMBER(AB809),AB809&gt;'Scoring Settings'!$B$11),AND(ISNUMBER(W809),W809&gt;'Scoring Settings'!$B$12),AND(ISNUMBER(M809),M809&lt;='Scoring Settings'!$B$13)),"High","Medium")))</f>
        <v>Easy</v>
      </c>
      <c r="AN809" s="5"/>
      <c r="AO809" s="7"/>
      <c r="AP809" s="5" t="s">
        <v>84</v>
      </c>
      <c r="AQ809" s="29" t="s">
        <v>206</v>
      </c>
    </row>
    <row r="810" spans="1:43" hidden="1">
      <c r="A810" s="28">
        <v>62501</v>
      </c>
      <c r="B810" s="5" t="s">
        <v>1450</v>
      </c>
      <c r="C810" s="5" t="s">
        <v>423</v>
      </c>
      <c r="D810" s="5" t="s">
        <v>67</v>
      </c>
      <c r="E810" s="5" t="s">
        <v>68</v>
      </c>
      <c r="F810" s="5" t="s">
        <v>152</v>
      </c>
      <c r="G810" s="5" t="s">
        <v>221</v>
      </c>
      <c r="H810" s="5" t="s">
        <v>91</v>
      </c>
      <c r="I810" s="6">
        <v>168</v>
      </c>
      <c r="J810" s="7">
        <v>44295</v>
      </c>
      <c r="K810" s="8" t="str">
        <f>IF(B810="","",IF(AND(I810="",J810=""),"Unknown",IF(OR(AND(ISNUMBER(I810),I810=0),AND(ISNUMBER(J810),J810&lt;=EDATE('Scoring Settings'!$B$4,-'Scoring Settings'!$B$5))),"Not in use",IF(AND(ISNUMBER(I810),I810&lt;'Scoring Settings'!$B$6),"Low use","Active"))))</f>
        <v>Active</v>
      </c>
      <c r="L810" s="5">
        <v>2</v>
      </c>
      <c r="M810" s="5">
        <v>4</v>
      </c>
      <c r="N810" s="5" t="s">
        <v>72</v>
      </c>
      <c r="O810" s="5" t="s">
        <v>73</v>
      </c>
      <c r="P810" s="5" t="s">
        <v>1451</v>
      </c>
      <c r="Q810" s="9">
        <v>2</v>
      </c>
      <c r="R810" s="5" t="s">
        <v>107</v>
      </c>
      <c r="S810" s="5" t="s">
        <v>72</v>
      </c>
      <c r="T810" s="5" t="s">
        <v>109</v>
      </c>
      <c r="U810" s="7">
        <v>43655</v>
      </c>
      <c r="V810" s="5" t="s">
        <v>135</v>
      </c>
      <c r="W810" s="6">
        <v>2810</v>
      </c>
      <c r="X810" s="5" t="s">
        <v>80</v>
      </c>
      <c r="Y810" s="9">
        <v>7</v>
      </c>
      <c r="Z810" s="5" t="s">
        <v>80</v>
      </c>
      <c r="AA810" s="5" t="s">
        <v>185</v>
      </c>
      <c r="AB810" s="9">
        <v>3</v>
      </c>
      <c r="AC810" s="5" t="s">
        <v>79</v>
      </c>
      <c r="AD810" s="5" t="s">
        <v>82</v>
      </c>
      <c r="AE810" s="5" t="s">
        <v>79</v>
      </c>
      <c r="AF810" s="10">
        <v>42000</v>
      </c>
      <c r="AG810" s="7">
        <v>47726</v>
      </c>
      <c r="AH810" s="10">
        <v>84000</v>
      </c>
      <c r="AI810" s="10">
        <v>26500</v>
      </c>
      <c r="AJ810" s="11">
        <f t="shared" si="12"/>
        <v>38.037735849056602</v>
      </c>
      <c r="AK810" s="12">
        <f>IF(B810="","",OR(K810="Not in use",K810="Low use")+AND(N810&lt;&gt;"",N810&lt;&gt;"TBD")+AND(ISNUMBER(U810),U810&lt;=EDATE('Scoring Settings'!$B$4,'Scoring Settings'!$B$8))+AND(ISNUMBER(L810),L810&lt;='Scoring Settings'!$B$7))</f>
        <v>2</v>
      </c>
      <c r="AL810" s="5" t="s">
        <v>111</v>
      </c>
      <c r="AM810" s="8" t="str">
        <f>IF(B810="","",IF(Z810="N","Easy",IF(OR(AND(ISNUMBER(AB810),AB810&gt;'Scoring Settings'!$B$11),AND(ISNUMBER(W810),W810&gt;'Scoring Settings'!$B$12),AND(ISNUMBER(M810),M810&lt;='Scoring Settings'!$B$13)),"High","Medium")))</f>
        <v>High</v>
      </c>
      <c r="AN810" s="5"/>
      <c r="AO810" s="7"/>
      <c r="AP810" s="5" t="s">
        <v>98</v>
      </c>
      <c r="AQ810" s="29" t="s">
        <v>218</v>
      </c>
    </row>
    <row r="811" spans="1:43" ht="42.75" hidden="1">
      <c r="A811" s="28">
        <v>101060</v>
      </c>
      <c r="B811" s="5" t="s">
        <v>1453</v>
      </c>
      <c r="C811" s="5" t="s">
        <v>338</v>
      </c>
      <c r="D811" s="5" t="s">
        <v>139</v>
      </c>
      <c r="E811" s="5" t="s">
        <v>298</v>
      </c>
      <c r="F811" s="5" t="s">
        <v>201</v>
      </c>
      <c r="G811" s="5" t="s">
        <v>226</v>
      </c>
      <c r="H811" s="5" t="s">
        <v>105</v>
      </c>
      <c r="I811" s="6">
        <v>7</v>
      </c>
      <c r="J811" s="7">
        <v>44207</v>
      </c>
      <c r="K811" s="8" t="str">
        <f>IF(B811="","",IF(AND(I811="",J811=""),"Unknown",IF(OR(AND(ISNUMBER(I811),I811=0),AND(ISNUMBER(J811),J811&lt;=EDATE('Scoring Settings'!$B$4,-'Scoring Settings'!$B$5))),"Not in use",IF(AND(ISNUMBER(I811),I811&lt;'Scoring Settings'!$B$6),"Low use","Active"))))</f>
        <v>Low use</v>
      </c>
      <c r="L811" s="5">
        <v>1</v>
      </c>
      <c r="M811" s="5">
        <v>3</v>
      </c>
      <c r="N811" s="5"/>
      <c r="O811" s="5" t="s">
        <v>73</v>
      </c>
      <c r="P811" s="5" t="s">
        <v>1454</v>
      </c>
      <c r="Q811" s="9">
        <v>1</v>
      </c>
      <c r="R811" s="5" t="s">
        <v>478</v>
      </c>
      <c r="S811" s="5" t="s">
        <v>479</v>
      </c>
      <c r="T811" s="5" t="s">
        <v>77</v>
      </c>
      <c r="U811" s="7">
        <v>43844</v>
      </c>
      <c r="V811" s="5" t="s">
        <v>135</v>
      </c>
      <c r="W811" s="6">
        <v>450</v>
      </c>
      <c r="X811" s="5" t="s">
        <v>79</v>
      </c>
      <c r="Y811" s="9">
        <v>5</v>
      </c>
      <c r="Z811" s="5" t="s">
        <v>80</v>
      </c>
      <c r="AA811" s="5" t="s">
        <v>123</v>
      </c>
      <c r="AB811" s="9">
        <v>3</v>
      </c>
      <c r="AC811" s="5" t="s">
        <v>79</v>
      </c>
      <c r="AD811" s="5" t="s">
        <v>79</v>
      </c>
      <c r="AE811" s="5" t="s">
        <v>80</v>
      </c>
      <c r="AF811" s="10">
        <v>31000</v>
      </c>
      <c r="AG811" s="7">
        <v>47422</v>
      </c>
      <c r="AH811" s="10">
        <v>38500</v>
      </c>
      <c r="AI811" s="10">
        <v>27000</v>
      </c>
      <c r="AJ811" s="11">
        <f t="shared" si="12"/>
        <v>17.111111111111111</v>
      </c>
      <c r="AK811" s="12">
        <f>IF(B811="","",OR(K811="Not in use",K811="Low use")+AND(N811&lt;&gt;"",N811&lt;&gt;"TBD")+AND(ISNUMBER(U811),U811&lt;=EDATE('Scoring Settings'!$B$4,'Scoring Settings'!$B$8))+AND(ISNUMBER(L811),L811&lt;='Scoring Settings'!$B$7))</f>
        <v>3</v>
      </c>
      <c r="AL811" s="5" t="s">
        <v>111</v>
      </c>
      <c r="AM811" s="8" t="str">
        <f>IF(B811="","",IF(Z811="N","Easy",IF(OR(AND(ISNUMBER(AB811),AB811&gt;'Scoring Settings'!$B$11),AND(ISNUMBER(W811),W811&gt;'Scoring Settings'!$B$12),AND(ISNUMBER(M811),M811&lt;='Scoring Settings'!$B$13)),"High","Medium")))</f>
        <v>Medium</v>
      </c>
      <c r="AN811" s="5"/>
      <c r="AO811" s="7"/>
      <c r="AP811" s="5" t="s">
        <v>98</v>
      </c>
      <c r="AQ811" s="29" t="s">
        <v>1187</v>
      </c>
    </row>
    <row r="812" spans="1:43" hidden="1">
      <c r="A812" s="28">
        <v>170180</v>
      </c>
      <c r="B812" s="5" t="s">
        <v>1455</v>
      </c>
      <c r="C812" s="5" t="s">
        <v>464</v>
      </c>
      <c r="D812" s="5" t="s">
        <v>88</v>
      </c>
      <c r="E812" s="5" t="s">
        <v>68</v>
      </c>
      <c r="F812" s="5" t="s">
        <v>69</v>
      </c>
      <c r="G812" s="5" t="s">
        <v>128</v>
      </c>
      <c r="H812" s="5" t="s">
        <v>129</v>
      </c>
      <c r="I812" s="6">
        <v>97</v>
      </c>
      <c r="J812" s="7">
        <v>44305</v>
      </c>
      <c r="K812" s="8" t="str">
        <f>IF(B812="","",IF(AND(I812="",J812=""),"Unknown",IF(OR(AND(ISNUMBER(I812),I812=0),AND(ISNUMBER(J812),J812&lt;=EDATE('Scoring Settings'!$B$4,-'Scoring Settings'!$B$5))),"Not in use",IF(AND(ISNUMBER(I812),I812&lt;'Scoring Settings'!$B$6),"Low use","Active"))))</f>
        <v>Active</v>
      </c>
      <c r="L812" s="5">
        <v>3</v>
      </c>
      <c r="M812" s="5">
        <v>3</v>
      </c>
      <c r="N812" s="5"/>
      <c r="O812" s="5" t="s">
        <v>73</v>
      </c>
      <c r="P812" s="5" t="s">
        <v>1456</v>
      </c>
      <c r="Q812" s="9">
        <v>2</v>
      </c>
      <c r="R812" s="5" t="s">
        <v>256</v>
      </c>
      <c r="S812" s="5" t="s">
        <v>257</v>
      </c>
      <c r="T812" s="5" t="s">
        <v>77</v>
      </c>
      <c r="U812" s="7">
        <v>45077</v>
      </c>
      <c r="V812" s="5" t="s">
        <v>78</v>
      </c>
      <c r="W812" s="6">
        <v>160</v>
      </c>
      <c r="X812" s="5" t="s">
        <v>79</v>
      </c>
      <c r="Y812" s="9">
        <v>2</v>
      </c>
      <c r="Z812" s="5" t="s">
        <v>80</v>
      </c>
      <c r="AA812" s="5" t="s">
        <v>81</v>
      </c>
      <c r="AB812" s="9">
        <v>2</v>
      </c>
      <c r="AC812" s="5" t="s">
        <v>79</v>
      </c>
      <c r="AD812" s="5" t="s">
        <v>82</v>
      </c>
      <c r="AE812" s="5" t="s">
        <v>80</v>
      </c>
      <c r="AF812" s="10">
        <v>32000</v>
      </c>
      <c r="AG812" s="7">
        <v>46507</v>
      </c>
      <c r="AH812" s="10">
        <v>19500</v>
      </c>
      <c r="AI812" s="10">
        <v>29500</v>
      </c>
      <c r="AJ812" s="11">
        <f t="shared" si="12"/>
        <v>7.9322033898305087</v>
      </c>
      <c r="AK812" s="12">
        <f>IF(B812="","",OR(K812="Not in use",K812="Low use")+AND(N812&lt;&gt;"",N812&lt;&gt;"TBD")+AND(ISNUMBER(U812),U812&lt;=EDATE('Scoring Settings'!$B$4,'Scoring Settings'!$B$8))+AND(ISNUMBER(L812),L812&lt;='Scoring Settings'!$B$7))</f>
        <v>0</v>
      </c>
      <c r="AL812" s="5" t="s">
        <v>111</v>
      </c>
      <c r="AM812" s="8" t="str">
        <f>IF(B812="","",IF(Z812="N","Easy",IF(OR(AND(ISNUMBER(AB812),AB812&gt;'Scoring Settings'!$B$11),AND(ISNUMBER(W812),W812&gt;'Scoring Settings'!$B$12),AND(ISNUMBER(M812),M812&lt;='Scoring Settings'!$B$13)),"High","Medium")))</f>
        <v>Medium</v>
      </c>
      <c r="AN812" s="5"/>
      <c r="AO812" s="7"/>
      <c r="AP812" s="5" t="s">
        <v>98</v>
      </c>
      <c r="AQ812" s="29" t="s">
        <v>159</v>
      </c>
    </row>
    <row r="813" spans="1:43" hidden="1">
      <c r="A813" s="28">
        <v>144494</v>
      </c>
      <c r="B813" s="5" t="s">
        <v>1457</v>
      </c>
      <c r="C813" s="5" t="s">
        <v>101</v>
      </c>
      <c r="D813" s="5" t="s">
        <v>102</v>
      </c>
      <c r="E813" s="5" t="s">
        <v>68</v>
      </c>
      <c r="F813" s="5" t="s">
        <v>163</v>
      </c>
      <c r="G813" s="5" t="s">
        <v>210</v>
      </c>
      <c r="H813" s="5" t="s">
        <v>142</v>
      </c>
      <c r="I813" s="6">
        <v>11</v>
      </c>
      <c r="J813" s="7">
        <v>44256</v>
      </c>
      <c r="K813" s="8" t="str">
        <f>IF(B813="","",IF(AND(I813="",J813=""),"Unknown",IF(OR(AND(ISNUMBER(I813),I813=0),AND(ISNUMBER(J813),J813&lt;=EDATE('Scoring Settings'!$B$4,-'Scoring Settings'!$B$5))),"Not in use",IF(AND(ISNUMBER(I813),I813&lt;'Scoring Settings'!$B$6),"Low use","Active"))))</f>
        <v>Low use</v>
      </c>
      <c r="L813" s="5">
        <v>3</v>
      </c>
      <c r="M813" s="5">
        <v>2</v>
      </c>
      <c r="N813" s="5"/>
      <c r="O813" s="5" t="s">
        <v>143</v>
      </c>
      <c r="P813" s="5" t="s">
        <v>144</v>
      </c>
      <c r="Q813" s="9">
        <v>0</v>
      </c>
      <c r="R813" s="5" t="s">
        <v>145</v>
      </c>
      <c r="S813" s="5" t="s">
        <v>145</v>
      </c>
      <c r="T813" s="5" t="s">
        <v>146</v>
      </c>
      <c r="U813" s="7">
        <v>45900</v>
      </c>
      <c r="V813" s="5" t="s">
        <v>135</v>
      </c>
      <c r="W813" s="6">
        <v>240</v>
      </c>
      <c r="X813" s="5" t="s">
        <v>80</v>
      </c>
      <c r="Y813" s="9">
        <v>10</v>
      </c>
      <c r="Z813" s="5" t="s">
        <v>80</v>
      </c>
      <c r="AA813" s="5" t="s">
        <v>81</v>
      </c>
      <c r="AB813" s="9">
        <v>13</v>
      </c>
      <c r="AC813" s="5" t="s">
        <v>80</v>
      </c>
      <c r="AD813" s="5" t="s">
        <v>80</v>
      </c>
      <c r="AE813" s="5" t="s">
        <v>82</v>
      </c>
      <c r="AF813" s="10">
        <v>185000</v>
      </c>
      <c r="AG813" s="7">
        <v>47756</v>
      </c>
      <c r="AH813" s="10"/>
      <c r="AI813" s="10"/>
      <c r="AJ813" s="11" t="str">
        <f t="shared" si="12"/>
        <v/>
      </c>
      <c r="AK813" s="12">
        <f>IF(B813="","",OR(K813="Not in use",K813="Low use")+AND(N813&lt;&gt;"",N813&lt;&gt;"TBD")+AND(ISNUMBER(U813),U813&lt;=EDATE('Scoring Settings'!$B$4,'Scoring Settings'!$B$8))+AND(ISNUMBER(L813),L813&lt;='Scoring Settings'!$B$7))</f>
        <v>1</v>
      </c>
      <c r="AL813" s="5" t="s">
        <v>111</v>
      </c>
      <c r="AM813" s="8" t="str">
        <f>IF(B813="","",IF(Z813="N","Easy",IF(OR(AND(ISNUMBER(AB813),AB813&gt;'Scoring Settings'!$B$11),AND(ISNUMBER(W813),W813&gt;'Scoring Settings'!$B$12),AND(ISNUMBER(M813),M813&lt;='Scoring Settings'!$B$13)),"High","Medium")))</f>
        <v>High</v>
      </c>
      <c r="AN813" s="5"/>
      <c r="AO813" s="7"/>
      <c r="AP813" s="5" t="s">
        <v>98</v>
      </c>
      <c r="AQ813" s="29" t="s">
        <v>218</v>
      </c>
    </row>
    <row r="814" spans="1:43" hidden="1">
      <c r="A814" s="28">
        <v>171881</v>
      </c>
      <c r="B814" s="5" t="s">
        <v>1458</v>
      </c>
      <c r="C814" s="5" t="s">
        <v>470</v>
      </c>
      <c r="D814" s="5" t="s">
        <v>297</v>
      </c>
      <c r="E814" s="5" t="s">
        <v>68</v>
      </c>
      <c r="F814" s="5" t="s">
        <v>346</v>
      </c>
      <c r="G814" s="5" t="s">
        <v>271</v>
      </c>
      <c r="H814" s="5" t="s">
        <v>118</v>
      </c>
      <c r="I814" s="6">
        <v>426</v>
      </c>
      <c r="J814" s="7">
        <v>44309</v>
      </c>
      <c r="K814" s="8" t="str">
        <f>IF(B814="","",IF(AND(I814="",J814=""),"Unknown",IF(OR(AND(ISNUMBER(I814),I814=0),AND(ISNUMBER(J814),J814&lt;=EDATE('Scoring Settings'!$B$4,-'Scoring Settings'!$B$5))),"Not in use",IF(AND(ISNUMBER(I814),I814&lt;'Scoring Settings'!$B$6),"Low use","Active"))))</f>
        <v>Active</v>
      </c>
      <c r="L814" s="5">
        <v>3</v>
      </c>
      <c r="M814" s="5">
        <v>4</v>
      </c>
      <c r="N814" s="5"/>
      <c r="O814" s="5" t="s">
        <v>73</v>
      </c>
      <c r="P814" s="5" t="s">
        <v>1459</v>
      </c>
      <c r="Q814" s="9">
        <v>4</v>
      </c>
      <c r="R814" s="5" t="s">
        <v>239</v>
      </c>
      <c r="S814" s="5" t="s">
        <v>240</v>
      </c>
      <c r="T814" s="5" t="s">
        <v>77</v>
      </c>
      <c r="U814" s="7">
        <v>44316</v>
      </c>
      <c r="V814" s="5" t="s">
        <v>135</v>
      </c>
      <c r="W814" s="6">
        <v>190</v>
      </c>
      <c r="X814" s="5" t="s">
        <v>80</v>
      </c>
      <c r="Y814" s="9">
        <v>7</v>
      </c>
      <c r="Z814" s="5" t="s">
        <v>80</v>
      </c>
      <c r="AA814" s="5" t="s">
        <v>81</v>
      </c>
      <c r="AB814" s="9">
        <v>0</v>
      </c>
      <c r="AC814" s="5" t="s">
        <v>79</v>
      </c>
      <c r="AD814" s="5" t="s">
        <v>82</v>
      </c>
      <c r="AE814" s="5" t="s">
        <v>82</v>
      </c>
      <c r="AF814" s="10">
        <v>65000</v>
      </c>
      <c r="AG814" s="7">
        <v>47817</v>
      </c>
      <c r="AH814" s="10"/>
      <c r="AI814" s="10"/>
      <c r="AJ814" s="11" t="str">
        <f t="shared" si="12"/>
        <v/>
      </c>
      <c r="AK814" s="12">
        <f>IF(B814="","",OR(K814="Not in use",K814="Low use")+AND(N814&lt;&gt;"",N814&lt;&gt;"TBD")+AND(ISNUMBER(U814),U814&lt;=EDATE('Scoring Settings'!$B$4,'Scoring Settings'!$B$8))+AND(ISNUMBER(L814),L814&lt;='Scoring Settings'!$B$7))</f>
        <v>1</v>
      </c>
      <c r="AL814" s="5" t="s">
        <v>111</v>
      </c>
      <c r="AM814" s="8" t="str">
        <f>IF(B814="","",IF(Z814="N","Easy",IF(OR(AND(ISNUMBER(AB814),AB814&gt;'Scoring Settings'!$B$11),AND(ISNUMBER(W814),W814&gt;'Scoring Settings'!$B$12),AND(ISNUMBER(M814),M814&lt;='Scoring Settings'!$B$13)),"High","Medium")))</f>
        <v>Medium</v>
      </c>
      <c r="AN814" s="5"/>
      <c r="AO814" s="7"/>
      <c r="AP814" s="5" t="s">
        <v>98</v>
      </c>
      <c r="AQ814" s="29" t="s">
        <v>159</v>
      </c>
    </row>
    <row r="815" spans="1:43" hidden="1">
      <c r="A815" s="28">
        <v>119231</v>
      </c>
      <c r="B815" s="5" t="s">
        <v>1460</v>
      </c>
      <c r="C815" s="5" t="s">
        <v>380</v>
      </c>
      <c r="D815" s="5" t="s">
        <v>102</v>
      </c>
      <c r="E815" s="5" t="s">
        <v>68</v>
      </c>
      <c r="F815" s="5" t="s">
        <v>69</v>
      </c>
      <c r="G815" s="5" t="s">
        <v>179</v>
      </c>
      <c r="H815" s="5" t="s">
        <v>142</v>
      </c>
      <c r="I815" s="6">
        <v>1406</v>
      </c>
      <c r="J815" s="7">
        <v>44280</v>
      </c>
      <c r="K815" s="8" t="str">
        <f>IF(B815="","",IF(AND(I815="",J815=""),"Unknown",IF(OR(AND(ISNUMBER(I815),I815=0),AND(ISNUMBER(J815),J815&lt;=EDATE('Scoring Settings'!$B$4,-'Scoring Settings'!$B$5))),"Not in use",IF(AND(ISNUMBER(I815),I815&lt;'Scoring Settings'!$B$6),"Low use","Active"))))</f>
        <v>Active</v>
      </c>
      <c r="L815" s="5">
        <v>5</v>
      </c>
      <c r="M815" s="5">
        <v>2</v>
      </c>
      <c r="N815" s="5"/>
      <c r="O815" s="5" t="s">
        <v>143</v>
      </c>
      <c r="P815" s="5" t="s">
        <v>144</v>
      </c>
      <c r="Q815" s="9">
        <v>0</v>
      </c>
      <c r="R815" s="5" t="s">
        <v>145</v>
      </c>
      <c r="S815" s="5" t="s">
        <v>145</v>
      </c>
      <c r="T815" s="5" t="s">
        <v>146</v>
      </c>
      <c r="U815" s="7">
        <v>45688</v>
      </c>
      <c r="V815" s="5" t="s">
        <v>78</v>
      </c>
      <c r="W815" s="6">
        <v>16</v>
      </c>
      <c r="X815" s="5" t="s">
        <v>80</v>
      </c>
      <c r="Y815" s="9">
        <v>10</v>
      </c>
      <c r="Z815" s="5" t="s">
        <v>79</v>
      </c>
      <c r="AA815" s="5" t="s">
        <v>110</v>
      </c>
      <c r="AB815" s="9">
        <v>30</v>
      </c>
      <c r="AC815" s="5" t="s">
        <v>80</v>
      </c>
      <c r="AD815" s="5" t="s">
        <v>79</v>
      </c>
      <c r="AE815" s="5" t="s">
        <v>79</v>
      </c>
      <c r="AF815" s="10">
        <v>200000</v>
      </c>
      <c r="AG815" s="7">
        <v>46053</v>
      </c>
      <c r="AH815" s="10"/>
      <c r="AI815" s="10"/>
      <c r="AJ815" s="11" t="str">
        <f t="shared" si="12"/>
        <v/>
      </c>
      <c r="AK815" s="12">
        <f>IF(B815="","",OR(K815="Not in use",K815="Low use")+AND(N815&lt;&gt;"",N815&lt;&gt;"TBD")+AND(ISNUMBER(U815),U815&lt;=EDATE('Scoring Settings'!$B$4,'Scoring Settings'!$B$8))+AND(ISNUMBER(L815),L815&lt;='Scoring Settings'!$B$7))</f>
        <v>0</v>
      </c>
      <c r="AL815" s="5" t="s">
        <v>83</v>
      </c>
      <c r="AM815" s="8" t="str">
        <f>IF(B815="","",IF(Z815="N","Easy",IF(OR(AND(ISNUMBER(AB815),AB815&gt;'Scoring Settings'!$B$11),AND(ISNUMBER(W815),W815&gt;'Scoring Settings'!$B$12),AND(ISNUMBER(M815),M815&lt;='Scoring Settings'!$B$13)),"High","Medium")))</f>
        <v>Easy</v>
      </c>
      <c r="AN815" s="5"/>
      <c r="AO815" s="7"/>
      <c r="AP815" s="5" t="s">
        <v>98</v>
      </c>
      <c r="AQ815" s="29" t="s">
        <v>273</v>
      </c>
    </row>
    <row r="816" spans="1:43" hidden="1">
      <c r="A816" s="28">
        <v>27818</v>
      </c>
      <c r="B816" s="5" t="s">
        <v>1461</v>
      </c>
      <c r="C816" s="5" t="s">
        <v>515</v>
      </c>
      <c r="D816" s="5" t="s">
        <v>102</v>
      </c>
      <c r="E816" s="5" t="s">
        <v>68</v>
      </c>
      <c r="F816" s="5" t="s">
        <v>266</v>
      </c>
      <c r="G816" s="5" t="s">
        <v>404</v>
      </c>
      <c r="H816" s="5" t="s">
        <v>105</v>
      </c>
      <c r="I816" s="6">
        <v>119</v>
      </c>
      <c r="J816" s="7">
        <v>44287</v>
      </c>
      <c r="K816" s="8" t="str">
        <f>IF(B816="","",IF(AND(I816="",J816=""),"Unknown",IF(OR(AND(ISNUMBER(I816),I816=0),AND(ISNUMBER(J816),J816&lt;=EDATE('Scoring Settings'!$B$4,-'Scoring Settings'!$B$5))),"Not in use",IF(AND(ISNUMBER(I816),I816&lt;'Scoring Settings'!$B$6),"Low use","Active"))))</f>
        <v>Active</v>
      </c>
      <c r="L816" s="5">
        <v>4</v>
      </c>
      <c r="M816" s="5">
        <v>3</v>
      </c>
      <c r="N816" s="5"/>
      <c r="O816" s="5" t="s">
        <v>73</v>
      </c>
      <c r="P816" s="5" t="s">
        <v>1462</v>
      </c>
      <c r="Q816" s="9">
        <v>2</v>
      </c>
      <c r="R816" s="5" t="s">
        <v>182</v>
      </c>
      <c r="S816" s="5" t="s">
        <v>183</v>
      </c>
      <c r="T816" s="5" t="s">
        <v>77</v>
      </c>
      <c r="U816" s="7">
        <v>42855</v>
      </c>
      <c r="V816" s="5" t="s">
        <v>95</v>
      </c>
      <c r="W816" s="6">
        <v>50</v>
      </c>
      <c r="X816" s="5" t="s">
        <v>80</v>
      </c>
      <c r="Y816" s="9">
        <v>7</v>
      </c>
      <c r="Z816" s="5" t="s">
        <v>79</v>
      </c>
      <c r="AA816" s="5" t="s">
        <v>110</v>
      </c>
      <c r="AB816" s="9">
        <v>3</v>
      </c>
      <c r="AC816" s="5" t="s">
        <v>82</v>
      </c>
      <c r="AD816" s="5" t="s">
        <v>82</v>
      </c>
      <c r="AE816" s="5" t="s">
        <v>79</v>
      </c>
      <c r="AF816" s="10">
        <v>37000</v>
      </c>
      <c r="AG816" s="7">
        <v>47848</v>
      </c>
      <c r="AH816" s="10"/>
      <c r="AI816" s="10"/>
      <c r="AJ816" s="11" t="str">
        <f t="shared" si="12"/>
        <v/>
      </c>
      <c r="AK816" s="12">
        <f>IF(B816="","",OR(K816="Not in use",K816="Low use")+AND(N816&lt;&gt;"",N816&lt;&gt;"TBD")+AND(ISNUMBER(U816),U816&lt;=EDATE('Scoring Settings'!$B$4,'Scoring Settings'!$B$8))+AND(ISNUMBER(L816),L816&lt;='Scoring Settings'!$B$7))</f>
        <v>1</v>
      </c>
      <c r="AL816" s="5" t="s">
        <v>111</v>
      </c>
      <c r="AM816" s="8" t="str">
        <f>IF(B816="","",IF(Z816="N","Easy",IF(OR(AND(ISNUMBER(AB816),AB816&gt;'Scoring Settings'!$B$11),AND(ISNUMBER(W816),W816&gt;'Scoring Settings'!$B$12),AND(ISNUMBER(M816),M816&lt;='Scoring Settings'!$B$13)),"High","Medium")))</f>
        <v>Easy</v>
      </c>
      <c r="AN816" s="5"/>
      <c r="AO816" s="7"/>
      <c r="AP816" s="5" t="s">
        <v>98</v>
      </c>
      <c r="AQ816" s="29" t="s">
        <v>112</v>
      </c>
    </row>
    <row r="817" spans="1:43" ht="42.75" hidden="1">
      <c r="A817" s="28">
        <v>42885</v>
      </c>
      <c r="B817" s="5" t="s">
        <v>1463</v>
      </c>
      <c r="C817" s="5" t="s">
        <v>138</v>
      </c>
      <c r="D817" s="5" t="s">
        <v>139</v>
      </c>
      <c r="E817" s="5" t="s">
        <v>68</v>
      </c>
      <c r="F817" s="5" t="s">
        <v>236</v>
      </c>
      <c r="G817" s="5" t="s">
        <v>90</v>
      </c>
      <c r="H817" s="5" t="s">
        <v>118</v>
      </c>
      <c r="I817" s="6">
        <v>3</v>
      </c>
      <c r="J817" s="7">
        <v>44230</v>
      </c>
      <c r="K817" s="8" t="str">
        <f>IF(B817="","",IF(AND(I817="",J817=""),"Unknown",IF(OR(AND(ISNUMBER(I817),I817=0),AND(ISNUMBER(J817),J817&lt;=EDATE('Scoring Settings'!$B$4,-'Scoring Settings'!$B$5))),"Not in use",IF(AND(ISNUMBER(I817),I817&lt;'Scoring Settings'!$B$6),"Low use","Active"))))</f>
        <v>Low use</v>
      </c>
      <c r="L817" s="5">
        <v>3</v>
      </c>
      <c r="M817" s="5">
        <v>2</v>
      </c>
      <c r="N817" s="5"/>
      <c r="O817" s="5" t="s">
        <v>73</v>
      </c>
      <c r="P817" s="5" t="s">
        <v>1464</v>
      </c>
      <c r="Q817" s="9">
        <v>5</v>
      </c>
      <c r="R817" s="5" t="s">
        <v>256</v>
      </c>
      <c r="S817" s="5" t="s">
        <v>257</v>
      </c>
      <c r="T817" s="5" t="s">
        <v>184</v>
      </c>
      <c r="U817" s="7" t="s">
        <v>72</v>
      </c>
      <c r="V817" s="5" t="s">
        <v>78</v>
      </c>
      <c r="W817" s="6">
        <v>440</v>
      </c>
      <c r="X817" s="5" t="s">
        <v>79</v>
      </c>
      <c r="Y817" s="9">
        <v>1</v>
      </c>
      <c r="Z817" s="5" t="s">
        <v>79</v>
      </c>
      <c r="AA817" s="5" t="s">
        <v>110</v>
      </c>
      <c r="AB817" s="9">
        <v>28</v>
      </c>
      <c r="AC817" s="5" t="s">
        <v>80</v>
      </c>
      <c r="AD817" s="5" t="s">
        <v>80</v>
      </c>
      <c r="AE817" s="5" t="s">
        <v>80</v>
      </c>
      <c r="AF817" s="10">
        <v>55000</v>
      </c>
      <c r="AG817" s="7">
        <v>46022</v>
      </c>
      <c r="AH817" s="10"/>
      <c r="AI817" s="10"/>
      <c r="AJ817" s="11" t="str">
        <f t="shared" si="12"/>
        <v/>
      </c>
      <c r="AK817" s="12">
        <f>IF(B817="","",OR(K817="Not in use",K817="Low use")+AND(N817&lt;&gt;"",N817&lt;&gt;"TBD")+AND(ISNUMBER(U817),U817&lt;=EDATE('Scoring Settings'!$B$4,'Scoring Settings'!$B$8))+AND(ISNUMBER(L817),L817&lt;='Scoring Settings'!$B$7))</f>
        <v>1</v>
      </c>
      <c r="AL817" s="5" t="s">
        <v>111</v>
      </c>
      <c r="AM817" s="8" t="str">
        <f>IF(B817="","",IF(Z817="N","Easy",IF(OR(AND(ISNUMBER(AB817),AB817&gt;'Scoring Settings'!$B$11),AND(ISNUMBER(W817),W817&gt;'Scoring Settings'!$B$12),AND(ISNUMBER(M817),M817&lt;='Scoring Settings'!$B$13)),"High","Medium")))</f>
        <v>Easy</v>
      </c>
      <c r="AN817" s="5"/>
      <c r="AO817" s="7"/>
      <c r="AP817" s="5" t="s">
        <v>98</v>
      </c>
      <c r="AQ817" s="29" t="s">
        <v>1465</v>
      </c>
    </row>
    <row r="818" spans="1:43" hidden="1">
      <c r="A818" s="28">
        <v>187996</v>
      </c>
      <c r="B818" s="5" t="s">
        <v>1469</v>
      </c>
      <c r="C818" s="5" t="s">
        <v>495</v>
      </c>
      <c r="D818" s="5" t="s">
        <v>162</v>
      </c>
      <c r="E818" s="5" t="s">
        <v>311</v>
      </c>
      <c r="F818" s="5" t="s">
        <v>249</v>
      </c>
      <c r="G818" s="5" t="s">
        <v>70</v>
      </c>
      <c r="H818" s="5" t="s">
        <v>189</v>
      </c>
      <c r="I818" s="6">
        <v>105</v>
      </c>
      <c r="J818" s="7">
        <v>44305</v>
      </c>
      <c r="K818" s="8" t="str">
        <f>IF(B818="","",IF(AND(I818="",J818=""),"Unknown",IF(OR(AND(ISNUMBER(I818),I818=0),AND(ISNUMBER(J818),J818&lt;=EDATE('Scoring Settings'!$B$4,-'Scoring Settings'!$B$5))),"Not in use",IF(AND(ISNUMBER(I818),I818&lt;'Scoring Settings'!$B$6),"Low use","Active"))))</f>
        <v>Active</v>
      </c>
      <c r="L818" s="5">
        <v>5</v>
      </c>
      <c r="M818" s="5">
        <v>1</v>
      </c>
      <c r="N818" s="5"/>
      <c r="O818" s="5" t="s">
        <v>73</v>
      </c>
      <c r="P818" s="5" t="s">
        <v>1470</v>
      </c>
      <c r="Q818" s="9">
        <v>2</v>
      </c>
      <c r="R818" s="5" t="s">
        <v>245</v>
      </c>
      <c r="S818" s="5" t="s">
        <v>246</v>
      </c>
      <c r="T818" s="5" t="s">
        <v>72</v>
      </c>
      <c r="U818" s="7">
        <v>45777</v>
      </c>
      <c r="V818" s="5" t="s">
        <v>78</v>
      </c>
      <c r="W818" s="6">
        <v>230</v>
      </c>
      <c r="X818" s="5" t="s">
        <v>79</v>
      </c>
      <c r="Y818" s="9">
        <v>3</v>
      </c>
      <c r="Z818" s="5" t="s">
        <v>80</v>
      </c>
      <c r="AA818" s="5" t="s">
        <v>205</v>
      </c>
      <c r="AB818" s="9">
        <v>52</v>
      </c>
      <c r="AC818" s="5" t="s">
        <v>79</v>
      </c>
      <c r="AD818" s="5" t="s">
        <v>80</v>
      </c>
      <c r="AE818" s="5" t="s">
        <v>79</v>
      </c>
      <c r="AF818" s="10">
        <v>140000</v>
      </c>
      <c r="AG818" s="7">
        <v>49460</v>
      </c>
      <c r="AH818" s="10"/>
      <c r="AI818" s="10"/>
      <c r="AJ818" s="11" t="str">
        <f t="shared" si="12"/>
        <v/>
      </c>
      <c r="AK818" s="12">
        <f>IF(B818="","",OR(K818="Not in use",K818="Low use")+AND(N818&lt;&gt;"",N818&lt;&gt;"TBD")+AND(ISNUMBER(U818),U818&lt;=EDATE('Scoring Settings'!$B$4,'Scoring Settings'!$B$8))+AND(ISNUMBER(L818),L818&lt;='Scoring Settings'!$B$7))</f>
        <v>0</v>
      </c>
      <c r="AL818" s="5" t="s">
        <v>83</v>
      </c>
      <c r="AM818" s="8" t="str">
        <f>IF(B818="","",IF(Z818="N","Easy",IF(OR(AND(ISNUMBER(AB818),AB818&gt;'Scoring Settings'!$B$11),AND(ISNUMBER(W818),W818&gt;'Scoring Settings'!$B$12),AND(ISNUMBER(M818),M818&lt;='Scoring Settings'!$B$13)),"High","Medium")))</f>
        <v>High</v>
      </c>
      <c r="AN818" s="5"/>
      <c r="AO818" s="7"/>
      <c r="AP818" s="5" t="s">
        <v>84</v>
      </c>
      <c r="AQ818" s="29" t="s">
        <v>247</v>
      </c>
    </row>
    <row r="819" spans="1:43" hidden="1">
      <c r="A819" s="28">
        <v>58713</v>
      </c>
      <c r="B819" s="5" t="s">
        <v>1471</v>
      </c>
      <c r="C819" s="5" t="s">
        <v>325</v>
      </c>
      <c r="D819" s="5" t="s">
        <v>139</v>
      </c>
      <c r="E819" s="5" t="s">
        <v>298</v>
      </c>
      <c r="F819" s="5" t="s">
        <v>188</v>
      </c>
      <c r="G819" s="5" t="s">
        <v>278</v>
      </c>
      <c r="H819" s="5" t="s">
        <v>91</v>
      </c>
      <c r="I819" s="6">
        <v>73</v>
      </c>
      <c r="J819" s="7">
        <v>44290</v>
      </c>
      <c r="K819" s="8" t="str">
        <f>IF(B819="","",IF(AND(I819="",J819=""),"Unknown",IF(OR(AND(ISNUMBER(I819),I819=0),AND(ISNUMBER(J819),J819&lt;=EDATE('Scoring Settings'!$B$4,-'Scoring Settings'!$B$5))),"Not in use",IF(AND(ISNUMBER(I819),I819&lt;'Scoring Settings'!$B$6),"Low use","Active"))))</f>
        <v>Active</v>
      </c>
      <c r="L819" s="5">
        <v>4</v>
      </c>
      <c r="M819" s="5">
        <v>3</v>
      </c>
      <c r="N819" s="5"/>
      <c r="O819" s="5" t="s">
        <v>73</v>
      </c>
      <c r="P819" s="5" t="s">
        <v>505</v>
      </c>
      <c r="Q819" s="9">
        <v>4</v>
      </c>
      <c r="R819" s="5" t="s">
        <v>251</v>
      </c>
      <c r="S819" s="5" t="s">
        <v>133</v>
      </c>
      <c r="T819" s="5" t="s">
        <v>77</v>
      </c>
      <c r="U819" s="7">
        <v>44165</v>
      </c>
      <c r="V819" s="5" t="s">
        <v>135</v>
      </c>
      <c r="W819" s="6">
        <v>59</v>
      </c>
      <c r="X819" s="5" t="s">
        <v>79</v>
      </c>
      <c r="Y819" s="9">
        <v>1</v>
      </c>
      <c r="Z819" s="5" t="s">
        <v>79</v>
      </c>
      <c r="AA819" s="5" t="s">
        <v>110</v>
      </c>
      <c r="AB819" s="9">
        <v>8</v>
      </c>
      <c r="AC819" s="5" t="s">
        <v>82</v>
      </c>
      <c r="AD819" s="5" t="s">
        <v>80</v>
      </c>
      <c r="AE819" s="5" t="s">
        <v>79</v>
      </c>
      <c r="AF819" s="10">
        <v>75000</v>
      </c>
      <c r="AG819" s="7">
        <v>49490</v>
      </c>
      <c r="AH819" s="10">
        <v>48000</v>
      </c>
      <c r="AI819" s="10">
        <v>63000</v>
      </c>
      <c r="AJ819" s="11">
        <f t="shared" si="12"/>
        <v>9.1428571428571423</v>
      </c>
      <c r="AK819" s="12">
        <f>IF(B819="","",OR(K819="Not in use",K819="Low use")+AND(N819&lt;&gt;"",N819&lt;&gt;"TBD")+AND(ISNUMBER(U819),U819&lt;=EDATE('Scoring Settings'!$B$4,'Scoring Settings'!$B$8))+AND(ISNUMBER(L819),L819&lt;='Scoring Settings'!$B$7))</f>
        <v>1</v>
      </c>
      <c r="AL819" s="5" t="s">
        <v>111</v>
      </c>
      <c r="AM819" s="8" t="str">
        <f>IF(B819="","",IF(Z819="N","Easy",IF(OR(AND(ISNUMBER(AB819),AB819&gt;'Scoring Settings'!$B$11),AND(ISNUMBER(W819),W819&gt;'Scoring Settings'!$B$12),AND(ISNUMBER(M819),M819&lt;='Scoring Settings'!$B$13)),"High","Medium")))</f>
        <v>Easy</v>
      </c>
      <c r="AN819" s="5"/>
      <c r="AO819" s="7"/>
      <c r="AP819" s="5" t="s">
        <v>98</v>
      </c>
      <c r="AQ819" s="29" t="s">
        <v>159</v>
      </c>
    </row>
    <row r="820" spans="1:43" ht="42.75" hidden="1">
      <c r="A820" s="28">
        <v>80421</v>
      </c>
      <c r="B820" s="5" t="s">
        <v>1472</v>
      </c>
      <c r="C820" s="5" t="s">
        <v>453</v>
      </c>
      <c r="D820" s="5" t="s">
        <v>67</v>
      </c>
      <c r="E820" s="5" t="s">
        <v>68</v>
      </c>
      <c r="F820" s="5" t="s">
        <v>266</v>
      </c>
      <c r="G820" s="5" t="s">
        <v>237</v>
      </c>
      <c r="H820" s="5" t="s">
        <v>71</v>
      </c>
      <c r="I820" s="6">
        <v>100</v>
      </c>
      <c r="J820" s="7">
        <v>44302</v>
      </c>
      <c r="K820" s="8" t="str">
        <f>IF(B820="","",IF(AND(I820="",J820=""),"Unknown",IF(OR(AND(ISNUMBER(I820),I820=0),AND(ISNUMBER(J820),J820&lt;=EDATE('Scoring Settings'!$B$4,-'Scoring Settings'!$B$5))),"Not in use",IF(AND(ISNUMBER(I820),I820&lt;'Scoring Settings'!$B$6),"Low use","Active"))))</f>
        <v>Active</v>
      </c>
      <c r="L820" s="5">
        <v>4</v>
      </c>
      <c r="M820" s="5">
        <v>2</v>
      </c>
      <c r="N820" s="5" t="s">
        <v>211</v>
      </c>
      <c r="O820" s="5" t="s">
        <v>130</v>
      </c>
      <c r="P820" s="5" t="s">
        <v>1473</v>
      </c>
      <c r="Q820" s="9">
        <v>3</v>
      </c>
      <c r="R820" s="5" t="s">
        <v>93</v>
      </c>
      <c r="S820" s="5" t="s">
        <v>94</v>
      </c>
      <c r="T820" s="5" t="s">
        <v>195</v>
      </c>
      <c r="U820" s="7">
        <v>44561</v>
      </c>
      <c r="V820" s="5" t="s">
        <v>135</v>
      </c>
      <c r="W820" s="6">
        <v>1100</v>
      </c>
      <c r="X820" s="5" t="s">
        <v>79</v>
      </c>
      <c r="Y820" s="9">
        <v>1</v>
      </c>
      <c r="Z820" s="5" t="s">
        <v>79</v>
      </c>
      <c r="AA820" s="5" t="s">
        <v>110</v>
      </c>
      <c r="AB820" s="9">
        <v>9</v>
      </c>
      <c r="AC820" s="5" t="s">
        <v>79</v>
      </c>
      <c r="AD820" s="5" t="s">
        <v>79</v>
      </c>
      <c r="AE820" s="5" t="s">
        <v>82</v>
      </c>
      <c r="AF820" s="10">
        <v>40000</v>
      </c>
      <c r="AG820" s="7">
        <v>49552</v>
      </c>
      <c r="AH820" s="10">
        <v>67000</v>
      </c>
      <c r="AI820" s="10">
        <v>29000</v>
      </c>
      <c r="AJ820" s="11">
        <f t="shared" si="12"/>
        <v>27.724137931034484</v>
      </c>
      <c r="AK820" s="12">
        <f>IF(B820="","",OR(K820="Not in use",K820="Low use")+AND(N820&lt;&gt;"",N820&lt;&gt;"TBD")+AND(ISNUMBER(U820),U820&lt;=EDATE('Scoring Settings'!$B$4,'Scoring Settings'!$B$8))+AND(ISNUMBER(L820),L820&lt;='Scoring Settings'!$B$7))</f>
        <v>2</v>
      </c>
      <c r="AL820" s="5" t="s">
        <v>111</v>
      </c>
      <c r="AM820" s="8" t="str">
        <f>IF(B820="","",IF(Z820="N","Easy",IF(OR(AND(ISNUMBER(AB820),AB820&gt;'Scoring Settings'!$B$11),AND(ISNUMBER(W820),W820&gt;'Scoring Settings'!$B$12),AND(ISNUMBER(M820),M820&lt;='Scoring Settings'!$B$13)),"High","Medium")))</f>
        <v>Easy</v>
      </c>
      <c r="AN820" s="5"/>
      <c r="AO820" s="7"/>
      <c r="AP820" s="5" t="s">
        <v>98</v>
      </c>
      <c r="AQ820" s="29" t="s">
        <v>1187</v>
      </c>
    </row>
    <row r="821" spans="1:43" hidden="1">
      <c r="A821" s="28">
        <v>64318</v>
      </c>
      <c r="B821" s="5" t="s">
        <v>1474</v>
      </c>
      <c r="C821" s="5" t="s">
        <v>464</v>
      </c>
      <c r="D821" s="5" t="s">
        <v>88</v>
      </c>
      <c r="E821" s="5" t="s">
        <v>68</v>
      </c>
      <c r="F821" s="5" t="s">
        <v>140</v>
      </c>
      <c r="G821" s="5" t="s">
        <v>90</v>
      </c>
      <c r="H821" s="5" t="s">
        <v>105</v>
      </c>
      <c r="I821" s="6">
        <v>133</v>
      </c>
      <c r="J821" s="7">
        <v>44274</v>
      </c>
      <c r="K821" s="8" t="str">
        <f>IF(B821="","",IF(AND(I821="",J821=""),"Unknown",IF(OR(AND(ISNUMBER(I821),I821=0),AND(ISNUMBER(J821),J821&lt;=EDATE('Scoring Settings'!$B$4,-'Scoring Settings'!$B$5))),"Not in use",IF(AND(ISNUMBER(I821),I821&lt;'Scoring Settings'!$B$6),"Low use","Active"))))</f>
        <v>Active</v>
      </c>
      <c r="L821" s="5">
        <v>5</v>
      </c>
      <c r="M821" s="5">
        <v>1</v>
      </c>
      <c r="N821" s="5"/>
      <c r="O821" s="5" t="s">
        <v>191</v>
      </c>
      <c r="P821" s="5" t="s">
        <v>192</v>
      </c>
      <c r="Q821" s="9">
        <v>0</v>
      </c>
      <c r="R821" s="5" t="s">
        <v>193</v>
      </c>
      <c r="S821" s="5" t="s">
        <v>318</v>
      </c>
      <c r="T821" s="5" t="s">
        <v>195</v>
      </c>
      <c r="U821" s="7">
        <v>44742</v>
      </c>
      <c r="V821" s="5" t="s">
        <v>95</v>
      </c>
      <c r="W821" s="6">
        <v>160</v>
      </c>
      <c r="X821" s="5" t="s">
        <v>80</v>
      </c>
      <c r="Y821" s="9">
        <v>10</v>
      </c>
      <c r="Z821" s="5" t="s">
        <v>79</v>
      </c>
      <c r="AA821" s="5" t="s">
        <v>110</v>
      </c>
      <c r="AB821" s="9">
        <v>74</v>
      </c>
      <c r="AC821" s="5" t="s">
        <v>79</v>
      </c>
      <c r="AD821" s="5" t="s">
        <v>80</v>
      </c>
      <c r="AE821" s="5" t="s">
        <v>82</v>
      </c>
      <c r="AF821" s="10">
        <v>13500</v>
      </c>
      <c r="AG821" s="7">
        <v>47299</v>
      </c>
      <c r="AH821" s="10"/>
      <c r="AI821" s="10"/>
      <c r="AJ821" s="11" t="str">
        <f t="shared" si="12"/>
        <v/>
      </c>
      <c r="AK821" s="12">
        <f>IF(B821="","",OR(K821="Not in use",K821="Low use")+AND(N821&lt;&gt;"",N821&lt;&gt;"TBD")+AND(ISNUMBER(U821),U821&lt;=EDATE('Scoring Settings'!$B$4,'Scoring Settings'!$B$8))+AND(ISNUMBER(L821),L821&lt;='Scoring Settings'!$B$7))</f>
        <v>0</v>
      </c>
      <c r="AL821" s="5" t="s">
        <v>83</v>
      </c>
      <c r="AM821" s="8" t="str">
        <f>IF(B821="","",IF(Z821="N","Easy",IF(OR(AND(ISNUMBER(AB821),AB821&gt;'Scoring Settings'!$B$11),AND(ISNUMBER(W821),W821&gt;'Scoring Settings'!$B$12),AND(ISNUMBER(M821),M821&lt;='Scoring Settings'!$B$13)),"High","Medium")))</f>
        <v>Easy</v>
      </c>
      <c r="AN821" s="5"/>
      <c r="AO821" s="7"/>
      <c r="AP821" s="5" t="s">
        <v>84</v>
      </c>
      <c r="AQ821" s="29" t="s">
        <v>247</v>
      </c>
    </row>
    <row r="822" spans="1:43" hidden="1">
      <c r="A822" s="28">
        <v>173772</v>
      </c>
      <c r="B822" s="5" t="s">
        <v>1479</v>
      </c>
      <c r="C822" s="5" t="s">
        <v>634</v>
      </c>
      <c r="D822" s="5" t="s">
        <v>297</v>
      </c>
      <c r="E822" s="5" t="s">
        <v>68</v>
      </c>
      <c r="F822" s="5" t="s">
        <v>116</v>
      </c>
      <c r="G822" s="5" t="s">
        <v>221</v>
      </c>
      <c r="H822" s="5" t="s">
        <v>142</v>
      </c>
      <c r="I822" s="6">
        <v>476</v>
      </c>
      <c r="J822" s="7">
        <v>44280</v>
      </c>
      <c r="K822" s="8" t="str">
        <f>IF(B822="","",IF(AND(I822="",J822=""),"Unknown",IF(OR(AND(ISNUMBER(I822),I822=0),AND(ISNUMBER(J822),J822&lt;=EDATE('Scoring Settings'!$B$4,-'Scoring Settings'!$B$5))),"Not in use",IF(AND(ISNUMBER(I822),I822&lt;'Scoring Settings'!$B$6),"Low use","Active"))))</f>
        <v>Active</v>
      </c>
      <c r="L822" s="5">
        <v>4</v>
      </c>
      <c r="M822" s="5">
        <v>2</v>
      </c>
      <c r="N822" s="5"/>
      <c r="O822" s="5" t="s">
        <v>143</v>
      </c>
      <c r="P822" s="5" t="s">
        <v>144</v>
      </c>
      <c r="Q822" s="9">
        <v>0</v>
      </c>
      <c r="R822" s="5" t="s">
        <v>145</v>
      </c>
      <c r="S822" s="5" t="s">
        <v>145</v>
      </c>
      <c r="T822" s="5" t="s">
        <v>146</v>
      </c>
      <c r="U822" s="7"/>
      <c r="V822" s="5" t="s">
        <v>135</v>
      </c>
      <c r="W822" s="6">
        <v>1760</v>
      </c>
      <c r="X822" s="5" t="s">
        <v>79</v>
      </c>
      <c r="Y822" s="9">
        <v>3</v>
      </c>
      <c r="Z822" s="5" t="s">
        <v>80</v>
      </c>
      <c r="AA822" s="5" t="s">
        <v>81</v>
      </c>
      <c r="AB822" s="9">
        <v>24</v>
      </c>
      <c r="AC822" s="5" t="s">
        <v>79</v>
      </c>
      <c r="AD822" s="5" t="s">
        <v>79</v>
      </c>
      <c r="AE822" s="5" t="s">
        <v>79</v>
      </c>
      <c r="AF822" s="10">
        <v>125000</v>
      </c>
      <c r="AG822" s="7">
        <v>48579</v>
      </c>
      <c r="AH822" s="10"/>
      <c r="AI822" s="10"/>
      <c r="AJ822" s="11" t="str">
        <f t="shared" si="12"/>
        <v/>
      </c>
      <c r="AK822" s="12">
        <f>IF(B822="","",OR(K822="Not in use",K822="Low use")+AND(N822&lt;&gt;"",N822&lt;&gt;"TBD")+AND(ISNUMBER(U822),U822&lt;=EDATE('Scoring Settings'!$B$4,'Scoring Settings'!$B$8))+AND(ISNUMBER(L822),L822&lt;='Scoring Settings'!$B$7))</f>
        <v>0</v>
      </c>
      <c r="AL822" s="5" t="s">
        <v>83</v>
      </c>
      <c r="AM822" s="8" t="str">
        <f>IF(B822="","",IF(Z822="N","Easy",IF(OR(AND(ISNUMBER(AB822),AB822&gt;'Scoring Settings'!$B$11),AND(ISNUMBER(W822),W822&gt;'Scoring Settings'!$B$12),AND(ISNUMBER(M822),M822&lt;='Scoring Settings'!$B$13)),"High","Medium")))</f>
        <v>High</v>
      </c>
      <c r="AN822" s="5"/>
      <c r="AO822" s="7"/>
      <c r="AP822" s="5" t="s">
        <v>84</v>
      </c>
      <c r="AQ822" s="29" t="s">
        <v>273</v>
      </c>
    </row>
    <row r="823" spans="1:43" hidden="1">
      <c r="A823" s="28">
        <v>38136</v>
      </c>
      <c r="B823" s="5" t="s">
        <v>1480</v>
      </c>
      <c r="C823" s="5" t="s">
        <v>390</v>
      </c>
      <c r="D823" s="5" t="s">
        <v>88</v>
      </c>
      <c r="E823" s="5" t="s">
        <v>68</v>
      </c>
      <c r="F823" s="5" t="s">
        <v>69</v>
      </c>
      <c r="G823" s="5" t="s">
        <v>271</v>
      </c>
      <c r="H823" s="5" t="s">
        <v>105</v>
      </c>
      <c r="I823" s="6">
        <v>36</v>
      </c>
      <c r="J823" s="7">
        <v>44275</v>
      </c>
      <c r="K823" s="8" t="str">
        <f>IF(B823="","",IF(AND(I823="",J823=""),"Unknown",IF(OR(AND(ISNUMBER(I823),I823=0),AND(ISNUMBER(J823),J823&lt;=EDATE('Scoring Settings'!$B$4,-'Scoring Settings'!$B$5))),"Not in use",IF(AND(ISNUMBER(I823),I823&lt;'Scoring Settings'!$B$6),"Low use","Active"))))</f>
        <v>Active</v>
      </c>
      <c r="L823" s="5">
        <v>3</v>
      </c>
      <c r="M823" s="5">
        <v>4</v>
      </c>
      <c r="N823" s="5"/>
      <c r="O823" s="5" t="s">
        <v>73</v>
      </c>
      <c r="P823" s="5" t="s">
        <v>1481</v>
      </c>
      <c r="Q823" s="9">
        <v>2</v>
      </c>
      <c r="R823" s="5" t="s">
        <v>203</v>
      </c>
      <c r="S823" s="5" t="s">
        <v>508</v>
      </c>
      <c r="T823" s="5" t="s">
        <v>184</v>
      </c>
      <c r="U823" s="7">
        <v>47269</v>
      </c>
      <c r="V823" s="5" t="s">
        <v>135</v>
      </c>
      <c r="W823" s="6">
        <v>1580</v>
      </c>
      <c r="X823" s="5" t="s">
        <v>79</v>
      </c>
      <c r="Y823" s="9">
        <v>3</v>
      </c>
      <c r="Z823" s="5" t="s">
        <v>80</v>
      </c>
      <c r="AA823" s="5" t="s">
        <v>205</v>
      </c>
      <c r="AB823" s="9">
        <v>2</v>
      </c>
      <c r="AC823" s="5" t="s">
        <v>79</v>
      </c>
      <c r="AD823" s="5" t="s">
        <v>80</v>
      </c>
      <c r="AE823" s="5" t="s">
        <v>82</v>
      </c>
      <c r="AF823" s="10">
        <v>41000</v>
      </c>
      <c r="AG823" s="7">
        <v>48913</v>
      </c>
      <c r="AH823" s="10"/>
      <c r="AI823" s="10"/>
      <c r="AJ823" s="11" t="str">
        <f t="shared" si="12"/>
        <v/>
      </c>
      <c r="AK823" s="12">
        <f>IF(B823="","",OR(K823="Not in use",K823="Low use")+AND(N823&lt;&gt;"",N823&lt;&gt;"TBD")+AND(ISNUMBER(U823),U823&lt;=EDATE('Scoring Settings'!$B$4,'Scoring Settings'!$B$8))+AND(ISNUMBER(L823),L823&lt;='Scoring Settings'!$B$7))</f>
        <v>0</v>
      </c>
      <c r="AL823" s="5" t="s">
        <v>111</v>
      </c>
      <c r="AM823" s="8" t="str">
        <f>IF(B823="","",IF(Z823="N","Easy",IF(OR(AND(ISNUMBER(AB823),AB823&gt;'Scoring Settings'!$B$11),AND(ISNUMBER(W823),W823&gt;'Scoring Settings'!$B$12),AND(ISNUMBER(M823),M823&lt;='Scoring Settings'!$B$13)),"High","Medium")))</f>
        <v>High</v>
      </c>
      <c r="AN823" s="5"/>
      <c r="AO823" s="7"/>
      <c r="AP823" s="5" t="s">
        <v>98</v>
      </c>
      <c r="AQ823" s="29" t="s">
        <v>159</v>
      </c>
    </row>
    <row r="824" spans="1:43" hidden="1">
      <c r="A824" s="28">
        <v>175008</v>
      </c>
      <c r="B824" s="5" t="s">
        <v>1482</v>
      </c>
      <c r="C824" s="5" t="s">
        <v>343</v>
      </c>
      <c r="D824" s="5" t="s">
        <v>102</v>
      </c>
      <c r="E824" s="5" t="s">
        <v>68</v>
      </c>
      <c r="F824" s="5" t="s">
        <v>127</v>
      </c>
      <c r="G824" s="5" t="s">
        <v>404</v>
      </c>
      <c r="H824" s="5" t="s">
        <v>174</v>
      </c>
      <c r="I824" s="6">
        <v>1632</v>
      </c>
      <c r="J824" s="7">
        <v>44270</v>
      </c>
      <c r="K824" s="8" t="str">
        <f>IF(B824="","",IF(AND(I824="",J824=""),"Unknown",IF(OR(AND(ISNUMBER(I824),I824=0),AND(ISNUMBER(J824),J824&lt;=EDATE('Scoring Settings'!$B$4,-'Scoring Settings'!$B$5))),"Not in use",IF(AND(ISNUMBER(I824),I824&lt;'Scoring Settings'!$B$6),"Low use","Active"))))</f>
        <v>Active</v>
      </c>
      <c r="L824" s="5">
        <v>3</v>
      </c>
      <c r="M824" s="5">
        <v>4</v>
      </c>
      <c r="N824" s="5"/>
      <c r="O824" s="5" t="s">
        <v>73</v>
      </c>
      <c r="P824" s="5" t="s">
        <v>1483</v>
      </c>
      <c r="Q824" s="9">
        <v>3</v>
      </c>
      <c r="R824" s="5" t="s">
        <v>72</v>
      </c>
      <c r="S824" s="5" t="s">
        <v>257</v>
      </c>
      <c r="T824" s="5" t="s">
        <v>122</v>
      </c>
      <c r="U824" s="7">
        <v>45077</v>
      </c>
      <c r="V824" s="5" t="s">
        <v>95</v>
      </c>
      <c r="W824" s="6">
        <v>260</v>
      </c>
      <c r="X824" s="5" t="s">
        <v>80</v>
      </c>
      <c r="Y824" s="9">
        <v>10</v>
      </c>
      <c r="Z824" s="5" t="s">
        <v>79</v>
      </c>
      <c r="AA824" s="5" t="s">
        <v>110</v>
      </c>
      <c r="AB824" s="9">
        <v>2</v>
      </c>
      <c r="AC824" s="5" t="s">
        <v>82</v>
      </c>
      <c r="AD824" s="5" t="s">
        <v>79</v>
      </c>
      <c r="AE824" s="5" t="s">
        <v>79</v>
      </c>
      <c r="AF824" s="10">
        <v>18500</v>
      </c>
      <c r="AG824" s="7">
        <v>49552</v>
      </c>
      <c r="AH824" s="10">
        <v>13500</v>
      </c>
      <c r="AI824" s="10">
        <v>13500</v>
      </c>
      <c r="AJ824" s="11">
        <f t="shared" si="12"/>
        <v>12</v>
      </c>
      <c r="AK824" s="12">
        <f>IF(B824="","",OR(K824="Not in use",K824="Low use")+AND(N824&lt;&gt;"",N824&lt;&gt;"TBD")+AND(ISNUMBER(U824),U824&lt;=EDATE('Scoring Settings'!$B$4,'Scoring Settings'!$B$8))+AND(ISNUMBER(L824),L824&lt;='Scoring Settings'!$B$7))</f>
        <v>0</v>
      </c>
      <c r="AL824" s="5" t="s">
        <v>111</v>
      </c>
      <c r="AM824" s="8" t="str">
        <f>IF(B824="","",IF(Z824="N","Easy",IF(OR(AND(ISNUMBER(AB824),AB824&gt;'Scoring Settings'!$B$11),AND(ISNUMBER(W824),W824&gt;'Scoring Settings'!$B$12),AND(ISNUMBER(M824),M824&lt;='Scoring Settings'!$B$13)),"High","Medium")))</f>
        <v>Easy</v>
      </c>
      <c r="AN824" s="5"/>
      <c r="AO824" s="7"/>
      <c r="AP824" s="5" t="s">
        <v>98</v>
      </c>
      <c r="AQ824" s="29" t="s">
        <v>124</v>
      </c>
    </row>
    <row r="825" spans="1:43" hidden="1">
      <c r="A825" s="28">
        <v>123124</v>
      </c>
      <c r="B825" s="5" t="s">
        <v>1486</v>
      </c>
      <c r="C825" s="5" t="s">
        <v>208</v>
      </c>
      <c r="D825" s="5" t="s">
        <v>67</v>
      </c>
      <c r="E825" s="5" t="s">
        <v>68</v>
      </c>
      <c r="F825" s="5" t="s">
        <v>152</v>
      </c>
      <c r="G825" s="5" t="s">
        <v>221</v>
      </c>
      <c r="H825" s="5" t="s">
        <v>91</v>
      </c>
      <c r="I825" s="6">
        <v>7</v>
      </c>
      <c r="J825" s="7">
        <v>44271</v>
      </c>
      <c r="K825" s="8" t="str">
        <f>IF(B825="","",IF(AND(I825="",J825=""),"Unknown",IF(OR(AND(ISNUMBER(I825),I825=0),AND(ISNUMBER(J825),J825&lt;=EDATE('Scoring Settings'!$B$4,-'Scoring Settings'!$B$5))),"Not in use",IF(AND(ISNUMBER(I825),I825&lt;'Scoring Settings'!$B$6),"Low use","Active"))))</f>
        <v>Low use</v>
      </c>
      <c r="L825" s="5">
        <v>3</v>
      </c>
      <c r="M825" s="5">
        <v>4</v>
      </c>
      <c r="N825" s="5"/>
      <c r="O825" s="5" t="s">
        <v>73</v>
      </c>
      <c r="P825" s="5" t="s">
        <v>1487</v>
      </c>
      <c r="Q825" s="9">
        <v>2</v>
      </c>
      <c r="R825" s="5" t="s">
        <v>107</v>
      </c>
      <c r="S825" s="5" t="s">
        <v>108</v>
      </c>
      <c r="T825" s="5" t="s">
        <v>77</v>
      </c>
      <c r="U825" s="7" t="s">
        <v>72</v>
      </c>
      <c r="V825" s="5" t="s">
        <v>135</v>
      </c>
      <c r="W825" s="6">
        <v>340</v>
      </c>
      <c r="X825" s="5" t="s">
        <v>80</v>
      </c>
      <c r="Y825" s="9">
        <v>5</v>
      </c>
      <c r="Z825" s="5" t="s">
        <v>80</v>
      </c>
      <c r="AA825" s="5" t="s">
        <v>123</v>
      </c>
      <c r="AB825" s="9">
        <v>3</v>
      </c>
      <c r="AC825" s="5" t="s">
        <v>79</v>
      </c>
      <c r="AD825" s="5" t="s">
        <v>82</v>
      </c>
      <c r="AE825" s="5" t="s">
        <v>82</v>
      </c>
      <c r="AF825" s="10">
        <v>33500</v>
      </c>
      <c r="AG825" s="7">
        <v>48121</v>
      </c>
      <c r="AH825" s="10"/>
      <c r="AI825" s="10"/>
      <c r="AJ825" s="11" t="str">
        <f t="shared" si="12"/>
        <v/>
      </c>
      <c r="AK825" s="12">
        <f>IF(B825="","",OR(K825="Not in use",K825="Low use")+AND(N825&lt;&gt;"",N825&lt;&gt;"TBD")+AND(ISNUMBER(U825),U825&lt;=EDATE('Scoring Settings'!$B$4,'Scoring Settings'!$B$8))+AND(ISNUMBER(L825),L825&lt;='Scoring Settings'!$B$7))</f>
        <v>1</v>
      </c>
      <c r="AL825" s="5" t="s">
        <v>111</v>
      </c>
      <c r="AM825" s="8" t="str">
        <f>IF(B825="","",IF(Z825="N","Easy",IF(OR(AND(ISNUMBER(AB825),AB825&gt;'Scoring Settings'!$B$11),AND(ISNUMBER(W825),W825&gt;'Scoring Settings'!$B$12),AND(ISNUMBER(M825),M825&lt;='Scoring Settings'!$B$13)),"High","Medium")))</f>
        <v>Medium</v>
      </c>
      <c r="AN825" s="5"/>
      <c r="AO825" s="7"/>
      <c r="AP825" s="5" t="s">
        <v>98</v>
      </c>
      <c r="AQ825" s="29" t="s">
        <v>112</v>
      </c>
    </row>
    <row r="826" spans="1:43" hidden="1">
      <c r="A826" s="28">
        <v>150052</v>
      </c>
      <c r="B826" s="5" t="s">
        <v>1488</v>
      </c>
      <c r="C826" s="5" t="s">
        <v>161</v>
      </c>
      <c r="D826" s="5" t="s">
        <v>162</v>
      </c>
      <c r="E826" s="5" t="s">
        <v>298</v>
      </c>
      <c r="F826" s="5" t="s">
        <v>152</v>
      </c>
      <c r="G826" s="5" t="s">
        <v>70</v>
      </c>
      <c r="H826" s="5" t="s">
        <v>174</v>
      </c>
      <c r="I826" s="6">
        <v>27</v>
      </c>
      <c r="J826" s="7">
        <v>44286</v>
      </c>
      <c r="K826" s="8" t="str">
        <f>IF(B826="","",IF(AND(I826="",J826=""),"Unknown",IF(OR(AND(ISNUMBER(I826),I826=0),AND(ISNUMBER(J826),J826&lt;=EDATE('Scoring Settings'!$B$4,-'Scoring Settings'!$B$5))),"Not in use",IF(AND(ISNUMBER(I826),I826&lt;'Scoring Settings'!$B$6),"Low use","Active"))))</f>
        <v>Active</v>
      </c>
      <c r="L826" s="5">
        <v>2</v>
      </c>
      <c r="M826" s="5">
        <v>4</v>
      </c>
      <c r="N826" s="5" t="s">
        <v>416</v>
      </c>
      <c r="O826" s="5" t="s">
        <v>130</v>
      </c>
      <c r="P826" s="5" t="s">
        <v>1489</v>
      </c>
      <c r="Q826" s="9">
        <v>1</v>
      </c>
      <c r="R826" s="5" t="s">
        <v>75</v>
      </c>
      <c r="S826" s="5" t="s">
        <v>121</v>
      </c>
      <c r="T826" s="5" t="s">
        <v>195</v>
      </c>
      <c r="U826" s="7">
        <v>46217</v>
      </c>
      <c r="V826" s="5" t="s">
        <v>135</v>
      </c>
      <c r="W826" s="6">
        <v>47</v>
      </c>
      <c r="X826" s="5" t="s">
        <v>79</v>
      </c>
      <c r="Y826" s="9">
        <v>7</v>
      </c>
      <c r="Z826" s="5" t="s">
        <v>80</v>
      </c>
      <c r="AA826" s="5" t="s">
        <v>205</v>
      </c>
      <c r="AB826" s="9">
        <v>0</v>
      </c>
      <c r="AC826" s="5" t="s">
        <v>82</v>
      </c>
      <c r="AD826" s="5" t="s">
        <v>79</v>
      </c>
      <c r="AE826" s="5" t="s">
        <v>80</v>
      </c>
      <c r="AF826" s="10">
        <v>15000</v>
      </c>
      <c r="AG826" s="7">
        <v>47664</v>
      </c>
      <c r="AH826" s="10"/>
      <c r="AI826" s="10"/>
      <c r="AJ826" s="11" t="str">
        <f t="shared" si="12"/>
        <v/>
      </c>
      <c r="AK826" s="12">
        <f>IF(B826="","",OR(K826="Not in use",K826="Low use")+AND(N826&lt;&gt;"",N826&lt;&gt;"TBD")+AND(ISNUMBER(U826),U826&lt;=EDATE('Scoring Settings'!$B$4,'Scoring Settings'!$B$8))+AND(ISNUMBER(L826),L826&lt;='Scoring Settings'!$B$7))</f>
        <v>2</v>
      </c>
      <c r="AL826" s="5" t="s">
        <v>111</v>
      </c>
      <c r="AM826" s="8" t="str">
        <f>IF(B826="","",IF(Z826="N","Easy",IF(OR(AND(ISNUMBER(AB826),AB826&gt;'Scoring Settings'!$B$11),AND(ISNUMBER(W826),W826&gt;'Scoring Settings'!$B$12),AND(ISNUMBER(M826),M826&lt;='Scoring Settings'!$B$13)),"High","Medium")))</f>
        <v>Medium</v>
      </c>
      <c r="AN826" s="5"/>
      <c r="AO826" s="7"/>
      <c r="AP826" s="5" t="s">
        <v>98</v>
      </c>
      <c r="AQ826" s="29" t="s">
        <v>124</v>
      </c>
    </row>
    <row r="827" spans="1:43" hidden="1">
      <c r="A827" s="28">
        <v>56769</v>
      </c>
      <c r="B827" s="5" t="s">
        <v>1492</v>
      </c>
      <c r="C827" s="5" t="s">
        <v>772</v>
      </c>
      <c r="D827" s="5" t="s">
        <v>297</v>
      </c>
      <c r="E827" s="5" t="s">
        <v>68</v>
      </c>
      <c r="F827" s="5" t="s">
        <v>178</v>
      </c>
      <c r="G827" s="5" t="s">
        <v>70</v>
      </c>
      <c r="H827" s="5" t="s">
        <v>71</v>
      </c>
      <c r="I827" s="6">
        <v>16</v>
      </c>
      <c r="J827" s="7">
        <v>44173</v>
      </c>
      <c r="K827" s="8" t="str">
        <f>IF(B827="","",IF(AND(I827="",J827=""),"Unknown",IF(OR(AND(ISNUMBER(I827),I827=0),AND(ISNUMBER(J827),J827&lt;=EDATE('Scoring Settings'!$B$4,-'Scoring Settings'!$B$5))),"Not in use",IF(AND(ISNUMBER(I827),I827&lt;'Scoring Settings'!$B$6),"Low use","Active"))))</f>
        <v>Low use</v>
      </c>
      <c r="L827" s="5">
        <v>4</v>
      </c>
      <c r="M827" s="5">
        <v>2</v>
      </c>
      <c r="N827" s="5" t="s">
        <v>827</v>
      </c>
      <c r="O827" s="5" t="s">
        <v>130</v>
      </c>
      <c r="P827" s="5" t="s">
        <v>1168</v>
      </c>
      <c r="Q827" s="9">
        <v>4</v>
      </c>
      <c r="R827" s="5" t="s">
        <v>239</v>
      </c>
      <c r="S827" s="5" t="s">
        <v>240</v>
      </c>
      <c r="T827" s="5" t="s">
        <v>195</v>
      </c>
      <c r="U827" s="7">
        <v>44316</v>
      </c>
      <c r="V827" s="5" t="s">
        <v>135</v>
      </c>
      <c r="W827" s="6">
        <v>15</v>
      </c>
      <c r="X827" s="5" t="s">
        <v>80</v>
      </c>
      <c r="Y827" s="9">
        <v>5</v>
      </c>
      <c r="Z827" s="5" t="s">
        <v>80</v>
      </c>
      <c r="AA827" s="5" t="s">
        <v>81</v>
      </c>
      <c r="AB827" s="9">
        <v>19</v>
      </c>
      <c r="AC827" s="5" t="s">
        <v>79</v>
      </c>
      <c r="AD827" s="5" t="s">
        <v>82</v>
      </c>
      <c r="AE827" s="5" t="s">
        <v>79</v>
      </c>
      <c r="AF827" s="10">
        <v>70000</v>
      </c>
      <c r="AG827" s="7">
        <v>47787</v>
      </c>
      <c r="AH827" s="10"/>
      <c r="AI827" s="10"/>
      <c r="AJ827" s="11" t="str">
        <f t="shared" si="12"/>
        <v/>
      </c>
      <c r="AK827" s="12">
        <f>IF(B827="","",OR(K827="Not in use",K827="Low use")+AND(N827&lt;&gt;"",N827&lt;&gt;"TBD")+AND(ISNUMBER(U827),U827&lt;=EDATE('Scoring Settings'!$B$4,'Scoring Settings'!$B$8))+AND(ISNUMBER(L827),L827&lt;='Scoring Settings'!$B$7))</f>
        <v>3</v>
      </c>
      <c r="AL827" s="5" t="s">
        <v>111</v>
      </c>
      <c r="AM827" s="8" t="str">
        <f>IF(B827="","",IF(Z827="N","Easy",IF(OR(AND(ISNUMBER(AB827),AB827&gt;'Scoring Settings'!$B$11),AND(ISNUMBER(W827),W827&gt;'Scoring Settings'!$B$12),AND(ISNUMBER(M827),M827&lt;='Scoring Settings'!$B$13)),"High","Medium")))</f>
        <v>High</v>
      </c>
      <c r="AN827" s="5"/>
      <c r="AO827" s="7"/>
      <c r="AP827" s="5" t="s">
        <v>98</v>
      </c>
      <c r="AQ827" s="29" t="s">
        <v>112</v>
      </c>
    </row>
    <row r="828" spans="1:43" hidden="1">
      <c r="A828" s="28">
        <v>53183</v>
      </c>
      <c r="B828" s="5" t="s">
        <v>1495</v>
      </c>
      <c r="C828" s="5" t="s">
        <v>101</v>
      </c>
      <c r="D828" s="5" t="s">
        <v>102</v>
      </c>
      <c r="E828" s="5" t="s">
        <v>68</v>
      </c>
      <c r="F828" s="5" t="s">
        <v>346</v>
      </c>
      <c r="G828" s="5" t="s">
        <v>141</v>
      </c>
      <c r="H828" s="5" t="s">
        <v>174</v>
      </c>
      <c r="I828" s="6">
        <v>40</v>
      </c>
      <c r="J828" s="7">
        <v>44290</v>
      </c>
      <c r="K828" s="8" t="str">
        <f>IF(B828="","",IF(AND(I828="",J828=""),"Unknown",IF(OR(AND(ISNUMBER(I828),I828=0),AND(ISNUMBER(J828),J828&lt;=EDATE('Scoring Settings'!$B$4,-'Scoring Settings'!$B$5))),"Not in use",IF(AND(ISNUMBER(I828),I828&lt;'Scoring Settings'!$B$6),"Low use","Active"))))</f>
        <v>Active</v>
      </c>
      <c r="L828" s="5">
        <v>5</v>
      </c>
      <c r="M828" s="5">
        <v>2</v>
      </c>
      <c r="N828" s="5"/>
      <c r="O828" s="5" t="s">
        <v>73</v>
      </c>
      <c r="P828" s="5" t="s">
        <v>1496</v>
      </c>
      <c r="Q828" s="9">
        <v>8</v>
      </c>
      <c r="R828" s="5" t="s">
        <v>239</v>
      </c>
      <c r="S828" s="5" t="s">
        <v>240</v>
      </c>
      <c r="T828" s="5" t="s">
        <v>72</v>
      </c>
      <c r="U828" s="7">
        <v>44316</v>
      </c>
      <c r="V828" s="5" t="s">
        <v>95</v>
      </c>
      <c r="W828" s="6">
        <v>480</v>
      </c>
      <c r="X828" s="5" t="s">
        <v>80</v>
      </c>
      <c r="Y828" s="9">
        <v>5</v>
      </c>
      <c r="Z828" s="5" t="s">
        <v>80</v>
      </c>
      <c r="AA828" s="5" t="s">
        <v>147</v>
      </c>
      <c r="AB828" s="9">
        <v>14</v>
      </c>
      <c r="AC828" s="5" t="s">
        <v>82</v>
      </c>
      <c r="AD828" s="5" t="s">
        <v>82</v>
      </c>
      <c r="AE828" s="5" t="s">
        <v>82</v>
      </c>
      <c r="AF828" s="10">
        <v>125000</v>
      </c>
      <c r="AG828" s="7">
        <v>46873</v>
      </c>
      <c r="AH828" s="10"/>
      <c r="AI828" s="10"/>
      <c r="AJ828" s="11" t="str">
        <f t="shared" si="12"/>
        <v/>
      </c>
      <c r="AK828" s="12">
        <f>IF(B828="","",OR(K828="Not in use",K828="Low use")+AND(N828&lt;&gt;"",N828&lt;&gt;"TBD")+AND(ISNUMBER(U828),U828&lt;=EDATE('Scoring Settings'!$B$4,'Scoring Settings'!$B$8))+AND(ISNUMBER(L828),L828&lt;='Scoring Settings'!$B$7))</f>
        <v>1</v>
      </c>
      <c r="AL828" s="5" t="s">
        <v>83</v>
      </c>
      <c r="AM828" s="8" t="str">
        <f>IF(B828="","",IF(Z828="N","Easy",IF(OR(AND(ISNUMBER(AB828),AB828&gt;'Scoring Settings'!$B$11),AND(ISNUMBER(W828),W828&gt;'Scoring Settings'!$B$12),AND(ISNUMBER(M828),M828&lt;='Scoring Settings'!$B$13)),"High","Medium")))</f>
        <v>High</v>
      </c>
      <c r="AN828" s="5"/>
      <c r="AO828" s="7"/>
      <c r="AP828" s="5" t="s">
        <v>84</v>
      </c>
      <c r="AQ828" s="29" t="s">
        <v>314</v>
      </c>
    </row>
    <row r="829" spans="1:43" hidden="1">
      <c r="A829" s="28">
        <v>89099</v>
      </c>
      <c r="B829" s="5" t="s">
        <v>1501</v>
      </c>
      <c r="C829" s="5" t="s">
        <v>126</v>
      </c>
      <c r="D829" s="5" t="s">
        <v>88</v>
      </c>
      <c r="E829" s="5" t="s">
        <v>68</v>
      </c>
      <c r="F829" s="5" t="s">
        <v>89</v>
      </c>
      <c r="G829" s="5" t="s">
        <v>141</v>
      </c>
      <c r="H829" s="5" t="s">
        <v>129</v>
      </c>
      <c r="I829" s="6">
        <v>343</v>
      </c>
      <c r="J829" s="7">
        <v>44311</v>
      </c>
      <c r="K829" s="8" t="str">
        <f>IF(B829="","",IF(AND(I829="",J829=""),"Unknown",IF(OR(AND(ISNUMBER(I829),I829=0),AND(ISNUMBER(J829),J829&lt;=EDATE('Scoring Settings'!$B$4,-'Scoring Settings'!$B$5))),"Not in use",IF(AND(ISNUMBER(I829),I829&lt;'Scoring Settings'!$B$6),"Low use","Active"))))</f>
        <v>Active</v>
      </c>
      <c r="L829" s="5">
        <v>3</v>
      </c>
      <c r="M829" s="5">
        <v>3</v>
      </c>
      <c r="N829" s="5"/>
      <c r="O829" s="5" t="s">
        <v>73</v>
      </c>
      <c r="P829" s="5" t="s">
        <v>1502</v>
      </c>
      <c r="Q829" s="9">
        <v>1</v>
      </c>
      <c r="R829" s="5" t="s">
        <v>166</v>
      </c>
      <c r="S829" s="5" t="s">
        <v>308</v>
      </c>
      <c r="T829" s="5" t="s">
        <v>109</v>
      </c>
      <c r="U829" s="7">
        <v>45209</v>
      </c>
      <c r="V829" s="5" t="s">
        <v>95</v>
      </c>
      <c r="W829" s="6">
        <v>26</v>
      </c>
      <c r="X829" s="5" t="s">
        <v>79</v>
      </c>
      <c r="Y829" s="9">
        <v>3</v>
      </c>
      <c r="Z829" s="5" t="s">
        <v>80</v>
      </c>
      <c r="AA829" s="5" t="s">
        <v>185</v>
      </c>
      <c r="AB829" s="9">
        <v>5</v>
      </c>
      <c r="AC829" s="5" t="s">
        <v>79</v>
      </c>
      <c r="AD829" s="5" t="s">
        <v>79</v>
      </c>
      <c r="AE829" s="5" t="s">
        <v>80</v>
      </c>
      <c r="AF829" s="10">
        <v>33500</v>
      </c>
      <c r="AG829" s="7">
        <v>46295</v>
      </c>
      <c r="AH829" s="10"/>
      <c r="AI829" s="10"/>
      <c r="AJ829" s="11" t="str">
        <f t="shared" si="12"/>
        <v/>
      </c>
      <c r="AK829" s="12">
        <f>IF(B829="","",OR(K829="Not in use",K829="Low use")+AND(N829&lt;&gt;"",N829&lt;&gt;"TBD")+AND(ISNUMBER(U829),U829&lt;=EDATE('Scoring Settings'!$B$4,'Scoring Settings'!$B$8))+AND(ISNUMBER(L829),L829&lt;='Scoring Settings'!$B$7))</f>
        <v>0</v>
      </c>
      <c r="AL829" s="5" t="s">
        <v>83</v>
      </c>
      <c r="AM829" s="8" t="str">
        <f>IF(B829="","",IF(Z829="N","Easy",IF(OR(AND(ISNUMBER(AB829),AB829&gt;'Scoring Settings'!$B$11),AND(ISNUMBER(W829),W829&gt;'Scoring Settings'!$B$12),AND(ISNUMBER(M829),M829&lt;='Scoring Settings'!$B$13)),"High","Medium")))</f>
        <v>Medium</v>
      </c>
      <c r="AN829" s="5"/>
      <c r="AO829" s="7"/>
      <c r="AP829" s="5" t="s">
        <v>84</v>
      </c>
      <c r="AQ829" s="29" t="s">
        <v>206</v>
      </c>
    </row>
    <row r="830" spans="1:43" hidden="1">
      <c r="A830" s="28">
        <v>97522</v>
      </c>
      <c r="B830" s="5" t="s">
        <v>1506</v>
      </c>
      <c r="C830" s="5" t="s">
        <v>296</v>
      </c>
      <c r="D830" s="5" t="s">
        <v>297</v>
      </c>
      <c r="E830" s="5" t="s">
        <v>68</v>
      </c>
      <c r="F830" s="5" t="s">
        <v>326</v>
      </c>
      <c r="G830" s="5" t="s">
        <v>70</v>
      </c>
      <c r="H830" s="5" t="s">
        <v>142</v>
      </c>
      <c r="I830" s="6">
        <v>141</v>
      </c>
      <c r="J830" s="7">
        <v>44289</v>
      </c>
      <c r="K830" s="8" t="str">
        <f>IF(B830="","",IF(AND(I830="",J830=""),"Unknown",IF(OR(AND(ISNUMBER(I830),I830=0),AND(ISNUMBER(J830),J830&lt;=EDATE('Scoring Settings'!$B$4,-'Scoring Settings'!$B$5))),"Not in use",IF(AND(ISNUMBER(I830),I830&lt;'Scoring Settings'!$B$6),"Low use","Active"))))</f>
        <v>Active</v>
      </c>
      <c r="L830" s="5">
        <v>5</v>
      </c>
      <c r="M830" s="5">
        <v>2</v>
      </c>
      <c r="N830" s="5"/>
      <c r="O830" s="5" t="s">
        <v>143</v>
      </c>
      <c r="P830" s="5" t="s">
        <v>144</v>
      </c>
      <c r="Q830" s="9">
        <v>0</v>
      </c>
      <c r="R830" s="5" t="s">
        <v>145</v>
      </c>
      <c r="S830" s="5" t="s">
        <v>145</v>
      </c>
      <c r="T830" s="5" t="s">
        <v>146</v>
      </c>
      <c r="U830" s="7">
        <v>45961</v>
      </c>
      <c r="V830" s="5" t="s">
        <v>135</v>
      </c>
      <c r="W830" s="6">
        <v>5010</v>
      </c>
      <c r="X830" s="5" t="s">
        <v>80</v>
      </c>
      <c r="Y830" s="9">
        <v>5</v>
      </c>
      <c r="Z830" s="5" t="s">
        <v>79</v>
      </c>
      <c r="AA830" s="5" t="s">
        <v>110</v>
      </c>
      <c r="AB830" s="9">
        <v>24</v>
      </c>
      <c r="AC830" s="5" t="s">
        <v>82</v>
      </c>
      <c r="AD830" s="5" t="s">
        <v>82</v>
      </c>
      <c r="AE830" s="5" t="s">
        <v>79</v>
      </c>
      <c r="AF830" s="10">
        <v>55000</v>
      </c>
      <c r="AG830" s="7">
        <v>45716</v>
      </c>
      <c r="AH830" s="10"/>
      <c r="AI830" s="10"/>
      <c r="AJ830" s="11" t="str">
        <f t="shared" si="12"/>
        <v/>
      </c>
      <c r="AK830" s="12">
        <f>IF(B830="","",OR(K830="Not in use",K830="Low use")+AND(N830&lt;&gt;"",N830&lt;&gt;"TBD")+AND(ISNUMBER(U830),U830&lt;=EDATE('Scoring Settings'!$B$4,'Scoring Settings'!$B$8))+AND(ISNUMBER(L830),L830&lt;='Scoring Settings'!$B$7))</f>
        <v>0</v>
      </c>
      <c r="AL830" s="5" t="s">
        <v>83</v>
      </c>
      <c r="AM830" s="8" t="str">
        <f>IF(B830="","",IF(Z830="N","Easy",IF(OR(AND(ISNUMBER(AB830),AB830&gt;'Scoring Settings'!$B$11),AND(ISNUMBER(W830),W830&gt;'Scoring Settings'!$B$12),AND(ISNUMBER(M830),M830&lt;='Scoring Settings'!$B$13)),"High","Medium")))</f>
        <v>Easy</v>
      </c>
      <c r="AN830" s="5"/>
      <c r="AO830" s="7"/>
      <c r="AP830" s="5" t="s">
        <v>84</v>
      </c>
      <c r="AQ830" s="29" t="s">
        <v>314</v>
      </c>
    </row>
    <row r="831" spans="1:43" hidden="1">
      <c r="A831" s="28">
        <v>17464</v>
      </c>
      <c r="B831" s="5" t="s">
        <v>1509</v>
      </c>
      <c r="C831" s="5" t="s">
        <v>667</v>
      </c>
      <c r="D831" s="5" t="s">
        <v>115</v>
      </c>
      <c r="E831" s="5" t="s">
        <v>298</v>
      </c>
      <c r="F831" s="5" t="s">
        <v>299</v>
      </c>
      <c r="G831" s="5" t="s">
        <v>271</v>
      </c>
      <c r="H831" s="5" t="s">
        <v>71</v>
      </c>
      <c r="I831" s="6">
        <v>138</v>
      </c>
      <c r="J831" s="7">
        <v>44285</v>
      </c>
      <c r="K831" s="8" t="str">
        <f>IF(B831="","",IF(AND(I831="",J831=""),"Unknown",IF(OR(AND(ISNUMBER(I831),I831=0),AND(ISNUMBER(J831),J831&lt;=EDATE('Scoring Settings'!$B$4,-'Scoring Settings'!$B$5))),"Not in use",IF(AND(ISNUMBER(I831),I831&lt;'Scoring Settings'!$B$6),"Low use","Active"))))</f>
        <v>Active</v>
      </c>
      <c r="L831" s="5">
        <v>4</v>
      </c>
      <c r="M831" s="5">
        <v>2</v>
      </c>
      <c r="N831" s="5"/>
      <c r="O831" s="5" t="s">
        <v>191</v>
      </c>
      <c r="P831" s="5" t="s">
        <v>192</v>
      </c>
      <c r="Q831" s="9">
        <v>0</v>
      </c>
      <c r="R831" s="5" t="s">
        <v>193</v>
      </c>
      <c r="S831" s="5" t="s">
        <v>318</v>
      </c>
      <c r="T831" s="5" t="s">
        <v>195</v>
      </c>
      <c r="U831" s="7"/>
      <c r="V831" s="5" t="s">
        <v>135</v>
      </c>
      <c r="W831" s="6">
        <v>35</v>
      </c>
      <c r="X831" s="5" t="s">
        <v>79</v>
      </c>
      <c r="Y831" s="9">
        <v>2</v>
      </c>
      <c r="Z831" s="5" t="s">
        <v>79</v>
      </c>
      <c r="AA831" s="5" t="s">
        <v>110</v>
      </c>
      <c r="AB831" s="9">
        <v>30</v>
      </c>
      <c r="AC831" s="5" t="s">
        <v>79</v>
      </c>
      <c r="AD831" s="5" t="s">
        <v>82</v>
      </c>
      <c r="AE831" s="5" t="s">
        <v>79</v>
      </c>
      <c r="AF831" s="10">
        <v>6500</v>
      </c>
      <c r="AG831" s="7">
        <v>46022</v>
      </c>
      <c r="AH831" s="10"/>
      <c r="AI831" s="10"/>
      <c r="AJ831" s="11" t="str">
        <f t="shared" si="12"/>
        <v/>
      </c>
      <c r="AK831" s="12">
        <f>IF(B831="","",OR(K831="Not in use",K831="Low use")+AND(N831&lt;&gt;"",N831&lt;&gt;"TBD")+AND(ISNUMBER(U831),U831&lt;=EDATE('Scoring Settings'!$B$4,'Scoring Settings'!$B$8))+AND(ISNUMBER(L831),L831&lt;='Scoring Settings'!$B$7))</f>
        <v>0</v>
      </c>
      <c r="AL831" s="5" t="s">
        <v>83</v>
      </c>
      <c r="AM831" s="8" t="str">
        <f>IF(B831="","",IF(Z831="N","Easy",IF(OR(AND(ISNUMBER(AB831),AB831&gt;'Scoring Settings'!$B$11),AND(ISNUMBER(W831),W831&gt;'Scoring Settings'!$B$12),AND(ISNUMBER(M831),M831&lt;='Scoring Settings'!$B$13)),"High","Medium")))</f>
        <v>Easy</v>
      </c>
      <c r="AN831" s="5"/>
      <c r="AO831" s="7"/>
      <c r="AP831" s="5" t="s">
        <v>98</v>
      </c>
      <c r="AQ831" s="29" t="s">
        <v>85</v>
      </c>
    </row>
    <row r="832" spans="1:43" hidden="1">
      <c r="A832" s="28">
        <v>24717</v>
      </c>
      <c r="B832" s="5" t="s">
        <v>1510</v>
      </c>
      <c r="C832" s="5" t="s">
        <v>316</v>
      </c>
      <c r="D832" s="5" t="s">
        <v>67</v>
      </c>
      <c r="E832" s="5" t="s">
        <v>298</v>
      </c>
      <c r="F832" s="5" t="s">
        <v>157</v>
      </c>
      <c r="G832" s="5" t="s">
        <v>404</v>
      </c>
      <c r="H832" s="5" t="s">
        <v>174</v>
      </c>
      <c r="I832" s="6">
        <v>131</v>
      </c>
      <c r="J832" s="7">
        <v>44311</v>
      </c>
      <c r="K832" s="8" t="str">
        <f>IF(B832="","",IF(AND(I832="",J832=""),"Unknown",IF(OR(AND(ISNUMBER(I832),I832=0),AND(ISNUMBER(J832),J832&lt;=EDATE('Scoring Settings'!$B$4,-'Scoring Settings'!$B$5))),"Not in use",IF(AND(ISNUMBER(I832),I832&lt;'Scoring Settings'!$B$6),"Low use","Active"))))</f>
        <v>Active</v>
      </c>
      <c r="L832" s="5">
        <v>4</v>
      </c>
      <c r="M832" s="5">
        <v>2</v>
      </c>
      <c r="N832" s="5"/>
      <c r="O832" s="5" t="s">
        <v>73</v>
      </c>
      <c r="P832" s="5" t="s">
        <v>1511</v>
      </c>
      <c r="Q832" s="9">
        <v>2</v>
      </c>
      <c r="R832" s="5" t="s">
        <v>251</v>
      </c>
      <c r="S832" s="5" t="s">
        <v>133</v>
      </c>
      <c r="T832" s="5" t="s">
        <v>109</v>
      </c>
      <c r="U832" s="7">
        <v>44165</v>
      </c>
      <c r="V832" s="5" t="s">
        <v>135</v>
      </c>
      <c r="W832" s="6">
        <v>16</v>
      </c>
      <c r="X832" s="5" t="s">
        <v>79</v>
      </c>
      <c r="Y832" s="9">
        <v>1</v>
      </c>
      <c r="Z832" s="5" t="s">
        <v>79</v>
      </c>
      <c r="AA832" s="5" t="s">
        <v>110</v>
      </c>
      <c r="AB832" s="9">
        <v>17</v>
      </c>
      <c r="AC832" s="5" t="s">
        <v>79</v>
      </c>
      <c r="AD832" s="5" t="s">
        <v>79</v>
      </c>
      <c r="AE832" s="5" t="s">
        <v>82</v>
      </c>
      <c r="AF832" s="10">
        <v>115000</v>
      </c>
      <c r="AG832" s="7">
        <v>48182</v>
      </c>
      <c r="AH832" s="10"/>
      <c r="AI832" s="10"/>
      <c r="AJ832" s="11" t="str">
        <f t="shared" si="12"/>
        <v/>
      </c>
      <c r="AK832" s="12">
        <f>IF(B832="","",OR(K832="Not in use",K832="Low use")+AND(N832&lt;&gt;"",N832&lt;&gt;"TBD")+AND(ISNUMBER(U832),U832&lt;=EDATE('Scoring Settings'!$B$4,'Scoring Settings'!$B$8))+AND(ISNUMBER(L832),L832&lt;='Scoring Settings'!$B$7))</f>
        <v>1</v>
      </c>
      <c r="AL832" s="5" t="s">
        <v>111</v>
      </c>
      <c r="AM832" s="8" t="str">
        <f>IF(B832="","",IF(Z832="N","Easy",IF(OR(AND(ISNUMBER(AB832),AB832&gt;'Scoring Settings'!$B$11),AND(ISNUMBER(W832),W832&gt;'Scoring Settings'!$B$12),AND(ISNUMBER(M832),M832&lt;='Scoring Settings'!$B$13)),"High","Medium")))</f>
        <v>Easy</v>
      </c>
      <c r="AN832" s="5"/>
      <c r="AO832" s="7"/>
      <c r="AP832" s="5" t="s">
        <v>98</v>
      </c>
      <c r="AQ832" s="29" t="s">
        <v>112</v>
      </c>
    </row>
    <row r="833" spans="1:43" hidden="1">
      <c r="A833" s="28">
        <v>159928</v>
      </c>
      <c r="B833" s="5" t="s">
        <v>1518</v>
      </c>
      <c r="C833" s="5" t="s">
        <v>138</v>
      </c>
      <c r="D833" s="5" t="s">
        <v>139</v>
      </c>
      <c r="E833" s="5" t="s">
        <v>298</v>
      </c>
      <c r="F833" s="5" t="s">
        <v>209</v>
      </c>
      <c r="G833" s="5" t="s">
        <v>356</v>
      </c>
      <c r="H833" s="5" t="s">
        <v>129</v>
      </c>
      <c r="I833" s="6">
        <v>3298</v>
      </c>
      <c r="J833" s="7">
        <v>44294</v>
      </c>
      <c r="K833" s="8" t="str">
        <f>IF(B833="","",IF(AND(I833="",J833=""),"Unknown",IF(OR(AND(ISNUMBER(I833),I833=0),AND(ISNUMBER(J833),J833&lt;=EDATE('Scoring Settings'!$B$4,-'Scoring Settings'!$B$5))),"Not in use",IF(AND(ISNUMBER(I833),I833&lt;'Scoring Settings'!$B$6),"Low use","Active"))))</f>
        <v>Active</v>
      </c>
      <c r="L833" s="5">
        <v>3</v>
      </c>
      <c r="M833" s="5">
        <v>4</v>
      </c>
      <c r="N833" s="5"/>
      <c r="O833" s="5" t="s">
        <v>73</v>
      </c>
      <c r="P833" s="5" t="s">
        <v>1519</v>
      </c>
      <c r="Q833" s="9">
        <v>4</v>
      </c>
      <c r="R833" s="5" t="s">
        <v>256</v>
      </c>
      <c r="S833" s="5" t="s">
        <v>257</v>
      </c>
      <c r="T833" s="5" t="s">
        <v>184</v>
      </c>
      <c r="U833" s="7">
        <v>45077</v>
      </c>
      <c r="V833" s="5" t="s">
        <v>78</v>
      </c>
      <c r="W833" s="6">
        <v>130</v>
      </c>
      <c r="X833" s="5" t="s">
        <v>79</v>
      </c>
      <c r="Y833" s="9">
        <v>7</v>
      </c>
      <c r="Z833" s="5" t="s">
        <v>80</v>
      </c>
      <c r="AA833" s="5" t="s">
        <v>185</v>
      </c>
      <c r="AB833" s="9">
        <v>3</v>
      </c>
      <c r="AC833" s="5" t="s">
        <v>79</v>
      </c>
      <c r="AD833" s="5" t="s">
        <v>79</v>
      </c>
      <c r="AE833" s="5" t="s">
        <v>82</v>
      </c>
      <c r="AF833" s="10">
        <v>38500</v>
      </c>
      <c r="AG833" s="7">
        <v>45688</v>
      </c>
      <c r="AH833" s="10"/>
      <c r="AI833" s="10"/>
      <c r="AJ833" s="11" t="str">
        <f t="shared" si="12"/>
        <v/>
      </c>
      <c r="AK833" s="12">
        <f>IF(B833="","",OR(K833="Not in use",K833="Low use")+AND(N833&lt;&gt;"",N833&lt;&gt;"TBD")+AND(ISNUMBER(U833),U833&lt;=EDATE('Scoring Settings'!$B$4,'Scoring Settings'!$B$8))+AND(ISNUMBER(L833),L833&lt;='Scoring Settings'!$B$7))</f>
        <v>0</v>
      </c>
      <c r="AL833" s="5" t="s">
        <v>83</v>
      </c>
      <c r="AM833" s="8" t="str">
        <f>IF(B833="","",IF(Z833="N","Easy",IF(OR(AND(ISNUMBER(AB833),AB833&gt;'Scoring Settings'!$B$11),AND(ISNUMBER(W833),W833&gt;'Scoring Settings'!$B$12),AND(ISNUMBER(M833),M833&lt;='Scoring Settings'!$B$13)),"High","Medium")))</f>
        <v>Medium</v>
      </c>
      <c r="AN833" s="5"/>
      <c r="AO833" s="7"/>
      <c r="AP833" s="5" t="s">
        <v>84</v>
      </c>
      <c r="AQ833" s="29" t="s">
        <v>85</v>
      </c>
    </row>
    <row r="834" spans="1:43" hidden="1">
      <c r="A834" s="28">
        <v>112140</v>
      </c>
      <c r="B834" s="5" t="s">
        <v>1522</v>
      </c>
      <c r="C834" s="5" t="s">
        <v>215</v>
      </c>
      <c r="D834" s="5" t="s">
        <v>139</v>
      </c>
      <c r="E834" s="5" t="s">
        <v>68</v>
      </c>
      <c r="F834" s="5" t="s">
        <v>157</v>
      </c>
      <c r="G834" s="5" t="s">
        <v>226</v>
      </c>
      <c r="H834" s="5" t="s">
        <v>142</v>
      </c>
      <c r="I834" s="6">
        <v>7</v>
      </c>
      <c r="J834" s="7">
        <v>44270</v>
      </c>
      <c r="K834" s="8" t="str">
        <f>IF(B834="","",IF(AND(I834="",J834=""),"Unknown",IF(OR(AND(ISNUMBER(I834),I834=0),AND(ISNUMBER(J834),J834&lt;=EDATE('Scoring Settings'!$B$4,-'Scoring Settings'!$B$5))),"Not in use",IF(AND(ISNUMBER(I834),I834&lt;'Scoring Settings'!$B$6),"Low use","Active"))))</f>
        <v>Low use</v>
      </c>
      <c r="L834" s="5">
        <v>5</v>
      </c>
      <c r="M834" s="5">
        <v>2</v>
      </c>
      <c r="N834" s="5" t="s">
        <v>366</v>
      </c>
      <c r="O834" s="5" t="s">
        <v>143</v>
      </c>
      <c r="P834" s="5" t="s">
        <v>144</v>
      </c>
      <c r="Q834" s="9">
        <v>0</v>
      </c>
      <c r="R834" s="5" t="s">
        <v>145</v>
      </c>
      <c r="S834" s="5" t="s">
        <v>145</v>
      </c>
      <c r="T834" s="5" t="s">
        <v>146</v>
      </c>
      <c r="U834" s="7"/>
      <c r="V834" s="5" t="s">
        <v>78</v>
      </c>
      <c r="W834" s="6">
        <v>5</v>
      </c>
      <c r="X834" s="5" t="s">
        <v>79</v>
      </c>
      <c r="Y834" s="9">
        <v>3</v>
      </c>
      <c r="Z834" s="5" t="s">
        <v>79</v>
      </c>
      <c r="AA834" s="5" t="s">
        <v>110</v>
      </c>
      <c r="AB834" s="9">
        <v>27</v>
      </c>
      <c r="AC834" s="5" t="s">
        <v>80</v>
      </c>
      <c r="AD834" s="5" t="s">
        <v>79</v>
      </c>
      <c r="AE834" s="5" t="s">
        <v>79</v>
      </c>
      <c r="AF834" s="10">
        <v>55000</v>
      </c>
      <c r="AG834" s="7">
        <v>46356</v>
      </c>
      <c r="AH834" s="10">
        <v>111500</v>
      </c>
      <c r="AI834" s="10">
        <v>22000</v>
      </c>
      <c r="AJ834" s="11">
        <f t="shared" si="12"/>
        <v>60.81818181818182</v>
      </c>
      <c r="AK834" s="12">
        <f>IF(B834="","",OR(K834="Not in use",K834="Low use")+AND(N834&lt;&gt;"",N834&lt;&gt;"TBD")+AND(ISNUMBER(U834),U834&lt;=EDATE('Scoring Settings'!$B$4,'Scoring Settings'!$B$8))+AND(ISNUMBER(L834),L834&lt;='Scoring Settings'!$B$7))</f>
        <v>2</v>
      </c>
      <c r="AL834" s="5" t="s">
        <v>111</v>
      </c>
      <c r="AM834" s="8" t="str">
        <f>IF(B834="","",IF(Z834="N","Easy",IF(OR(AND(ISNUMBER(AB834),AB834&gt;'Scoring Settings'!$B$11),AND(ISNUMBER(W834),W834&gt;'Scoring Settings'!$B$12),AND(ISNUMBER(M834),M834&lt;='Scoring Settings'!$B$13)),"High","Medium")))</f>
        <v>Easy</v>
      </c>
      <c r="AN834" s="5"/>
      <c r="AO834" s="7"/>
      <c r="AP834" s="5" t="s">
        <v>98</v>
      </c>
      <c r="AQ834" s="29" t="s">
        <v>218</v>
      </c>
    </row>
    <row r="835" spans="1:43" hidden="1">
      <c r="A835" s="28">
        <v>46403</v>
      </c>
      <c r="B835" s="5" t="s">
        <v>1527</v>
      </c>
      <c r="C835" s="5" t="s">
        <v>395</v>
      </c>
      <c r="D835" s="5" t="s">
        <v>88</v>
      </c>
      <c r="E835" s="5" t="s">
        <v>68</v>
      </c>
      <c r="F835" s="5" t="s">
        <v>312</v>
      </c>
      <c r="G835" s="5" t="s">
        <v>179</v>
      </c>
      <c r="H835" s="5" t="s">
        <v>71</v>
      </c>
      <c r="I835" s="6">
        <v>1062</v>
      </c>
      <c r="J835" s="7">
        <v>44312</v>
      </c>
      <c r="K835" s="8" t="str">
        <f>IF(B835="","",IF(AND(I835="",J835=""),"Unknown",IF(OR(AND(ISNUMBER(I835),I835=0),AND(ISNUMBER(J835),J835&lt;=EDATE('Scoring Settings'!$B$4,-'Scoring Settings'!$B$5))),"Not in use",IF(AND(ISNUMBER(I835),I835&lt;'Scoring Settings'!$B$6),"Low use","Active"))))</f>
        <v>Active</v>
      </c>
      <c r="L835" s="5">
        <v>4</v>
      </c>
      <c r="M835" s="5">
        <v>3</v>
      </c>
      <c r="N835" s="5"/>
      <c r="O835" s="5" t="s">
        <v>73</v>
      </c>
      <c r="P835" s="5" t="s">
        <v>1283</v>
      </c>
      <c r="Q835" s="9">
        <v>2</v>
      </c>
      <c r="R835" s="5" t="s">
        <v>107</v>
      </c>
      <c r="S835" s="5" t="s">
        <v>108</v>
      </c>
      <c r="T835" s="5" t="s">
        <v>109</v>
      </c>
      <c r="U835" s="7">
        <v>43655</v>
      </c>
      <c r="V835" s="5" t="s">
        <v>135</v>
      </c>
      <c r="W835" s="6">
        <v>31</v>
      </c>
      <c r="X835" s="5" t="s">
        <v>79</v>
      </c>
      <c r="Y835" s="9">
        <v>3</v>
      </c>
      <c r="Z835" s="5" t="s">
        <v>80</v>
      </c>
      <c r="AA835" s="5" t="s">
        <v>205</v>
      </c>
      <c r="AB835" s="9">
        <v>3</v>
      </c>
      <c r="AC835" s="5" t="s">
        <v>80</v>
      </c>
      <c r="AD835" s="5" t="s">
        <v>80</v>
      </c>
      <c r="AE835" s="5" t="s">
        <v>79</v>
      </c>
      <c r="AF835" s="10">
        <v>40000</v>
      </c>
      <c r="AG835" s="7">
        <v>48121</v>
      </c>
      <c r="AH835" s="10">
        <v>45000</v>
      </c>
      <c r="AI835" s="10">
        <v>28000</v>
      </c>
      <c r="AJ835" s="11">
        <f t="shared" si="12"/>
        <v>19.285714285714285</v>
      </c>
      <c r="AK835" s="12">
        <f>IF(B835="","",OR(K835="Not in use",K835="Low use")+AND(N835&lt;&gt;"",N835&lt;&gt;"TBD")+AND(ISNUMBER(U835),U835&lt;=EDATE('Scoring Settings'!$B$4,'Scoring Settings'!$B$8))+AND(ISNUMBER(L835),L835&lt;='Scoring Settings'!$B$7))</f>
        <v>1</v>
      </c>
      <c r="AL835" s="5" t="s">
        <v>111</v>
      </c>
      <c r="AM835" s="8" t="str">
        <f>IF(B835="","",IF(Z835="N","Easy",IF(OR(AND(ISNUMBER(AB835),AB835&gt;'Scoring Settings'!$B$11),AND(ISNUMBER(W835),W835&gt;'Scoring Settings'!$B$12),AND(ISNUMBER(M835),M835&lt;='Scoring Settings'!$B$13)),"High","Medium")))</f>
        <v>Medium</v>
      </c>
      <c r="AN835" s="5"/>
      <c r="AO835" s="7"/>
      <c r="AP835" s="5" t="s">
        <v>98</v>
      </c>
      <c r="AQ835" s="29" t="s">
        <v>218</v>
      </c>
    </row>
    <row r="836" spans="1:43" hidden="1">
      <c r="A836" s="28">
        <v>14587</v>
      </c>
      <c r="B836" s="5" t="s">
        <v>1528</v>
      </c>
      <c r="C836" s="5" t="s">
        <v>187</v>
      </c>
      <c r="D836" s="5" t="s">
        <v>67</v>
      </c>
      <c r="E836" s="5" t="s">
        <v>68</v>
      </c>
      <c r="F836" s="5" t="s">
        <v>152</v>
      </c>
      <c r="G836" s="5" t="s">
        <v>70</v>
      </c>
      <c r="H836" s="5" t="s">
        <v>174</v>
      </c>
      <c r="I836" s="6">
        <v>4</v>
      </c>
      <c r="J836" s="7">
        <v>43882</v>
      </c>
      <c r="K836" s="8" t="str">
        <f>IF(B836="","",IF(AND(I836="",J836=""),"Unknown",IF(OR(AND(ISNUMBER(I836),I836=0),AND(ISNUMBER(J836),J836&lt;=EDATE('Scoring Settings'!$B$4,-'Scoring Settings'!$B$5))),"Not in use",IF(AND(ISNUMBER(I836),I836&lt;'Scoring Settings'!$B$6),"Low use","Active"))))</f>
        <v>Not in use</v>
      </c>
      <c r="L836" s="5">
        <v>1</v>
      </c>
      <c r="M836" s="5">
        <v>4</v>
      </c>
      <c r="N836" s="5" t="s">
        <v>501</v>
      </c>
      <c r="O836" s="5" t="s">
        <v>73</v>
      </c>
      <c r="P836" s="5" t="s">
        <v>1529</v>
      </c>
      <c r="Q836" s="9">
        <v>2</v>
      </c>
      <c r="R836" s="5" t="s">
        <v>93</v>
      </c>
      <c r="S836" s="5" t="s">
        <v>94</v>
      </c>
      <c r="T836" s="5" t="s">
        <v>184</v>
      </c>
      <c r="U836" s="7">
        <v>44561</v>
      </c>
      <c r="V836" s="5" t="s">
        <v>135</v>
      </c>
      <c r="W836" s="6">
        <v>1730</v>
      </c>
      <c r="X836" s="5" t="s">
        <v>80</v>
      </c>
      <c r="Y836" s="9">
        <v>5</v>
      </c>
      <c r="Z836" s="5" t="s">
        <v>79</v>
      </c>
      <c r="AA836" s="5" t="s">
        <v>110</v>
      </c>
      <c r="AB836" s="9">
        <v>0</v>
      </c>
      <c r="AC836" s="5" t="s">
        <v>80</v>
      </c>
      <c r="AD836" s="5" t="s">
        <v>79</v>
      </c>
      <c r="AE836" s="5" t="s">
        <v>80</v>
      </c>
      <c r="AF836" s="10">
        <v>31500</v>
      </c>
      <c r="AG836" s="7">
        <v>46691</v>
      </c>
      <c r="AH836" s="10">
        <v>30000</v>
      </c>
      <c r="AI836" s="10">
        <v>24500</v>
      </c>
      <c r="AJ836" s="11">
        <f t="shared" si="12"/>
        <v>14.693877551020408</v>
      </c>
      <c r="AK836" s="12">
        <f>IF(B836="","",OR(K836="Not in use",K836="Low use")+AND(N836&lt;&gt;"",N836&lt;&gt;"TBD")+AND(ISNUMBER(U836),U836&lt;=EDATE('Scoring Settings'!$B$4,'Scoring Settings'!$B$8))+AND(ISNUMBER(L836),L836&lt;='Scoring Settings'!$B$7))</f>
        <v>4</v>
      </c>
      <c r="AL836" s="5" t="s">
        <v>111</v>
      </c>
      <c r="AM836" s="8" t="str">
        <f>IF(B836="","",IF(Z836="N","Easy",IF(OR(AND(ISNUMBER(AB836),AB836&gt;'Scoring Settings'!$B$11),AND(ISNUMBER(W836),W836&gt;'Scoring Settings'!$B$12),AND(ISNUMBER(M836),M836&lt;='Scoring Settings'!$B$13)),"High","Medium")))</f>
        <v>Easy</v>
      </c>
      <c r="AN836" s="5"/>
      <c r="AO836" s="7"/>
      <c r="AP836" s="5" t="s">
        <v>98</v>
      </c>
      <c r="AQ836" s="29" t="s">
        <v>112</v>
      </c>
    </row>
    <row r="837" spans="1:43" hidden="1">
      <c r="A837" s="28">
        <v>114851</v>
      </c>
      <c r="B837" s="5" t="s">
        <v>1531</v>
      </c>
      <c r="C837" s="5" t="s">
        <v>699</v>
      </c>
      <c r="D837" s="5" t="s">
        <v>297</v>
      </c>
      <c r="E837" s="5" t="s">
        <v>68</v>
      </c>
      <c r="F837" s="5" t="s">
        <v>326</v>
      </c>
      <c r="G837" s="5" t="s">
        <v>356</v>
      </c>
      <c r="H837" s="5" t="s">
        <v>142</v>
      </c>
      <c r="I837" s="6">
        <v>21</v>
      </c>
      <c r="J837" s="7">
        <v>44298</v>
      </c>
      <c r="K837" s="8" t="str">
        <f>IF(B837="","",IF(AND(I837="",J837=""),"Unknown",IF(OR(AND(ISNUMBER(I837),I837=0),AND(ISNUMBER(J837),J837&lt;=EDATE('Scoring Settings'!$B$4,-'Scoring Settings'!$B$5))),"Not in use",IF(AND(ISNUMBER(I837),I837&lt;'Scoring Settings'!$B$6),"Low use","Active"))))</f>
        <v>Low use</v>
      </c>
      <c r="L837" s="5">
        <v>5</v>
      </c>
      <c r="M837" s="5">
        <v>1</v>
      </c>
      <c r="N837" s="5"/>
      <c r="O837" s="5" t="s">
        <v>143</v>
      </c>
      <c r="P837" s="5" t="s">
        <v>144</v>
      </c>
      <c r="Q837" s="9">
        <v>0</v>
      </c>
      <c r="R837" s="5" t="s">
        <v>145</v>
      </c>
      <c r="S837" s="5" t="s">
        <v>145</v>
      </c>
      <c r="T837" s="5" t="s">
        <v>146</v>
      </c>
      <c r="U837" s="7"/>
      <c r="V837" s="5" t="s">
        <v>95</v>
      </c>
      <c r="W837" s="6">
        <v>94</v>
      </c>
      <c r="X837" s="5" t="s">
        <v>80</v>
      </c>
      <c r="Y837" s="9">
        <v>5</v>
      </c>
      <c r="Z837" s="5" t="s">
        <v>80</v>
      </c>
      <c r="AA837" s="5" t="s">
        <v>185</v>
      </c>
      <c r="AB837" s="9">
        <v>15</v>
      </c>
      <c r="AC837" s="5" t="s">
        <v>79</v>
      </c>
      <c r="AD837" s="5" t="s">
        <v>80</v>
      </c>
      <c r="AE837" s="5" t="s">
        <v>80</v>
      </c>
      <c r="AF837" s="10">
        <v>450000</v>
      </c>
      <c r="AG837" s="7">
        <v>46752</v>
      </c>
      <c r="AH837" s="10"/>
      <c r="AI837" s="10"/>
      <c r="AJ837" s="11" t="str">
        <f t="shared" ref="AJ837:AJ900" si="13">IF(AND(ISNUMBER(AH837),ISNUMBER(AI837),N(AI837)&gt;0),AH837/AI837*12,"")</f>
        <v/>
      </c>
      <c r="AK837" s="12">
        <f>IF(B837="","",OR(K837="Not in use",K837="Low use")+AND(N837&lt;&gt;"",N837&lt;&gt;"TBD")+AND(ISNUMBER(U837),U837&lt;=EDATE('Scoring Settings'!$B$4,'Scoring Settings'!$B$8))+AND(ISNUMBER(L837),L837&lt;='Scoring Settings'!$B$7))</f>
        <v>1</v>
      </c>
      <c r="AL837" s="5" t="s">
        <v>111</v>
      </c>
      <c r="AM837" s="8" t="str">
        <f>IF(B837="","",IF(Z837="N","Easy",IF(OR(AND(ISNUMBER(AB837),AB837&gt;'Scoring Settings'!$B$11),AND(ISNUMBER(W837),W837&gt;'Scoring Settings'!$B$12),AND(ISNUMBER(M837),M837&lt;='Scoring Settings'!$B$13)),"High","Medium")))</f>
        <v>High</v>
      </c>
      <c r="AN837" s="5"/>
      <c r="AO837" s="7"/>
      <c r="AP837" s="5" t="s">
        <v>98</v>
      </c>
      <c r="AQ837" s="29" t="s">
        <v>124</v>
      </c>
    </row>
    <row r="838" spans="1:43" hidden="1">
      <c r="A838" s="28">
        <v>153916</v>
      </c>
      <c r="B838" s="5" t="s">
        <v>1532</v>
      </c>
      <c r="C838" s="5" t="s">
        <v>464</v>
      </c>
      <c r="D838" s="5" t="s">
        <v>88</v>
      </c>
      <c r="E838" s="5" t="s">
        <v>311</v>
      </c>
      <c r="F838" s="5" t="s">
        <v>419</v>
      </c>
      <c r="G838" s="5" t="s">
        <v>70</v>
      </c>
      <c r="H838" s="5" t="s">
        <v>174</v>
      </c>
      <c r="I838" s="6">
        <v>855</v>
      </c>
      <c r="J838" s="7">
        <v>44273</v>
      </c>
      <c r="K838" s="8" t="str">
        <f>IF(B838="","",IF(AND(I838="",J838=""),"Unknown",IF(OR(AND(ISNUMBER(I838),I838=0),AND(ISNUMBER(J838),J838&lt;=EDATE('Scoring Settings'!$B$4,-'Scoring Settings'!$B$5))),"Not in use",IF(AND(ISNUMBER(I838),I838&lt;'Scoring Settings'!$B$6),"Low use","Active"))))</f>
        <v>Active</v>
      </c>
      <c r="L838" s="5">
        <v>5</v>
      </c>
      <c r="M838" s="5">
        <v>1</v>
      </c>
      <c r="N838" s="5"/>
      <c r="O838" s="5" t="s">
        <v>130</v>
      </c>
      <c r="P838" s="5" t="s">
        <v>1533</v>
      </c>
      <c r="Q838" s="9">
        <v>2</v>
      </c>
      <c r="R838" s="5" t="s">
        <v>352</v>
      </c>
      <c r="S838" s="5" t="s">
        <v>353</v>
      </c>
      <c r="T838" s="5" t="s">
        <v>168</v>
      </c>
      <c r="U838" s="7">
        <v>47127</v>
      </c>
      <c r="V838" s="5" t="s">
        <v>78</v>
      </c>
      <c r="W838" s="6">
        <v>200</v>
      </c>
      <c r="X838" s="5" t="s">
        <v>79</v>
      </c>
      <c r="Y838" s="9">
        <v>7</v>
      </c>
      <c r="Z838" s="5" t="s">
        <v>80</v>
      </c>
      <c r="AA838" s="5" t="s">
        <v>185</v>
      </c>
      <c r="AB838" s="9">
        <v>67</v>
      </c>
      <c r="AC838" s="5" t="s">
        <v>79</v>
      </c>
      <c r="AD838" s="5" t="s">
        <v>79</v>
      </c>
      <c r="AE838" s="5" t="s">
        <v>79</v>
      </c>
      <c r="AF838" s="10">
        <v>55000</v>
      </c>
      <c r="AG838" s="7">
        <v>46173</v>
      </c>
      <c r="AH838" s="10"/>
      <c r="AI838" s="10"/>
      <c r="AJ838" s="11" t="str">
        <f t="shared" si="13"/>
        <v/>
      </c>
      <c r="AK838" s="12">
        <f>IF(B838="","",OR(K838="Not in use",K838="Low use")+AND(N838&lt;&gt;"",N838&lt;&gt;"TBD")+AND(ISNUMBER(U838),U838&lt;=EDATE('Scoring Settings'!$B$4,'Scoring Settings'!$B$8))+AND(ISNUMBER(L838),L838&lt;='Scoring Settings'!$B$7))</f>
        <v>0</v>
      </c>
      <c r="AL838" s="5" t="s">
        <v>83</v>
      </c>
      <c r="AM838" s="8" t="str">
        <f>IF(B838="","",IF(Z838="N","Easy",IF(OR(AND(ISNUMBER(AB838),AB838&gt;'Scoring Settings'!$B$11),AND(ISNUMBER(W838),W838&gt;'Scoring Settings'!$B$12),AND(ISNUMBER(M838),M838&lt;='Scoring Settings'!$B$13)),"High","Medium")))</f>
        <v>High</v>
      </c>
      <c r="AN838" s="5"/>
      <c r="AO838" s="7"/>
      <c r="AP838" s="5" t="s">
        <v>84</v>
      </c>
      <c r="AQ838" s="29" t="s">
        <v>247</v>
      </c>
    </row>
    <row r="839" spans="1:43" ht="42.75" hidden="1">
      <c r="A839" s="28">
        <v>42072</v>
      </c>
      <c r="B839" s="5" t="s">
        <v>1540</v>
      </c>
      <c r="C839" s="5" t="s">
        <v>215</v>
      </c>
      <c r="D839" s="5" t="s">
        <v>139</v>
      </c>
      <c r="E839" s="5" t="s">
        <v>68</v>
      </c>
      <c r="F839" s="5" t="s">
        <v>178</v>
      </c>
      <c r="G839" s="5" t="s">
        <v>356</v>
      </c>
      <c r="H839" s="5" t="s">
        <v>118</v>
      </c>
      <c r="I839" s="6">
        <v>0</v>
      </c>
      <c r="J839" s="7">
        <v>43932</v>
      </c>
      <c r="K839" s="8" t="str">
        <f>IF(B839="","",IF(AND(I839="",J839=""),"Unknown",IF(OR(AND(ISNUMBER(I839),I839=0),AND(ISNUMBER(J839),J839&lt;=EDATE('Scoring Settings'!$B$4,-'Scoring Settings'!$B$5))),"Not in use",IF(AND(ISNUMBER(I839),I839&lt;'Scoring Settings'!$B$6),"Low use","Active"))))</f>
        <v>Not in use</v>
      </c>
      <c r="L839" s="5">
        <v>3</v>
      </c>
      <c r="M839" s="5">
        <v>3</v>
      </c>
      <c r="N839" s="5"/>
      <c r="O839" s="5" t="s">
        <v>73</v>
      </c>
      <c r="P839" s="5" t="s">
        <v>833</v>
      </c>
      <c r="Q839" s="9">
        <v>3</v>
      </c>
      <c r="R839" s="5" t="s">
        <v>166</v>
      </c>
      <c r="S839" s="5" t="s">
        <v>564</v>
      </c>
      <c r="T839" s="5" t="s">
        <v>77</v>
      </c>
      <c r="U839" s="7">
        <v>44754</v>
      </c>
      <c r="V839" s="5" t="s">
        <v>135</v>
      </c>
      <c r="W839" s="6">
        <v>10</v>
      </c>
      <c r="X839" s="5" t="s">
        <v>79</v>
      </c>
      <c r="Y839" s="9">
        <v>3</v>
      </c>
      <c r="Z839" s="5" t="s">
        <v>80</v>
      </c>
      <c r="AA839" s="5" t="s">
        <v>123</v>
      </c>
      <c r="AB839" s="9">
        <v>4</v>
      </c>
      <c r="AC839" s="5" t="s">
        <v>80</v>
      </c>
      <c r="AD839" s="5" t="s">
        <v>80</v>
      </c>
      <c r="AE839" s="5" t="s">
        <v>79</v>
      </c>
      <c r="AF839" s="10">
        <v>30500</v>
      </c>
      <c r="AG839" s="7">
        <v>45688</v>
      </c>
      <c r="AH839" s="10"/>
      <c r="AI839" s="10"/>
      <c r="AJ839" s="11" t="str">
        <f t="shared" si="13"/>
        <v/>
      </c>
      <c r="AK839" s="12">
        <f>IF(B839="","",OR(K839="Not in use",K839="Low use")+AND(N839&lt;&gt;"",N839&lt;&gt;"TBD")+AND(ISNUMBER(U839),U839&lt;=EDATE('Scoring Settings'!$B$4,'Scoring Settings'!$B$8))+AND(ISNUMBER(L839),L839&lt;='Scoring Settings'!$B$7))</f>
        <v>1</v>
      </c>
      <c r="AL839" s="5" t="s">
        <v>111</v>
      </c>
      <c r="AM839" s="8" t="str">
        <f>IF(B839="","",IF(Z839="N","Easy",IF(OR(AND(ISNUMBER(AB839),AB839&gt;'Scoring Settings'!$B$11),AND(ISNUMBER(W839),W839&gt;'Scoring Settings'!$B$12),AND(ISNUMBER(M839),M839&lt;='Scoring Settings'!$B$13)),"High","Medium")))</f>
        <v>Medium</v>
      </c>
      <c r="AN839" s="5"/>
      <c r="AO839" s="7"/>
      <c r="AP839" s="5" t="s">
        <v>98</v>
      </c>
      <c r="AQ839" s="29" t="s">
        <v>456</v>
      </c>
    </row>
    <row r="840" spans="1:43" hidden="1">
      <c r="A840" s="28">
        <v>47135</v>
      </c>
      <c r="B840" s="5" t="s">
        <v>1553</v>
      </c>
      <c r="C840" s="5" t="s">
        <v>296</v>
      </c>
      <c r="D840" s="5" t="s">
        <v>297</v>
      </c>
      <c r="E840" s="5" t="s">
        <v>68</v>
      </c>
      <c r="F840" s="5" t="s">
        <v>201</v>
      </c>
      <c r="G840" s="5" t="s">
        <v>90</v>
      </c>
      <c r="H840" s="5" t="s">
        <v>105</v>
      </c>
      <c r="I840" s="6">
        <v>0</v>
      </c>
      <c r="J840" s="7">
        <v>43622</v>
      </c>
      <c r="K840" s="8" t="str">
        <f>IF(B840="","",IF(AND(I840="",J840=""),"Unknown",IF(OR(AND(ISNUMBER(I840),I840=0),AND(ISNUMBER(J840),J840&lt;=EDATE('Scoring Settings'!$B$4,-'Scoring Settings'!$B$5))),"Not in use",IF(AND(ISNUMBER(I840),I840&lt;'Scoring Settings'!$B$6),"Low use","Active"))))</f>
        <v>Not in use</v>
      </c>
      <c r="L840" s="5">
        <v>2</v>
      </c>
      <c r="M840" s="5">
        <v>3</v>
      </c>
      <c r="N840" s="5" t="s">
        <v>575</v>
      </c>
      <c r="O840" s="5" t="s">
        <v>73</v>
      </c>
      <c r="P840" s="5" t="s">
        <v>1554</v>
      </c>
      <c r="Q840" s="9">
        <v>4</v>
      </c>
      <c r="R840" s="5" t="s">
        <v>352</v>
      </c>
      <c r="S840" s="5" t="s">
        <v>353</v>
      </c>
      <c r="T840" s="5" t="s">
        <v>72</v>
      </c>
      <c r="U840" s="7">
        <v>47127</v>
      </c>
      <c r="V840" s="5" t="s">
        <v>135</v>
      </c>
      <c r="W840" s="6">
        <v>1640</v>
      </c>
      <c r="X840" s="5" t="s">
        <v>80</v>
      </c>
      <c r="Y840" s="9">
        <v>5</v>
      </c>
      <c r="Z840" s="5" t="s">
        <v>80</v>
      </c>
      <c r="AA840" s="5" t="s">
        <v>81</v>
      </c>
      <c r="AB840" s="9">
        <v>8</v>
      </c>
      <c r="AC840" s="5" t="s">
        <v>80</v>
      </c>
      <c r="AD840" s="5" t="s">
        <v>80</v>
      </c>
      <c r="AE840" s="5" t="s">
        <v>79</v>
      </c>
      <c r="AF840" s="10">
        <v>70000</v>
      </c>
      <c r="AG840" s="7">
        <v>47879</v>
      </c>
      <c r="AH840" s="10">
        <v>187500</v>
      </c>
      <c r="AI840" s="10">
        <v>41000</v>
      </c>
      <c r="AJ840" s="11">
        <f t="shared" si="13"/>
        <v>54.878048780487802</v>
      </c>
      <c r="AK840" s="12">
        <f>IF(B840="","",OR(K840="Not in use",K840="Low use")+AND(N840&lt;&gt;"",N840&lt;&gt;"TBD")+AND(ISNUMBER(U840),U840&lt;=EDATE('Scoring Settings'!$B$4,'Scoring Settings'!$B$8))+AND(ISNUMBER(L840),L840&lt;='Scoring Settings'!$B$7))</f>
        <v>3</v>
      </c>
      <c r="AL840" s="5" t="s">
        <v>111</v>
      </c>
      <c r="AM840" s="8" t="str">
        <f>IF(B840="","",IF(Z840="N","Easy",IF(OR(AND(ISNUMBER(AB840),AB840&gt;'Scoring Settings'!$B$11),AND(ISNUMBER(W840),W840&gt;'Scoring Settings'!$B$12),AND(ISNUMBER(M840),M840&lt;='Scoring Settings'!$B$13)),"High","Medium")))</f>
        <v>High</v>
      </c>
      <c r="AN840" s="5"/>
      <c r="AO840" s="7"/>
      <c r="AP840" s="5" t="s">
        <v>98</v>
      </c>
      <c r="AQ840" s="29" t="s">
        <v>112</v>
      </c>
    </row>
    <row r="841" spans="1:43" hidden="1">
      <c r="A841" s="28">
        <v>188336</v>
      </c>
      <c r="B841" s="5" t="s">
        <v>1560</v>
      </c>
      <c r="C841" s="5" t="s">
        <v>522</v>
      </c>
      <c r="D841" s="5" t="s">
        <v>297</v>
      </c>
      <c r="E841" s="5" t="s">
        <v>298</v>
      </c>
      <c r="F841" s="5" t="s">
        <v>326</v>
      </c>
      <c r="G841" s="5" t="s">
        <v>278</v>
      </c>
      <c r="H841" s="5" t="s">
        <v>91</v>
      </c>
      <c r="I841" s="6">
        <v>587</v>
      </c>
      <c r="J841" s="7">
        <v>44273</v>
      </c>
      <c r="K841" s="8" t="str">
        <f>IF(B841="","",IF(AND(I841="",J841=""),"Unknown",IF(OR(AND(ISNUMBER(I841),I841=0),AND(ISNUMBER(J841),J841&lt;=EDATE('Scoring Settings'!$B$4,-'Scoring Settings'!$B$5))),"Not in use",IF(AND(ISNUMBER(I841),I841&lt;'Scoring Settings'!$B$6),"Low use","Active"))))</f>
        <v>Active</v>
      </c>
      <c r="L841" s="5">
        <v>5</v>
      </c>
      <c r="M841" s="5">
        <v>2</v>
      </c>
      <c r="N841" s="5"/>
      <c r="O841" s="5" t="s">
        <v>130</v>
      </c>
      <c r="P841" s="5" t="s">
        <v>1561</v>
      </c>
      <c r="Q841" s="9">
        <v>3</v>
      </c>
      <c r="R841" s="5" t="s">
        <v>256</v>
      </c>
      <c r="S841" s="5" t="s">
        <v>257</v>
      </c>
      <c r="T841" s="5" t="s">
        <v>168</v>
      </c>
      <c r="U841" s="7">
        <v>45077</v>
      </c>
      <c r="V841" s="5" t="s">
        <v>78</v>
      </c>
      <c r="W841" s="6">
        <v>49</v>
      </c>
      <c r="X841" s="5" t="s">
        <v>80</v>
      </c>
      <c r="Y841" s="9">
        <v>5</v>
      </c>
      <c r="Z841" s="5" t="s">
        <v>79</v>
      </c>
      <c r="AA841" s="5" t="s">
        <v>110</v>
      </c>
      <c r="AB841" s="9">
        <v>15</v>
      </c>
      <c r="AC841" s="5" t="s">
        <v>80</v>
      </c>
      <c r="AD841" s="5" t="s">
        <v>82</v>
      </c>
      <c r="AE841" s="5" t="s">
        <v>79</v>
      </c>
      <c r="AF841" s="10">
        <v>60000</v>
      </c>
      <c r="AG841" s="7">
        <v>47269</v>
      </c>
      <c r="AH841" s="10"/>
      <c r="AI841" s="10"/>
      <c r="AJ841" s="11" t="str">
        <f t="shared" si="13"/>
        <v/>
      </c>
      <c r="AK841" s="12">
        <f>IF(B841="","",OR(K841="Not in use",K841="Low use")+AND(N841&lt;&gt;"",N841&lt;&gt;"TBD")+AND(ISNUMBER(U841),U841&lt;=EDATE('Scoring Settings'!$B$4,'Scoring Settings'!$B$8))+AND(ISNUMBER(L841),L841&lt;='Scoring Settings'!$B$7))</f>
        <v>0</v>
      </c>
      <c r="AL841" s="5" t="s">
        <v>83</v>
      </c>
      <c r="AM841" s="8" t="str">
        <f>IF(B841="","",IF(Z841="N","Easy",IF(OR(AND(ISNUMBER(AB841),AB841&gt;'Scoring Settings'!$B$11),AND(ISNUMBER(W841),W841&gt;'Scoring Settings'!$B$12),AND(ISNUMBER(M841),M841&lt;='Scoring Settings'!$B$13)),"High","Medium")))</f>
        <v>Easy</v>
      </c>
      <c r="AN841" s="5"/>
      <c r="AO841" s="7"/>
      <c r="AP841" s="5" t="s">
        <v>98</v>
      </c>
      <c r="AQ841" s="29" t="s">
        <v>247</v>
      </c>
    </row>
    <row r="842" spans="1:43" hidden="1">
      <c r="A842" s="28">
        <v>124082</v>
      </c>
      <c r="B842" s="5" t="s">
        <v>1562</v>
      </c>
      <c r="C842" s="5" t="s">
        <v>325</v>
      </c>
      <c r="D842" s="5" t="s">
        <v>139</v>
      </c>
      <c r="E842" s="5" t="s">
        <v>68</v>
      </c>
      <c r="F842" s="5" t="s">
        <v>178</v>
      </c>
      <c r="G842" s="5" t="s">
        <v>284</v>
      </c>
      <c r="H842" s="5" t="s">
        <v>174</v>
      </c>
      <c r="I842" s="6">
        <v>175</v>
      </c>
      <c r="J842" s="7">
        <v>44309</v>
      </c>
      <c r="K842" s="8" t="str">
        <f>IF(B842="","",IF(AND(I842="",J842=""),"Unknown",IF(OR(AND(ISNUMBER(I842),I842=0),AND(ISNUMBER(J842),J842&lt;=EDATE('Scoring Settings'!$B$4,-'Scoring Settings'!$B$5))),"Not in use",IF(AND(ISNUMBER(I842),I842&lt;'Scoring Settings'!$B$6),"Low use","Active"))))</f>
        <v>Active</v>
      </c>
      <c r="L842" s="5">
        <v>4</v>
      </c>
      <c r="M842" s="5">
        <v>2</v>
      </c>
      <c r="N842" s="5"/>
      <c r="O842" s="5" t="s">
        <v>73</v>
      </c>
      <c r="P842" s="5" t="s">
        <v>1563</v>
      </c>
      <c r="Q842" s="9">
        <v>3</v>
      </c>
      <c r="R842" s="5" t="s">
        <v>203</v>
      </c>
      <c r="S842" s="5" t="s">
        <v>508</v>
      </c>
      <c r="T842" s="5" t="s">
        <v>109</v>
      </c>
      <c r="U842" s="7">
        <v>47269</v>
      </c>
      <c r="V842" s="5" t="s">
        <v>95</v>
      </c>
      <c r="W842" s="6">
        <v>290</v>
      </c>
      <c r="X842" s="5" t="s">
        <v>79</v>
      </c>
      <c r="Y842" s="9">
        <v>3</v>
      </c>
      <c r="Z842" s="5" t="s">
        <v>79</v>
      </c>
      <c r="AA842" s="5" t="s">
        <v>110</v>
      </c>
      <c r="AB842" s="9">
        <v>11</v>
      </c>
      <c r="AC842" s="5" t="s">
        <v>80</v>
      </c>
      <c r="AD842" s="5" t="s">
        <v>82</v>
      </c>
      <c r="AE842" s="5" t="s">
        <v>82</v>
      </c>
      <c r="AF842" s="10">
        <v>85000</v>
      </c>
      <c r="AG842" s="7">
        <v>47208</v>
      </c>
      <c r="AH842" s="10"/>
      <c r="AI842" s="10"/>
      <c r="AJ842" s="11" t="str">
        <f t="shared" si="13"/>
        <v/>
      </c>
      <c r="AK842" s="12">
        <f>IF(B842="","",OR(K842="Not in use",K842="Low use")+AND(N842&lt;&gt;"",N842&lt;&gt;"TBD")+AND(ISNUMBER(U842),U842&lt;=EDATE('Scoring Settings'!$B$4,'Scoring Settings'!$B$8))+AND(ISNUMBER(L842),L842&lt;='Scoring Settings'!$B$7))</f>
        <v>0</v>
      </c>
      <c r="AL842" s="5" t="s">
        <v>83</v>
      </c>
      <c r="AM842" s="8" t="str">
        <f>IF(B842="","",IF(Z842="N","Easy",IF(OR(AND(ISNUMBER(AB842),AB842&gt;'Scoring Settings'!$B$11),AND(ISNUMBER(W842),W842&gt;'Scoring Settings'!$B$12),AND(ISNUMBER(M842),M842&lt;='Scoring Settings'!$B$13)),"High","Medium")))</f>
        <v>Easy</v>
      </c>
      <c r="AN842" s="5"/>
      <c r="AO842" s="7"/>
      <c r="AP842" s="5" t="s">
        <v>84</v>
      </c>
      <c r="AQ842" s="29" t="s">
        <v>273</v>
      </c>
    </row>
    <row r="843" spans="1:43" hidden="1">
      <c r="A843" s="28">
        <v>31436</v>
      </c>
      <c r="B843" s="5" t="s">
        <v>1569</v>
      </c>
      <c r="C843" s="5" t="s">
        <v>464</v>
      </c>
      <c r="D843" s="5" t="s">
        <v>88</v>
      </c>
      <c r="E843" s="5" t="s">
        <v>311</v>
      </c>
      <c r="F843" s="5" t="s">
        <v>178</v>
      </c>
      <c r="G843" s="5" t="s">
        <v>153</v>
      </c>
      <c r="H843" s="5" t="s">
        <v>142</v>
      </c>
      <c r="I843" s="6">
        <v>348</v>
      </c>
      <c r="J843" s="7">
        <v>44293</v>
      </c>
      <c r="K843" s="8" t="str">
        <f>IF(B843="","",IF(AND(I843="",J843=""),"Unknown",IF(OR(AND(ISNUMBER(I843),I843=0),AND(ISNUMBER(J843),J843&lt;=EDATE('Scoring Settings'!$B$4,-'Scoring Settings'!$B$5))),"Not in use",IF(AND(ISNUMBER(I843),I843&lt;'Scoring Settings'!$B$6),"Low use","Active"))))</f>
        <v>Active</v>
      </c>
      <c r="L843" s="5">
        <v>2</v>
      </c>
      <c r="M843" s="5">
        <v>4</v>
      </c>
      <c r="N843" s="5" t="s">
        <v>1570</v>
      </c>
      <c r="O843" s="5" t="s">
        <v>143</v>
      </c>
      <c r="P843" s="5" t="s">
        <v>144</v>
      </c>
      <c r="Q843" s="9">
        <v>0</v>
      </c>
      <c r="R843" s="5" t="s">
        <v>145</v>
      </c>
      <c r="S843" s="5" t="s">
        <v>145</v>
      </c>
      <c r="T843" s="5" t="s">
        <v>146</v>
      </c>
      <c r="U843" s="7">
        <v>45930</v>
      </c>
      <c r="V843" s="5" t="s">
        <v>95</v>
      </c>
      <c r="W843" s="6">
        <v>62</v>
      </c>
      <c r="X843" s="5" t="s">
        <v>79</v>
      </c>
      <c r="Y843" s="9">
        <v>7</v>
      </c>
      <c r="Z843" s="5" t="s">
        <v>79</v>
      </c>
      <c r="AA843" s="5" t="s">
        <v>110</v>
      </c>
      <c r="AB843" s="9">
        <v>1</v>
      </c>
      <c r="AC843" s="5" t="s">
        <v>82</v>
      </c>
      <c r="AD843" s="5" t="s">
        <v>80</v>
      </c>
      <c r="AE843" s="5" t="s">
        <v>79</v>
      </c>
      <c r="AF843" s="10">
        <v>26000</v>
      </c>
      <c r="AG843" s="7">
        <v>46173</v>
      </c>
      <c r="AH843" s="10">
        <v>13000</v>
      </c>
      <c r="AI843" s="10">
        <v>11500</v>
      </c>
      <c r="AJ843" s="11">
        <f t="shared" si="13"/>
        <v>13.565217391304348</v>
      </c>
      <c r="AK843" s="12">
        <f>IF(B843="","",OR(K843="Not in use",K843="Low use")+AND(N843&lt;&gt;"",N843&lt;&gt;"TBD")+AND(ISNUMBER(U843),U843&lt;=EDATE('Scoring Settings'!$B$4,'Scoring Settings'!$B$8))+AND(ISNUMBER(L843),L843&lt;='Scoring Settings'!$B$7))</f>
        <v>2</v>
      </c>
      <c r="AL843" s="5" t="s">
        <v>111</v>
      </c>
      <c r="AM843" s="8" t="str">
        <f>IF(B843="","",IF(Z843="N","Easy",IF(OR(AND(ISNUMBER(AB843),AB843&gt;'Scoring Settings'!$B$11),AND(ISNUMBER(W843),W843&gt;'Scoring Settings'!$B$12),AND(ISNUMBER(M843),M843&lt;='Scoring Settings'!$B$13)),"High","Medium")))</f>
        <v>Easy</v>
      </c>
      <c r="AN843" s="5"/>
      <c r="AO843" s="7"/>
      <c r="AP843" s="5" t="s">
        <v>98</v>
      </c>
      <c r="AQ843" s="29" t="s">
        <v>112</v>
      </c>
    </row>
    <row r="844" spans="1:43" hidden="1">
      <c r="A844" s="28">
        <v>147734</v>
      </c>
      <c r="B844" s="5" t="s">
        <v>1571</v>
      </c>
      <c r="C844" s="5" t="s">
        <v>371</v>
      </c>
      <c r="D844" s="5" t="s">
        <v>162</v>
      </c>
      <c r="E844" s="5" t="s">
        <v>68</v>
      </c>
      <c r="F844" s="5" t="s">
        <v>302</v>
      </c>
      <c r="G844" s="5" t="s">
        <v>117</v>
      </c>
      <c r="H844" s="5" t="s">
        <v>174</v>
      </c>
      <c r="I844" s="6">
        <v>178</v>
      </c>
      <c r="J844" s="7">
        <v>44300</v>
      </c>
      <c r="K844" s="8" t="str">
        <f>IF(B844="","",IF(AND(I844="",J844=""),"Unknown",IF(OR(AND(ISNUMBER(I844),I844=0),AND(ISNUMBER(J844),J844&lt;=EDATE('Scoring Settings'!$B$4,-'Scoring Settings'!$B$5))),"Not in use",IF(AND(ISNUMBER(I844),I844&lt;'Scoring Settings'!$B$6),"Low use","Active"))))</f>
        <v>Active</v>
      </c>
      <c r="L844" s="5">
        <v>4</v>
      </c>
      <c r="M844" s="5">
        <v>3</v>
      </c>
      <c r="N844" s="5"/>
      <c r="O844" s="5" t="s">
        <v>73</v>
      </c>
      <c r="P844" s="5" t="s">
        <v>1572</v>
      </c>
      <c r="Q844" s="9">
        <v>3</v>
      </c>
      <c r="R844" s="5" t="s">
        <v>166</v>
      </c>
      <c r="S844" s="5" t="s">
        <v>167</v>
      </c>
      <c r="T844" s="5" t="s">
        <v>109</v>
      </c>
      <c r="U844" s="7">
        <v>45482</v>
      </c>
      <c r="V844" s="5" t="s">
        <v>135</v>
      </c>
      <c r="W844" s="6">
        <v>5990</v>
      </c>
      <c r="X844" s="5" t="s">
        <v>79</v>
      </c>
      <c r="Y844" s="9">
        <v>2</v>
      </c>
      <c r="Z844" s="5" t="s">
        <v>80</v>
      </c>
      <c r="AA844" s="5" t="s">
        <v>205</v>
      </c>
      <c r="AB844" s="9">
        <v>4</v>
      </c>
      <c r="AC844" s="5" t="s">
        <v>82</v>
      </c>
      <c r="AD844" s="5" t="s">
        <v>82</v>
      </c>
      <c r="AE844" s="5" t="s">
        <v>82</v>
      </c>
      <c r="AF844" s="10">
        <v>45000</v>
      </c>
      <c r="AG844" s="7">
        <v>48304</v>
      </c>
      <c r="AH844" s="10"/>
      <c r="AI844" s="10"/>
      <c r="AJ844" s="11" t="str">
        <f t="shared" si="13"/>
        <v/>
      </c>
      <c r="AK844" s="12">
        <f>IF(B844="","",OR(K844="Not in use",K844="Low use")+AND(N844&lt;&gt;"",N844&lt;&gt;"TBD")+AND(ISNUMBER(U844),U844&lt;=EDATE('Scoring Settings'!$B$4,'Scoring Settings'!$B$8))+AND(ISNUMBER(L844),L844&lt;='Scoring Settings'!$B$7))</f>
        <v>0</v>
      </c>
      <c r="AL844" s="5" t="s">
        <v>111</v>
      </c>
      <c r="AM844" s="8" t="str">
        <f>IF(B844="","",IF(Z844="N","Easy",IF(OR(AND(ISNUMBER(AB844),AB844&gt;'Scoring Settings'!$B$11),AND(ISNUMBER(W844),W844&gt;'Scoring Settings'!$B$12),AND(ISNUMBER(M844),M844&lt;='Scoring Settings'!$B$13)),"High","Medium")))</f>
        <v>High</v>
      </c>
      <c r="AN844" s="5"/>
      <c r="AO844" s="7"/>
      <c r="AP844" s="5" t="s">
        <v>98</v>
      </c>
      <c r="AQ844" s="29" t="s">
        <v>112</v>
      </c>
    </row>
    <row r="845" spans="1:43" hidden="1">
      <c r="A845" s="28">
        <v>192254</v>
      </c>
      <c r="B845" s="5" t="s">
        <v>1573</v>
      </c>
      <c r="C845" s="5" t="s">
        <v>13</v>
      </c>
      <c r="D845" s="5" t="s">
        <v>162</v>
      </c>
      <c r="E845" s="5" t="s">
        <v>68</v>
      </c>
      <c r="F845" s="5" t="s">
        <v>127</v>
      </c>
      <c r="G845" s="5" t="s">
        <v>221</v>
      </c>
      <c r="H845" s="5" t="s">
        <v>91</v>
      </c>
      <c r="I845" s="6">
        <v>40</v>
      </c>
      <c r="J845" s="7">
        <v>44313</v>
      </c>
      <c r="K845" s="8" t="str">
        <f>IF(B845="","",IF(AND(I845="",J845=""),"Unknown",IF(OR(AND(ISNUMBER(I845),I845=0),AND(ISNUMBER(J845),J845&lt;=EDATE('Scoring Settings'!$B$4,-'Scoring Settings'!$B$5))),"Not in use",IF(AND(ISNUMBER(I845),I845&lt;'Scoring Settings'!$B$6),"Low use","Active"))))</f>
        <v>Active</v>
      </c>
      <c r="L845" s="5">
        <v>4</v>
      </c>
      <c r="M845" s="5">
        <v>1</v>
      </c>
      <c r="N845" s="5" t="s">
        <v>289</v>
      </c>
      <c r="O845" s="5" t="s">
        <v>73</v>
      </c>
      <c r="P845" s="5" t="s">
        <v>1574</v>
      </c>
      <c r="Q845" s="9">
        <v>2</v>
      </c>
      <c r="R845" s="5" t="s">
        <v>93</v>
      </c>
      <c r="S845" s="5" t="s">
        <v>94</v>
      </c>
      <c r="T845" s="5" t="s">
        <v>122</v>
      </c>
      <c r="U845" s="7">
        <v>44561</v>
      </c>
      <c r="V845" s="5" t="s">
        <v>135</v>
      </c>
      <c r="W845" s="6">
        <v>33</v>
      </c>
      <c r="X845" s="5" t="s">
        <v>79</v>
      </c>
      <c r="Y845" s="9">
        <v>2</v>
      </c>
      <c r="Z845" s="5" t="s">
        <v>79</v>
      </c>
      <c r="AA845" s="5" t="s">
        <v>110</v>
      </c>
      <c r="AB845" s="9">
        <v>27</v>
      </c>
      <c r="AC845" s="5" t="s">
        <v>80</v>
      </c>
      <c r="AD845" s="5" t="s">
        <v>80</v>
      </c>
      <c r="AE845" s="5" t="s">
        <v>80</v>
      </c>
      <c r="AF845" s="10">
        <v>180000</v>
      </c>
      <c r="AG845" s="7">
        <v>49309</v>
      </c>
      <c r="AH845" s="10"/>
      <c r="AI845" s="10"/>
      <c r="AJ845" s="11" t="str">
        <f t="shared" si="13"/>
        <v/>
      </c>
      <c r="AK845" s="12">
        <f>IF(B845="","",OR(K845="Not in use",K845="Low use")+AND(N845&lt;&gt;"",N845&lt;&gt;"TBD")+AND(ISNUMBER(U845),U845&lt;=EDATE('Scoring Settings'!$B$4,'Scoring Settings'!$B$8))+AND(ISNUMBER(L845),L845&lt;='Scoring Settings'!$B$7))</f>
        <v>2</v>
      </c>
      <c r="AL845" s="5" t="s">
        <v>111</v>
      </c>
      <c r="AM845" s="8" t="str">
        <f>IF(B845="","",IF(Z845="N","Easy",IF(OR(AND(ISNUMBER(AB845),AB845&gt;'Scoring Settings'!$B$11),AND(ISNUMBER(W845),W845&gt;'Scoring Settings'!$B$12),AND(ISNUMBER(M845),M845&lt;='Scoring Settings'!$B$13)),"High","Medium")))</f>
        <v>Easy</v>
      </c>
      <c r="AN845" s="5"/>
      <c r="AO845" s="7"/>
      <c r="AP845" s="5" t="s">
        <v>98</v>
      </c>
      <c r="AQ845" s="29" t="s">
        <v>218</v>
      </c>
    </row>
    <row r="846" spans="1:43" hidden="1">
      <c r="A846" s="28">
        <v>192279</v>
      </c>
      <c r="B846" s="5" t="s">
        <v>1575</v>
      </c>
      <c r="C846" s="5" t="s">
        <v>172</v>
      </c>
      <c r="D846" s="5" t="s">
        <v>162</v>
      </c>
      <c r="E846" s="5" t="s">
        <v>68</v>
      </c>
      <c r="F846" s="5" t="s">
        <v>288</v>
      </c>
      <c r="G846" s="5" t="s">
        <v>237</v>
      </c>
      <c r="H846" s="5" t="s">
        <v>189</v>
      </c>
      <c r="I846" s="6">
        <v>8</v>
      </c>
      <c r="J846" s="7">
        <v>44279</v>
      </c>
      <c r="K846" s="8" t="str">
        <f>IF(B846="","",IF(AND(I846="",J846=""),"Unknown",IF(OR(AND(ISNUMBER(I846),I846=0),AND(ISNUMBER(J846),J846&lt;=EDATE('Scoring Settings'!$B$4,-'Scoring Settings'!$B$5))),"Not in use",IF(AND(ISNUMBER(I846),I846&lt;'Scoring Settings'!$B$6),"Low use","Active"))))</f>
        <v>Low use</v>
      </c>
      <c r="L846" s="5">
        <v>4</v>
      </c>
      <c r="M846" s="5">
        <v>3</v>
      </c>
      <c r="N846" s="5" t="s">
        <v>533</v>
      </c>
      <c r="O846" s="5" t="s">
        <v>73</v>
      </c>
      <c r="P846" s="5" t="s">
        <v>1576</v>
      </c>
      <c r="Q846" s="9">
        <v>2</v>
      </c>
      <c r="R846" s="5" t="s">
        <v>478</v>
      </c>
      <c r="S846" s="5" t="s">
        <v>479</v>
      </c>
      <c r="T846" s="5" t="s">
        <v>77</v>
      </c>
      <c r="U846" s="7">
        <v>43844</v>
      </c>
      <c r="V846" s="5" t="s">
        <v>135</v>
      </c>
      <c r="W846" s="6">
        <v>51</v>
      </c>
      <c r="X846" s="5" t="s">
        <v>79</v>
      </c>
      <c r="Y846" s="9">
        <v>3</v>
      </c>
      <c r="Z846" s="5" t="s">
        <v>79</v>
      </c>
      <c r="AA846" s="5" t="s">
        <v>110</v>
      </c>
      <c r="AB846" s="9">
        <v>3</v>
      </c>
      <c r="AC846" s="5" t="s">
        <v>79</v>
      </c>
      <c r="AD846" s="5" t="s">
        <v>82</v>
      </c>
      <c r="AE846" s="5" t="s">
        <v>79</v>
      </c>
      <c r="AF846" s="10">
        <v>44000</v>
      </c>
      <c r="AG846" s="7">
        <v>46022</v>
      </c>
      <c r="AH846" s="10">
        <v>19500</v>
      </c>
      <c r="AI846" s="10">
        <v>33000</v>
      </c>
      <c r="AJ846" s="11">
        <f t="shared" si="13"/>
        <v>7.0909090909090917</v>
      </c>
      <c r="AK846" s="12">
        <f>IF(B846="","",OR(K846="Not in use",K846="Low use")+AND(N846&lt;&gt;"",N846&lt;&gt;"TBD")+AND(ISNUMBER(U846),U846&lt;=EDATE('Scoring Settings'!$B$4,'Scoring Settings'!$B$8))+AND(ISNUMBER(L846),L846&lt;='Scoring Settings'!$B$7))</f>
        <v>3</v>
      </c>
      <c r="AL846" s="5" t="s">
        <v>111</v>
      </c>
      <c r="AM846" s="8" t="str">
        <f>IF(B846="","",IF(Z846="N","Easy",IF(OR(AND(ISNUMBER(AB846),AB846&gt;'Scoring Settings'!$B$11),AND(ISNUMBER(W846),W846&gt;'Scoring Settings'!$B$12),AND(ISNUMBER(M846),M846&lt;='Scoring Settings'!$B$13)),"High","Medium")))</f>
        <v>Easy</v>
      </c>
      <c r="AN846" s="5"/>
      <c r="AO846" s="7"/>
      <c r="AP846" s="5" t="s">
        <v>98</v>
      </c>
      <c r="AQ846" s="29" t="s">
        <v>112</v>
      </c>
    </row>
    <row r="847" spans="1:43" hidden="1">
      <c r="A847" s="28">
        <v>46560</v>
      </c>
      <c r="B847" s="5" t="s">
        <v>1583</v>
      </c>
      <c r="C847" s="5" t="s">
        <v>172</v>
      </c>
      <c r="D847" s="5" t="s">
        <v>162</v>
      </c>
      <c r="E847" s="5" t="s">
        <v>68</v>
      </c>
      <c r="F847" s="5" t="s">
        <v>209</v>
      </c>
      <c r="G847" s="5" t="s">
        <v>128</v>
      </c>
      <c r="H847" s="5" t="s">
        <v>105</v>
      </c>
      <c r="I847" s="6">
        <v>316</v>
      </c>
      <c r="J847" s="7">
        <v>44287</v>
      </c>
      <c r="K847" s="8" t="str">
        <f>IF(B847="","",IF(AND(I847="",J847=""),"Unknown",IF(OR(AND(ISNUMBER(I847),I847=0),AND(ISNUMBER(J847),J847&lt;=EDATE('Scoring Settings'!$B$4,-'Scoring Settings'!$B$5))),"Not in use",IF(AND(ISNUMBER(I847),I847&lt;'Scoring Settings'!$B$6),"Low use","Active"))))</f>
        <v>Active</v>
      </c>
      <c r="L847" s="5">
        <v>5</v>
      </c>
      <c r="M847" s="5">
        <v>1</v>
      </c>
      <c r="N847" s="5" t="s">
        <v>72</v>
      </c>
      <c r="O847" s="5" t="s">
        <v>73</v>
      </c>
      <c r="P847" s="5" t="s">
        <v>1584</v>
      </c>
      <c r="Q847" s="9">
        <v>2</v>
      </c>
      <c r="R847" s="5" t="s">
        <v>203</v>
      </c>
      <c r="S847" s="5" t="s">
        <v>508</v>
      </c>
      <c r="T847" s="5" t="s">
        <v>184</v>
      </c>
      <c r="U847" s="7">
        <v>47269</v>
      </c>
      <c r="V847" s="5" t="s">
        <v>95</v>
      </c>
      <c r="W847" s="6">
        <v>61</v>
      </c>
      <c r="X847" s="5" t="s">
        <v>79</v>
      </c>
      <c r="Y847" s="9">
        <v>3</v>
      </c>
      <c r="Z847" s="5" t="s">
        <v>79</v>
      </c>
      <c r="AA847" s="5" t="s">
        <v>110</v>
      </c>
      <c r="AB847" s="9">
        <v>66</v>
      </c>
      <c r="AC847" s="5" t="s">
        <v>79</v>
      </c>
      <c r="AD847" s="5" t="s">
        <v>79</v>
      </c>
      <c r="AE847" s="5" t="s">
        <v>80</v>
      </c>
      <c r="AF847" s="10">
        <v>115000</v>
      </c>
      <c r="AG847" s="7">
        <v>48121</v>
      </c>
      <c r="AH847" s="10"/>
      <c r="AI847" s="10"/>
      <c r="AJ847" s="11" t="str">
        <f t="shared" si="13"/>
        <v/>
      </c>
      <c r="AK847" s="12">
        <f>IF(B847="","",OR(K847="Not in use",K847="Low use")+AND(N847&lt;&gt;"",N847&lt;&gt;"TBD")+AND(ISNUMBER(U847),U847&lt;=EDATE('Scoring Settings'!$B$4,'Scoring Settings'!$B$8))+AND(ISNUMBER(L847),L847&lt;='Scoring Settings'!$B$7))</f>
        <v>0</v>
      </c>
      <c r="AL847" s="5" t="s">
        <v>83</v>
      </c>
      <c r="AM847" s="8" t="str">
        <f>IF(B847="","",IF(Z847="N","Easy",IF(OR(AND(ISNUMBER(AB847),AB847&gt;'Scoring Settings'!$B$11),AND(ISNUMBER(W847),W847&gt;'Scoring Settings'!$B$12),AND(ISNUMBER(M847),M847&lt;='Scoring Settings'!$B$13)),"High","Medium")))</f>
        <v>Easy</v>
      </c>
      <c r="AN847" s="5"/>
      <c r="AO847" s="7"/>
      <c r="AP847" s="5" t="s">
        <v>84</v>
      </c>
      <c r="AQ847" s="29" t="s">
        <v>85</v>
      </c>
    </row>
    <row r="848" spans="1:43" hidden="1">
      <c r="A848" s="28">
        <v>13605</v>
      </c>
      <c r="B848" s="5" t="s">
        <v>1591</v>
      </c>
      <c r="C848" s="5" t="s">
        <v>483</v>
      </c>
      <c r="D848" s="5" t="s">
        <v>88</v>
      </c>
      <c r="E848" s="5" t="s">
        <v>68</v>
      </c>
      <c r="F848" s="5" t="s">
        <v>103</v>
      </c>
      <c r="G848" s="5" t="s">
        <v>117</v>
      </c>
      <c r="H848" s="5" t="s">
        <v>189</v>
      </c>
      <c r="I848" s="6">
        <v>231</v>
      </c>
      <c r="J848" s="7">
        <v>44282</v>
      </c>
      <c r="K848" s="8" t="str">
        <f>IF(B848="","",IF(AND(I848="",J848=""),"Unknown",IF(OR(AND(ISNUMBER(I848),I848=0),AND(ISNUMBER(J848),J848&lt;=EDATE('Scoring Settings'!$B$4,-'Scoring Settings'!$B$5))),"Not in use",IF(AND(ISNUMBER(I848),I848&lt;'Scoring Settings'!$B$6),"Low use","Active"))))</f>
        <v>Active</v>
      </c>
      <c r="L848" s="5">
        <v>5</v>
      </c>
      <c r="M848" s="5">
        <v>2</v>
      </c>
      <c r="N848" s="5" t="s">
        <v>1592</v>
      </c>
      <c r="O848" s="5" t="s">
        <v>73</v>
      </c>
      <c r="P848" s="5" t="s">
        <v>1593</v>
      </c>
      <c r="Q848" s="9">
        <v>8</v>
      </c>
      <c r="R848" s="5" t="s">
        <v>478</v>
      </c>
      <c r="S848" s="5" t="s">
        <v>479</v>
      </c>
      <c r="T848" s="5" t="s">
        <v>72</v>
      </c>
      <c r="U848" s="7" t="s">
        <v>72</v>
      </c>
      <c r="V848" s="5" t="s">
        <v>135</v>
      </c>
      <c r="W848" s="6">
        <v>19</v>
      </c>
      <c r="X848" s="5" t="s">
        <v>79</v>
      </c>
      <c r="Y848" s="9">
        <v>3</v>
      </c>
      <c r="Z848" s="5" t="s">
        <v>80</v>
      </c>
      <c r="AA848" s="5" t="s">
        <v>205</v>
      </c>
      <c r="AB848" s="9">
        <v>18</v>
      </c>
      <c r="AC848" s="5" t="s">
        <v>82</v>
      </c>
      <c r="AD848" s="5" t="s">
        <v>80</v>
      </c>
      <c r="AE848" s="5" t="s">
        <v>82</v>
      </c>
      <c r="AF848" s="10">
        <v>190000</v>
      </c>
      <c r="AG848" s="7">
        <v>46295</v>
      </c>
      <c r="AH848" s="10">
        <v>264000</v>
      </c>
      <c r="AI848" s="10">
        <v>171500</v>
      </c>
      <c r="AJ848" s="11">
        <f t="shared" si="13"/>
        <v>18.472303206997083</v>
      </c>
      <c r="AK848" s="12">
        <f>IF(B848="","",OR(K848="Not in use",K848="Low use")+AND(N848&lt;&gt;"",N848&lt;&gt;"TBD")+AND(ISNUMBER(U848),U848&lt;=EDATE('Scoring Settings'!$B$4,'Scoring Settings'!$B$8))+AND(ISNUMBER(L848),L848&lt;='Scoring Settings'!$B$7))</f>
        <v>1</v>
      </c>
      <c r="AL848" s="5" t="s">
        <v>111</v>
      </c>
      <c r="AM848" s="8" t="str">
        <f>IF(B848="","",IF(Z848="N","Easy",IF(OR(AND(ISNUMBER(AB848),AB848&gt;'Scoring Settings'!$B$11),AND(ISNUMBER(W848),W848&gt;'Scoring Settings'!$B$12),AND(ISNUMBER(M848),M848&lt;='Scoring Settings'!$B$13)),"High","Medium")))</f>
        <v>High</v>
      </c>
      <c r="AN848" s="5"/>
      <c r="AO848" s="7"/>
      <c r="AP848" s="5" t="s">
        <v>98</v>
      </c>
      <c r="AQ848" s="29" t="s">
        <v>112</v>
      </c>
    </row>
    <row r="849" spans="1:43" hidden="1">
      <c r="A849" s="28">
        <v>125126</v>
      </c>
      <c r="B849" s="5" t="s">
        <v>1600</v>
      </c>
      <c r="C849" s="5" t="s">
        <v>325</v>
      </c>
      <c r="D849" s="5" t="s">
        <v>139</v>
      </c>
      <c r="E849" s="5" t="s">
        <v>298</v>
      </c>
      <c r="F849" s="5" t="s">
        <v>178</v>
      </c>
      <c r="G849" s="5" t="s">
        <v>267</v>
      </c>
      <c r="H849" s="5" t="s">
        <v>71</v>
      </c>
      <c r="I849" s="6">
        <v>45</v>
      </c>
      <c r="J849" s="7">
        <v>44289</v>
      </c>
      <c r="K849" s="8" t="str">
        <f>IF(B849="","",IF(AND(I849="",J849=""),"Unknown",IF(OR(AND(ISNUMBER(I849),I849=0),AND(ISNUMBER(J849),J849&lt;=EDATE('Scoring Settings'!$B$4,-'Scoring Settings'!$B$5))),"Not in use",IF(AND(ISNUMBER(I849),I849&lt;'Scoring Settings'!$B$6),"Low use","Active"))))</f>
        <v>Active</v>
      </c>
      <c r="L849" s="5">
        <v>5</v>
      </c>
      <c r="M849" s="5">
        <v>2</v>
      </c>
      <c r="N849" s="5"/>
      <c r="O849" s="5" t="s">
        <v>130</v>
      </c>
      <c r="P849" s="5" t="s">
        <v>1601</v>
      </c>
      <c r="Q849" s="9">
        <v>2</v>
      </c>
      <c r="R849" s="5" t="s">
        <v>107</v>
      </c>
      <c r="S849" s="5" t="s">
        <v>108</v>
      </c>
      <c r="T849" s="5" t="s">
        <v>134</v>
      </c>
      <c r="U849" s="7">
        <v>43655</v>
      </c>
      <c r="V849" s="5" t="s">
        <v>135</v>
      </c>
      <c r="W849" s="6">
        <v>41</v>
      </c>
      <c r="X849" s="5" t="s">
        <v>79</v>
      </c>
      <c r="Y849" s="9">
        <v>7</v>
      </c>
      <c r="Z849" s="5" t="s">
        <v>79</v>
      </c>
      <c r="AA849" s="5" t="s">
        <v>110</v>
      </c>
      <c r="AB849" s="9">
        <v>11</v>
      </c>
      <c r="AC849" s="5" t="s">
        <v>79</v>
      </c>
      <c r="AD849" s="5" t="s">
        <v>79</v>
      </c>
      <c r="AE849" s="5" t="s">
        <v>79</v>
      </c>
      <c r="AF849" s="10">
        <v>65000</v>
      </c>
      <c r="AG849" s="7">
        <v>49674</v>
      </c>
      <c r="AH849" s="10"/>
      <c r="AI849" s="10"/>
      <c r="AJ849" s="11" t="str">
        <f t="shared" si="13"/>
        <v/>
      </c>
      <c r="AK849" s="12">
        <f>IF(B849="","",OR(K849="Not in use",K849="Low use")+AND(N849&lt;&gt;"",N849&lt;&gt;"TBD")+AND(ISNUMBER(U849),U849&lt;=EDATE('Scoring Settings'!$B$4,'Scoring Settings'!$B$8))+AND(ISNUMBER(L849),L849&lt;='Scoring Settings'!$B$7))</f>
        <v>1</v>
      </c>
      <c r="AL849" s="5" t="s">
        <v>83</v>
      </c>
      <c r="AM849" s="8" t="str">
        <f>IF(B849="","",IF(Z849="N","Easy",IF(OR(AND(ISNUMBER(AB849),AB849&gt;'Scoring Settings'!$B$11),AND(ISNUMBER(W849),W849&gt;'Scoring Settings'!$B$12),AND(ISNUMBER(M849),M849&lt;='Scoring Settings'!$B$13)),"High","Medium")))</f>
        <v>Easy</v>
      </c>
      <c r="AN849" s="5"/>
      <c r="AO849" s="7"/>
      <c r="AP849" s="5" t="s">
        <v>84</v>
      </c>
      <c r="AQ849" s="29" t="s">
        <v>85</v>
      </c>
    </row>
    <row r="850" spans="1:43" hidden="1">
      <c r="A850" s="28">
        <v>14928</v>
      </c>
      <c r="B850" s="5" t="s">
        <v>1606</v>
      </c>
      <c r="C850" s="5" t="s">
        <v>470</v>
      </c>
      <c r="D850" s="5" t="s">
        <v>297</v>
      </c>
      <c r="E850" s="5" t="s">
        <v>68</v>
      </c>
      <c r="F850" s="5" t="s">
        <v>243</v>
      </c>
      <c r="G850" s="5" t="s">
        <v>237</v>
      </c>
      <c r="H850" s="5" t="s">
        <v>142</v>
      </c>
      <c r="I850" s="6">
        <v>8</v>
      </c>
      <c r="J850" s="7">
        <v>44221</v>
      </c>
      <c r="K850" s="8" t="str">
        <f>IF(B850="","",IF(AND(I850="",J850=""),"Unknown",IF(OR(AND(ISNUMBER(I850),I850=0),AND(ISNUMBER(J850),J850&lt;=EDATE('Scoring Settings'!$B$4,-'Scoring Settings'!$B$5))),"Not in use",IF(AND(ISNUMBER(I850),I850&lt;'Scoring Settings'!$B$6),"Low use","Active"))))</f>
        <v>Low use</v>
      </c>
      <c r="L850" s="5">
        <v>5</v>
      </c>
      <c r="M850" s="5">
        <v>1</v>
      </c>
      <c r="N850" s="5"/>
      <c r="O850" s="5" t="s">
        <v>143</v>
      </c>
      <c r="P850" s="5" t="s">
        <v>144</v>
      </c>
      <c r="Q850" s="9">
        <v>0</v>
      </c>
      <c r="R850" s="5" t="s">
        <v>145</v>
      </c>
      <c r="S850" s="5" t="s">
        <v>145</v>
      </c>
      <c r="T850" s="5" t="s">
        <v>146</v>
      </c>
      <c r="U850" s="7"/>
      <c r="V850" s="5" t="s">
        <v>135</v>
      </c>
      <c r="W850" s="6">
        <v>5</v>
      </c>
      <c r="X850" s="5" t="s">
        <v>80</v>
      </c>
      <c r="Y850" s="9">
        <v>10</v>
      </c>
      <c r="Z850" s="5" t="s">
        <v>80</v>
      </c>
      <c r="AA850" s="5" t="s">
        <v>81</v>
      </c>
      <c r="AB850" s="9">
        <v>46</v>
      </c>
      <c r="AC850" s="5" t="s">
        <v>82</v>
      </c>
      <c r="AD850" s="5" t="s">
        <v>79</v>
      </c>
      <c r="AE850" s="5" t="s">
        <v>82</v>
      </c>
      <c r="AF850" s="10">
        <v>175000</v>
      </c>
      <c r="AG850" s="7">
        <v>46507</v>
      </c>
      <c r="AH850" s="10"/>
      <c r="AI850" s="10"/>
      <c r="AJ850" s="11" t="str">
        <f t="shared" si="13"/>
        <v/>
      </c>
      <c r="AK850" s="12">
        <f>IF(B850="","",OR(K850="Not in use",K850="Low use")+AND(N850&lt;&gt;"",N850&lt;&gt;"TBD")+AND(ISNUMBER(U850),U850&lt;=EDATE('Scoring Settings'!$B$4,'Scoring Settings'!$B$8))+AND(ISNUMBER(L850),L850&lt;='Scoring Settings'!$B$7))</f>
        <v>1</v>
      </c>
      <c r="AL850" s="5" t="s">
        <v>83</v>
      </c>
      <c r="AM850" s="8" t="str">
        <f>IF(B850="","",IF(Z850="N","Easy",IF(OR(AND(ISNUMBER(AB850),AB850&gt;'Scoring Settings'!$B$11),AND(ISNUMBER(W850),W850&gt;'Scoring Settings'!$B$12),AND(ISNUMBER(M850),M850&lt;='Scoring Settings'!$B$13)),"High","Medium")))</f>
        <v>High</v>
      </c>
      <c r="AN850" s="5"/>
      <c r="AO850" s="7"/>
      <c r="AP850" s="5" t="s">
        <v>84</v>
      </c>
      <c r="AQ850" s="29" t="s">
        <v>85</v>
      </c>
    </row>
    <row r="851" spans="1:43" hidden="1">
      <c r="A851" s="28">
        <v>80152</v>
      </c>
      <c r="B851" s="5" t="s">
        <v>1609</v>
      </c>
      <c r="C851" s="5" t="s">
        <v>639</v>
      </c>
      <c r="D851" s="5" t="s">
        <v>88</v>
      </c>
      <c r="E851" s="5" t="s">
        <v>68</v>
      </c>
      <c r="F851" s="5" t="s">
        <v>346</v>
      </c>
      <c r="G851" s="5" t="s">
        <v>179</v>
      </c>
      <c r="H851" s="5" t="s">
        <v>142</v>
      </c>
      <c r="I851" s="6">
        <v>96</v>
      </c>
      <c r="J851" s="7">
        <v>44312</v>
      </c>
      <c r="K851" s="8" t="str">
        <f>IF(B851="","",IF(AND(I851="",J851=""),"Unknown",IF(OR(AND(ISNUMBER(I851),I851=0),AND(ISNUMBER(J851),J851&lt;=EDATE('Scoring Settings'!$B$4,-'Scoring Settings'!$B$5))),"Not in use",IF(AND(ISNUMBER(I851),I851&lt;'Scoring Settings'!$B$6),"Low use","Active"))))</f>
        <v>Active</v>
      </c>
      <c r="L851" s="5">
        <v>4</v>
      </c>
      <c r="M851" s="5">
        <v>1</v>
      </c>
      <c r="N851" s="5"/>
      <c r="O851" s="5" t="s">
        <v>143</v>
      </c>
      <c r="P851" s="5" t="s">
        <v>144</v>
      </c>
      <c r="Q851" s="9">
        <v>0</v>
      </c>
      <c r="R851" s="5" t="s">
        <v>145</v>
      </c>
      <c r="S851" s="5" t="s">
        <v>145</v>
      </c>
      <c r="T851" s="5" t="s">
        <v>146</v>
      </c>
      <c r="U851" s="7">
        <v>46265</v>
      </c>
      <c r="V851" s="5" t="s">
        <v>135</v>
      </c>
      <c r="W851" s="6">
        <v>690</v>
      </c>
      <c r="X851" s="5" t="s">
        <v>79</v>
      </c>
      <c r="Y851" s="9">
        <v>2</v>
      </c>
      <c r="Z851" s="5" t="s">
        <v>79</v>
      </c>
      <c r="AA851" s="5" t="s">
        <v>110</v>
      </c>
      <c r="AB851" s="9">
        <v>42</v>
      </c>
      <c r="AC851" s="5" t="s">
        <v>82</v>
      </c>
      <c r="AD851" s="5" t="s">
        <v>79</v>
      </c>
      <c r="AE851" s="5" t="s">
        <v>82</v>
      </c>
      <c r="AF851" s="10">
        <v>295000</v>
      </c>
      <c r="AG851" s="7">
        <v>49643</v>
      </c>
      <c r="AH851" s="10"/>
      <c r="AI851" s="10"/>
      <c r="AJ851" s="11" t="str">
        <f t="shared" si="13"/>
        <v/>
      </c>
      <c r="AK851" s="12">
        <f>IF(B851="","",OR(K851="Not in use",K851="Low use")+AND(N851&lt;&gt;"",N851&lt;&gt;"TBD")+AND(ISNUMBER(U851),U851&lt;=EDATE('Scoring Settings'!$B$4,'Scoring Settings'!$B$8))+AND(ISNUMBER(L851),L851&lt;='Scoring Settings'!$B$7))</f>
        <v>0</v>
      </c>
      <c r="AL851" s="5" t="s">
        <v>83</v>
      </c>
      <c r="AM851" s="8" t="str">
        <f>IF(B851="","",IF(Z851="N","Easy",IF(OR(AND(ISNUMBER(AB851),AB851&gt;'Scoring Settings'!$B$11),AND(ISNUMBER(W851),W851&gt;'Scoring Settings'!$B$12),AND(ISNUMBER(M851),M851&lt;='Scoring Settings'!$B$13)),"High","Medium")))</f>
        <v>Easy</v>
      </c>
      <c r="AN851" s="5"/>
      <c r="AO851" s="7"/>
      <c r="AP851" s="5" t="s">
        <v>98</v>
      </c>
      <c r="AQ851" s="29" t="s">
        <v>273</v>
      </c>
    </row>
    <row r="852" spans="1:43" hidden="1">
      <c r="A852" s="28">
        <v>23872</v>
      </c>
      <c r="B852" s="5" t="s">
        <v>1610</v>
      </c>
      <c r="C852" s="5" t="s">
        <v>13</v>
      </c>
      <c r="D852" s="5" t="s">
        <v>162</v>
      </c>
      <c r="E852" s="5" t="s">
        <v>68</v>
      </c>
      <c r="F852" s="5" t="s">
        <v>89</v>
      </c>
      <c r="G852" s="5" t="s">
        <v>267</v>
      </c>
      <c r="H852" s="5" t="s">
        <v>142</v>
      </c>
      <c r="I852" s="6">
        <v>95</v>
      </c>
      <c r="J852" s="7">
        <v>44297</v>
      </c>
      <c r="K852" s="8" t="str">
        <f>IF(B852="","",IF(AND(I852="",J852=""),"Unknown",IF(OR(AND(ISNUMBER(I852),I852=0),AND(ISNUMBER(J852),J852&lt;=EDATE('Scoring Settings'!$B$4,-'Scoring Settings'!$B$5))),"Not in use",IF(AND(ISNUMBER(I852),I852&lt;'Scoring Settings'!$B$6),"Low use","Active"))))</f>
        <v>Active</v>
      </c>
      <c r="L852" s="5">
        <v>5</v>
      </c>
      <c r="M852" s="5">
        <v>1</v>
      </c>
      <c r="N852" s="5"/>
      <c r="O852" s="5" t="s">
        <v>143</v>
      </c>
      <c r="P852" s="5" t="s">
        <v>144</v>
      </c>
      <c r="Q852" s="9">
        <v>0</v>
      </c>
      <c r="R852" s="5" t="s">
        <v>145</v>
      </c>
      <c r="S852" s="5" t="s">
        <v>145</v>
      </c>
      <c r="T852" s="5" t="s">
        <v>146</v>
      </c>
      <c r="U852" s="7"/>
      <c r="V852" s="5" t="s">
        <v>135</v>
      </c>
      <c r="W852" s="6">
        <v>56</v>
      </c>
      <c r="X852" s="5" t="s">
        <v>79</v>
      </c>
      <c r="Y852" s="9">
        <v>1</v>
      </c>
      <c r="Z852" s="5" t="s">
        <v>79</v>
      </c>
      <c r="AA852" s="5" t="s">
        <v>110</v>
      </c>
      <c r="AB852" s="9">
        <v>18</v>
      </c>
      <c r="AC852" s="5" t="s">
        <v>82</v>
      </c>
      <c r="AD852" s="5" t="s">
        <v>79</v>
      </c>
      <c r="AE852" s="5" t="s">
        <v>79</v>
      </c>
      <c r="AF852" s="10">
        <v>370000</v>
      </c>
      <c r="AG852" s="7">
        <v>45688</v>
      </c>
      <c r="AH852" s="10"/>
      <c r="AI852" s="10"/>
      <c r="AJ852" s="11" t="str">
        <f t="shared" si="13"/>
        <v/>
      </c>
      <c r="AK852" s="12">
        <f>IF(B852="","",OR(K852="Not in use",K852="Low use")+AND(N852&lt;&gt;"",N852&lt;&gt;"TBD")+AND(ISNUMBER(U852),U852&lt;=EDATE('Scoring Settings'!$B$4,'Scoring Settings'!$B$8))+AND(ISNUMBER(L852),L852&lt;='Scoring Settings'!$B$7))</f>
        <v>0</v>
      </c>
      <c r="AL852" s="5" t="s">
        <v>83</v>
      </c>
      <c r="AM852" s="8" t="str">
        <f>IF(B852="","",IF(Z852="N","Easy",IF(OR(AND(ISNUMBER(AB852),AB852&gt;'Scoring Settings'!$B$11),AND(ISNUMBER(W852),W852&gt;'Scoring Settings'!$B$12),AND(ISNUMBER(M852),M852&lt;='Scoring Settings'!$B$13)),"High","Medium")))</f>
        <v>Easy</v>
      </c>
      <c r="AN852" s="5"/>
      <c r="AO852" s="7"/>
      <c r="AP852" s="5" t="s">
        <v>84</v>
      </c>
      <c r="AQ852" s="29" t="s">
        <v>85</v>
      </c>
    </row>
    <row r="853" spans="1:43" hidden="1">
      <c r="A853" s="28">
        <v>116025</v>
      </c>
      <c r="B853" s="5" t="s">
        <v>1612</v>
      </c>
      <c r="C853" s="5" t="s">
        <v>293</v>
      </c>
      <c r="D853" s="5" t="s">
        <v>162</v>
      </c>
      <c r="E853" s="5" t="s">
        <v>68</v>
      </c>
      <c r="F853" s="5" t="s">
        <v>263</v>
      </c>
      <c r="G853" s="5" t="s">
        <v>226</v>
      </c>
      <c r="H853" s="5" t="s">
        <v>71</v>
      </c>
      <c r="I853" s="6">
        <v>77</v>
      </c>
      <c r="J853" s="7">
        <v>44292</v>
      </c>
      <c r="K853" s="8" t="str">
        <f>IF(B853="","",IF(AND(I853="",J853=""),"Unknown",IF(OR(AND(ISNUMBER(I853),I853=0),AND(ISNUMBER(J853),J853&lt;=EDATE('Scoring Settings'!$B$4,-'Scoring Settings'!$B$5))),"Not in use",IF(AND(ISNUMBER(I853),I853&lt;'Scoring Settings'!$B$6),"Low use","Active"))))</f>
        <v>Active</v>
      </c>
      <c r="L853" s="5">
        <v>5</v>
      </c>
      <c r="M853" s="5">
        <v>1</v>
      </c>
      <c r="N853" s="5"/>
      <c r="O853" s="5" t="s">
        <v>73</v>
      </c>
      <c r="P853" s="5" t="s">
        <v>1613</v>
      </c>
      <c r="Q853" s="9">
        <v>8</v>
      </c>
      <c r="R853" s="5" t="s">
        <v>245</v>
      </c>
      <c r="S853" s="5" t="s">
        <v>246</v>
      </c>
      <c r="T853" s="5" t="s">
        <v>72</v>
      </c>
      <c r="U853" s="7">
        <v>45777</v>
      </c>
      <c r="V853" s="5" t="s">
        <v>78</v>
      </c>
      <c r="W853" s="6">
        <v>14</v>
      </c>
      <c r="X853" s="5" t="s">
        <v>80</v>
      </c>
      <c r="Y853" s="9">
        <v>5</v>
      </c>
      <c r="Z853" s="5" t="s">
        <v>79</v>
      </c>
      <c r="AA853" s="5" t="s">
        <v>110</v>
      </c>
      <c r="AB853" s="9">
        <v>75</v>
      </c>
      <c r="AC853" s="5" t="s">
        <v>79</v>
      </c>
      <c r="AD853" s="5" t="s">
        <v>79</v>
      </c>
      <c r="AE853" s="5" t="s">
        <v>80</v>
      </c>
      <c r="AF853" s="10">
        <v>280000</v>
      </c>
      <c r="AG853" s="7">
        <v>46934</v>
      </c>
      <c r="AH853" s="10"/>
      <c r="AI853" s="10"/>
      <c r="AJ853" s="11" t="str">
        <f t="shared" si="13"/>
        <v/>
      </c>
      <c r="AK853" s="12">
        <f>IF(B853="","",OR(K853="Not in use",K853="Low use")+AND(N853&lt;&gt;"",N853&lt;&gt;"TBD")+AND(ISNUMBER(U853),U853&lt;=EDATE('Scoring Settings'!$B$4,'Scoring Settings'!$B$8))+AND(ISNUMBER(L853),L853&lt;='Scoring Settings'!$B$7))</f>
        <v>0</v>
      </c>
      <c r="AL853" s="5" t="s">
        <v>83</v>
      </c>
      <c r="AM853" s="8" t="str">
        <f>IF(B853="","",IF(Z853="N","Easy",IF(OR(AND(ISNUMBER(AB853),AB853&gt;'Scoring Settings'!$B$11),AND(ISNUMBER(W853),W853&gt;'Scoring Settings'!$B$12),AND(ISNUMBER(M853),M853&lt;='Scoring Settings'!$B$13)),"High","Medium")))</f>
        <v>Easy</v>
      </c>
      <c r="AN853" s="5"/>
      <c r="AO853" s="7"/>
      <c r="AP853" s="5" t="s">
        <v>84</v>
      </c>
      <c r="AQ853" s="29" t="s">
        <v>273</v>
      </c>
    </row>
    <row r="854" spans="1:43" hidden="1">
      <c r="A854" s="28">
        <v>184753</v>
      </c>
      <c r="B854" s="5" t="s">
        <v>1614</v>
      </c>
      <c r="C854" s="5" t="s">
        <v>639</v>
      </c>
      <c r="D854" s="5" t="s">
        <v>88</v>
      </c>
      <c r="E854" s="5" t="s">
        <v>68</v>
      </c>
      <c r="F854" s="5" t="s">
        <v>236</v>
      </c>
      <c r="G854" s="5" t="s">
        <v>267</v>
      </c>
      <c r="H854" s="5" t="s">
        <v>142</v>
      </c>
      <c r="I854" s="6">
        <v>398</v>
      </c>
      <c r="J854" s="7">
        <v>44306</v>
      </c>
      <c r="K854" s="8" t="str">
        <f>IF(B854="","",IF(AND(I854="",J854=""),"Unknown",IF(OR(AND(ISNUMBER(I854),I854=0),AND(ISNUMBER(J854),J854&lt;=EDATE('Scoring Settings'!$B$4,-'Scoring Settings'!$B$5))),"Not in use",IF(AND(ISNUMBER(I854),I854&lt;'Scoring Settings'!$B$6),"Low use","Active"))))</f>
        <v>Active</v>
      </c>
      <c r="L854" s="5">
        <v>3</v>
      </c>
      <c r="M854" s="5">
        <v>3</v>
      </c>
      <c r="N854" s="5"/>
      <c r="O854" s="5" t="s">
        <v>143</v>
      </c>
      <c r="P854" s="5" t="s">
        <v>144</v>
      </c>
      <c r="Q854" s="9">
        <v>0</v>
      </c>
      <c r="R854" s="5" t="s">
        <v>145</v>
      </c>
      <c r="S854" s="5" t="s">
        <v>145</v>
      </c>
      <c r="T854" s="5" t="s">
        <v>146</v>
      </c>
      <c r="U854" s="7">
        <v>44651</v>
      </c>
      <c r="V854" s="5" t="s">
        <v>95</v>
      </c>
      <c r="W854" s="6">
        <v>72</v>
      </c>
      <c r="X854" s="5" t="s">
        <v>79</v>
      </c>
      <c r="Y854" s="9">
        <v>3</v>
      </c>
      <c r="Z854" s="5" t="s">
        <v>80</v>
      </c>
      <c r="AA854" s="5" t="s">
        <v>147</v>
      </c>
      <c r="AB854" s="9">
        <v>1</v>
      </c>
      <c r="AC854" s="5" t="s">
        <v>82</v>
      </c>
      <c r="AD854" s="5" t="s">
        <v>80</v>
      </c>
      <c r="AE854" s="5" t="s">
        <v>79</v>
      </c>
      <c r="AF854" s="10">
        <v>95000</v>
      </c>
      <c r="AG854" s="7">
        <v>47057</v>
      </c>
      <c r="AH854" s="10"/>
      <c r="AI854" s="10"/>
      <c r="AJ854" s="11" t="str">
        <f t="shared" si="13"/>
        <v/>
      </c>
      <c r="AK854" s="12">
        <f>IF(B854="","",OR(K854="Not in use",K854="Low use")+AND(N854&lt;&gt;"",N854&lt;&gt;"TBD")+AND(ISNUMBER(U854),U854&lt;=EDATE('Scoring Settings'!$B$4,'Scoring Settings'!$B$8))+AND(ISNUMBER(L854),L854&lt;='Scoring Settings'!$B$7))</f>
        <v>1</v>
      </c>
      <c r="AL854" s="5" t="s">
        <v>83</v>
      </c>
      <c r="AM854" s="8" t="str">
        <f>IF(B854="","",IF(Z854="N","Easy",IF(OR(AND(ISNUMBER(AB854),AB854&gt;'Scoring Settings'!$B$11),AND(ISNUMBER(W854),W854&gt;'Scoring Settings'!$B$12),AND(ISNUMBER(M854),M854&lt;='Scoring Settings'!$B$13)),"High","Medium")))</f>
        <v>Medium</v>
      </c>
      <c r="AN854" s="5"/>
      <c r="AO854" s="7"/>
      <c r="AP854" s="5" t="s">
        <v>84</v>
      </c>
      <c r="AQ854" s="29" t="s">
        <v>206</v>
      </c>
    </row>
    <row r="855" spans="1:43" hidden="1">
      <c r="A855" s="28">
        <v>182616</v>
      </c>
      <c r="B855" s="5" t="s">
        <v>1615</v>
      </c>
      <c r="C855" s="5" t="s">
        <v>126</v>
      </c>
      <c r="D855" s="5" t="s">
        <v>88</v>
      </c>
      <c r="E855" s="5" t="s">
        <v>68</v>
      </c>
      <c r="F855" s="5" t="s">
        <v>288</v>
      </c>
      <c r="G855" s="5" t="s">
        <v>267</v>
      </c>
      <c r="H855" s="5" t="s">
        <v>91</v>
      </c>
      <c r="I855" s="6">
        <v>300</v>
      </c>
      <c r="J855" s="7">
        <v>44289</v>
      </c>
      <c r="K855" s="8" t="str">
        <f>IF(B855="","",IF(AND(I855="",J855=""),"Unknown",IF(OR(AND(ISNUMBER(I855),I855=0),AND(ISNUMBER(J855),J855&lt;=EDATE('Scoring Settings'!$B$4,-'Scoring Settings'!$B$5))),"Not in use",IF(AND(ISNUMBER(I855),I855&lt;'Scoring Settings'!$B$6),"Low use","Active"))))</f>
        <v>Active</v>
      </c>
      <c r="L855" s="5">
        <v>5</v>
      </c>
      <c r="M855" s="5">
        <v>2</v>
      </c>
      <c r="N855" s="5" t="s">
        <v>1592</v>
      </c>
      <c r="O855" s="5" t="s">
        <v>73</v>
      </c>
      <c r="P855" s="5" t="s">
        <v>1616</v>
      </c>
      <c r="Q855" s="9">
        <v>7</v>
      </c>
      <c r="R855" s="5" t="s">
        <v>478</v>
      </c>
      <c r="S855" s="5" t="s">
        <v>479</v>
      </c>
      <c r="T855" s="5" t="s">
        <v>122</v>
      </c>
      <c r="U855" s="7">
        <v>43844</v>
      </c>
      <c r="V855" s="5" t="s">
        <v>135</v>
      </c>
      <c r="W855" s="6">
        <v>36</v>
      </c>
      <c r="X855" s="5" t="s">
        <v>79</v>
      </c>
      <c r="Y855" s="9">
        <v>7</v>
      </c>
      <c r="Z855" s="5" t="s">
        <v>80</v>
      </c>
      <c r="AA855" s="5" t="s">
        <v>81</v>
      </c>
      <c r="AB855" s="9">
        <v>23</v>
      </c>
      <c r="AC855" s="5" t="s">
        <v>82</v>
      </c>
      <c r="AD855" s="5" t="s">
        <v>82</v>
      </c>
      <c r="AE855" s="5" t="s">
        <v>79</v>
      </c>
      <c r="AF855" s="10">
        <v>160000</v>
      </c>
      <c r="AG855" s="7">
        <v>45747</v>
      </c>
      <c r="AH855" s="10"/>
      <c r="AI855" s="10"/>
      <c r="AJ855" s="11" t="str">
        <f t="shared" si="13"/>
        <v/>
      </c>
      <c r="AK855" s="12">
        <f>IF(B855="","",OR(K855="Not in use",K855="Low use")+AND(N855&lt;&gt;"",N855&lt;&gt;"TBD")+AND(ISNUMBER(U855),U855&lt;=EDATE('Scoring Settings'!$B$4,'Scoring Settings'!$B$8))+AND(ISNUMBER(L855),L855&lt;='Scoring Settings'!$B$7))</f>
        <v>2</v>
      </c>
      <c r="AL855" s="5" t="s">
        <v>111</v>
      </c>
      <c r="AM855" s="8" t="str">
        <f>IF(B855="","",IF(Z855="N","Easy",IF(OR(AND(ISNUMBER(AB855),AB855&gt;'Scoring Settings'!$B$11),AND(ISNUMBER(W855),W855&gt;'Scoring Settings'!$B$12),AND(ISNUMBER(M855),M855&lt;='Scoring Settings'!$B$13)),"High","Medium")))</f>
        <v>High</v>
      </c>
      <c r="AN855" s="5"/>
      <c r="AO855" s="7"/>
      <c r="AP855" s="5" t="s">
        <v>98</v>
      </c>
      <c r="AQ855" s="29" t="s">
        <v>124</v>
      </c>
    </row>
    <row r="856" spans="1:43" hidden="1">
      <c r="A856" s="28">
        <v>172913</v>
      </c>
      <c r="B856" s="5" t="s">
        <v>1619</v>
      </c>
      <c r="C856" s="5" t="s">
        <v>230</v>
      </c>
      <c r="D856" s="5" t="s">
        <v>115</v>
      </c>
      <c r="E856" s="5" t="s">
        <v>311</v>
      </c>
      <c r="F856" s="5" t="s">
        <v>236</v>
      </c>
      <c r="G856" s="5" t="s">
        <v>278</v>
      </c>
      <c r="H856" s="5" t="s">
        <v>71</v>
      </c>
      <c r="I856" s="6">
        <v>1898</v>
      </c>
      <c r="J856" s="7">
        <v>44278</v>
      </c>
      <c r="K856" s="8" t="str">
        <f>IF(B856="","",IF(AND(I856="",J856=""),"Unknown",IF(OR(AND(ISNUMBER(I856),I856=0),AND(ISNUMBER(J856),J856&lt;=EDATE('Scoring Settings'!$B$4,-'Scoring Settings'!$B$5))),"Not in use",IF(AND(ISNUMBER(I856),I856&lt;'Scoring Settings'!$B$6),"Low use","Active"))))</f>
        <v>Active</v>
      </c>
      <c r="L856" s="5">
        <v>5</v>
      </c>
      <c r="M856" s="5">
        <v>1</v>
      </c>
      <c r="N856" s="5"/>
      <c r="O856" s="5" t="s">
        <v>130</v>
      </c>
      <c r="P856" s="5" t="s">
        <v>1620</v>
      </c>
      <c r="Q856" s="9">
        <v>2</v>
      </c>
      <c r="R856" s="5" t="s">
        <v>335</v>
      </c>
      <c r="S856" s="5" t="s">
        <v>72</v>
      </c>
      <c r="T856" s="5" t="s">
        <v>134</v>
      </c>
      <c r="U856" s="7">
        <v>45473</v>
      </c>
      <c r="V856" s="5" t="s">
        <v>135</v>
      </c>
      <c r="W856" s="6">
        <v>130</v>
      </c>
      <c r="X856" s="5" t="s">
        <v>80</v>
      </c>
      <c r="Y856" s="9">
        <v>7</v>
      </c>
      <c r="Z856" s="5" t="s">
        <v>79</v>
      </c>
      <c r="AA856" s="5" t="s">
        <v>110</v>
      </c>
      <c r="AB856" s="9">
        <v>85</v>
      </c>
      <c r="AC856" s="5" t="s">
        <v>80</v>
      </c>
      <c r="AD856" s="5" t="s">
        <v>80</v>
      </c>
      <c r="AE856" s="5" t="s">
        <v>79</v>
      </c>
      <c r="AF856" s="10">
        <v>85000</v>
      </c>
      <c r="AG856" s="7">
        <v>46053</v>
      </c>
      <c r="AH856" s="10"/>
      <c r="AI856" s="10"/>
      <c r="AJ856" s="11" t="str">
        <f t="shared" si="13"/>
        <v/>
      </c>
      <c r="AK856" s="12">
        <f>IF(B856="","",OR(K856="Not in use",K856="Low use")+AND(N856&lt;&gt;"",N856&lt;&gt;"TBD")+AND(ISNUMBER(U856),U856&lt;=EDATE('Scoring Settings'!$B$4,'Scoring Settings'!$B$8))+AND(ISNUMBER(L856),L856&lt;='Scoring Settings'!$B$7))</f>
        <v>0</v>
      </c>
      <c r="AL856" s="5" t="s">
        <v>111</v>
      </c>
      <c r="AM856" s="8" t="str">
        <f>IF(B856="","",IF(Z856="N","Easy",IF(OR(AND(ISNUMBER(AB856),AB856&gt;'Scoring Settings'!$B$11),AND(ISNUMBER(W856),W856&gt;'Scoring Settings'!$B$12),AND(ISNUMBER(M856),M856&lt;='Scoring Settings'!$B$13)),"High","Medium")))</f>
        <v>Easy</v>
      </c>
      <c r="AN856" s="5"/>
      <c r="AO856" s="7"/>
      <c r="AP856" s="5" t="s">
        <v>98</v>
      </c>
      <c r="AQ856" s="29" t="s">
        <v>218</v>
      </c>
    </row>
    <row r="857" spans="1:43" ht="42.75" hidden="1">
      <c r="A857" s="28">
        <v>115475</v>
      </c>
      <c r="B857" s="5" t="s">
        <v>1621</v>
      </c>
      <c r="C857" s="5" t="s">
        <v>87</v>
      </c>
      <c r="D857" s="5" t="s">
        <v>88</v>
      </c>
      <c r="E857" s="5" t="s">
        <v>68</v>
      </c>
      <c r="F857" s="5" t="s">
        <v>249</v>
      </c>
      <c r="G857" s="5" t="s">
        <v>284</v>
      </c>
      <c r="H857" s="5" t="s">
        <v>71</v>
      </c>
      <c r="I857" s="6">
        <v>513</v>
      </c>
      <c r="J857" s="7">
        <v>44304</v>
      </c>
      <c r="K857" s="8" t="str">
        <f>IF(B857="","",IF(AND(I857="",J857=""),"Unknown",IF(OR(AND(ISNUMBER(I857),I857=0),AND(ISNUMBER(J857),J857&lt;=EDATE('Scoring Settings'!$B$4,-'Scoring Settings'!$B$5))),"Not in use",IF(AND(ISNUMBER(I857),I857&lt;'Scoring Settings'!$B$6),"Low use","Active"))))</f>
        <v>Active</v>
      </c>
      <c r="L857" s="5">
        <v>5</v>
      </c>
      <c r="M857" s="5">
        <v>1</v>
      </c>
      <c r="N857" s="5" t="s">
        <v>865</v>
      </c>
      <c r="O857" s="5" t="s">
        <v>73</v>
      </c>
      <c r="P857" s="5" t="s">
        <v>1622</v>
      </c>
      <c r="Q857" s="9">
        <v>6</v>
      </c>
      <c r="R857" s="5" t="s">
        <v>251</v>
      </c>
      <c r="S857" s="5" t="s">
        <v>133</v>
      </c>
      <c r="T857" s="5" t="s">
        <v>122</v>
      </c>
      <c r="U857" s="7">
        <v>44165</v>
      </c>
      <c r="V857" s="5" t="s">
        <v>78</v>
      </c>
      <c r="W857" s="6">
        <v>110</v>
      </c>
      <c r="X857" s="5" t="s">
        <v>79</v>
      </c>
      <c r="Y857" s="9">
        <v>3</v>
      </c>
      <c r="Z857" s="5" t="s">
        <v>79</v>
      </c>
      <c r="AA857" s="5" t="s">
        <v>110</v>
      </c>
      <c r="AB857" s="9">
        <v>17</v>
      </c>
      <c r="AC857" s="5" t="s">
        <v>80</v>
      </c>
      <c r="AD857" s="5" t="s">
        <v>79</v>
      </c>
      <c r="AE857" s="5" t="s">
        <v>82</v>
      </c>
      <c r="AF857" s="10">
        <v>280000</v>
      </c>
      <c r="AG857" s="7">
        <v>49490</v>
      </c>
      <c r="AH857" s="10">
        <v>240000</v>
      </c>
      <c r="AI857" s="10">
        <v>199500</v>
      </c>
      <c r="AJ857" s="11">
        <f t="shared" si="13"/>
        <v>14.436090225563909</v>
      </c>
      <c r="AK857" s="12">
        <f>IF(B857="","",OR(K857="Not in use",K857="Low use")+AND(N857&lt;&gt;"",N857&lt;&gt;"TBD")+AND(ISNUMBER(U857),U857&lt;=EDATE('Scoring Settings'!$B$4,'Scoring Settings'!$B$8))+AND(ISNUMBER(L857),L857&lt;='Scoring Settings'!$B$7))</f>
        <v>2</v>
      </c>
      <c r="AL857" s="5" t="s">
        <v>111</v>
      </c>
      <c r="AM857" s="8" t="str">
        <f>IF(B857="","",IF(Z857="N","Easy",IF(OR(AND(ISNUMBER(AB857),AB857&gt;'Scoring Settings'!$B$11),AND(ISNUMBER(W857),W857&gt;'Scoring Settings'!$B$12),AND(ISNUMBER(M857),M857&lt;='Scoring Settings'!$B$13)),"High","Medium")))</f>
        <v>Easy</v>
      </c>
      <c r="AN857" s="5"/>
      <c r="AO857" s="7"/>
      <c r="AP857" s="5" t="s">
        <v>98</v>
      </c>
      <c r="AQ857" s="29" t="s">
        <v>1623</v>
      </c>
    </row>
    <row r="858" spans="1:43" hidden="1">
      <c r="A858" s="28">
        <v>192710</v>
      </c>
      <c r="B858" s="5" t="s">
        <v>1624</v>
      </c>
      <c r="C858" s="5" t="s">
        <v>151</v>
      </c>
      <c r="D858" s="5" t="s">
        <v>102</v>
      </c>
      <c r="E858" s="5" t="s">
        <v>68</v>
      </c>
      <c r="F858" s="5" t="s">
        <v>140</v>
      </c>
      <c r="G858" s="5" t="s">
        <v>90</v>
      </c>
      <c r="H858" s="5" t="s">
        <v>118</v>
      </c>
      <c r="I858" s="6">
        <v>25</v>
      </c>
      <c r="J858" s="7">
        <v>44299</v>
      </c>
      <c r="K858" s="8" t="str">
        <f>IF(B858="","",IF(AND(I858="",J858=""),"Unknown",IF(OR(AND(ISNUMBER(I858),I858=0),AND(ISNUMBER(J858),J858&lt;=EDATE('Scoring Settings'!$B$4,-'Scoring Settings'!$B$5))),"Not in use",IF(AND(ISNUMBER(I858),I858&lt;'Scoring Settings'!$B$6),"Low use","Active"))))</f>
        <v>Active</v>
      </c>
      <c r="L858" s="5">
        <v>1</v>
      </c>
      <c r="M858" s="5">
        <v>4</v>
      </c>
      <c r="N858" s="5" t="s">
        <v>72</v>
      </c>
      <c r="O858" s="5" t="s">
        <v>191</v>
      </c>
      <c r="P858" s="5" t="s">
        <v>192</v>
      </c>
      <c r="Q858" s="9">
        <v>0</v>
      </c>
      <c r="R858" s="5" t="s">
        <v>193</v>
      </c>
      <c r="S858" s="5" t="s">
        <v>318</v>
      </c>
      <c r="T858" s="5" t="s">
        <v>195</v>
      </c>
      <c r="U858" s="7"/>
      <c r="V858" s="5" t="s">
        <v>135</v>
      </c>
      <c r="W858" s="6">
        <v>170</v>
      </c>
      <c r="X858" s="5" t="s">
        <v>80</v>
      </c>
      <c r="Y858" s="9">
        <v>7</v>
      </c>
      <c r="Z858" s="5" t="s">
        <v>80</v>
      </c>
      <c r="AA858" s="5" t="s">
        <v>123</v>
      </c>
      <c r="AB858" s="9">
        <v>0</v>
      </c>
      <c r="AC858" s="5" t="s">
        <v>79</v>
      </c>
      <c r="AD858" s="5" t="s">
        <v>79</v>
      </c>
      <c r="AE858" s="5" t="s">
        <v>82</v>
      </c>
      <c r="AF858" s="10">
        <v>14000</v>
      </c>
      <c r="AG858" s="7">
        <v>46660</v>
      </c>
      <c r="AH858" s="10">
        <v>7000</v>
      </c>
      <c r="AI858" s="10">
        <v>9500</v>
      </c>
      <c r="AJ858" s="11">
        <f t="shared" si="13"/>
        <v>8.8421052631578938</v>
      </c>
      <c r="AK858" s="12">
        <f>IF(B858="","",OR(K858="Not in use",K858="Low use")+AND(N858&lt;&gt;"",N858&lt;&gt;"TBD")+AND(ISNUMBER(U858),U858&lt;=EDATE('Scoring Settings'!$B$4,'Scoring Settings'!$B$8))+AND(ISNUMBER(L858),L858&lt;='Scoring Settings'!$B$7))</f>
        <v>1</v>
      </c>
      <c r="AL858" s="5" t="s">
        <v>111</v>
      </c>
      <c r="AM858" s="8" t="str">
        <f>IF(B858="","",IF(Z858="N","Easy",IF(OR(AND(ISNUMBER(AB858),AB858&gt;'Scoring Settings'!$B$11),AND(ISNUMBER(W858),W858&gt;'Scoring Settings'!$B$12),AND(ISNUMBER(M858),M858&lt;='Scoring Settings'!$B$13)),"High","Medium")))</f>
        <v>Medium</v>
      </c>
      <c r="AN858" s="5"/>
      <c r="AO858" s="7"/>
      <c r="AP858" s="5" t="s">
        <v>98</v>
      </c>
      <c r="AQ858" s="29" t="s">
        <v>218</v>
      </c>
    </row>
    <row r="859" spans="1:43" hidden="1">
      <c r="A859" s="28">
        <v>190653</v>
      </c>
      <c r="B859" s="5" t="s">
        <v>1630</v>
      </c>
      <c r="C859" s="5" t="s">
        <v>634</v>
      </c>
      <c r="D859" s="5" t="s">
        <v>297</v>
      </c>
      <c r="E859" s="5" t="s">
        <v>298</v>
      </c>
      <c r="F859" s="5" t="s">
        <v>157</v>
      </c>
      <c r="G859" s="5" t="s">
        <v>90</v>
      </c>
      <c r="H859" s="5" t="s">
        <v>71</v>
      </c>
      <c r="I859" s="6">
        <v>72</v>
      </c>
      <c r="J859" s="7">
        <v>44293</v>
      </c>
      <c r="K859" s="8" t="str">
        <f>IF(B859="","",IF(AND(I859="",J859=""),"Unknown",IF(OR(AND(ISNUMBER(I859),I859=0),AND(ISNUMBER(J859),J859&lt;=EDATE('Scoring Settings'!$B$4,-'Scoring Settings'!$B$5))),"Not in use",IF(AND(ISNUMBER(I859),I859&lt;'Scoring Settings'!$B$6),"Low use","Active"))))</f>
        <v>Active</v>
      </c>
      <c r="L859" s="5">
        <v>3</v>
      </c>
      <c r="M859" s="5">
        <v>4</v>
      </c>
      <c r="N859" s="5" t="s">
        <v>72</v>
      </c>
      <c r="O859" s="5" t="s">
        <v>191</v>
      </c>
      <c r="P859" s="5" t="s">
        <v>192</v>
      </c>
      <c r="Q859" s="9">
        <v>0</v>
      </c>
      <c r="R859" s="5" t="s">
        <v>193</v>
      </c>
      <c r="S859" s="5" t="s">
        <v>194</v>
      </c>
      <c r="T859" s="5" t="s">
        <v>195</v>
      </c>
      <c r="U859" s="7">
        <v>44742</v>
      </c>
      <c r="V859" s="5" t="s">
        <v>95</v>
      </c>
      <c r="W859" s="6">
        <v>280</v>
      </c>
      <c r="X859" s="5" t="s">
        <v>79</v>
      </c>
      <c r="Y859" s="9">
        <v>3</v>
      </c>
      <c r="Z859" s="5" t="s">
        <v>79</v>
      </c>
      <c r="AA859" s="5" t="s">
        <v>110</v>
      </c>
      <c r="AB859" s="9">
        <v>1</v>
      </c>
      <c r="AC859" s="5" t="s">
        <v>79</v>
      </c>
      <c r="AD859" s="5" t="s">
        <v>79</v>
      </c>
      <c r="AE859" s="5" t="s">
        <v>80</v>
      </c>
      <c r="AF859" s="10">
        <v>7500</v>
      </c>
      <c r="AG859" s="7">
        <v>46660</v>
      </c>
      <c r="AH859" s="10">
        <v>9500</v>
      </c>
      <c r="AI859" s="10">
        <v>4500</v>
      </c>
      <c r="AJ859" s="11">
        <f t="shared" si="13"/>
        <v>25.333333333333336</v>
      </c>
      <c r="AK859" s="12">
        <f>IF(B859="","",OR(K859="Not in use",K859="Low use")+AND(N859&lt;&gt;"",N859&lt;&gt;"TBD")+AND(ISNUMBER(U859),U859&lt;=EDATE('Scoring Settings'!$B$4,'Scoring Settings'!$B$8))+AND(ISNUMBER(L859),L859&lt;='Scoring Settings'!$B$7))</f>
        <v>0</v>
      </c>
      <c r="AL859" s="5" t="s">
        <v>111</v>
      </c>
      <c r="AM859" s="8" t="str">
        <f>IF(B859="","",IF(Z859="N","Easy",IF(OR(AND(ISNUMBER(AB859),AB859&gt;'Scoring Settings'!$B$11),AND(ISNUMBER(W859),W859&gt;'Scoring Settings'!$B$12),AND(ISNUMBER(M859),M859&lt;='Scoring Settings'!$B$13)),"High","Medium")))</f>
        <v>Easy</v>
      </c>
      <c r="AN859" s="5"/>
      <c r="AO859" s="7"/>
      <c r="AP859" s="5" t="s">
        <v>98</v>
      </c>
      <c r="AQ859" s="29" t="s">
        <v>124</v>
      </c>
    </row>
    <row r="860" spans="1:43" hidden="1">
      <c r="A860" s="28">
        <v>48512</v>
      </c>
      <c r="B860" s="5" t="s">
        <v>1631</v>
      </c>
      <c r="C860" s="5" t="s">
        <v>325</v>
      </c>
      <c r="D860" s="5" t="s">
        <v>139</v>
      </c>
      <c r="E860" s="5" t="s">
        <v>68</v>
      </c>
      <c r="F860" s="5" t="s">
        <v>302</v>
      </c>
      <c r="G860" s="5" t="s">
        <v>221</v>
      </c>
      <c r="H860" s="5" t="s">
        <v>189</v>
      </c>
      <c r="I860" s="6">
        <v>201</v>
      </c>
      <c r="J860" s="7">
        <v>44283</v>
      </c>
      <c r="K860" s="8" t="str">
        <f>IF(B860="","",IF(AND(I860="",J860=""),"Unknown",IF(OR(AND(ISNUMBER(I860),I860=0),AND(ISNUMBER(J860),J860&lt;=EDATE('Scoring Settings'!$B$4,-'Scoring Settings'!$B$5))),"Not in use",IF(AND(ISNUMBER(I860),I860&lt;'Scoring Settings'!$B$6),"Low use","Active"))))</f>
        <v>Active</v>
      </c>
      <c r="L860" s="5">
        <v>2</v>
      </c>
      <c r="M860" s="5">
        <v>4</v>
      </c>
      <c r="N860" s="5" t="s">
        <v>279</v>
      </c>
      <c r="O860" s="5" t="s">
        <v>73</v>
      </c>
      <c r="P860" s="5" t="s">
        <v>1632</v>
      </c>
      <c r="Q860" s="9">
        <v>1</v>
      </c>
      <c r="R860" s="5" t="s">
        <v>352</v>
      </c>
      <c r="S860" s="5" t="s">
        <v>353</v>
      </c>
      <c r="T860" s="5" t="s">
        <v>184</v>
      </c>
      <c r="U860" s="7">
        <v>47127</v>
      </c>
      <c r="V860" s="5" t="s">
        <v>135</v>
      </c>
      <c r="W860" s="6">
        <v>820</v>
      </c>
      <c r="X860" s="5" t="s">
        <v>79</v>
      </c>
      <c r="Y860" s="9">
        <v>5</v>
      </c>
      <c r="Z860" s="5" t="s">
        <v>80</v>
      </c>
      <c r="AA860" s="5" t="s">
        <v>205</v>
      </c>
      <c r="AB860" s="9">
        <v>0</v>
      </c>
      <c r="AC860" s="5" t="s">
        <v>79</v>
      </c>
      <c r="AD860" s="5" t="s">
        <v>79</v>
      </c>
      <c r="AE860" s="5" t="s">
        <v>79</v>
      </c>
      <c r="AF860" s="10">
        <v>29000</v>
      </c>
      <c r="AG860" s="7">
        <v>48273</v>
      </c>
      <c r="AH860" s="10"/>
      <c r="AI860" s="10"/>
      <c r="AJ860" s="11" t="str">
        <f t="shared" si="13"/>
        <v/>
      </c>
      <c r="AK860" s="12">
        <f>IF(B860="","",OR(K860="Not in use",K860="Low use")+AND(N860&lt;&gt;"",N860&lt;&gt;"TBD")+AND(ISNUMBER(U860),U860&lt;=EDATE('Scoring Settings'!$B$4,'Scoring Settings'!$B$8))+AND(ISNUMBER(L860),L860&lt;='Scoring Settings'!$B$7))</f>
        <v>2</v>
      </c>
      <c r="AL860" s="5" t="s">
        <v>111</v>
      </c>
      <c r="AM860" s="8" t="str">
        <f>IF(B860="","",IF(Z860="N","Easy",IF(OR(AND(ISNUMBER(AB860),AB860&gt;'Scoring Settings'!$B$11),AND(ISNUMBER(W860),W860&gt;'Scoring Settings'!$B$12),AND(ISNUMBER(M860),M860&lt;='Scoring Settings'!$B$13)),"High","Medium")))</f>
        <v>Medium</v>
      </c>
      <c r="AN860" s="5"/>
      <c r="AO860" s="7"/>
      <c r="AP860" s="5" t="s">
        <v>98</v>
      </c>
      <c r="AQ860" s="29" t="s">
        <v>112</v>
      </c>
    </row>
    <row r="861" spans="1:43" hidden="1">
      <c r="A861" s="28">
        <v>35770</v>
      </c>
      <c r="B861" s="5" t="s">
        <v>1642</v>
      </c>
      <c r="C861" s="5" t="s">
        <v>262</v>
      </c>
      <c r="D861" s="5" t="s">
        <v>67</v>
      </c>
      <c r="E861" s="5" t="s">
        <v>298</v>
      </c>
      <c r="F861" s="5" t="s">
        <v>209</v>
      </c>
      <c r="G861" s="5" t="s">
        <v>237</v>
      </c>
      <c r="H861" s="5" t="s">
        <v>118</v>
      </c>
      <c r="I861" s="6">
        <v>36</v>
      </c>
      <c r="J861" s="7">
        <v>44270</v>
      </c>
      <c r="K861" s="8" t="str">
        <f>IF(B861="","",IF(AND(I861="",J861=""),"Unknown",IF(OR(AND(ISNUMBER(I861),I861=0),AND(ISNUMBER(J861),J861&lt;=EDATE('Scoring Settings'!$B$4,-'Scoring Settings'!$B$5))),"Not in use",IF(AND(ISNUMBER(I861),I861&lt;'Scoring Settings'!$B$6),"Low use","Active"))))</f>
        <v>Active</v>
      </c>
      <c r="L861" s="5">
        <v>5</v>
      </c>
      <c r="M861" s="5">
        <v>1</v>
      </c>
      <c r="N861" s="5"/>
      <c r="O861" s="5" t="s">
        <v>73</v>
      </c>
      <c r="P861" s="5" t="s">
        <v>1643</v>
      </c>
      <c r="Q861" s="9">
        <v>7</v>
      </c>
      <c r="R861" s="5" t="s">
        <v>203</v>
      </c>
      <c r="S861" s="5" t="s">
        <v>204</v>
      </c>
      <c r="T861" s="5" t="s">
        <v>109</v>
      </c>
      <c r="U861" s="7">
        <v>47269</v>
      </c>
      <c r="V861" s="5" t="s">
        <v>135</v>
      </c>
      <c r="W861" s="6">
        <v>53</v>
      </c>
      <c r="X861" s="5" t="s">
        <v>79</v>
      </c>
      <c r="Y861" s="9">
        <v>7</v>
      </c>
      <c r="Z861" s="5" t="s">
        <v>79</v>
      </c>
      <c r="AA861" s="5" t="s">
        <v>110</v>
      </c>
      <c r="AB861" s="9">
        <v>74</v>
      </c>
      <c r="AC861" s="5" t="s">
        <v>82</v>
      </c>
      <c r="AD861" s="5" t="s">
        <v>82</v>
      </c>
      <c r="AE861" s="5" t="s">
        <v>80</v>
      </c>
      <c r="AF861" s="10">
        <v>115000</v>
      </c>
      <c r="AG861" s="7">
        <v>46265</v>
      </c>
      <c r="AH861" s="10"/>
      <c r="AI861" s="10"/>
      <c r="AJ861" s="11" t="str">
        <f t="shared" si="13"/>
        <v/>
      </c>
      <c r="AK861" s="12">
        <f>IF(B861="","",OR(K861="Not in use",K861="Low use")+AND(N861&lt;&gt;"",N861&lt;&gt;"TBD")+AND(ISNUMBER(U861),U861&lt;=EDATE('Scoring Settings'!$B$4,'Scoring Settings'!$B$8))+AND(ISNUMBER(L861),L861&lt;='Scoring Settings'!$B$7))</f>
        <v>0</v>
      </c>
      <c r="AL861" s="5" t="s">
        <v>83</v>
      </c>
      <c r="AM861" s="8" t="str">
        <f>IF(B861="","",IF(Z861="N","Easy",IF(OR(AND(ISNUMBER(AB861),AB861&gt;'Scoring Settings'!$B$11),AND(ISNUMBER(W861),W861&gt;'Scoring Settings'!$B$12),AND(ISNUMBER(M861),M861&lt;='Scoring Settings'!$B$13)),"High","Medium")))</f>
        <v>Easy</v>
      </c>
      <c r="AN861" s="5"/>
      <c r="AO861" s="7"/>
      <c r="AP861" s="5" t="s">
        <v>84</v>
      </c>
      <c r="AQ861" s="29" t="s">
        <v>85</v>
      </c>
    </row>
    <row r="862" spans="1:43" ht="42.75" hidden="1">
      <c r="A862" s="28">
        <v>118286</v>
      </c>
      <c r="B862" s="5" t="s">
        <v>1651</v>
      </c>
      <c r="C862" s="5" t="s">
        <v>242</v>
      </c>
      <c r="D862" s="5" t="s">
        <v>115</v>
      </c>
      <c r="E862" s="5" t="s">
        <v>68</v>
      </c>
      <c r="F862" s="5" t="s">
        <v>387</v>
      </c>
      <c r="G862" s="5" t="s">
        <v>226</v>
      </c>
      <c r="H862" s="5" t="s">
        <v>118</v>
      </c>
      <c r="I862" s="6">
        <v>25</v>
      </c>
      <c r="J862" s="7">
        <v>44311</v>
      </c>
      <c r="K862" s="8" t="str">
        <f>IF(B862="","",IF(AND(I862="",J862=""),"Unknown",IF(OR(AND(ISNUMBER(I862),I862=0),AND(ISNUMBER(J862),J862&lt;=EDATE('Scoring Settings'!$B$4,-'Scoring Settings'!$B$5))),"Not in use",IF(AND(ISNUMBER(I862),I862&lt;'Scoring Settings'!$B$6),"Low use","Active"))))</f>
        <v>Active</v>
      </c>
      <c r="L862" s="5">
        <v>4</v>
      </c>
      <c r="M862" s="5">
        <v>2</v>
      </c>
      <c r="N862" s="5"/>
      <c r="O862" s="5" t="s">
        <v>130</v>
      </c>
      <c r="P862" s="5" t="s">
        <v>1652</v>
      </c>
      <c r="Q862" s="9">
        <v>3</v>
      </c>
      <c r="R862" s="5" t="s">
        <v>358</v>
      </c>
      <c r="S862" s="5" t="s">
        <v>133</v>
      </c>
      <c r="T862" s="5" t="s">
        <v>195</v>
      </c>
      <c r="U862" s="7">
        <v>43555</v>
      </c>
      <c r="V862" s="5" t="s">
        <v>95</v>
      </c>
      <c r="W862" s="6">
        <v>88</v>
      </c>
      <c r="X862" s="5" t="s">
        <v>79</v>
      </c>
      <c r="Y862" s="9">
        <v>2</v>
      </c>
      <c r="Z862" s="5" t="s">
        <v>80</v>
      </c>
      <c r="AA862" s="5" t="s">
        <v>205</v>
      </c>
      <c r="AB862" s="9">
        <v>22</v>
      </c>
      <c r="AC862" s="5" t="s">
        <v>80</v>
      </c>
      <c r="AD862" s="5" t="s">
        <v>79</v>
      </c>
      <c r="AE862" s="5" t="s">
        <v>79</v>
      </c>
      <c r="AF862" s="10">
        <v>38000</v>
      </c>
      <c r="AG862" s="7">
        <v>46173</v>
      </c>
      <c r="AH862" s="10"/>
      <c r="AI862" s="10"/>
      <c r="AJ862" s="11" t="str">
        <f t="shared" si="13"/>
        <v/>
      </c>
      <c r="AK862" s="12">
        <f>IF(B862="","",OR(K862="Not in use",K862="Low use")+AND(N862&lt;&gt;"",N862&lt;&gt;"TBD")+AND(ISNUMBER(U862),U862&lt;=EDATE('Scoring Settings'!$B$4,'Scoring Settings'!$B$8))+AND(ISNUMBER(L862),L862&lt;='Scoring Settings'!$B$7))</f>
        <v>1</v>
      </c>
      <c r="AL862" s="5" t="s">
        <v>111</v>
      </c>
      <c r="AM862" s="8" t="str">
        <f>IF(B862="","",IF(Z862="N","Easy",IF(OR(AND(ISNUMBER(AB862),AB862&gt;'Scoring Settings'!$B$11),AND(ISNUMBER(W862),W862&gt;'Scoring Settings'!$B$12),AND(ISNUMBER(M862),M862&lt;='Scoring Settings'!$B$13)),"High","Medium")))</f>
        <v>High</v>
      </c>
      <c r="AN862" s="5"/>
      <c r="AO862" s="7"/>
      <c r="AP862" s="5" t="s">
        <v>98</v>
      </c>
      <c r="AQ862" s="29" t="s">
        <v>456</v>
      </c>
    </row>
    <row r="863" spans="1:43" ht="42.75" hidden="1">
      <c r="A863" s="28">
        <v>124473</v>
      </c>
      <c r="B863" s="5" t="s">
        <v>1655</v>
      </c>
      <c r="C863" s="5" t="s">
        <v>225</v>
      </c>
      <c r="D863" s="5" t="s">
        <v>67</v>
      </c>
      <c r="E863" s="5" t="s">
        <v>68</v>
      </c>
      <c r="F863" s="5" t="s">
        <v>288</v>
      </c>
      <c r="G863" s="5" t="s">
        <v>356</v>
      </c>
      <c r="H863" s="5" t="s">
        <v>118</v>
      </c>
      <c r="I863" s="6">
        <v>0</v>
      </c>
      <c r="J863" s="7">
        <v>43644</v>
      </c>
      <c r="K863" s="8" t="str">
        <f>IF(B863="","",IF(AND(I863="",J863=""),"Unknown",IF(OR(AND(ISNUMBER(I863),I863=0),AND(ISNUMBER(J863),J863&lt;=EDATE('Scoring Settings'!$B$4,-'Scoring Settings'!$B$5))),"Not in use",IF(AND(ISNUMBER(I863),I863&lt;'Scoring Settings'!$B$6),"Low use","Active"))))</f>
        <v>Not in use</v>
      </c>
      <c r="L863" s="5">
        <v>5</v>
      </c>
      <c r="M863" s="5">
        <v>1</v>
      </c>
      <c r="N863" s="5"/>
      <c r="O863" s="5" t="s">
        <v>191</v>
      </c>
      <c r="P863" s="5" t="s">
        <v>192</v>
      </c>
      <c r="Q863" s="9">
        <v>0</v>
      </c>
      <c r="R863" s="5" t="s">
        <v>193</v>
      </c>
      <c r="S863" s="5" t="s">
        <v>318</v>
      </c>
      <c r="T863" s="5" t="s">
        <v>195</v>
      </c>
      <c r="U863" s="7"/>
      <c r="V863" s="5" t="s">
        <v>135</v>
      </c>
      <c r="W863" s="6">
        <v>680</v>
      </c>
      <c r="X863" s="5" t="s">
        <v>80</v>
      </c>
      <c r="Y863" s="9">
        <v>5</v>
      </c>
      <c r="Z863" s="5" t="s">
        <v>80</v>
      </c>
      <c r="AA863" s="5" t="s">
        <v>81</v>
      </c>
      <c r="AB863" s="9">
        <v>85</v>
      </c>
      <c r="AC863" s="5" t="s">
        <v>82</v>
      </c>
      <c r="AD863" s="5" t="s">
        <v>82</v>
      </c>
      <c r="AE863" s="5" t="s">
        <v>82</v>
      </c>
      <c r="AF863" s="10">
        <v>85000</v>
      </c>
      <c r="AG863" s="7">
        <v>46752</v>
      </c>
      <c r="AH863" s="10"/>
      <c r="AI863" s="10"/>
      <c r="AJ863" s="11" t="str">
        <f t="shared" si="13"/>
        <v/>
      </c>
      <c r="AK863" s="12">
        <f>IF(B863="","",OR(K863="Not in use",K863="Low use")+AND(N863&lt;&gt;"",N863&lt;&gt;"TBD")+AND(ISNUMBER(U863),U863&lt;=EDATE('Scoring Settings'!$B$4,'Scoring Settings'!$B$8))+AND(ISNUMBER(L863),L863&lt;='Scoring Settings'!$B$7))</f>
        <v>1</v>
      </c>
      <c r="AL863" s="5" t="s">
        <v>111</v>
      </c>
      <c r="AM863" s="8" t="str">
        <f>IF(B863="","",IF(Z863="N","Easy",IF(OR(AND(ISNUMBER(AB863),AB863&gt;'Scoring Settings'!$B$11),AND(ISNUMBER(W863),W863&gt;'Scoring Settings'!$B$12),AND(ISNUMBER(M863),M863&lt;='Scoring Settings'!$B$13)),"High","Medium")))</f>
        <v>High</v>
      </c>
      <c r="AN863" s="5"/>
      <c r="AO863" s="7"/>
      <c r="AP863" s="5" t="s">
        <v>98</v>
      </c>
      <c r="AQ863" s="29" t="s">
        <v>902</v>
      </c>
    </row>
    <row r="864" spans="1:43" hidden="1">
      <c r="A864" s="28">
        <v>87691</v>
      </c>
      <c r="B864" s="5" t="s">
        <v>1656</v>
      </c>
      <c r="C864" s="5" t="s">
        <v>187</v>
      </c>
      <c r="D864" s="5" t="s">
        <v>67</v>
      </c>
      <c r="E864" s="5" t="s">
        <v>298</v>
      </c>
      <c r="F864" s="5" t="s">
        <v>188</v>
      </c>
      <c r="G864" s="5" t="s">
        <v>278</v>
      </c>
      <c r="H864" s="5" t="s">
        <v>174</v>
      </c>
      <c r="I864" s="6">
        <v>72</v>
      </c>
      <c r="J864" s="7">
        <v>44300</v>
      </c>
      <c r="K864" s="8" t="str">
        <f>IF(B864="","",IF(AND(I864="",J864=""),"Unknown",IF(OR(AND(ISNUMBER(I864),I864=0),AND(ISNUMBER(J864),J864&lt;=EDATE('Scoring Settings'!$B$4,-'Scoring Settings'!$B$5))),"Not in use",IF(AND(ISNUMBER(I864),I864&lt;'Scoring Settings'!$B$6),"Low use","Active"))))</f>
        <v>Active</v>
      </c>
      <c r="L864" s="5">
        <v>5</v>
      </c>
      <c r="M864" s="5">
        <v>2</v>
      </c>
      <c r="N864" s="5" t="s">
        <v>72</v>
      </c>
      <c r="O864" s="5" t="s">
        <v>130</v>
      </c>
      <c r="P864" s="5" t="s">
        <v>1657</v>
      </c>
      <c r="Q864" s="9">
        <v>1</v>
      </c>
      <c r="R864" s="5" t="s">
        <v>166</v>
      </c>
      <c r="S864" s="5" t="s">
        <v>308</v>
      </c>
      <c r="T864" s="5" t="s">
        <v>134</v>
      </c>
      <c r="U864" s="7">
        <v>45209</v>
      </c>
      <c r="V864" s="5" t="s">
        <v>135</v>
      </c>
      <c r="W864" s="6">
        <v>64</v>
      </c>
      <c r="X864" s="5" t="s">
        <v>80</v>
      </c>
      <c r="Y864" s="9">
        <v>7</v>
      </c>
      <c r="Z864" s="5" t="s">
        <v>80</v>
      </c>
      <c r="AA864" s="5" t="s">
        <v>185</v>
      </c>
      <c r="AB864" s="9">
        <v>30</v>
      </c>
      <c r="AC864" s="5" t="s">
        <v>79</v>
      </c>
      <c r="AD864" s="5" t="s">
        <v>80</v>
      </c>
      <c r="AE864" s="5" t="s">
        <v>82</v>
      </c>
      <c r="AF864" s="10">
        <v>18000</v>
      </c>
      <c r="AG864" s="7">
        <v>45930</v>
      </c>
      <c r="AH864" s="10"/>
      <c r="AI864" s="10"/>
      <c r="AJ864" s="11" t="str">
        <f t="shared" si="13"/>
        <v/>
      </c>
      <c r="AK864" s="12">
        <f>IF(B864="","",OR(K864="Not in use",K864="Low use")+AND(N864&lt;&gt;"",N864&lt;&gt;"TBD")+AND(ISNUMBER(U864),U864&lt;=EDATE('Scoring Settings'!$B$4,'Scoring Settings'!$B$8))+AND(ISNUMBER(L864),L864&lt;='Scoring Settings'!$B$7))</f>
        <v>0</v>
      </c>
      <c r="AL864" s="5" t="s">
        <v>83</v>
      </c>
      <c r="AM864" s="8" t="str">
        <f>IF(B864="","",IF(Z864="N","Easy",IF(OR(AND(ISNUMBER(AB864),AB864&gt;'Scoring Settings'!$B$11),AND(ISNUMBER(W864),W864&gt;'Scoring Settings'!$B$12),AND(ISNUMBER(M864),M864&lt;='Scoring Settings'!$B$13)),"High","Medium")))</f>
        <v>High</v>
      </c>
      <c r="AN864" s="5"/>
      <c r="AO864" s="7"/>
      <c r="AP864" s="5" t="s">
        <v>84</v>
      </c>
      <c r="AQ864" s="29" t="s">
        <v>247</v>
      </c>
    </row>
    <row r="865" spans="1:43" hidden="1">
      <c r="A865" s="28">
        <v>89692</v>
      </c>
      <c r="B865" s="5" t="s">
        <v>1664</v>
      </c>
      <c r="C865" s="5" t="s">
        <v>234</v>
      </c>
      <c r="D865" s="5" t="s">
        <v>102</v>
      </c>
      <c r="E865" s="5" t="s">
        <v>68</v>
      </c>
      <c r="F865" s="5" t="s">
        <v>346</v>
      </c>
      <c r="G865" s="5" t="s">
        <v>90</v>
      </c>
      <c r="H865" s="5" t="s">
        <v>142</v>
      </c>
      <c r="I865" s="6">
        <v>21</v>
      </c>
      <c r="J865" s="7">
        <v>44288</v>
      </c>
      <c r="K865" s="8" t="str">
        <f>IF(B865="","",IF(AND(I865="",J865=""),"Unknown",IF(OR(AND(ISNUMBER(I865),I865=0),AND(ISNUMBER(J865),J865&lt;=EDATE('Scoring Settings'!$B$4,-'Scoring Settings'!$B$5))),"Not in use",IF(AND(ISNUMBER(I865),I865&lt;'Scoring Settings'!$B$6),"Low use","Active"))))</f>
        <v>Low use</v>
      </c>
      <c r="L865" s="5">
        <v>1</v>
      </c>
      <c r="M865" s="5">
        <v>4</v>
      </c>
      <c r="N865" s="5"/>
      <c r="O865" s="5" t="s">
        <v>143</v>
      </c>
      <c r="P865" s="5" t="s">
        <v>144</v>
      </c>
      <c r="Q865" s="9">
        <v>0</v>
      </c>
      <c r="R865" s="5" t="s">
        <v>145</v>
      </c>
      <c r="S865" s="5" t="s">
        <v>145</v>
      </c>
      <c r="T865" s="5" t="s">
        <v>146</v>
      </c>
      <c r="U865" s="7">
        <v>45777</v>
      </c>
      <c r="V865" s="5" t="s">
        <v>95</v>
      </c>
      <c r="W865" s="6">
        <v>37</v>
      </c>
      <c r="X865" s="5" t="s">
        <v>79</v>
      </c>
      <c r="Y865" s="9">
        <v>1</v>
      </c>
      <c r="Z865" s="5" t="s">
        <v>79</v>
      </c>
      <c r="AA865" s="5" t="s">
        <v>110</v>
      </c>
      <c r="AB865" s="9">
        <v>1</v>
      </c>
      <c r="AC865" s="5" t="s">
        <v>80</v>
      </c>
      <c r="AD865" s="5" t="s">
        <v>82</v>
      </c>
      <c r="AE865" s="5" t="s">
        <v>80</v>
      </c>
      <c r="AF865" s="10">
        <v>110000</v>
      </c>
      <c r="AG865" s="7">
        <v>48975</v>
      </c>
      <c r="AH865" s="10"/>
      <c r="AI865" s="10"/>
      <c r="AJ865" s="11" t="str">
        <f t="shared" si="13"/>
        <v/>
      </c>
      <c r="AK865" s="12">
        <f>IF(B865="","",OR(K865="Not in use",K865="Low use")+AND(N865&lt;&gt;"",N865&lt;&gt;"TBD")+AND(ISNUMBER(U865),U865&lt;=EDATE('Scoring Settings'!$B$4,'Scoring Settings'!$B$8))+AND(ISNUMBER(L865),L865&lt;='Scoring Settings'!$B$7))</f>
        <v>2</v>
      </c>
      <c r="AL865" s="5" t="s">
        <v>111</v>
      </c>
      <c r="AM865" s="8" t="str">
        <f>IF(B865="","",IF(Z865="N","Easy",IF(OR(AND(ISNUMBER(AB865),AB865&gt;'Scoring Settings'!$B$11),AND(ISNUMBER(W865),W865&gt;'Scoring Settings'!$B$12),AND(ISNUMBER(M865),M865&lt;='Scoring Settings'!$B$13)),"High","Medium")))</f>
        <v>Easy</v>
      </c>
      <c r="AN865" s="5"/>
      <c r="AO865" s="7"/>
      <c r="AP865" s="5" t="s">
        <v>98</v>
      </c>
      <c r="AQ865" s="29" t="s">
        <v>124</v>
      </c>
    </row>
    <row r="866" spans="1:43" hidden="1">
      <c r="A866" s="28">
        <v>31365</v>
      </c>
      <c r="B866" s="5" t="s">
        <v>1667</v>
      </c>
      <c r="C866" s="5" t="s">
        <v>259</v>
      </c>
      <c r="D866" s="5" t="s">
        <v>67</v>
      </c>
      <c r="E866" s="5" t="s">
        <v>68</v>
      </c>
      <c r="F866" s="5" t="s">
        <v>178</v>
      </c>
      <c r="G866" s="5" t="s">
        <v>104</v>
      </c>
      <c r="H866" s="5" t="s">
        <v>118</v>
      </c>
      <c r="I866" s="6">
        <v>1189</v>
      </c>
      <c r="J866" s="7">
        <v>44302</v>
      </c>
      <c r="K866" s="8" t="str">
        <f>IF(B866="","",IF(AND(I866="",J866=""),"Unknown",IF(OR(AND(ISNUMBER(I866),I866=0),AND(ISNUMBER(J866),J866&lt;=EDATE('Scoring Settings'!$B$4,-'Scoring Settings'!$B$5))),"Not in use",IF(AND(ISNUMBER(I866),I866&lt;'Scoring Settings'!$B$6),"Low use","Active"))))</f>
        <v>Active</v>
      </c>
      <c r="L866" s="5">
        <v>4</v>
      </c>
      <c r="M866" s="5">
        <v>2</v>
      </c>
      <c r="N866" s="5" t="s">
        <v>72</v>
      </c>
      <c r="O866" s="5" t="s">
        <v>73</v>
      </c>
      <c r="P866" s="5" t="s">
        <v>260</v>
      </c>
      <c r="Q866" s="9">
        <v>4</v>
      </c>
      <c r="R866" s="5" t="s">
        <v>93</v>
      </c>
      <c r="S866" s="5" t="s">
        <v>94</v>
      </c>
      <c r="T866" s="5" t="s">
        <v>122</v>
      </c>
      <c r="U866" s="7">
        <v>44561</v>
      </c>
      <c r="V866" s="5" t="s">
        <v>135</v>
      </c>
      <c r="W866" s="6">
        <v>79</v>
      </c>
      <c r="X866" s="5" t="s">
        <v>80</v>
      </c>
      <c r="Y866" s="9">
        <v>10</v>
      </c>
      <c r="Z866" s="5" t="s">
        <v>79</v>
      </c>
      <c r="AA866" s="5" t="s">
        <v>110</v>
      </c>
      <c r="AB866" s="9">
        <v>15</v>
      </c>
      <c r="AC866" s="5" t="s">
        <v>80</v>
      </c>
      <c r="AD866" s="5" t="s">
        <v>82</v>
      </c>
      <c r="AE866" s="5" t="s">
        <v>82</v>
      </c>
      <c r="AF866" s="10">
        <v>43000</v>
      </c>
      <c r="AG866" s="7">
        <v>49187</v>
      </c>
      <c r="AH866" s="10">
        <v>71500</v>
      </c>
      <c r="AI866" s="10">
        <v>29500</v>
      </c>
      <c r="AJ866" s="11">
        <f t="shared" si="13"/>
        <v>29.084745762711869</v>
      </c>
      <c r="AK866" s="12">
        <f>IF(B866="","",OR(K866="Not in use",K866="Low use")+AND(N866&lt;&gt;"",N866&lt;&gt;"TBD")+AND(ISNUMBER(U866),U866&lt;=EDATE('Scoring Settings'!$B$4,'Scoring Settings'!$B$8))+AND(ISNUMBER(L866),L866&lt;='Scoring Settings'!$B$7))</f>
        <v>1</v>
      </c>
      <c r="AL866" s="5" t="s">
        <v>111</v>
      </c>
      <c r="AM866" s="8" t="str">
        <f>IF(B866="","",IF(Z866="N","Easy",IF(OR(AND(ISNUMBER(AB866),AB866&gt;'Scoring Settings'!$B$11),AND(ISNUMBER(W866),W866&gt;'Scoring Settings'!$B$12),AND(ISNUMBER(M866),M866&lt;='Scoring Settings'!$B$13)),"High","Medium")))</f>
        <v>Easy</v>
      </c>
      <c r="AN866" s="5"/>
      <c r="AO866" s="7"/>
      <c r="AP866" s="5" t="s">
        <v>98</v>
      </c>
      <c r="AQ866" s="29" t="s">
        <v>124</v>
      </c>
    </row>
    <row r="867" spans="1:43" hidden="1">
      <c r="A867" s="28">
        <v>99369</v>
      </c>
      <c r="B867" s="5" t="s">
        <v>1675</v>
      </c>
      <c r="C867" s="5" t="s">
        <v>772</v>
      </c>
      <c r="D867" s="5" t="s">
        <v>297</v>
      </c>
      <c r="E867" s="5" t="s">
        <v>68</v>
      </c>
      <c r="F867" s="5" t="s">
        <v>560</v>
      </c>
      <c r="G867" s="5" t="s">
        <v>267</v>
      </c>
      <c r="H867" s="5" t="s">
        <v>118</v>
      </c>
      <c r="I867" s="6">
        <v>201</v>
      </c>
      <c r="J867" s="7">
        <v>44284</v>
      </c>
      <c r="K867" s="8" t="str">
        <f>IF(B867="","",IF(AND(I867="",J867=""),"Unknown",IF(OR(AND(ISNUMBER(I867),I867=0),AND(ISNUMBER(J867),J867&lt;=EDATE('Scoring Settings'!$B$4,-'Scoring Settings'!$B$5))),"Not in use",IF(AND(ISNUMBER(I867),I867&lt;'Scoring Settings'!$B$6),"Low use","Active"))))</f>
        <v>Active</v>
      </c>
      <c r="L867" s="5">
        <v>4</v>
      </c>
      <c r="M867" s="5">
        <v>2</v>
      </c>
      <c r="N867" s="5"/>
      <c r="O867" s="5" t="s">
        <v>73</v>
      </c>
      <c r="P867" s="5" t="s">
        <v>1676</v>
      </c>
      <c r="Q867" s="9">
        <v>6</v>
      </c>
      <c r="R867" s="5" t="s">
        <v>182</v>
      </c>
      <c r="S867" s="5" t="s">
        <v>183</v>
      </c>
      <c r="T867" s="5" t="s">
        <v>77</v>
      </c>
      <c r="U867" s="7">
        <v>42855</v>
      </c>
      <c r="V867" s="5" t="s">
        <v>135</v>
      </c>
      <c r="W867" s="6">
        <v>490</v>
      </c>
      <c r="X867" s="5" t="s">
        <v>80</v>
      </c>
      <c r="Y867" s="9">
        <v>7</v>
      </c>
      <c r="Z867" s="5" t="s">
        <v>80</v>
      </c>
      <c r="AA867" s="5" t="s">
        <v>81</v>
      </c>
      <c r="AB867" s="9">
        <v>22</v>
      </c>
      <c r="AC867" s="5" t="s">
        <v>79</v>
      </c>
      <c r="AD867" s="5" t="s">
        <v>79</v>
      </c>
      <c r="AE867" s="5" t="s">
        <v>80</v>
      </c>
      <c r="AF867" s="10">
        <v>80000</v>
      </c>
      <c r="AG867" s="7">
        <v>48029</v>
      </c>
      <c r="AH867" s="10">
        <v>198000</v>
      </c>
      <c r="AI867" s="10">
        <v>60000</v>
      </c>
      <c r="AJ867" s="11">
        <f t="shared" si="13"/>
        <v>39.599999999999994</v>
      </c>
      <c r="AK867" s="12">
        <f>IF(B867="","",OR(K867="Not in use",K867="Low use")+AND(N867&lt;&gt;"",N867&lt;&gt;"TBD")+AND(ISNUMBER(U867),U867&lt;=EDATE('Scoring Settings'!$B$4,'Scoring Settings'!$B$8))+AND(ISNUMBER(L867),L867&lt;='Scoring Settings'!$B$7))</f>
        <v>1</v>
      </c>
      <c r="AL867" s="5" t="s">
        <v>111</v>
      </c>
      <c r="AM867" s="8" t="str">
        <f>IF(B867="","",IF(Z867="N","Easy",IF(OR(AND(ISNUMBER(AB867),AB867&gt;'Scoring Settings'!$B$11),AND(ISNUMBER(W867),W867&gt;'Scoring Settings'!$B$12),AND(ISNUMBER(M867),M867&lt;='Scoring Settings'!$B$13)),"High","Medium")))</f>
        <v>High</v>
      </c>
      <c r="AN867" s="5"/>
      <c r="AO867" s="7"/>
      <c r="AP867" s="5" t="s">
        <v>98</v>
      </c>
      <c r="AQ867" s="29" t="s">
        <v>112</v>
      </c>
    </row>
    <row r="868" spans="1:43" hidden="1">
      <c r="A868" s="28">
        <v>20816</v>
      </c>
      <c r="B868" s="5" t="s">
        <v>1685</v>
      </c>
      <c r="C868" s="5" t="s">
        <v>423</v>
      </c>
      <c r="D868" s="5" t="s">
        <v>67</v>
      </c>
      <c r="E868" s="5" t="s">
        <v>311</v>
      </c>
      <c r="F868" s="5" t="s">
        <v>476</v>
      </c>
      <c r="G868" s="5" t="s">
        <v>267</v>
      </c>
      <c r="H868" s="5" t="s">
        <v>105</v>
      </c>
      <c r="I868" s="6">
        <v>14</v>
      </c>
      <c r="J868" s="7">
        <v>44174</v>
      </c>
      <c r="K868" s="8" t="str">
        <f>IF(B868="","",IF(AND(I868="",J868=""),"Unknown",IF(OR(AND(ISNUMBER(I868),I868=0),AND(ISNUMBER(J868),J868&lt;=EDATE('Scoring Settings'!$B$4,-'Scoring Settings'!$B$5))),"Not in use",IF(AND(ISNUMBER(I868),I868&lt;'Scoring Settings'!$B$6),"Low use","Active"))))</f>
        <v>Low use</v>
      </c>
      <c r="L868" s="5">
        <v>5</v>
      </c>
      <c r="M868" s="5">
        <v>1</v>
      </c>
      <c r="N868" s="5" t="s">
        <v>501</v>
      </c>
      <c r="O868" s="5" t="s">
        <v>73</v>
      </c>
      <c r="P868" s="5" t="s">
        <v>581</v>
      </c>
      <c r="Q868" s="9">
        <v>1</v>
      </c>
      <c r="R868" s="5" t="s">
        <v>251</v>
      </c>
      <c r="S868" s="5" t="s">
        <v>133</v>
      </c>
      <c r="T868" s="5" t="s">
        <v>122</v>
      </c>
      <c r="U868" s="7">
        <v>44165</v>
      </c>
      <c r="V868" s="5" t="s">
        <v>95</v>
      </c>
      <c r="W868" s="6">
        <v>790</v>
      </c>
      <c r="X868" s="5" t="s">
        <v>80</v>
      </c>
      <c r="Y868" s="9">
        <v>10</v>
      </c>
      <c r="Z868" s="5" t="s">
        <v>80</v>
      </c>
      <c r="AA868" s="5" t="s">
        <v>147</v>
      </c>
      <c r="AB868" s="9">
        <v>34</v>
      </c>
      <c r="AC868" s="5" t="s">
        <v>82</v>
      </c>
      <c r="AD868" s="5" t="s">
        <v>82</v>
      </c>
      <c r="AE868" s="5" t="s">
        <v>80</v>
      </c>
      <c r="AF868" s="10">
        <v>115000</v>
      </c>
      <c r="AG868" s="7">
        <v>48457</v>
      </c>
      <c r="AH868" s="10"/>
      <c r="AI868" s="10"/>
      <c r="AJ868" s="11" t="str">
        <f t="shared" si="13"/>
        <v/>
      </c>
      <c r="AK868" s="12">
        <f>IF(B868="","",OR(K868="Not in use",K868="Low use")+AND(N868&lt;&gt;"",N868&lt;&gt;"TBD")+AND(ISNUMBER(U868),U868&lt;=EDATE('Scoring Settings'!$B$4,'Scoring Settings'!$B$8))+AND(ISNUMBER(L868),L868&lt;='Scoring Settings'!$B$7))</f>
        <v>3</v>
      </c>
      <c r="AL868" s="5" t="s">
        <v>111</v>
      </c>
      <c r="AM868" s="8" t="str">
        <f>IF(B868="","",IF(Z868="N","Easy",IF(OR(AND(ISNUMBER(AB868),AB868&gt;'Scoring Settings'!$B$11),AND(ISNUMBER(W868),W868&gt;'Scoring Settings'!$B$12),AND(ISNUMBER(M868),M868&lt;='Scoring Settings'!$B$13)),"High","Medium")))</f>
        <v>High</v>
      </c>
      <c r="AN868" s="5"/>
      <c r="AO868" s="7"/>
      <c r="AP868" s="5" t="s">
        <v>98</v>
      </c>
      <c r="AQ868" s="29" t="s">
        <v>159</v>
      </c>
    </row>
    <row r="869" spans="1:43" hidden="1">
      <c r="A869" s="28">
        <v>138223</v>
      </c>
      <c r="B869" s="5" t="s">
        <v>1687</v>
      </c>
      <c r="C869" s="5" t="s">
        <v>634</v>
      </c>
      <c r="D869" s="5" t="s">
        <v>297</v>
      </c>
      <c r="E869" s="5" t="s">
        <v>68</v>
      </c>
      <c r="F869" s="5" t="s">
        <v>201</v>
      </c>
      <c r="G869" s="5" t="s">
        <v>153</v>
      </c>
      <c r="H869" s="5" t="s">
        <v>174</v>
      </c>
      <c r="I869" s="6">
        <v>41</v>
      </c>
      <c r="J869" s="7">
        <v>44302</v>
      </c>
      <c r="K869" s="8" t="str">
        <f>IF(B869="","",IF(AND(I869="",J869=""),"Unknown",IF(OR(AND(ISNUMBER(I869),I869=0),AND(ISNUMBER(J869),J869&lt;=EDATE('Scoring Settings'!$B$4,-'Scoring Settings'!$B$5))),"Not in use",IF(AND(ISNUMBER(I869),I869&lt;'Scoring Settings'!$B$6),"Low use","Active"))))</f>
        <v>Active</v>
      </c>
      <c r="L869" s="5">
        <v>3</v>
      </c>
      <c r="M869" s="5">
        <v>2</v>
      </c>
      <c r="N869" s="5"/>
      <c r="O869" s="5" t="s">
        <v>73</v>
      </c>
      <c r="P869" s="5" t="s">
        <v>1054</v>
      </c>
      <c r="Q869" s="9">
        <v>1</v>
      </c>
      <c r="R869" s="5" t="s">
        <v>358</v>
      </c>
      <c r="S869" s="5" t="s">
        <v>133</v>
      </c>
      <c r="T869" s="5" t="s">
        <v>109</v>
      </c>
      <c r="U869" s="7">
        <v>43555</v>
      </c>
      <c r="V869" s="5" t="s">
        <v>78</v>
      </c>
      <c r="W869" s="6">
        <v>250</v>
      </c>
      <c r="X869" s="5" t="s">
        <v>79</v>
      </c>
      <c r="Y869" s="9">
        <v>1</v>
      </c>
      <c r="Z869" s="5" t="s">
        <v>80</v>
      </c>
      <c r="AA869" s="5" t="s">
        <v>123</v>
      </c>
      <c r="AB869" s="9">
        <v>30</v>
      </c>
      <c r="AC869" s="5" t="s">
        <v>79</v>
      </c>
      <c r="AD869" s="5" t="s">
        <v>82</v>
      </c>
      <c r="AE869" s="5" t="s">
        <v>82</v>
      </c>
      <c r="AF869" s="10">
        <v>65000</v>
      </c>
      <c r="AG869" s="7">
        <v>46446</v>
      </c>
      <c r="AH869" s="10"/>
      <c r="AI869" s="10"/>
      <c r="AJ869" s="11" t="str">
        <f t="shared" si="13"/>
        <v/>
      </c>
      <c r="AK869" s="12">
        <f>IF(B869="","",OR(K869="Not in use",K869="Low use")+AND(N869&lt;&gt;"",N869&lt;&gt;"TBD")+AND(ISNUMBER(U869),U869&lt;=EDATE('Scoring Settings'!$B$4,'Scoring Settings'!$B$8))+AND(ISNUMBER(L869),L869&lt;='Scoring Settings'!$B$7))</f>
        <v>1</v>
      </c>
      <c r="AL869" s="5" t="s">
        <v>83</v>
      </c>
      <c r="AM869" s="8" t="str">
        <f>IF(B869="","",IF(Z869="N","Easy",IF(OR(AND(ISNUMBER(AB869),AB869&gt;'Scoring Settings'!$B$11),AND(ISNUMBER(W869),W869&gt;'Scoring Settings'!$B$12),AND(ISNUMBER(M869),M869&lt;='Scoring Settings'!$B$13)),"High","Medium")))</f>
        <v>High</v>
      </c>
      <c r="AN869" s="5"/>
      <c r="AO869" s="7"/>
      <c r="AP869" s="5" t="s">
        <v>84</v>
      </c>
      <c r="AQ869" s="29" t="s">
        <v>85</v>
      </c>
    </row>
    <row r="870" spans="1:43" hidden="1">
      <c r="A870" s="28">
        <v>125816</v>
      </c>
      <c r="B870" s="5" t="s">
        <v>1690</v>
      </c>
      <c r="C870" s="5" t="s">
        <v>187</v>
      </c>
      <c r="D870" s="5" t="s">
        <v>67</v>
      </c>
      <c r="E870" s="5" t="s">
        <v>68</v>
      </c>
      <c r="F870" s="5" t="s">
        <v>346</v>
      </c>
      <c r="G870" s="5" t="s">
        <v>237</v>
      </c>
      <c r="H870" s="5" t="s">
        <v>118</v>
      </c>
      <c r="I870" s="6">
        <v>157</v>
      </c>
      <c r="J870" s="7">
        <v>44292</v>
      </c>
      <c r="K870" s="8" t="str">
        <f>IF(B870="","",IF(AND(I870="",J870=""),"Unknown",IF(OR(AND(ISNUMBER(I870),I870=0),AND(ISNUMBER(J870),J870&lt;=EDATE('Scoring Settings'!$B$4,-'Scoring Settings'!$B$5))),"Not in use",IF(AND(ISNUMBER(I870),I870&lt;'Scoring Settings'!$B$6),"Low use","Active"))))</f>
        <v>Active</v>
      </c>
      <c r="L870" s="5">
        <v>4</v>
      </c>
      <c r="M870" s="5">
        <v>2</v>
      </c>
      <c r="N870" s="5"/>
      <c r="O870" s="5" t="s">
        <v>73</v>
      </c>
      <c r="P870" s="5" t="s">
        <v>1691</v>
      </c>
      <c r="Q870" s="9">
        <v>8</v>
      </c>
      <c r="R870" s="5" t="s">
        <v>203</v>
      </c>
      <c r="S870" s="5" t="s">
        <v>204</v>
      </c>
      <c r="T870" s="5" t="s">
        <v>77</v>
      </c>
      <c r="U870" s="7">
        <v>47269</v>
      </c>
      <c r="V870" s="5" t="s">
        <v>135</v>
      </c>
      <c r="W870" s="6">
        <v>100</v>
      </c>
      <c r="X870" s="5" t="s">
        <v>79</v>
      </c>
      <c r="Y870" s="9">
        <v>3</v>
      </c>
      <c r="Z870" s="5" t="s">
        <v>79</v>
      </c>
      <c r="AA870" s="5" t="s">
        <v>110</v>
      </c>
      <c r="AB870" s="9">
        <v>18</v>
      </c>
      <c r="AC870" s="5" t="s">
        <v>82</v>
      </c>
      <c r="AD870" s="5" t="s">
        <v>80</v>
      </c>
      <c r="AE870" s="5" t="s">
        <v>79</v>
      </c>
      <c r="AF870" s="10">
        <v>185000</v>
      </c>
      <c r="AG870" s="7">
        <v>49674</v>
      </c>
      <c r="AH870" s="10"/>
      <c r="AI870" s="10"/>
      <c r="AJ870" s="11" t="str">
        <f t="shared" si="13"/>
        <v/>
      </c>
      <c r="AK870" s="12">
        <f>IF(B870="","",OR(K870="Not in use",K870="Low use")+AND(N870&lt;&gt;"",N870&lt;&gt;"TBD")+AND(ISNUMBER(U870),U870&lt;=EDATE('Scoring Settings'!$B$4,'Scoring Settings'!$B$8))+AND(ISNUMBER(L870),L870&lt;='Scoring Settings'!$B$7))</f>
        <v>0</v>
      </c>
      <c r="AL870" s="5" t="s">
        <v>111</v>
      </c>
      <c r="AM870" s="8" t="str">
        <f>IF(B870="","",IF(Z870="N","Easy",IF(OR(AND(ISNUMBER(AB870),AB870&gt;'Scoring Settings'!$B$11),AND(ISNUMBER(W870),W870&gt;'Scoring Settings'!$B$12),AND(ISNUMBER(M870),M870&lt;='Scoring Settings'!$B$13)),"High","Medium")))</f>
        <v>Easy</v>
      </c>
      <c r="AN870" s="5"/>
      <c r="AO870" s="7"/>
      <c r="AP870" s="5" t="s">
        <v>98</v>
      </c>
      <c r="AQ870" s="29" t="s">
        <v>124</v>
      </c>
    </row>
    <row r="871" spans="1:43" hidden="1">
      <c r="A871" s="28">
        <v>190888</v>
      </c>
      <c r="B871" s="5" t="s">
        <v>1696</v>
      </c>
      <c r="C871" s="5" t="s">
        <v>316</v>
      </c>
      <c r="D871" s="5" t="s">
        <v>67</v>
      </c>
      <c r="E871" s="5" t="s">
        <v>298</v>
      </c>
      <c r="F871" s="5" t="s">
        <v>299</v>
      </c>
      <c r="G871" s="5" t="s">
        <v>271</v>
      </c>
      <c r="H871" s="5" t="s">
        <v>142</v>
      </c>
      <c r="I871" s="6">
        <v>21</v>
      </c>
      <c r="J871" s="7">
        <v>44199</v>
      </c>
      <c r="K871" s="8" t="str">
        <f>IF(B871="","",IF(AND(I871="",J871=""),"Unknown",IF(OR(AND(ISNUMBER(I871),I871=0),AND(ISNUMBER(J871),J871&lt;=EDATE('Scoring Settings'!$B$4,-'Scoring Settings'!$B$5))),"Not in use",IF(AND(ISNUMBER(I871),I871&lt;'Scoring Settings'!$B$6),"Low use","Active"))))</f>
        <v>Low use</v>
      </c>
      <c r="L871" s="5">
        <v>4</v>
      </c>
      <c r="M871" s="5">
        <v>2</v>
      </c>
      <c r="N871" s="5"/>
      <c r="O871" s="5" t="s">
        <v>143</v>
      </c>
      <c r="P871" s="5" t="s">
        <v>144</v>
      </c>
      <c r="Q871" s="9">
        <v>0</v>
      </c>
      <c r="R871" s="5" t="s">
        <v>145</v>
      </c>
      <c r="S871" s="5" t="s">
        <v>145</v>
      </c>
      <c r="T871" s="5" t="s">
        <v>146</v>
      </c>
      <c r="U871" s="7">
        <v>44712</v>
      </c>
      <c r="V871" s="5" t="s">
        <v>78</v>
      </c>
      <c r="W871" s="6">
        <v>74</v>
      </c>
      <c r="X871" s="5" t="s">
        <v>79</v>
      </c>
      <c r="Y871" s="9">
        <v>3</v>
      </c>
      <c r="Z871" s="5" t="s">
        <v>80</v>
      </c>
      <c r="AA871" s="5" t="s">
        <v>81</v>
      </c>
      <c r="AB871" s="9">
        <v>5</v>
      </c>
      <c r="AC871" s="5" t="s">
        <v>80</v>
      </c>
      <c r="AD871" s="5" t="s">
        <v>82</v>
      </c>
      <c r="AE871" s="5" t="s">
        <v>82</v>
      </c>
      <c r="AF871" s="10">
        <v>30000</v>
      </c>
      <c r="AG871" s="7">
        <v>49340</v>
      </c>
      <c r="AH871" s="10">
        <v>22500</v>
      </c>
      <c r="AI871" s="10">
        <v>20000</v>
      </c>
      <c r="AJ871" s="11">
        <f t="shared" si="13"/>
        <v>13.5</v>
      </c>
      <c r="AK871" s="12">
        <f>IF(B871="","",OR(K871="Not in use",K871="Low use")+AND(N871&lt;&gt;"",N871&lt;&gt;"TBD")+AND(ISNUMBER(U871),U871&lt;=EDATE('Scoring Settings'!$B$4,'Scoring Settings'!$B$8))+AND(ISNUMBER(L871),L871&lt;='Scoring Settings'!$B$7))</f>
        <v>1</v>
      </c>
      <c r="AL871" s="5" t="s">
        <v>111</v>
      </c>
      <c r="AM871" s="8" t="str">
        <f>IF(B871="","",IF(Z871="N","Easy",IF(OR(AND(ISNUMBER(AB871),AB871&gt;'Scoring Settings'!$B$11),AND(ISNUMBER(W871),W871&gt;'Scoring Settings'!$B$12),AND(ISNUMBER(M871),M871&lt;='Scoring Settings'!$B$13)),"High","Medium")))</f>
        <v>High</v>
      </c>
      <c r="AN871" s="5"/>
      <c r="AO871" s="7"/>
      <c r="AP871" s="5" t="s">
        <v>98</v>
      </c>
      <c r="AQ871" s="29" t="s">
        <v>124</v>
      </c>
    </row>
    <row r="872" spans="1:43" hidden="1">
      <c r="A872" s="28">
        <v>61722</v>
      </c>
      <c r="B872" s="5" t="s">
        <v>1700</v>
      </c>
      <c r="C872" s="5" t="s">
        <v>395</v>
      </c>
      <c r="D872" s="5" t="s">
        <v>88</v>
      </c>
      <c r="E872" s="5" t="s">
        <v>298</v>
      </c>
      <c r="F872" s="5" t="s">
        <v>127</v>
      </c>
      <c r="G872" s="5" t="s">
        <v>284</v>
      </c>
      <c r="H872" s="5" t="s">
        <v>71</v>
      </c>
      <c r="I872" s="6">
        <v>20</v>
      </c>
      <c r="J872" s="7">
        <v>44194</v>
      </c>
      <c r="K872" s="8" t="str">
        <f>IF(B872="","",IF(AND(I872="",J872=""),"Unknown",IF(OR(AND(ISNUMBER(I872),I872=0),AND(ISNUMBER(J872),J872&lt;=EDATE('Scoring Settings'!$B$4,-'Scoring Settings'!$B$5))),"Not in use",IF(AND(ISNUMBER(I872),I872&lt;'Scoring Settings'!$B$6),"Low use","Active"))))</f>
        <v>Low use</v>
      </c>
      <c r="L872" s="5">
        <v>2</v>
      </c>
      <c r="M872" s="5">
        <v>3</v>
      </c>
      <c r="N872" s="5"/>
      <c r="O872" s="5" t="s">
        <v>130</v>
      </c>
      <c r="P872" s="5" t="s">
        <v>1701</v>
      </c>
      <c r="Q872" s="9">
        <v>4</v>
      </c>
      <c r="R872" s="5" t="s">
        <v>256</v>
      </c>
      <c r="S872" s="5" t="s">
        <v>257</v>
      </c>
      <c r="T872" s="5" t="s">
        <v>134</v>
      </c>
      <c r="U872" s="7">
        <v>45077</v>
      </c>
      <c r="V872" s="5" t="s">
        <v>78</v>
      </c>
      <c r="W872" s="6">
        <v>92</v>
      </c>
      <c r="X872" s="5" t="s">
        <v>79</v>
      </c>
      <c r="Y872" s="9">
        <v>2</v>
      </c>
      <c r="Z872" s="5" t="s">
        <v>79</v>
      </c>
      <c r="AA872" s="5" t="s">
        <v>110</v>
      </c>
      <c r="AB872" s="9">
        <v>6</v>
      </c>
      <c r="AC872" s="5" t="s">
        <v>80</v>
      </c>
      <c r="AD872" s="5" t="s">
        <v>82</v>
      </c>
      <c r="AE872" s="5" t="s">
        <v>79</v>
      </c>
      <c r="AF872" s="10">
        <v>33500</v>
      </c>
      <c r="AG872" s="7">
        <v>48699</v>
      </c>
      <c r="AH872" s="10"/>
      <c r="AI872" s="10"/>
      <c r="AJ872" s="11" t="str">
        <f t="shared" si="13"/>
        <v/>
      </c>
      <c r="AK872" s="12">
        <f>IF(B872="","",OR(K872="Not in use",K872="Low use")+AND(N872&lt;&gt;"",N872&lt;&gt;"TBD")+AND(ISNUMBER(U872),U872&lt;=EDATE('Scoring Settings'!$B$4,'Scoring Settings'!$B$8))+AND(ISNUMBER(L872),L872&lt;='Scoring Settings'!$B$7))</f>
        <v>2</v>
      </c>
      <c r="AL872" s="5" t="s">
        <v>111</v>
      </c>
      <c r="AM872" s="8" t="str">
        <f>IF(B872="","",IF(Z872="N","Easy",IF(OR(AND(ISNUMBER(AB872),AB872&gt;'Scoring Settings'!$B$11),AND(ISNUMBER(W872),W872&gt;'Scoring Settings'!$B$12),AND(ISNUMBER(M872),M872&lt;='Scoring Settings'!$B$13)),"High","Medium")))</f>
        <v>Easy</v>
      </c>
      <c r="AN872" s="5"/>
      <c r="AO872" s="7"/>
      <c r="AP872" s="5" t="s">
        <v>98</v>
      </c>
      <c r="AQ872" s="29" t="s">
        <v>218</v>
      </c>
    </row>
    <row r="873" spans="1:43" hidden="1">
      <c r="A873" s="28">
        <v>198365</v>
      </c>
      <c r="B873" s="5" t="s">
        <v>1702</v>
      </c>
      <c r="C873" s="5" t="s">
        <v>156</v>
      </c>
      <c r="D873" s="5" t="s">
        <v>139</v>
      </c>
      <c r="E873" s="5" t="s">
        <v>68</v>
      </c>
      <c r="F873" s="5" t="s">
        <v>243</v>
      </c>
      <c r="G873" s="5" t="s">
        <v>210</v>
      </c>
      <c r="H873" s="5" t="s">
        <v>129</v>
      </c>
      <c r="I873" s="6">
        <v>100</v>
      </c>
      <c r="J873" s="7">
        <v>44280</v>
      </c>
      <c r="K873" s="8" t="str">
        <f>IF(B873="","",IF(AND(I873="",J873=""),"Unknown",IF(OR(AND(ISNUMBER(I873),I873=0),AND(ISNUMBER(J873),J873&lt;=EDATE('Scoring Settings'!$B$4,-'Scoring Settings'!$B$5))),"Not in use",IF(AND(ISNUMBER(I873),I873&lt;'Scoring Settings'!$B$6),"Low use","Active"))))</f>
        <v>Active</v>
      </c>
      <c r="L873" s="5">
        <v>4</v>
      </c>
      <c r="M873" s="5">
        <v>3</v>
      </c>
      <c r="N873" s="5" t="s">
        <v>350</v>
      </c>
      <c r="O873" s="5" t="s">
        <v>73</v>
      </c>
      <c r="P873" s="5" t="s">
        <v>982</v>
      </c>
      <c r="Q873" s="9">
        <v>1</v>
      </c>
      <c r="R873" s="5" t="s">
        <v>132</v>
      </c>
      <c r="S873" s="5" t="s">
        <v>133</v>
      </c>
      <c r="T873" s="5" t="s">
        <v>184</v>
      </c>
      <c r="U873" s="7">
        <v>44227</v>
      </c>
      <c r="V873" s="5" t="s">
        <v>95</v>
      </c>
      <c r="W873" s="6">
        <v>44</v>
      </c>
      <c r="X873" s="5" t="s">
        <v>79</v>
      </c>
      <c r="Y873" s="9">
        <v>1</v>
      </c>
      <c r="Z873" s="5" t="s">
        <v>80</v>
      </c>
      <c r="AA873" s="5" t="s">
        <v>205</v>
      </c>
      <c r="AB873" s="9">
        <v>2</v>
      </c>
      <c r="AC873" s="5" t="s">
        <v>79</v>
      </c>
      <c r="AD873" s="5" t="s">
        <v>82</v>
      </c>
      <c r="AE873" s="5" t="s">
        <v>79</v>
      </c>
      <c r="AF873" s="10">
        <v>21500</v>
      </c>
      <c r="AG873" s="7">
        <v>46477</v>
      </c>
      <c r="AH873" s="10"/>
      <c r="AI873" s="10"/>
      <c r="AJ873" s="11" t="str">
        <f t="shared" si="13"/>
        <v/>
      </c>
      <c r="AK873" s="12">
        <f>IF(B873="","",OR(K873="Not in use",K873="Low use")+AND(N873&lt;&gt;"",N873&lt;&gt;"TBD")+AND(ISNUMBER(U873),U873&lt;=EDATE('Scoring Settings'!$B$4,'Scoring Settings'!$B$8))+AND(ISNUMBER(L873),L873&lt;='Scoring Settings'!$B$7))</f>
        <v>2</v>
      </c>
      <c r="AL873" s="5" t="s">
        <v>111</v>
      </c>
      <c r="AM873" s="8" t="str">
        <f>IF(B873="","",IF(Z873="N","Easy",IF(OR(AND(ISNUMBER(AB873),AB873&gt;'Scoring Settings'!$B$11),AND(ISNUMBER(W873),W873&gt;'Scoring Settings'!$B$12),AND(ISNUMBER(M873),M873&lt;='Scoring Settings'!$B$13)),"High","Medium")))</f>
        <v>Medium</v>
      </c>
      <c r="AN873" s="5"/>
      <c r="AO873" s="7"/>
      <c r="AP873" s="5" t="s">
        <v>98</v>
      </c>
      <c r="AQ873" s="29" t="s">
        <v>112</v>
      </c>
    </row>
    <row r="874" spans="1:43" hidden="1">
      <c r="A874" s="28">
        <v>99946</v>
      </c>
      <c r="B874" s="5" t="s">
        <v>1705</v>
      </c>
      <c r="C874" s="5" t="s">
        <v>13</v>
      </c>
      <c r="D874" s="5" t="s">
        <v>162</v>
      </c>
      <c r="E874" s="5" t="s">
        <v>68</v>
      </c>
      <c r="F874" s="5" t="s">
        <v>127</v>
      </c>
      <c r="G874" s="5" t="s">
        <v>153</v>
      </c>
      <c r="H874" s="5" t="s">
        <v>129</v>
      </c>
      <c r="I874" s="6">
        <v>449</v>
      </c>
      <c r="J874" s="7">
        <v>44307</v>
      </c>
      <c r="K874" s="8" t="str">
        <f>IF(B874="","",IF(AND(I874="",J874=""),"Unknown",IF(OR(AND(ISNUMBER(I874),I874=0),AND(ISNUMBER(J874),J874&lt;=EDATE('Scoring Settings'!$B$4,-'Scoring Settings'!$B$5))),"Not in use",IF(AND(ISNUMBER(I874),I874&lt;'Scoring Settings'!$B$6),"Low use","Active"))))</f>
        <v>Active</v>
      </c>
      <c r="L874" s="5">
        <v>4</v>
      </c>
      <c r="M874" s="5">
        <v>2</v>
      </c>
      <c r="N874" s="5"/>
      <c r="O874" s="5" t="s">
        <v>73</v>
      </c>
      <c r="P874" s="5" t="s">
        <v>1706</v>
      </c>
      <c r="Q874" s="9">
        <v>4</v>
      </c>
      <c r="R874" s="5" t="s">
        <v>251</v>
      </c>
      <c r="S874" s="5" t="s">
        <v>133</v>
      </c>
      <c r="T874" s="5" t="s">
        <v>72</v>
      </c>
      <c r="U874" s="7">
        <v>44165</v>
      </c>
      <c r="V874" s="5" t="s">
        <v>135</v>
      </c>
      <c r="W874" s="6">
        <v>370</v>
      </c>
      <c r="X874" s="5" t="s">
        <v>80</v>
      </c>
      <c r="Y874" s="9">
        <v>5</v>
      </c>
      <c r="Z874" s="5" t="s">
        <v>80</v>
      </c>
      <c r="AA874" s="5" t="s">
        <v>123</v>
      </c>
      <c r="AB874" s="9">
        <v>7</v>
      </c>
      <c r="AC874" s="5" t="s">
        <v>82</v>
      </c>
      <c r="AD874" s="5" t="s">
        <v>79</v>
      </c>
      <c r="AE874" s="5" t="s">
        <v>82</v>
      </c>
      <c r="AF874" s="10">
        <v>70000</v>
      </c>
      <c r="AG874" s="7">
        <v>46660</v>
      </c>
      <c r="AH874" s="10"/>
      <c r="AI874" s="10"/>
      <c r="AJ874" s="11" t="str">
        <f t="shared" si="13"/>
        <v/>
      </c>
      <c r="AK874" s="12">
        <f>IF(B874="","",OR(K874="Not in use",K874="Low use")+AND(N874&lt;&gt;"",N874&lt;&gt;"TBD")+AND(ISNUMBER(U874),U874&lt;=EDATE('Scoring Settings'!$B$4,'Scoring Settings'!$B$8))+AND(ISNUMBER(L874),L874&lt;='Scoring Settings'!$B$7))</f>
        <v>1</v>
      </c>
      <c r="AL874" s="5" t="s">
        <v>111</v>
      </c>
      <c r="AM874" s="8" t="str">
        <f>IF(B874="","",IF(Z874="N","Easy",IF(OR(AND(ISNUMBER(AB874),AB874&gt;'Scoring Settings'!$B$11),AND(ISNUMBER(W874),W874&gt;'Scoring Settings'!$B$12),AND(ISNUMBER(M874),M874&lt;='Scoring Settings'!$B$13)),"High","Medium")))</f>
        <v>High</v>
      </c>
      <c r="AN874" s="5"/>
      <c r="AO874" s="7"/>
      <c r="AP874" s="5" t="s">
        <v>98</v>
      </c>
      <c r="AQ874" s="29" t="s">
        <v>159</v>
      </c>
    </row>
    <row r="875" spans="1:43" hidden="1">
      <c r="A875" s="28">
        <v>173755</v>
      </c>
      <c r="B875" s="5" t="s">
        <v>1710</v>
      </c>
      <c r="C875" s="5" t="s">
        <v>338</v>
      </c>
      <c r="D875" s="5" t="s">
        <v>139</v>
      </c>
      <c r="E875" s="5" t="s">
        <v>68</v>
      </c>
      <c r="F875" s="5" t="s">
        <v>302</v>
      </c>
      <c r="G875" s="5" t="s">
        <v>356</v>
      </c>
      <c r="H875" s="5" t="s">
        <v>174</v>
      </c>
      <c r="I875" s="6">
        <v>169</v>
      </c>
      <c r="J875" s="7">
        <v>44307</v>
      </c>
      <c r="K875" s="8" t="str">
        <f>IF(B875="","",IF(AND(I875="",J875=""),"Unknown",IF(OR(AND(ISNUMBER(I875),I875=0),AND(ISNUMBER(J875),J875&lt;=EDATE('Scoring Settings'!$B$4,-'Scoring Settings'!$B$5))),"Not in use",IF(AND(ISNUMBER(I875),I875&lt;'Scoring Settings'!$B$6),"Low use","Active"))))</f>
        <v>Active</v>
      </c>
      <c r="L875" s="5">
        <v>4</v>
      </c>
      <c r="M875" s="5">
        <v>1</v>
      </c>
      <c r="N875" s="5" t="s">
        <v>72</v>
      </c>
      <c r="O875" s="5" t="s">
        <v>191</v>
      </c>
      <c r="P875" s="5" t="s">
        <v>192</v>
      </c>
      <c r="Q875" s="9">
        <v>0</v>
      </c>
      <c r="R875" s="5" t="s">
        <v>193</v>
      </c>
      <c r="S875" s="5" t="s">
        <v>318</v>
      </c>
      <c r="T875" s="5" t="s">
        <v>195</v>
      </c>
      <c r="U875" s="7"/>
      <c r="V875" s="5" t="s">
        <v>78</v>
      </c>
      <c r="W875" s="6">
        <v>63</v>
      </c>
      <c r="X875" s="5" t="s">
        <v>79</v>
      </c>
      <c r="Y875" s="9">
        <v>7</v>
      </c>
      <c r="Z875" s="5" t="s">
        <v>80</v>
      </c>
      <c r="AA875" s="5" t="s">
        <v>123</v>
      </c>
      <c r="AB875" s="9">
        <v>82</v>
      </c>
      <c r="AC875" s="5" t="s">
        <v>80</v>
      </c>
      <c r="AD875" s="5" t="s">
        <v>79</v>
      </c>
      <c r="AE875" s="5" t="s">
        <v>80</v>
      </c>
      <c r="AF875" s="10">
        <v>120000</v>
      </c>
      <c r="AG875" s="7">
        <v>49340</v>
      </c>
      <c r="AH875" s="10"/>
      <c r="AI875" s="10"/>
      <c r="AJ875" s="11" t="str">
        <f t="shared" si="13"/>
        <v/>
      </c>
      <c r="AK875" s="12">
        <f>IF(B875="","",OR(K875="Not in use",K875="Low use")+AND(N875&lt;&gt;"",N875&lt;&gt;"TBD")+AND(ISNUMBER(U875),U875&lt;=EDATE('Scoring Settings'!$B$4,'Scoring Settings'!$B$8))+AND(ISNUMBER(L875),L875&lt;='Scoring Settings'!$B$7))</f>
        <v>0</v>
      </c>
      <c r="AL875" s="5" t="s">
        <v>111</v>
      </c>
      <c r="AM875" s="8" t="str">
        <f>IF(B875="","",IF(Z875="N","Easy",IF(OR(AND(ISNUMBER(AB875),AB875&gt;'Scoring Settings'!$B$11),AND(ISNUMBER(W875),W875&gt;'Scoring Settings'!$B$12),AND(ISNUMBER(M875),M875&lt;='Scoring Settings'!$B$13)),"High","Medium")))</f>
        <v>High</v>
      </c>
      <c r="AN875" s="5"/>
      <c r="AO875" s="7"/>
      <c r="AP875" s="5" t="s">
        <v>98</v>
      </c>
      <c r="AQ875" s="29" t="s">
        <v>218</v>
      </c>
    </row>
    <row r="876" spans="1:43" hidden="1">
      <c r="A876" s="28">
        <v>44088</v>
      </c>
      <c r="B876" s="5" t="s">
        <v>1711</v>
      </c>
      <c r="C876" s="5" t="s">
        <v>305</v>
      </c>
      <c r="D876" s="5" t="s">
        <v>297</v>
      </c>
      <c r="E876" s="5" t="s">
        <v>68</v>
      </c>
      <c r="F876" s="5" t="s">
        <v>89</v>
      </c>
      <c r="G876" s="5" t="s">
        <v>179</v>
      </c>
      <c r="H876" s="5" t="s">
        <v>118</v>
      </c>
      <c r="I876" s="6">
        <v>201</v>
      </c>
      <c r="J876" s="7">
        <v>44289</v>
      </c>
      <c r="K876" s="8" t="str">
        <f>IF(B876="","",IF(AND(I876="",J876=""),"Unknown",IF(OR(AND(ISNUMBER(I876),I876=0),AND(ISNUMBER(J876),J876&lt;=EDATE('Scoring Settings'!$B$4,-'Scoring Settings'!$B$5))),"Not in use",IF(AND(ISNUMBER(I876),I876&lt;'Scoring Settings'!$B$6),"Low use","Active"))))</f>
        <v>Active</v>
      </c>
      <c r="L876" s="5">
        <v>1</v>
      </c>
      <c r="M876" s="5">
        <v>4</v>
      </c>
      <c r="N876" s="5"/>
      <c r="O876" s="5" t="s">
        <v>73</v>
      </c>
      <c r="P876" s="5" t="s">
        <v>724</v>
      </c>
      <c r="Q876" s="9">
        <v>1</v>
      </c>
      <c r="R876" s="5" t="s">
        <v>93</v>
      </c>
      <c r="S876" s="5" t="s">
        <v>94</v>
      </c>
      <c r="T876" s="5" t="s">
        <v>77</v>
      </c>
      <c r="U876" s="7">
        <v>44561</v>
      </c>
      <c r="V876" s="5" t="s">
        <v>95</v>
      </c>
      <c r="W876" s="6">
        <v>64</v>
      </c>
      <c r="X876" s="5" t="s">
        <v>80</v>
      </c>
      <c r="Y876" s="9">
        <v>10</v>
      </c>
      <c r="Z876" s="5" t="s">
        <v>80</v>
      </c>
      <c r="AA876" s="5" t="s">
        <v>123</v>
      </c>
      <c r="AB876" s="9">
        <v>3</v>
      </c>
      <c r="AC876" s="5" t="s">
        <v>82</v>
      </c>
      <c r="AD876" s="5" t="s">
        <v>82</v>
      </c>
      <c r="AE876" s="5" t="s">
        <v>82</v>
      </c>
      <c r="AF876" s="10">
        <v>23500</v>
      </c>
      <c r="AG876" s="7">
        <v>46295</v>
      </c>
      <c r="AH876" s="10">
        <v>30000</v>
      </c>
      <c r="AI876" s="10">
        <v>14500</v>
      </c>
      <c r="AJ876" s="11">
        <f t="shared" si="13"/>
        <v>24.827586206896555</v>
      </c>
      <c r="AK876" s="12">
        <f>IF(B876="","",OR(K876="Not in use",K876="Low use")+AND(N876&lt;&gt;"",N876&lt;&gt;"TBD")+AND(ISNUMBER(U876),U876&lt;=EDATE('Scoring Settings'!$B$4,'Scoring Settings'!$B$8))+AND(ISNUMBER(L876),L876&lt;='Scoring Settings'!$B$7))</f>
        <v>2</v>
      </c>
      <c r="AL876" s="5" t="s">
        <v>111</v>
      </c>
      <c r="AM876" s="8" t="str">
        <f>IF(B876="","",IF(Z876="N","Easy",IF(OR(AND(ISNUMBER(AB876),AB876&gt;'Scoring Settings'!$B$11),AND(ISNUMBER(W876),W876&gt;'Scoring Settings'!$B$12),AND(ISNUMBER(M876),M876&lt;='Scoring Settings'!$B$13)),"High","Medium")))</f>
        <v>Medium</v>
      </c>
      <c r="AN876" s="5"/>
      <c r="AO876" s="7"/>
      <c r="AP876" s="5" t="s">
        <v>98</v>
      </c>
      <c r="AQ876" s="29" t="s">
        <v>218</v>
      </c>
    </row>
    <row r="877" spans="1:43" hidden="1">
      <c r="A877" s="28">
        <v>117166</v>
      </c>
      <c r="B877" s="5" t="s">
        <v>1712</v>
      </c>
      <c r="C877" s="5" t="s">
        <v>220</v>
      </c>
      <c r="D877" s="5" t="s">
        <v>139</v>
      </c>
      <c r="E877" s="5" t="s">
        <v>298</v>
      </c>
      <c r="F877" s="5" t="s">
        <v>419</v>
      </c>
      <c r="G877" s="5" t="s">
        <v>141</v>
      </c>
      <c r="H877" s="5" t="s">
        <v>189</v>
      </c>
      <c r="I877" s="6">
        <v>423</v>
      </c>
      <c r="J877" s="7">
        <v>44313</v>
      </c>
      <c r="K877" s="8" t="str">
        <f>IF(B877="","",IF(AND(I877="",J877=""),"Unknown",IF(OR(AND(ISNUMBER(I877),I877=0),AND(ISNUMBER(J877),J877&lt;=EDATE('Scoring Settings'!$B$4,-'Scoring Settings'!$B$5))),"Not in use",IF(AND(ISNUMBER(I877),I877&lt;'Scoring Settings'!$B$6),"Low use","Active"))))</f>
        <v>Active</v>
      </c>
      <c r="L877" s="5">
        <v>5</v>
      </c>
      <c r="M877" s="5">
        <v>2</v>
      </c>
      <c r="N877" s="5"/>
      <c r="O877" s="5" t="s">
        <v>73</v>
      </c>
      <c r="P877" s="5" t="s">
        <v>1713</v>
      </c>
      <c r="Q877" s="9">
        <v>1</v>
      </c>
      <c r="R877" s="5" t="s">
        <v>132</v>
      </c>
      <c r="S877" s="5" t="s">
        <v>133</v>
      </c>
      <c r="T877" s="5" t="s">
        <v>77</v>
      </c>
      <c r="U877" s="7">
        <v>44227</v>
      </c>
      <c r="V877" s="5" t="s">
        <v>135</v>
      </c>
      <c r="W877" s="6">
        <v>730</v>
      </c>
      <c r="X877" s="5" t="s">
        <v>79</v>
      </c>
      <c r="Y877" s="9">
        <v>5</v>
      </c>
      <c r="Z877" s="5" t="s">
        <v>80</v>
      </c>
      <c r="AA877" s="5" t="s">
        <v>205</v>
      </c>
      <c r="AB877" s="9">
        <v>10</v>
      </c>
      <c r="AC877" s="5" t="s">
        <v>82</v>
      </c>
      <c r="AD877" s="5" t="s">
        <v>82</v>
      </c>
      <c r="AE877" s="5" t="s">
        <v>80</v>
      </c>
      <c r="AF877" s="10">
        <v>41000</v>
      </c>
      <c r="AG877" s="7">
        <v>48669</v>
      </c>
      <c r="AH877" s="10">
        <v>28000</v>
      </c>
      <c r="AI877" s="10">
        <v>23000</v>
      </c>
      <c r="AJ877" s="11">
        <f t="shared" si="13"/>
        <v>14.608695652173914</v>
      </c>
      <c r="AK877" s="12">
        <f>IF(B877="","",OR(K877="Not in use",K877="Low use")+AND(N877&lt;&gt;"",N877&lt;&gt;"TBD")+AND(ISNUMBER(U877),U877&lt;=EDATE('Scoring Settings'!$B$4,'Scoring Settings'!$B$8))+AND(ISNUMBER(L877),L877&lt;='Scoring Settings'!$B$7))</f>
        <v>1</v>
      </c>
      <c r="AL877" s="5" t="s">
        <v>111</v>
      </c>
      <c r="AM877" s="8" t="str">
        <f>IF(B877="","",IF(Z877="N","Easy",IF(OR(AND(ISNUMBER(AB877),AB877&gt;'Scoring Settings'!$B$11),AND(ISNUMBER(W877),W877&gt;'Scoring Settings'!$B$12),AND(ISNUMBER(M877),M877&lt;='Scoring Settings'!$B$13)),"High","Medium")))</f>
        <v>High</v>
      </c>
      <c r="AN877" s="5"/>
      <c r="AO877" s="7"/>
      <c r="AP877" s="5" t="s">
        <v>98</v>
      </c>
      <c r="AQ877" s="29" t="s">
        <v>112</v>
      </c>
    </row>
    <row r="878" spans="1:43" hidden="1">
      <c r="A878" s="28">
        <v>16384</v>
      </c>
      <c r="B878" s="5" t="s">
        <v>1714</v>
      </c>
      <c r="C878" s="5" t="s">
        <v>13</v>
      </c>
      <c r="D878" s="5" t="s">
        <v>162</v>
      </c>
      <c r="E878" s="5" t="s">
        <v>68</v>
      </c>
      <c r="F878" s="5" t="s">
        <v>312</v>
      </c>
      <c r="G878" s="5" t="s">
        <v>221</v>
      </c>
      <c r="H878" s="5" t="s">
        <v>91</v>
      </c>
      <c r="I878" s="6">
        <v>6</v>
      </c>
      <c r="J878" s="7">
        <v>44258</v>
      </c>
      <c r="K878" s="8" t="str">
        <f>IF(B878="","",IF(AND(I878="",J878=""),"Unknown",IF(OR(AND(ISNUMBER(I878),I878=0),AND(ISNUMBER(J878),J878&lt;=EDATE('Scoring Settings'!$B$4,-'Scoring Settings'!$B$5))),"Not in use",IF(AND(ISNUMBER(I878),I878&lt;'Scoring Settings'!$B$6),"Low use","Active"))))</f>
        <v>Low use</v>
      </c>
      <c r="L878" s="5">
        <v>4</v>
      </c>
      <c r="M878" s="5">
        <v>2</v>
      </c>
      <c r="N878" s="5" t="s">
        <v>1167</v>
      </c>
      <c r="O878" s="5" t="s">
        <v>73</v>
      </c>
      <c r="P878" s="5" t="s">
        <v>1715</v>
      </c>
      <c r="Q878" s="9">
        <v>6</v>
      </c>
      <c r="R878" s="5" t="s">
        <v>182</v>
      </c>
      <c r="S878" s="5" t="s">
        <v>183</v>
      </c>
      <c r="T878" s="5" t="s">
        <v>72</v>
      </c>
      <c r="U878" s="7">
        <v>42855</v>
      </c>
      <c r="V878" s="5" t="s">
        <v>135</v>
      </c>
      <c r="W878" s="6">
        <v>370</v>
      </c>
      <c r="X878" s="5" t="s">
        <v>79</v>
      </c>
      <c r="Y878" s="9">
        <v>7</v>
      </c>
      <c r="Z878" s="5" t="s">
        <v>79</v>
      </c>
      <c r="AA878" s="5" t="s">
        <v>110</v>
      </c>
      <c r="AB878" s="9">
        <v>12</v>
      </c>
      <c r="AC878" s="5" t="s">
        <v>82</v>
      </c>
      <c r="AD878" s="5" t="s">
        <v>82</v>
      </c>
      <c r="AE878" s="5" t="s">
        <v>82</v>
      </c>
      <c r="AF878" s="10">
        <v>130000</v>
      </c>
      <c r="AG878" s="7">
        <v>48822</v>
      </c>
      <c r="AH878" s="10">
        <v>199000</v>
      </c>
      <c r="AI878" s="10">
        <v>101500</v>
      </c>
      <c r="AJ878" s="11">
        <f t="shared" si="13"/>
        <v>23.527093596059114</v>
      </c>
      <c r="AK878" s="12">
        <f>IF(B878="","",OR(K878="Not in use",K878="Low use")+AND(N878&lt;&gt;"",N878&lt;&gt;"TBD")+AND(ISNUMBER(U878),U878&lt;=EDATE('Scoring Settings'!$B$4,'Scoring Settings'!$B$8))+AND(ISNUMBER(L878),L878&lt;='Scoring Settings'!$B$7))</f>
        <v>3</v>
      </c>
      <c r="AL878" s="5" t="s">
        <v>111</v>
      </c>
      <c r="AM878" s="8" t="str">
        <f>IF(B878="","",IF(Z878="N","Easy",IF(OR(AND(ISNUMBER(AB878),AB878&gt;'Scoring Settings'!$B$11),AND(ISNUMBER(W878),W878&gt;'Scoring Settings'!$B$12),AND(ISNUMBER(M878),M878&lt;='Scoring Settings'!$B$13)),"High","Medium")))</f>
        <v>Easy</v>
      </c>
      <c r="AN878" s="5"/>
      <c r="AO878" s="7"/>
      <c r="AP878" s="5" t="s">
        <v>98</v>
      </c>
      <c r="AQ878" s="29" t="s">
        <v>218</v>
      </c>
    </row>
    <row r="879" spans="1:43" hidden="1">
      <c r="A879" s="28">
        <v>17096</v>
      </c>
      <c r="B879" s="5" t="s">
        <v>1720</v>
      </c>
      <c r="C879" s="5" t="s">
        <v>343</v>
      </c>
      <c r="D879" s="5" t="s">
        <v>102</v>
      </c>
      <c r="E879" s="5" t="s">
        <v>68</v>
      </c>
      <c r="F879" s="5" t="s">
        <v>89</v>
      </c>
      <c r="G879" s="5" t="s">
        <v>153</v>
      </c>
      <c r="H879" s="5" t="s">
        <v>91</v>
      </c>
      <c r="I879" s="6">
        <v>275</v>
      </c>
      <c r="J879" s="7">
        <v>44298</v>
      </c>
      <c r="K879" s="8" t="str">
        <f>IF(B879="","",IF(AND(I879="",J879=""),"Unknown",IF(OR(AND(ISNUMBER(I879),I879=0),AND(ISNUMBER(J879),J879&lt;=EDATE('Scoring Settings'!$B$4,-'Scoring Settings'!$B$5))),"Not in use",IF(AND(ISNUMBER(I879),I879&lt;'Scoring Settings'!$B$6),"Low use","Active"))))</f>
        <v>Active</v>
      </c>
      <c r="L879" s="5">
        <v>3</v>
      </c>
      <c r="M879" s="5">
        <v>3</v>
      </c>
      <c r="N879" s="5"/>
      <c r="O879" s="5" t="s">
        <v>73</v>
      </c>
      <c r="P879" s="5" t="s">
        <v>1721</v>
      </c>
      <c r="Q879" s="9">
        <v>3</v>
      </c>
      <c r="R879" s="5" t="s">
        <v>245</v>
      </c>
      <c r="S879" s="5" t="s">
        <v>246</v>
      </c>
      <c r="T879" s="5" t="s">
        <v>122</v>
      </c>
      <c r="U879" s="7" t="s">
        <v>72</v>
      </c>
      <c r="V879" s="5" t="s">
        <v>95</v>
      </c>
      <c r="W879" s="6">
        <v>240</v>
      </c>
      <c r="X879" s="5" t="s">
        <v>80</v>
      </c>
      <c r="Y879" s="9">
        <v>5</v>
      </c>
      <c r="Z879" s="5" t="s">
        <v>80</v>
      </c>
      <c r="AA879" s="5" t="s">
        <v>205</v>
      </c>
      <c r="AB879" s="9">
        <v>2</v>
      </c>
      <c r="AC879" s="5" t="s">
        <v>79</v>
      </c>
      <c r="AD879" s="5" t="s">
        <v>80</v>
      </c>
      <c r="AE879" s="5" t="s">
        <v>79</v>
      </c>
      <c r="AF879" s="10">
        <v>60000</v>
      </c>
      <c r="AG879" s="7">
        <v>48852</v>
      </c>
      <c r="AH879" s="10">
        <v>104000</v>
      </c>
      <c r="AI879" s="10">
        <v>49500</v>
      </c>
      <c r="AJ879" s="11">
        <f t="shared" si="13"/>
        <v>25.212121212121215</v>
      </c>
      <c r="AK879" s="12">
        <f>IF(B879="","",OR(K879="Not in use",K879="Low use")+AND(N879&lt;&gt;"",N879&lt;&gt;"TBD")+AND(ISNUMBER(U879),U879&lt;=EDATE('Scoring Settings'!$B$4,'Scoring Settings'!$B$8))+AND(ISNUMBER(L879),L879&lt;='Scoring Settings'!$B$7))</f>
        <v>0</v>
      </c>
      <c r="AL879" s="5" t="s">
        <v>111</v>
      </c>
      <c r="AM879" s="8" t="str">
        <f>IF(B879="","",IF(Z879="N","Easy",IF(OR(AND(ISNUMBER(AB879),AB879&gt;'Scoring Settings'!$B$11),AND(ISNUMBER(W879),W879&gt;'Scoring Settings'!$B$12),AND(ISNUMBER(M879),M879&lt;='Scoring Settings'!$B$13)),"High","Medium")))</f>
        <v>Medium</v>
      </c>
      <c r="AN879" s="5"/>
      <c r="AO879" s="7"/>
      <c r="AP879" s="5" t="s">
        <v>98</v>
      </c>
      <c r="AQ879" s="29" t="s">
        <v>218</v>
      </c>
    </row>
    <row r="880" spans="1:43" hidden="1">
      <c r="A880" s="28">
        <v>83219</v>
      </c>
      <c r="B880" s="5" t="s">
        <v>1722</v>
      </c>
      <c r="C880" s="5" t="s">
        <v>333</v>
      </c>
      <c r="D880" s="5" t="s">
        <v>115</v>
      </c>
      <c r="E880" s="5" t="s">
        <v>68</v>
      </c>
      <c r="F880" s="5" t="s">
        <v>163</v>
      </c>
      <c r="G880" s="5" t="s">
        <v>210</v>
      </c>
      <c r="H880" s="5" t="s">
        <v>71</v>
      </c>
      <c r="I880" s="6">
        <v>420</v>
      </c>
      <c r="J880" s="7">
        <v>44284</v>
      </c>
      <c r="K880" s="8" t="str">
        <f>IF(B880="","",IF(AND(I880="",J880=""),"Unknown",IF(OR(AND(ISNUMBER(I880),I880=0),AND(ISNUMBER(J880),J880&lt;=EDATE('Scoring Settings'!$B$4,-'Scoring Settings'!$B$5))),"Not in use",IF(AND(ISNUMBER(I880),I880&lt;'Scoring Settings'!$B$6),"Low use","Active"))))</f>
        <v>Active</v>
      </c>
      <c r="L880" s="5">
        <v>5</v>
      </c>
      <c r="M880" s="5">
        <v>2</v>
      </c>
      <c r="N880" s="5"/>
      <c r="O880" s="5" t="s">
        <v>191</v>
      </c>
      <c r="P880" s="5" t="s">
        <v>192</v>
      </c>
      <c r="Q880" s="9">
        <v>0</v>
      </c>
      <c r="R880" s="5" t="s">
        <v>193</v>
      </c>
      <c r="S880" s="5" t="s">
        <v>194</v>
      </c>
      <c r="T880" s="5" t="s">
        <v>195</v>
      </c>
      <c r="U880" s="7"/>
      <c r="V880" s="5" t="s">
        <v>135</v>
      </c>
      <c r="W880" s="6">
        <v>290</v>
      </c>
      <c r="X880" s="5" t="s">
        <v>79</v>
      </c>
      <c r="Y880" s="9">
        <v>1</v>
      </c>
      <c r="Z880" s="5" t="s">
        <v>80</v>
      </c>
      <c r="AA880" s="5" t="s">
        <v>123</v>
      </c>
      <c r="AB880" s="9">
        <v>16</v>
      </c>
      <c r="AC880" s="5" t="s">
        <v>82</v>
      </c>
      <c r="AD880" s="5" t="s">
        <v>79</v>
      </c>
      <c r="AE880" s="5" t="s">
        <v>82</v>
      </c>
      <c r="AF880" s="10">
        <v>23000</v>
      </c>
      <c r="AG880" s="7">
        <v>46112</v>
      </c>
      <c r="AH880" s="10"/>
      <c r="AI880" s="10"/>
      <c r="AJ880" s="11" t="str">
        <f t="shared" si="13"/>
        <v/>
      </c>
      <c r="AK880" s="12">
        <f>IF(B880="","",OR(K880="Not in use",K880="Low use")+AND(N880&lt;&gt;"",N880&lt;&gt;"TBD")+AND(ISNUMBER(U880),U880&lt;=EDATE('Scoring Settings'!$B$4,'Scoring Settings'!$B$8))+AND(ISNUMBER(L880),L880&lt;='Scoring Settings'!$B$7))</f>
        <v>0</v>
      </c>
      <c r="AL880" s="5" t="s">
        <v>83</v>
      </c>
      <c r="AM880" s="8" t="str">
        <f>IF(B880="","",IF(Z880="N","Easy",IF(OR(AND(ISNUMBER(AB880),AB880&gt;'Scoring Settings'!$B$11),AND(ISNUMBER(W880),W880&gt;'Scoring Settings'!$B$12),AND(ISNUMBER(M880),M880&lt;='Scoring Settings'!$B$13)),"High","Medium")))</f>
        <v>High</v>
      </c>
      <c r="AN880" s="5"/>
      <c r="AO880" s="7"/>
      <c r="AP880" s="5" t="s">
        <v>84</v>
      </c>
      <c r="AQ880" s="29" t="s">
        <v>314</v>
      </c>
    </row>
    <row r="881" spans="1:43" ht="57" hidden="1">
      <c r="A881" s="28">
        <v>44752</v>
      </c>
      <c r="B881" s="5" t="s">
        <v>1725</v>
      </c>
      <c r="C881" s="5" t="s">
        <v>287</v>
      </c>
      <c r="D881" s="5" t="s">
        <v>162</v>
      </c>
      <c r="E881" s="5" t="s">
        <v>68</v>
      </c>
      <c r="F881" s="5" t="s">
        <v>419</v>
      </c>
      <c r="G881" s="5" t="s">
        <v>404</v>
      </c>
      <c r="H881" s="5" t="s">
        <v>174</v>
      </c>
      <c r="I881" s="6">
        <v>12</v>
      </c>
      <c r="J881" s="7">
        <v>44286</v>
      </c>
      <c r="K881" s="8" t="str">
        <f>IF(B881="","",IF(AND(I881="",J881=""),"Unknown",IF(OR(AND(ISNUMBER(I881),I881=0),AND(ISNUMBER(J881),J881&lt;=EDATE('Scoring Settings'!$B$4,-'Scoring Settings'!$B$5))),"Not in use",IF(AND(ISNUMBER(I881),I881&lt;'Scoring Settings'!$B$6),"Low use","Active"))))</f>
        <v>Low use</v>
      </c>
      <c r="L881" s="5">
        <v>4</v>
      </c>
      <c r="M881" s="5">
        <v>2</v>
      </c>
      <c r="N881" s="5" t="s">
        <v>1167</v>
      </c>
      <c r="O881" s="5" t="s">
        <v>73</v>
      </c>
      <c r="P881" s="5" t="s">
        <v>1726</v>
      </c>
      <c r="Q881" s="9">
        <v>3</v>
      </c>
      <c r="R881" s="5" t="s">
        <v>107</v>
      </c>
      <c r="S881" s="5" t="s">
        <v>108</v>
      </c>
      <c r="T881" s="5" t="s">
        <v>109</v>
      </c>
      <c r="U881" s="7">
        <v>43655</v>
      </c>
      <c r="V881" s="5" t="s">
        <v>135</v>
      </c>
      <c r="W881" s="6">
        <v>210</v>
      </c>
      <c r="X881" s="5" t="s">
        <v>79</v>
      </c>
      <c r="Y881" s="9">
        <v>3</v>
      </c>
      <c r="Z881" s="5" t="s">
        <v>79</v>
      </c>
      <c r="AA881" s="5" t="s">
        <v>110</v>
      </c>
      <c r="AB881" s="9">
        <v>30</v>
      </c>
      <c r="AC881" s="5" t="s">
        <v>79</v>
      </c>
      <c r="AD881" s="5" t="s">
        <v>79</v>
      </c>
      <c r="AE881" s="5" t="s">
        <v>80</v>
      </c>
      <c r="AF881" s="10">
        <v>95000</v>
      </c>
      <c r="AG881" s="7">
        <v>49156</v>
      </c>
      <c r="AH881" s="10"/>
      <c r="AI881" s="10"/>
      <c r="AJ881" s="11" t="str">
        <f t="shared" si="13"/>
        <v/>
      </c>
      <c r="AK881" s="12">
        <f>IF(B881="","",OR(K881="Not in use",K881="Low use")+AND(N881&lt;&gt;"",N881&lt;&gt;"TBD")+AND(ISNUMBER(U881),U881&lt;=EDATE('Scoring Settings'!$B$4,'Scoring Settings'!$B$8))+AND(ISNUMBER(L881),L881&lt;='Scoring Settings'!$B$7))</f>
        <v>3</v>
      </c>
      <c r="AL881" s="5" t="s">
        <v>111</v>
      </c>
      <c r="AM881" s="8" t="str">
        <f>IF(B881="","",IF(Z881="N","Easy",IF(OR(AND(ISNUMBER(AB881),AB881&gt;'Scoring Settings'!$B$11),AND(ISNUMBER(W881),W881&gt;'Scoring Settings'!$B$12),AND(ISNUMBER(M881),M881&lt;='Scoring Settings'!$B$13)),"High","Medium")))</f>
        <v>Easy</v>
      </c>
      <c r="AN881" s="5"/>
      <c r="AO881" s="7"/>
      <c r="AP881" s="5" t="s">
        <v>98</v>
      </c>
      <c r="AQ881" s="29" t="s">
        <v>291</v>
      </c>
    </row>
    <row r="882" spans="1:43" hidden="1">
      <c r="A882" s="28">
        <v>123398</v>
      </c>
      <c r="B882" s="5" t="s">
        <v>1727</v>
      </c>
      <c r="C882" s="5" t="s">
        <v>270</v>
      </c>
      <c r="D882" s="5" t="s">
        <v>139</v>
      </c>
      <c r="E882" s="5" t="s">
        <v>68</v>
      </c>
      <c r="F882" s="5" t="s">
        <v>249</v>
      </c>
      <c r="G882" s="5" t="s">
        <v>284</v>
      </c>
      <c r="H882" s="5" t="s">
        <v>189</v>
      </c>
      <c r="I882" s="6">
        <v>14</v>
      </c>
      <c r="J882" s="7">
        <v>44287</v>
      </c>
      <c r="K882" s="8" t="str">
        <f>IF(B882="","",IF(AND(I882="",J882=""),"Unknown",IF(OR(AND(ISNUMBER(I882),I882=0),AND(ISNUMBER(J882),J882&lt;=EDATE('Scoring Settings'!$B$4,-'Scoring Settings'!$B$5))),"Not in use",IF(AND(ISNUMBER(I882),I882&lt;'Scoring Settings'!$B$6),"Low use","Active"))))</f>
        <v>Low use</v>
      </c>
      <c r="L882" s="5">
        <v>5</v>
      </c>
      <c r="M882" s="5">
        <v>1</v>
      </c>
      <c r="N882" s="5" t="s">
        <v>350</v>
      </c>
      <c r="O882" s="5" t="s">
        <v>73</v>
      </c>
      <c r="P882" s="5" t="s">
        <v>1728</v>
      </c>
      <c r="Q882" s="9">
        <v>5</v>
      </c>
      <c r="R882" s="5" t="s">
        <v>93</v>
      </c>
      <c r="S882" s="5" t="s">
        <v>94</v>
      </c>
      <c r="T882" s="5" t="s">
        <v>72</v>
      </c>
      <c r="U882" s="7">
        <v>44561</v>
      </c>
      <c r="V882" s="5" t="s">
        <v>95</v>
      </c>
      <c r="W882" s="6">
        <v>820</v>
      </c>
      <c r="X882" s="5" t="s">
        <v>80</v>
      </c>
      <c r="Y882" s="9">
        <v>5</v>
      </c>
      <c r="Z882" s="5" t="s">
        <v>80</v>
      </c>
      <c r="AA882" s="5" t="s">
        <v>185</v>
      </c>
      <c r="AB882" s="9">
        <v>70</v>
      </c>
      <c r="AC882" s="5" t="s">
        <v>79</v>
      </c>
      <c r="AD882" s="5" t="s">
        <v>82</v>
      </c>
      <c r="AE882" s="5" t="s">
        <v>79</v>
      </c>
      <c r="AF882" s="10">
        <v>235000</v>
      </c>
      <c r="AG882" s="7">
        <v>48060</v>
      </c>
      <c r="AH882" s="10"/>
      <c r="AI882" s="10"/>
      <c r="AJ882" s="11" t="str">
        <f t="shared" si="13"/>
        <v/>
      </c>
      <c r="AK882" s="12">
        <f>IF(B882="","",OR(K882="Not in use",K882="Low use")+AND(N882&lt;&gt;"",N882&lt;&gt;"TBD")+AND(ISNUMBER(U882),U882&lt;=EDATE('Scoring Settings'!$B$4,'Scoring Settings'!$B$8))+AND(ISNUMBER(L882),L882&lt;='Scoring Settings'!$B$7))</f>
        <v>3</v>
      </c>
      <c r="AL882" s="5" t="s">
        <v>111</v>
      </c>
      <c r="AM882" s="8" t="str">
        <f>IF(B882="","",IF(Z882="N","Easy",IF(OR(AND(ISNUMBER(AB882),AB882&gt;'Scoring Settings'!$B$11),AND(ISNUMBER(W882),W882&gt;'Scoring Settings'!$B$12),AND(ISNUMBER(M882),M882&lt;='Scoring Settings'!$B$13)),"High","Medium")))</f>
        <v>High</v>
      </c>
      <c r="AN882" s="5"/>
      <c r="AO882" s="7"/>
      <c r="AP882" s="5" t="s">
        <v>98</v>
      </c>
      <c r="AQ882" s="29" t="s">
        <v>218</v>
      </c>
    </row>
    <row r="883" spans="1:43" hidden="1">
      <c r="A883" s="28">
        <v>100409</v>
      </c>
      <c r="B883" s="5" t="s">
        <v>1729</v>
      </c>
      <c r="C883" s="5" t="s">
        <v>333</v>
      </c>
      <c r="D883" s="5" t="s">
        <v>115</v>
      </c>
      <c r="E883" s="5" t="s">
        <v>68</v>
      </c>
      <c r="F883" s="5" t="s">
        <v>188</v>
      </c>
      <c r="G883" s="5" t="s">
        <v>284</v>
      </c>
      <c r="H883" s="5" t="s">
        <v>105</v>
      </c>
      <c r="I883" s="6">
        <v>167</v>
      </c>
      <c r="J883" s="7">
        <v>44279</v>
      </c>
      <c r="K883" s="8" t="str">
        <f>IF(B883="","",IF(AND(I883="",J883=""),"Unknown",IF(OR(AND(ISNUMBER(I883),I883=0),AND(ISNUMBER(J883),J883&lt;=EDATE('Scoring Settings'!$B$4,-'Scoring Settings'!$B$5))),"Not in use",IF(AND(ISNUMBER(I883),I883&lt;'Scoring Settings'!$B$6),"Low use","Active"))))</f>
        <v>Active</v>
      </c>
      <c r="L883" s="5">
        <v>5</v>
      </c>
      <c r="M883" s="5">
        <v>1</v>
      </c>
      <c r="N883" s="5"/>
      <c r="O883" s="5" t="s">
        <v>73</v>
      </c>
      <c r="P883" s="5" t="s">
        <v>1730</v>
      </c>
      <c r="Q883" s="9">
        <v>5</v>
      </c>
      <c r="R883" s="5" t="s">
        <v>182</v>
      </c>
      <c r="S883" s="5" t="s">
        <v>183</v>
      </c>
      <c r="T883" s="5" t="s">
        <v>109</v>
      </c>
      <c r="U883" s="7">
        <v>42855</v>
      </c>
      <c r="V883" s="5" t="s">
        <v>95</v>
      </c>
      <c r="W883" s="6">
        <v>11</v>
      </c>
      <c r="X883" s="5" t="s">
        <v>80</v>
      </c>
      <c r="Y883" s="9">
        <v>10</v>
      </c>
      <c r="Z883" s="5" t="s">
        <v>80</v>
      </c>
      <c r="AA883" s="5" t="s">
        <v>185</v>
      </c>
      <c r="AB883" s="9">
        <v>19</v>
      </c>
      <c r="AC883" s="5" t="s">
        <v>79</v>
      </c>
      <c r="AD883" s="5" t="s">
        <v>79</v>
      </c>
      <c r="AE883" s="5" t="s">
        <v>79</v>
      </c>
      <c r="AF883" s="10">
        <v>230000</v>
      </c>
      <c r="AG883" s="7">
        <v>47695</v>
      </c>
      <c r="AH883" s="10"/>
      <c r="AI883" s="10"/>
      <c r="AJ883" s="11" t="str">
        <f t="shared" si="13"/>
        <v/>
      </c>
      <c r="AK883" s="12">
        <f>IF(B883="","",OR(K883="Not in use",K883="Low use")+AND(N883&lt;&gt;"",N883&lt;&gt;"TBD")+AND(ISNUMBER(U883),U883&lt;=EDATE('Scoring Settings'!$B$4,'Scoring Settings'!$B$8))+AND(ISNUMBER(L883),L883&lt;='Scoring Settings'!$B$7))</f>
        <v>1</v>
      </c>
      <c r="AL883" s="5" t="s">
        <v>83</v>
      </c>
      <c r="AM883" s="8" t="str">
        <f>IF(B883="","",IF(Z883="N","Easy",IF(OR(AND(ISNUMBER(AB883),AB883&gt;'Scoring Settings'!$B$11),AND(ISNUMBER(W883),W883&gt;'Scoring Settings'!$B$12),AND(ISNUMBER(M883),M883&lt;='Scoring Settings'!$B$13)),"High","Medium")))</f>
        <v>High</v>
      </c>
      <c r="AN883" s="5"/>
      <c r="AO883" s="7"/>
      <c r="AP883" s="5" t="s">
        <v>84</v>
      </c>
      <c r="AQ883" s="29" t="s">
        <v>314</v>
      </c>
    </row>
    <row r="884" spans="1:43" hidden="1">
      <c r="A884" s="28">
        <v>63321</v>
      </c>
      <c r="B884" s="5" t="s">
        <v>1737</v>
      </c>
      <c r="C884" s="5" t="s">
        <v>220</v>
      </c>
      <c r="D884" s="5" t="s">
        <v>139</v>
      </c>
      <c r="E884" s="5" t="s">
        <v>68</v>
      </c>
      <c r="F884" s="5" t="s">
        <v>560</v>
      </c>
      <c r="G884" s="5" t="s">
        <v>210</v>
      </c>
      <c r="H884" s="5" t="s">
        <v>105</v>
      </c>
      <c r="I884" s="6">
        <v>307</v>
      </c>
      <c r="J884" s="7">
        <v>44282</v>
      </c>
      <c r="K884" s="8" t="str">
        <f>IF(B884="","",IF(AND(I884="",J884=""),"Unknown",IF(OR(AND(ISNUMBER(I884),I884=0),AND(ISNUMBER(J884),J884&lt;=EDATE('Scoring Settings'!$B$4,-'Scoring Settings'!$B$5))),"Not in use",IF(AND(ISNUMBER(I884),I884&lt;'Scoring Settings'!$B$6),"Low use","Active"))))</f>
        <v>Active</v>
      </c>
      <c r="L884" s="5">
        <v>5</v>
      </c>
      <c r="M884" s="5">
        <v>1</v>
      </c>
      <c r="N884" s="5"/>
      <c r="O884" s="5" t="s">
        <v>73</v>
      </c>
      <c r="P884" s="5" t="s">
        <v>1738</v>
      </c>
      <c r="Q884" s="9">
        <v>2</v>
      </c>
      <c r="R884" s="5" t="s">
        <v>245</v>
      </c>
      <c r="S884" s="5" t="s">
        <v>246</v>
      </c>
      <c r="T884" s="5" t="s">
        <v>77</v>
      </c>
      <c r="U884" s="7">
        <v>45777</v>
      </c>
      <c r="V884" s="5" t="s">
        <v>135</v>
      </c>
      <c r="W884" s="6">
        <v>1770</v>
      </c>
      <c r="X884" s="5" t="s">
        <v>79</v>
      </c>
      <c r="Y884" s="9">
        <v>2</v>
      </c>
      <c r="Z884" s="5" t="s">
        <v>80</v>
      </c>
      <c r="AA884" s="5" t="s">
        <v>185</v>
      </c>
      <c r="AB884" s="9">
        <v>18</v>
      </c>
      <c r="AC884" s="5" t="s">
        <v>80</v>
      </c>
      <c r="AD884" s="5" t="s">
        <v>82</v>
      </c>
      <c r="AE884" s="5" t="s">
        <v>79</v>
      </c>
      <c r="AF884" s="10">
        <v>100000</v>
      </c>
      <c r="AG884" s="7">
        <v>49034</v>
      </c>
      <c r="AH884" s="10"/>
      <c r="AI884" s="10"/>
      <c r="AJ884" s="11" t="str">
        <f t="shared" si="13"/>
        <v/>
      </c>
      <c r="AK884" s="12">
        <f>IF(B884="","",OR(K884="Not in use",K884="Low use")+AND(N884&lt;&gt;"",N884&lt;&gt;"TBD")+AND(ISNUMBER(U884),U884&lt;=EDATE('Scoring Settings'!$B$4,'Scoring Settings'!$B$8))+AND(ISNUMBER(L884),L884&lt;='Scoring Settings'!$B$7))</f>
        <v>0</v>
      </c>
      <c r="AL884" s="5" t="s">
        <v>83</v>
      </c>
      <c r="AM884" s="8" t="str">
        <f>IF(B884="","",IF(Z884="N","Easy",IF(OR(AND(ISNUMBER(AB884),AB884&gt;'Scoring Settings'!$B$11),AND(ISNUMBER(W884),W884&gt;'Scoring Settings'!$B$12),AND(ISNUMBER(M884),M884&lt;='Scoring Settings'!$B$13)),"High","Medium")))</f>
        <v>High</v>
      </c>
      <c r="AN884" s="5"/>
      <c r="AO884" s="7"/>
      <c r="AP884" s="5" t="s">
        <v>84</v>
      </c>
      <c r="AQ884" s="29" t="s">
        <v>247</v>
      </c>
    </row>
    <row r="885" spans="1:43" hidden="1">
      <c r="A885" s="28">
        <v>120801</v>
      </c>
      <c r="B885" s="5" t="s">
        <v>1742</v>
      </c>
      <c r="C885" s="5" t="s">
        <v>343</v>
      </c>
      <c r="D885" s="5" t="s">
        <v>102</v>
      </c>
      <c r="E885" s="5" t="s">
        <v>68</v>
      </c>
      <c r="F885" s="5" t="s">
        <v>476</v>
      </c>
      <c r="G885" s="5" t="s">
        <v>210</v>
      </c>
      <c r="H885" s="5" t="s">
        <v>142</v>
      </c>
      <c r="I885" s="6">
        <v>43</v>
      </c>
      <c r="J885" s="7">
        <v>44308</v>
      </c>
      <c r="K885" s="8" t="str">
        <f>IF(B885="","",IF(AND(I885="",J885=""),"Unknown",IF(OR(AND(ISNUMBER(I885),I885=0),AND(ISNUMBER(J885),J885&lt;=EDATE('Scoring Settings'!$B$4,-'Scoring Settings'!$B$5))),"Not in use",IF(AND(ISNUMBER(I885),I885&lt;'Scoring Settings'!$B$6),"Low use","Active"))))</f>
        <v>Active</v>
      </c>
      <c r="L885" s="5">
        <v>5</v>
      </c>
      <c r="M885" s="5">
        <v>1</v>
      </c>
      <c r="N885" s="5"/>
      <c r="O885" s="5" t="s">
        <v>143</v>
      </c>
      <c r="P885" s="5" t="s">
        <v>144</v>
      </c>
      <c r="Q885" s="9">
        <v>0</v>
      </c>
      <c r="R885" s="5" t="s">
        <v>145</v>
      </c>
      <c r="S885" s="5" t="s">
        <v>145</v>
      </c>
      <c r="T885" s="5" t="s">
        <v>146</v>
      </c>
      <c r="U885" s="7"/>
      <c r="V885" s="5" t="s">
        <v>135</v>
      </c>
      <c r="W885" s="6">
        <v>31</v>
      </c>
      <c r="X885" s="5" t="s">
        <v>80</v>
      </c>
      <c r="Y885" s="9">
        <v>7</v>
      </c>
      <c r="Z885" s="5" t="s">
        <v>80</v>
      </c>
      <c r="AA885" s="5" t="s">
        <v>81</v>
      </c>
      <c r="AB885" s="9">
        <v>79</v>
      </c>
      <c r="AC885" s="5" t="s">
        <v>79</v>
      </c>
      <c r="AD885" s="5" t="s">
        <v>80</v>
      </c>
      <c r="AE885" s="5" t="s">
        <v>82</v>
      </c>
      <c r="AF885" s="10">
        <v>420000</v>
      </c>
      <c r="AG885" s="7">
        <v>48304</v>
      </c>
      <c r="AH885" s="10"/>
      <c r="AI885" s="10"/>
      <c r="AJ885" s="11" t="str">
        <f t="shared" si="13"/>
        <v/>
      </c>
      <c r="AK885" s="12">
        <f>IF(B885="","",OR(K885="Not in use",K885="Low use")+AND(N885&lt;&gt;"",N885&lt;&gt;"TBD")+AND(ISNUMBER(U885),U885&lt;=EDATE('Scoring Settings'!$B$4,'Scoring Settings'!$B$8))+AND(ISNUMBER(L885),L885&lt;='Scoring Settings'!$B$7))</f>
        <v>0</v>
      </c>
      <c r="AL885" s="5" t="s">
        <v>83</v>
      </c>
      <c r="AM885" s="8" t="str">
        <f>IF(B885="","",IF(Z885="N","Easy",IF(OR(AND(ISNUMBER(AB885),AB885&gt;'Scoring Settings'!$B$11),AND(ISNUMBER(W885),W885&gt;'Scoring Settings'!$B$12),AND(ISNUMBER(M885),M885&lt;='Scoring Settings'!$B$13)),"High","Medium")))</f>
        <v>High</v>
      </c>
      <c r="AN885" s="5"/>
      <c r="AO885" s="7"/>
      <c r="AP885" s="5" t="s">
        <v>84</v>
      </c>
      <c r="AQ885" s="29" t="s">
        <v>85</v>
      </c>
    </row>
    <row r="886" spans="1:43" hidden="1">
      <c r="A886" s="28">
        <v>81285</v>
      </c>
      <c r="B886" s="5" t="s">
        <v>1745</v>
      </c>
      <c r="C886" s="5" t="s">
        <v>296</v>
      </c>
      <c r="D886" s="5" t="s">
        <v>297</v>
      </c>
      <c r="E886" s="5" t="s">
        <v>68</v>
      </c>
      <c r="F886" s="5" t="s">
        <v>201</v>
      </c>
      <c r="G886" s="5" t="s">
        <v>267</v>
      </c>
      <c r="H886" s="5" t="s">
        <v>142</v>
      </c>
      <c r="I886" s="6">
        <v>27</v>
      </c>
      <c r="J886" s="7">
        <v>44305</v>
      </c>
      <c r="K886" s="8" t="str">
        <f>IF(B886="","",IF(AND(I886="",J886=""),"Unknown",IF(OR(AND(ISNUMBER(I886),I886=0),AND(ISNUMBER(J886),J886&lt;=EDATE('Scoring Settings'!$B$4,-'Scoring Settings'!$B$5))),"Not in use",IF(AND(ISNUMBER(I886),I886&lt;'Scoring Settings'!$B$6),"Low use","Active"))))</f>
        <v>Active</v>
      </c>
      <c r="L886" s="5">
        <v>4</v>
      </c>
      <c r="M886" s="5">
        <v>3</v>
      </c>
      <c r="N886" s="5"/>
      <c r="O886" s="5" t="s">
        <v>143</v>
      </c>
      <c r="P886" s="5" t="s">
        <v>144</v>
      </c>
      <c r="Q886" s="9">
        <v>0</v>
      </c>
      <c r="R886" s="5" t="s">
        <v>145</v>
      </c>
      <c r="S886" s="5" t="s">
        <v>145</v>
      </c>
      <c r="T886" s="5" t="s">
        <v>146</v>
      </c>
      <c r="U886" s="7">
        <v>45322</v>
      </c>
      <c r="V886" s="5" t="s">
        <v>135</v>
      </c>
      <c r="W886" s="6">
        <v>37</v>
      </c>
      <c r="X886" s="5" t="s">
        <v>80</v>
      </c>
      <c r="Y886" s="9">
        <v>7</v>
      </c>
      <c r="Z886" s="5" t="s">
        <v>79</v>
      </c>
      <c r="AA886" s="5" t="s">
        <v>110</v>
      </c>
      <c r="AB886" s="9">
        <v>8</v>
      </c>
      <c r="AC886" s="5" t="s">
        <v>79</v>
      </c>
      <c r="AD886" s="5" t="s">
        <v>82</v>
      </c>
      <c r="AE886" s="5" t="s">
        <v>82</v>
      </c>
      <c r="AF886" s="10">
        <v>115000</v>
      </c>
      <c r="AG886" s="7">
        <v>48548</v>
      </c>
      <c r="AH886" s="10"/>
      <c r="AI886" s="10"/>
      <c r="AJ886" s="11" t="str">
        <f t="shared" si="13"/>
        <v/>
      </c>
      <c r="AK886" s="12">
        <f>IF(B886="","",OR(K886="Not in use",K886="Low use")+AND(N886&lt;&gt;"",N886&lt;&gt;"TBD")+AND(ISNUMBER(U886),U886&lt;=EDATE('Scoring Settings'!$B$4,'Scoring Settings'!$B$8))+AND(ISNUMBER(L886),L886&lt;='Scoring Settings'!$B$7))</f>
        <v>0</v>
      </c>
      <c r="AL886" s="5" t="s">
        <v>83</v>
      </c>
      <c r="AM886" s="8" t="str">
        <f>IF(B886="","",IF(Z886="N","Easy",IF(OR(AND(ISNUMBER(AB886),AB886&gt;'Scoring Settings'!$B$11),AND(ISNUMBER(W886),W886&gt;'Scoring Settings'!$B$12),AND(ISNUMBER(M886),M886&lt;='Scoring Settings'!$B$13)),"High","Medium")))</f>
        <v>Easy</v>
      </c>
      <c r="AN886" s="5"/>
      <c r="AO886" s="7"/>
      <c r="AP886" s="5" t="s">
        <v>84</v>
      </c>
      <c r="AQ886" s="29" t="s">
        <v>85</v>
      </c>
    </row>
    <row r="887" spans="1:43" hidden="1">
      <c r="A887" s="28">
        <v>16196</v>
      </c>
      <c r="B887" s="5" t="s">
        <v>1749</v>
      </c>
      <c r="C887" s="5" t="s">
        <v>230</v>
      </c>
      <c r="D887" s="5" t="s">
        <v>115</v>
      </c>
      <c r="E887" s="5" t="s">
        <v>68</v>
      </c>
      <c r="F887" s="5" t="s">
        <v>396</v>
      </c>
      <c r="G887" s="5" t="s">
        <v>128</v>
      </c>
      <c r="H887" s="5" t="s">
        <v>174</v>
      </c>
      <c r="I887" s="6">
        <v>102</v>
      </c>
      <c r="J887" s="7">
        <v>44288</v>
      </c>
      <c r="K887" s="8" t="str">
        <f>IF(B887="","",IF(AND(I887="",J887=""),"Unknown",IF(OR(AND(ISNUMBER(I887),I887=0),AND(ISNUMBER(J887),J887&lt;=EDATE('Scoring Settings'!$B$4,-'Scoring Settings'!$B$5))),"Not in use",IF(AND(ISNUMBER(I887),I887&lt;'Scoring Settings'!$B$6),"Low use","Active"))))</f>
        <v>Active</v>
      </c>
      <c r="L887" s="5">
        <v>5</v>
      </c>
      <c r="M887" s="5">
        <v>1</v>
      </c>
      <c r="N887" s="5"/>
      <c r="O887" s="5" t="s">
        <v>73</v>
      </c>
      <c r="P887" s="5" t="s">
        <v>1620</v>
      </c>
      <c r="Q887" s="9">
        <v>2</v>
      </c>
      <c r="R887" s="5" t="s">
        <v>335</v>
      </c>
      <c r="S887" s="5" t="s">
        <v>336</v>
      </c>
      <c r="T887" s="5" t="s">
        <v>122</v>
      </c>
      <c r="U887" s="7">
        <v>45473</v>
      </c>
      <c r="V887" s="5" t="s">
        <v>135</v>
      </c>
      <c r="W887" s="6">
        <v>1100</v>
      </c>
      <c r="X887" s="5" t="s">
        <v>79</v>
      </c>
      <c r="Y887" s="9">
        <v>1</v>
      </c>
      <c r="Z887" s="5" t="s">
        <v>80</v>
      </c>
      <c r="AA887" s="5" t="s">
        <v>147</v>
      </c>
      <c r="AB887" s="9">
        <v>86</v>
      </c>
      <c r="AC887" s="5" t="s">
        <v>79</v>
      </c>
      <c r="AD887" s="5" t="s">
        <v>79</v>
      </c>
      <c r="AE887" s="5" t="s">
        <v>80</v>
      </c>
      <c r="AF887" s="10">
        <v>75000</v>
      </c>
      <c r="AG887" s="7">
        <v>47695</v>
      </c>
      <c r="AH887" s="10"/>
      <c r="AI887" s="10"/>
      <c r="AJ887" s="11" t="str">
        <f t="shared" si="13"/>
        <v/>
      </c>
      <c r="AK887" s="12">
        <f>IF(B887="","",OR(K887="Not in use",K887="Low use")+AND(N887&lt;&gt;"",N887&lt;&gt;"TBD")+AND(ISNUMBER(U887),U887&lt;=EDATE('Scoring Settings'!$B$4,'Scoring Settings'!$B$8))+AND(ISNUMBER(L887),L887&lt;='Scoring Settings'!$B$7))</f>
        <v>0</v>
      </c>
      <c r="AL887" s="5" t="s">
        <v>111</v>
      </c>
      <c r="AM887" s="8" t="str">
        <f>IF(B887="","",IF(Z887="N","Easy",IF(OR(AND(ISNUMBER(AB887),AB887&gt;'Scoring Settings'!$B$11),AND(ISNUMBER(W887),W887&gt;'Scoring Settings'!$B$12),AND(ISNUMBER(M887),M887&lt;='Scoring Settings'!$B$13)),"High","Medium")))</f>
        <v>High</v>
      </c>
      <c r="AN887" s="5"/>
      <c r="AO887" s="7"/>
      <c r="AP887" s="5" t="s">
        <v>98</v>
      </c>
      <c r="AQ887" s="29" t="s">
        <v>218</v>
      </c>
    </row>
    <row r="888" spans="1:43" hidden="1">
      <c r="A888" s="28">
        <v>167840</v>
      </c>
      <c r="B888" s="5" t="s">
        <v>1753</v>
      </c>
      <c r="C888" s="5" t="s">
        <v>395</v>
      </c>
      <c r="D888" s="5" t="s">
        <v>88</v>
      </c>
      <c r="E888" s="5" t="s">
        <v>68</v>
      </c>
      <c r="F888" s="5" t="s">
        <v>178</v>
      </c>
      <c r="G888" s="5" t="s">
        <v>221</v>
      </c>
      <c r="H888" s="5" t="s">
        <v>118</v>
      </c>
      <c r="I888" s="6">
        <v>42</v>
      </c>
      <c r="J888" s="7">
        <v>44285</v>
      </c>
      <c r="K888" s="8" t="str">
        <f>IF(B888="","",IF(AND(I888="",J888=""),"Unknown",IF(OR(AND(ISNUMBER(I888),I888=0),AND(ISNUMBER(J888),J888&lt;=EDATE('Scoring Settings'!$B$4,-'Scoring Settings'!$B$5))),"Not in use",IF(AND(ISNUMBER(I888),I888&lt;'Scoring Settings'!$B$6),"Low use","Active"))))</f>
        <v>Active</v>
      </c>
      <c r="L888" s="5">
        <v>4</v>
      </c>
      <c r="M888" s="5">
        <v>3</v>
      </c>
      <c r="N888" s="5"/>
      <c r="O888" s="5" t="s">
        <v>73</v>
      </c>
      <c r="P888" s="5" t="s">
        <v>1754</v>
      </c>
      <c r="Q888" s="9">
        <v>2</v>
      </c>
      <c r="R888" s="5" t="s">
        <v>75</v>
      </c>
      <c r="S888" s="5" t="s">
        <v>76</v>
      </c>
      <c r="T888" s="5" t="s">
        <v>77</v>
      </c>
      <c r="U888" s="7">
        <v>46399</v>
      </c>
      <c r="V888" s="5" t="s">
        <v>135</v>
      </c>
      <c r="W888" s="6">
        <v>120</v>
      </c>
      <c r="X888" s="5" t="s">
        <v>79</v>
      </c>
      <c r="Y888" s="9">
        <v>3</v>
      </c>
      <c r="Z888" s="5" t="s">
        <v>79</v>
      </c>
      <c r="AA888" s="5" t="s">
        <v>110</v>
      </c>
      <c r="AB888" s="9">
        <v>1</v>
      </c>
      <c r="AC888" s="5" t="s">
        <v>79</v>
      </c>
      <c r="AD888" s="5" t="s">
        <v>82</v>
      </c>
      <c r="AE888" s="5" t="s">
        <v>80</v>
      </c>
      <c r="AF888" s="10">
        <v>50000</v>
      </c>
      <c r="AG888" s="7">
        <v>46599</v>
      </c>
      <c r="AH888" s="10"/>
      <c r="AI888" s="10"/>
      <c r="AJ888" s="11" t="str">
        <f t="shared" si="13"/>
        <v/>
      </c>
      <c r="AK888" s="12">
        <f>IF(B888="","",OR(K888="Not in use",K888="Low use")+AND(N888&lt;&gt;"",N888&lt;&gt;"TBD")+AND(ISNUMBER(U888),U888&lt;=EDATE('Scoring Settings'!$B$4,'Scoring Settings'!$B$8))+AND(ISNUMBER(L888),L888&lt;='Scoring Settings'!$B$7))</f>
        <v>0</v>
      </c>
      <c r="AL888" s="5" t="s">
        <v>83</v>
      </c>
      <c r="AM888" s="8" t="str">
        <f>IF(B888="","",IF(Z888="N","Easy",IF(OR(AND(ISNUMBER(AB888),AB888&gt;'Scoring Settings'!$B$11),AND(ISNUMBER(W888),W888&gt;'Scoring Settings'!$B$12),AND(ISNUMBER(M888),M888&lt;='Scoring Settings'!$B$13)),"High","Medium")))</f>
        <v>Easy</v>
      </c>
      <c r="AN888" s="5"/>
      <c r="AO888" s="7"/>
      <c r="AP888" s="5" t="s">
        <v>84</v>
      </c>
      <c r="AQ888" s="29" t="s">
        <v>247</v>
      </c>
    </row>
    <row r="889" spans="1:43" hidden="1">
      <c r="A889" s="28">
        <v>159722</v>
      </c>
      <c r="B889" s="5" t="s">
        <v>1760</v>
      </c>
      <c r="C889" s="5" t="s">
        <v>470</v>
      </c>
      <c r="D889" s="5" t="s">
        <v>297</v>
      </c>
      <c r="E889" s="5" t="s">
        <v>68</v>
      </c>
      <c r="F889" s="5" t="s">
        <v>127</v>
      </c>
      <c r="G889" s="5" t="s">
        <v>117</v>
      </c>
      <c r="H889" s="5" t="s">
        <v>91</v>
      </c>
      <c r="I889" s="6">
        <v>535</v>
      </c>
      <c r="J889" s="7">
        <v>44283</v>
      </c>
      <c r="K889" s="8" t="str">
        <f>IF(B889="","",IF(AND(I889="",J889=""),"Unknown",IF(OR(AND(ISNUMBER(I889),I889=0),AND(ISNUMBER(J889),J889&lt;=EDATE('Scoring Settings'!$B$4,-'Scoring Settings'!$B$5))),"Not in use",IF(AND(ISNUMBER(I889),I889&lt;'Scoring Settings'!$B$6),"Low use","Active"))))</f>
        <v>Active</v>
      </c>
      <c r="L889" s="5">
        <v>3</v>
      </c>
      <c r="M889" s="5">
        <v>4</v>
      </c>
      <c r="N889" s="5" t="s">
        <v>306</v>
      </c>
      <c r="O889" s="5" t="s">
        <v>73</v>
      </c>
      <c r="P889" s="5" t="s">
        <v>1761</v>
      </c>
      <c r="Q889" s="9">
        <v>3</v>
      </c>
      <c r="R889" s="5" t="s">
        <v>203</v>
      </c>
      <c r="S889" s="5" t="s">
        <v>508</v>
      </c>
      <c r="T889" s="5" t="s">
        <v>109</v>
      </c>
      <c r="U889" s="7">
        <v>47269</v>
      </c>
      <c r="V889" s="5" t="s">
        <v>135</v>
      </c>
      <c r="W889" s="6">
        <v>70</v>
      </c>
      <c r="X889" s="5" t="s">
        <v>80</v>
      </c>
      <c r="Y889" s="9">
        <v>5</v>
      </c>
      <c r="Z889" s="5" t="s">
        <v>80</v>
      </c>
      <c r="AA889" s="5" t="s">
        <v>123</v>
      </c>
      <c r="AB889" s="9">
        <v>0</v>
      </c>
      <c r="AC889" s="5" t="s">
        <v>80</v>
      </c>
      <c r="AD889" s="5" t="s">
        <v>82</v>
      </c>
      <c r="AE889" s="5" t="s">
        <v>82</v>
      </c>
      <c r="AF889" s="10">
        <v>55000</v>
      </c>
      <c r="AG889" s="7">
        <v>46752</v>
      </c>
      <c r="AH889" s="10">
        <v>66000</v>
      </c>
      <c r="AI889" s="10">
        <v>53000</v>
      </c>
      <c r="AJ889" s="11">
        <f t="shared" si="13"/>
        <v>14.943396226415093</v>
      </c>
      <c r="AK889" s="12">
        <f>IF(B889="","",OR(K889="Not in use",K889="Low use")+AND(N889&lt;&gt;"",N889&lt;&gt;"TBD")+AND(ISNUMBER(U889),U889&lt;=EDATE('Scoring Settings'!$B$4,'Scoring Settings'!$B$8))+AND(ISNUMBER(L889),L889&lt;='Scoring Settings'!$B$7))</f>
        <v>1</v>
      </c>
      <c r="AL889" s="5" t="s">
        <v>111</v>
      </c>
      <c r="AM889" s="8" t="str">
        <f>IF(B889="","",IF(Z889="N","Easy",IF(OR(AND(ISNUMBER(AB889),AB889&gt;'Scoring Settings'!$B$11),AND(ISNUMBER(W889),W889&gt;'Scoring Settings'!$B$12),AND(ISNUMBER(M889),M889&lt;='Scoring Settings'!$B$13)),"High","Medium")))</f>
        <v>Medium</v>
      </c>
      <c r="AN889" s="5"/>
      <c r="AO889" s="7"/>
      <c r="AP889" s="5" t="s">
        <v>98</v>
      </c>
      <c r="AQ889" s="29" t="s">
        <v>124</v>
      </c>
    </row>
    <row r="890" spans="1:43" hidden="1">
      <c r="A890" s="28">
        <v>147492</v>
      </c>
      <c r="B890" s="5" t="s">
        <v>1763</v>
      </c>
      <c r="C890" s="5" t="s">
        <v>265</v>
      </c>
      <c r="D890" s="5" t="s">
        <v>102</v>
      </c>
      <c r="E890" s="5" t="s">
        <v>311</v>
      </c>
      <c r="F890" s="5" t="s">
        <v>560</v>
      </c>
      <c r="G890" s="5" t="s">
        <v>284</v>
      </c>
      <c r="H890" s="5" t="s">
        <v>71</v>
      </c>
      <c r="I890" s="6">
        <v>695</v>
      </c>
      <c r="J890" s="7">
        <v>44298</v>
      </c>
      <c r="K890" s="8" t="str">
        <f>IF(B890="","",IF(AND(I890="",J890=""),"Unknown",IF(OR(AND(ISNUMBER(I890),I890=0),AND(ISNUMBER(J890),J890&lt;=EDATE('Scoring Settings'!$B$4,-'Scoring Settings'!$B$5))),"Not in use",IF(AND(ISNUMBER(I890),I890&lt;'Scoring Settings'!$B$6),"Low use","Active"))))</f>
        <v>Active</v>
      </c>
      <c r="L890" s="5">
        <v>4</v>
      </c>
      <c r="M890" s="5">
        <v>3</v>
      </c>
      <c r="N890" s="5"/>
      <c r="O890" s="5" t="s">
        <v>73</v>
      </c>
      <c r="P890" s="5" t="s">
        <v>1764</v>
      </c>
      <c r="Q890" s="9">
        <v>4</v>
      </c>
      <c r="R890" s="5" t="s">
        <v>330</v>
      </c>
      <c r="S890" s="5" t="s">
        <v>331</v>
      </c>
      <c r="T890" s="5" t="s">
        <v>72</v>
      </c>
      <c r="U890" s="7">
        <v>45046</v>
      </c>
      <c r="V890" s="5" t="s">
        <v>135</v>
      </c>
      <c r="W890" s="6">
        <v>540</v>
      </c>
      <c r="X890" s="5" t="s">
        <v>80</v>
      </c>
      <c r="Y890" s="9">
        <v>7</v>
      </c>
      <c r="Z890" s="5" t="s">
        <v>80</v>
      </c>
      <c r="AA890" s="5" t="s">
        <v>81</v>
      </c>
      <c r="AB890" s="9">
        <v>6</v>
      </c>
      <c r="AC890" s="5" t="s">
        <v>79</v>
      </c>
      <c r="AD890" s="5" t="s">
        <v>82</v>
      </c>
      <c r="AE890" s="5" t="s">
        <v>82</v>
      </c>
      <c r="AF890" s="10">
        <v>41000</v>
      </c>
      <c r="AG890" s="7">
        <v>48638</v>
      </c>
      <c r="AH890" s="10"/>
      <c r="AI890" s="10"/>
      <c r="AJ890" s="11" t="str">
        <f t="shared" si="13"/>
        <v/>
      </c>
      <c r="AK890" s="12">
        <f>IF(B890="","",OR(K890="Not in use",K890="Low use")+AND(N890&lt;&gt;"",N890&lt;&gt;"TBD")+AND(ISNUMBER(U890),U890&lt;=EDATE('Scoring Settings'!$B$4,'Scoring Settings'!$B$8))+AND(ISNUMBER(L890),L890&lt;='Scoring Settings'!$B$7))</f>
        <v>0</v>
      </c>
      <c r="AL890" s="5" t="s">
        <v>83</v>
      </c>
      <c r="AM890" s="8" t="str">
        <f>IF(B890="","",IF(Z890="N","Easy",IF(OR(AND(ISNUMBER(AB890),AB890&gt;'Scoring Settings'!$B$11),AND(ISNUMBER(W890),W890&gt;'Scoring Settings'!$B$12),AND(ISNUMBER(M890),M890&lt;='Scoring Settings'!$B$13)),"High","Medium")))</f>
        <v>High</v>
      </c>
      <c r="AN890" s="5"/>
      <c r="AO890" s="7"/>
      <c r="AP890" s="5" t="s">
        <v>84</v>
      </c>
      <c r="AQ890" s="29" t="s">
        <v>85</v>
      </c>
    </row>
    <row r="891" spans="1:43" hidden="1">
      <c r="A891" s="28">
        <v>114299</v>
      </c>
      <c r="B891" s="5" t="s">
        <v>1765</v>
      </c>
      <c r="C891" s="5" t="s">
        <v>464</v>
      </c>
      <c r="D891" s="5" t="s">
        <v>88</v>
      </c>
      <c r="E891" s="5" t="s">
        <v>68</v>
      </c>
      <c r="F891" s="5" t="s">
        <v>312</v>
      </c>
      <c r="G891" s="5" t="s">
        <v>90</v>
      </c>
      <c r="H891" s="5" t="s">
        <v>91</v>
      </c>
      <c r="I891" s="6">
        <v>20</v>
      </c>
      <c r="J891" s="7">
        <v>44183</v>
      </c>
      <c r="K891" s="8" t="str">
        <f>IF(B891="","",IF(AND(I891="",J891=""),"Unknown",IF(OR(AND(ISNUMBER(I891),I891=0),AND(ISNUMBER(J891),J891&lt;=EDATE('Scoring Settings'!$B$4,-'Scoring Settings'!$B$5))),"Not in use",IF(AND(ISNUMBER(I891),I891&lt;'Scoring Settings'!$B$6),"Low use","Active"))))</f>
        <v>Low use</v>
      </c>
      <c r="L891" s="5">
        <v>3</v>
      </c>
      <c r="M891" s="5">
        <v>3</v>
      </c>
      <c r="N891" s="5"/>
      <c r="O891" s="5" t="s">
        <v>130</v>
      </c>
      <c r="P891" s="5" t="s">
        <v>676</v>
      </c>
      <c r="Q891" s="9">
        <v>1</v>
      </c>
      <c r="R891" s="5" t="s">
        <v>93</v>
      </c>
      <c r="S891" s="5" t="s">
        <v>94</v>
      </c>
      <c r="T891" s="5" t="s">
        <v>195</v>
      </c>
      <c r="U891" s="7">
        <v>44561</v>
      </c>
      <c r="V891" s="5" t="s">
        <v>135</v>
      </c>
      <c r="W891" s="6">
        <v>18</v>
      </c>
      <c r="X891" s="5" t="s">
        <v>80</v>
      </c>
      <c r="Y891" s="9">
        <v>10</v>
      </c>
      <c r="Z891" s="5" t="s">
        <v>79</v>
      </c>
      <c r="AA891" s="5" t="s">
        <v>110</v>
      </c>
      <c r="AB891" s="9">
        <v>1</v>
      </c>
      <c r="AC891" s="5" t="s">
        <v>82</v>
      </c>
      <c r="AD891" s="5" t="s">
        <v>79</v>
      </c>
      <c r="AE891" s="5" t="s">
        <v>79</v>
      </c>
      <c r="AF891" s="10">
        <v>7500</v>
      </c>
      <c r="AG891" s="7">
        <v>47269</v>
      </c>
      <c r="AH891" s="10">
        <v>9500</v>
      </c>
      <c r="AI891" s="10">
        <v>6000</v>
      </c>
      <c r="AJ891" s="11">
        <f t="shared" si="13"/>
        <v>19</v>
      </c>
      <c r="AK891" s="12">
        <f>IF(B891="","",OR(K891="Not in use",K891="Low use")+AND(N891&lt;&gt;"",N891&lt;&gt;"TBD")+AND(ISNUMBER(U891),U891&lt;=EDATE('Scoring Settings'!$B$4,'Scoring Settings'!$B$8))+AND(ISNUMBER(L891),L891&lt;='Scoring Settings'!$B$7))</f>
        <v>2</v>
      </c>
      <c r="AL891" s="5" t="s">
        <v>111</v>
      </c>
      <c r="AM891" s="8" t="str">
        <f>IF(B891="","",IF(Z891="N","Easy",IF(OR(AND(ISNUMBER(AB891),AB891&gt;'Scoring Settings'!$B$11),AND(ISNUMBER(W891),W891&gt;'Scoring Settings'!$B$12),AND(ISNUMBER(M891),M891&lt;='Scoring Settings'!$B$13)),"High","Medium")))</f>
        <v>Easy</v>
      </c>
      <c r="AN891" s="5"/>
      <c r="AO891" s="7"/>
      <c r="AP891" s="5" t="s">
        <v>98</v>
      </c>
      <c r="AQ891" s="29" t="s">
        <v>159</v>
      </c>
    </row>
    <row r="892" spans="1:43" hidden="1">
      <c r="A892" s="28">
        <v>64037</v>
      </c>
      <c r="B892" s="5" t="s">
        <v>1767</v>
      </c>
      <c r="C892" s="5" t="s">
        <v>667</v>
      </c>
      <c r="D892" s="5" t="s">
        <v>115</v>
      </c>
      <c r="E892" s="5" t="s">
        <v>68</v>
      </c>
      <c r="F892" s="5" t="s">
        <v>243</v>
      </c>
      <c r="G892" s="5" t="s">
        <v>141</v>
      </c>
      <c r="H892" s="5" t="s">
        <v>142</v>
      </c>
      <c r="I892" s="6">
        <v>671</v>
      </c>
      <c r="J892" s="7">
        <v>44314</v>
      </c>
      <c r="K892" s="8" t="str">
        <f>IF(B892="","",IF(AND(I892="",J892=""),"Unknown",IF(OR(AND(ISNUMBER(I892),I892=0),AND(ISNUMBER(J892),J892&lt;=EDATE('Scoring Settings'!$B$4,-'Scoring Settings'!$B$5))),"Not in use",IF(AND(ISNUMBER(I892),I892&lt;'Scoring Settings'!$B$6),"Low use","Active"))))</f>
        <v>Active</v>
      </c>
      <c r="L892" s="5">
        <v>4</v>
      </c>
      <c r="M892" s="5">
        <v>2</v>
      </c>
      <c r="N892" s="5"/>
      <c r="O892" s="5" t="s">
        <v>143</v>
      </c>
      <c r="P892" s="5" t="s">
        <v>144</v>
      </c>
      <c r="Q892" s="9">
        <v>0</v>
      </c>
      <c r="R892" s="5" t="s">
        <v>145</v>
      </c>
      <c r="S892" s="5" t="s">
        <v>145</v>
      </c>
      <c r="T892" s="5" t="s">
        <v>146</v>
      </c>
      <c r="U892" s="7">
        <v>46326</v>
      </c>
      <c r="V892" s="5" t="s">
        <v>135</v>
      </c>
      <c r="W892" s="6">
        <v>110</v>
      </c>
      <c r="X892" s="5" t="s">
        <v>80</v>
      </c>
      <c r="Y892" s="9">
        <v>7</v>
      </c>
      <c r="Z892" s="5" t="s">
        <v>80</v>
      </c>
      <c r="AA892" s="5" t="s">
        <v>81</v>
      </c>
      <c r="AB892" s="9">
        <v>19</v>
      </c>
      <c r="AC892" s="5" t="s">
        <v>82</v>
      </c>
      <c r="AD892" s="5" t="s">
        <v>79</v>
      </c>
      <c r="AE892" s="5" t="s">
        <v>80</v>
      </c>
      <c r="AF892" s="10">
        <v>220000</v>
      </c>
      <c r="AG892" s="7">
        <v>46234</v>
      </c>
      <c r="AH892" s="10"/>
      <c r="AI892" s="10"/>
      <c r="AJ892" s="11" t="str">
        <f t="shared" si="13"/>
        <v/>
      </c>
      <c r="AK892" s="12">
        <f>IF(B892="","",OR(K892="Not in use",K892="Low use")+AND(N892&lt;&gt;"",N892&lt;&gt;"TBD")+AND(ISNUMBER(U892),U892&lt;=EDATE('Scoring Settings'!$B$4,'Scoring Settings'!$B$8))+AND(ISNUMBER(L892),L892&lt;='Scoring Settings'!$B$7))</f>
        <v>0</v>
      </c>
      <c r="AL892" s="5" t="s">
        <v>83</v>
      </c>
      <c r="AM892" s="8" t="str">
        <f>IF(B892="","",IF(Z892="N","Easy",IF(OR(AND(ISNUMBER(AB892),AB892&gt;'Scoring Settings'!$B$11),AND(ISNUMBER(W892),W892&gt;'Scoring Settings'!$B$12),AND(ISNUMBER(M892),M892&lt;='Scoring Settings'!$B$13)),"High","Medium")))</f>
        <v>High</v>
      </c>
      <c r="AN892" s="5"/>
      <c r="AO892" s="7"/>
      <c r="AP892" s="5" t="s">
        <v>84</v>
      </c>
      <c r="AQ892" s="29" t="s">
        <v>206</v>
      </c>
    </row>
    <row r="893" spans="1:43" hidden="1">
      <c r="A893" s="28">
        <v>16044</v>
      </c>
      <c r="B893" s="5" t="s">
        <v>1772</v>
      </c>
      <c r="C893" s="5" t="s">
        <v>634</v>
      </c>
      <c r="D893" s="5" t="s">
        <v>297</v>
      </c>
      <c r="E893" s="5" t="s">
        <v>68</v>
      </c>
      <c r="F893" s="5" t="s">
        <v>419</v>
      </c>
      <c r="G893" s="5" t="s">
        <v>153</v>
      </c>
      <c r="H893" s="5" t="s">
        <v>129</v>
      </c>
      <c r="I893" s="6">
        <v>43</v>
      </c>
      <c r="J893" s="7">
        <v>44303</v>
      </c>
      <c r="K893" s="8" t="str">
        <f>IF(B893="","",IF(AND(I893="",J893=""),"Unknown",IF(OR(AND(ISNUMBER(I893),I893=0),AND(ISNUMBER(J893),J893&lt;=EDATE('Scoring Settings'!$B$4,-'Scoring Settings'!$B$5))),"Not in use",IF(AND(ISNUMBER(I893),I893&lt;'Scoring Settings'!$B$6),"Low use","Active"))))</f>
        <v>Active</v>
      </c>
      <c r="L893" s="5">
        <v>4</v>
      </c>
      <c r="M893" s="5">
        <v>2</v>
      </c>
      <c r="N893" s="5"/>
      <c r="O893" s="5" t="s">
        <v>73</v>
      </c>
      <c r="P893" s="5" t="s">
        <v>1773</v>
      </c>
      <c r="Q893" s="9">
        <v>1</v>
      </c>
      <c r="R893" s="5" t="s">
        <v>166</v>
      </c>
      <c r="S893" s="5" t="s">
        <v>564</v>
      </c>
      <c r="T893" s="5" t="s">
        <v>184</v>
      </c>
      <c r="U893" s="7">
        <v>44754</v>
      </c>
      <c r="V893" s="5" t="s">
        <v>95</v>
      </c>
      <c r="W893" s="6">
        <v>47</v>
      </c>
      <c r="X893" s="5" t="s">
        <v>80</v>
      </c>
      <c r="Y893" s="9">
        <v>10</v>
      </c>
      <c r="Z893" s="5" t="s">
        <v>80</v>
      </c>
      <c r="AA893" s="5" t="s">
        <v>81</v>
      </c>
      <c r="AB893" s="9">
        <v>22</v>
      </c>
      <c r="AC893" s="5" t="s">
        <v>79</v>
      </c>
      <c r="AD893" s="5" t="s">
        <v>79</v>
      </c>
      <c r="AE893" s="5" t="s">
        <v>82</v>
      </c>
      <c r="AF893" s="10">
        <v>48500</v>
      </c>
      <c r="AG893" s="7">
        <v>48457</v>
      </c>
      <c r="AH893" s="10"/>
      <c r="AI893" s="10"/>
      <c r="AJ893" s="11" t="str">
        <f t="shared" si="13"/>
        <v/>
      </c>
      <c r="AK893" s="12">
        <f>IF(B893="","",OR(K893="Not in use",K893="Low use")+AND(N893&lt;&gt;"",N893&lt;&gt;"TBD")+AND(ISNUMBER(U893),U893&lt;=EDATE('Scoring Settings'!$B$4,'Scoring Settings'!$B$8))+AND(ISNUMBER(L893),L893&lt;='Scoring Settings'!$B$7))</f>
        <v>0</v>
      </c>
      <c r="AL893" s="5" t="s">
        <v>111</v>
      </c>
      <c r="AM893" s="8" t="str">
        <f>IF(B893="","",IF(Z893="N","Easy",IF(OR(AND(ISNUMBER(AB893),AB893&gt;'Scoring Settings'!$B$11),AND(ISNUMBER(W893),W893&gt;'Scoring Settings'!$B$12),AND(ISNUMBER(M893),M893&lt;='Scoring Settings'!$B$13)),"High","Medium")))</f>
        <v>High</v>
      </c>
      <c r="AN893" s="5"/>
      <c r="AO893" s="7"/>
      <c r="AP893" s="5" t="s">
        <v>98</v>
      </c>
      <c r="AQ893" s="29" t="s">
        <v>159</v>
      </c>
    </row>
    <row r="894" spans="1:43" hidden="1">
      <c r="A894" s="28">
        <v>155925</v>
      </c>
      <c r="B894" s="5" t="s">
        <v>1774</v>
      </c>
      <c r="C894" s="5" t="s">
        <v>287</v>
      </c>
      <c r="D894" s="5" t="s">
        <v>162</v>
      </c>
      <c r="E894" s="5" t="s">
        <v>68</v>
      </c>
      <c r="F894" s="5" t="s">
        <v>140</v>
      </c>
      <c r="G894" s="5" t="s">
        <v>284</v>
      </c>
      <c r="H894" s="5" t="s">
        <v>174</v>
      </c>
      <c r="I894" s="6">
        <v>120</v>
      </c>
      <c r="J894" s="7">
        <v>44306</v>
      </c>
      <c r="K894" s="8" t="str">
        <f>IF(B894="","",IF(AND(I894="",J894=""),"Unknown",IF(OR(AND(ISNUMBER(I894),I894=0),AND(ISNUMBER(J894),J894&lt;=EDATE('Scoring Settings'!$B$4,-'Scoring Settings'!$B$5))),"Not in use",IF(AND(ISNUMBER(I894),I894&lt;'Scoring Settings'!$B$6),"Low use","Active"))))</f>
        <v>Active</v>
      </c>
      <c r="L894" s="5">
        <v>4</v>
      </c>
      <c r="M894" s="5">
        <v>2</v>
      </c>
      <c r="N894" s="5"/>
      <c r="O894" s="5" t="s">
        <v>130</v>
      </c>
      <c r="P894" s="5" t="s">
        <v>1775</v>
      </c>
      <c r="Q894" s="9">
        <v>4</v>
      </c>
      <c r="R894" s="5" t="s">
        <v>335</v>
      </c>
      <c r="S894" s="5" t="s">
        <v>336</v>
      </c>
      <c r="T894" s="5" t="s">
        <v>168</v>
      </c>
      <c r="U894" s="7">
        <v>45473</v>
      </c>
      <c r="V894" s="5" t="s">
        <v>135</v>
      </c>
      <c r="W894" s="6">
        <v>380</v>
      </c>
      <c r="X894" s="5" t="s">
        <v>80</v>
      </c>
      <c r="Y894" s="9">
        <v>10</v>
      </c>
      <c r="Z894" s="5" t="s">
        <v>80</v>
      </c>
      <c r="AA894" s="5" t="s">
        <v>81</v>
      </c>
      <c r="AB894" s="9">
        <v>28</v>
      </c>
      <c r="AC894" s="5" t="s">
        <v>82</v>
      </c>
      <c r="AD894" s="5" t="s">
        <v>80</v>
      </c>
      <c r="AE894" s="5" t="s">
        <v>79</v>
      </c>
      <c r="AF894" s="10">
        <v>38000</v>
      </c>
      <c r="AG894" s="7">
        <v>46538</v>
      </c>
      <c r="AH894" s="10"/>
      <c r="AI894" s="10"/>
      <c r="AJ894" s="11" t="str">
        <f t="shared" si="13"/>
        <v/>
      </c>
      <c r="AK894" s="12">
        <f>IF(B894="","",OR(K894="Not in use",K894="Low use")+AND(N894&lt;&gt;"",N894&lt;&gt;"TBD")+AND(ISNUMBER(U894),U894&lt;=EDATE('Scoring Settings'!$B$4,'Scoring Settings'!$B$8))+AND(ISNUMBER(L894),L894&lt;='Scoring Settings'!$B$7))</f>
        <v>0</v>
      </c>
      <c r="AL894" s="5" t="s">
        <v>83</v>
      </c>
      <c r="AM894" s="8" t="str">
        <f>IF(B894="","",IF(Z894="N","Easy",IF(OR(AND(ISNUMBER(AB894),AB894&gt;'Scoring Settings'!$B$11),AND(ISNUMBER(W894),W894&gt;'Scoring Settings'!$B$12),AND(ISNUMBER(M894),M894&lt;='Scoring Settings'!$B$13)),"High","Medium")))</f>
        <v>High</v>
      </c>
      <c r="AN894" s="5"/>
      <c r="AO894" s="7"/>
      <c r="AP894" s="5" t="s">
        <v>84</v>
      </c>
      <c r="AQ894" s="29" t="s">
        <v>247</v>
      </c>
    </row>
    <row r="895" spans="1:43" hidden="1">
      <c r="A895" s="28">
        <v>198543</v>
      </c>
      <c r="B895" s="5" t="s">
        <v>1776</v>
      </c>
      <c r="C895" s="5" t="s">
        <v>138</v>
      </c>
      <c r="D895" s="5" t="s">
        <v>139</v>
      </c>
      <c r="E895" s="5" t="s">
        <v>68</v>
      </c>
      <c r="F895" s="5" t="s">
        <v>266</v>
      </c>
      <c r="G895" s="5" t="s">
        <v>141</v>
      </c>
      <c r="H895" s="5" t="s">
        <v>174</v>
      </c>
      <c r="I895" s="6">
        <v>77</v>
      </c>
      <c r="J895" s="7">
        <v>44299</v>
      </c>
      <c r="K895" s="8" t="str">
        <f>IF(B895="","",IF(AND(I895="",J895=""),"Unknown",IF(OR(AND(ISNUMBER(I895),I895=0),AND(ISNUMBER(J895),J895&lt;=EDATE('Scoring Settings'!$B$4,-'Scoring Settings'!$B$5))),"Not in use",IF(AND(ISNUMBER(I895),I895&lt;'Scoring Settings'!$B$6),"Low use","Active"))))</f>
        <v>Active</v>
      </c>
      <c r="L895" s="5">
        <v>4</v>
      </c>
      <c r="M895" s="5">
        <v>2</v>
      </c>
      <c r="N895" s="5" t="s">
        <v>366</v>
      </c>
      <c r="O895" s="5" t="s">
        <v>191</v>
      </c>
      <c r="P895" s="5" t="s">
        <v>192</v>
      </c>
      <c r="Q895" s="9">
        <v>0</v>
      </c>
      <c r="R895" s="5" t="s">
        <v>193</v>
      </c>
      <c r="S895" s="5" t="s">
        <v>318</v>
      </c>
      <c r="T895" s="5" t="s">
        <v>195</v>
      </c>
      <c r="U895" s="7">
        <v>44742</v>
      </c>
      <c r="V895" s="5" t="s">
        <v>135</v>
      </c>
      <c r="W895" s="6">
        <v>200</v>
      </c>
      <c r="X895" s="5" t="s">
        <v>79</v>
      </c>
      <c r="Y895" s="9">
        <v>5</v>
      </c>
      <c r="Z895" s="5" t="s">
        <v>80</v>
      </c>
      <c r="AA895" s="5" t="s">
        <v>81</v>
      </c>
      <c r="AB895" s="9">
        <v>8</v>
      </c>
      <c r="AC895" s="5" t="s">
        <v>82</v>
      </c>
      <c r="AD895" s="5" t="s">
        <v>80</v>
      </c>
      <c r="AE895" s="5" t="s">
        <v>79</v>
      </c>
      <c r="AF895" s="10">
        <v>33500</v>
      </c>
      <c r="AG895" s="7">
        <v>47026</v>
      </c>
      <c r="AH895" s="10">
        <v>45500</v>
      </c>
      <c r="AI895" s="10">
        <v>29000</v>
      </c>
      <c r="AJ895" s="11">
        <f t="shared" si="13"/>
        <v>18.827586206896552</v>
      </c>
      <c r="AK895" s="12">
        <f>IF(B895="","",OR(K895="Not in use",K895="Low use")+AND(N895&lt;&gt;"",N895&lt;&gt;"TBD")+AND(ISNUMBER(U895),U895&lt;=EDATE('Scoring Settings'!$B$4,'Scoring Settings'!$B$8))+AND(ISNUMBER(L895),L895&lt;='Scoring Settings'!$B$7))</f>
        <v>1</v>
      </c>
      <c r="AL895" s="5" t="s">
        <v>111</v>
      </c>
      <c r="AM895" s="8" t="str">
        <f>IF(B895="","",IF(Z895="N","Easy",IF(OR(AND(ISNUMBER(AB895),AB895&gt;'Scoring Settings'!$B$11),AND(ISNUMBER(W895),W895&gt;'Scoring Settings'!$B$12),AND(ISNUMBER(M895),M895&lt;='Scoring Settings'!$B$13)),"High","Medium")))</f>
        <v>High</v>
      </c>
      <c r="AN895" s="5"/>
      <c r="AO895" s="7"/>
      <c r="AP895" s="5" t="s">
        <v>98</v>
      </c>
      <c r="AQ895" s="29" t="s">
        <v>124</v>
      </c>
    </row>
    <row r="896" spans="1:43" hidden="1">
      <c r="A896" s="28">
        <v>146655</v>
      </c>
      <c r="B896" s="5" t="s">
        <v>1777</v>
      </c>
      <c r="C896" s="5" t="s">
        <v>423</v>
      </c>
      <c r="D896" s="5" t="s">
        <v>67</v>
      </c>
      <c r="E896" s="5" t="s">
        <v>68</v>
      </c>
      <c r="F896" s="5" t="s">
        <v>326</v>
      </c>
      <c r="G896" s="5" t="s">
        <v>271</v>
      </c>
      <c r="H896" s="5" t="s">
        <v>118</v>
      </c>
      <c r="I896" s="6">
        <v>686</v>
      </c>
      <c r="J896" s="7">
        <v>44280</v>
      </c>
      <c r="K896" s="8" t="str">
        <f>IF(B896="","",IF(AND(I896="",J896=""),"Unknown",IF(OR(AND(ISNUMBER(I896),I896=0),AND(ISNUMBER(J896),J896&lt;=EDATE('Scoring Settings'!$B$4,-'Scoring Settings'!$B$5))),"Not in use",IF(AND(ISNUMBER(I896),I896&lt;'Scoring Settings'!$B$6),"Low use","Active"))))</f>
        <v>Active</v>
      </c>
      <c r="L896" s="5">
        <v>3</v>
      </c>
      <c r="M896" s="5">
        <v>4</v>
      </c>
      <c r="N896" s="5" t="s">
        <v>317</v>
      </c>
      <c r="O896" s="5" t="s">
        <v>73</v>
      </c>
      <c r="P896" s="5" t="s">
        <v>581</v>
      </c>
      <c r="Q896" s="9">
        <v>1</v>
      </c>
      <c r="R896" s="5" t="s">
        <v>107</v>
      </c>
      <c r="S896" s="5" t="s">
        <v>108</v>
      </c>
      <c r="T896" s="5" t="s">
        <v>109</v>
      </c>
      <c r="U896" s="7">
        <v>43655</v>
      </c>
      <c r="V896" s="5" t="s">
        <v>95</v>
      </c>
      <c r="W896" s="6">
        <v>150</v>
      </c>
      <c r="X896" s="5" t="s">
        <v>80</v>
      </c>
      <c r="Y896" s="9">
        <v>10</v>
      </c>
      <c r="Z896" s="5" t="s">
        <v>80</v>
      </c>
      <c r="AA896" s="5" t="s">
        <v>81</v>
      </c>
      <c r="AB896" s="9">
        <v>3</v>
      </c>
      <c r="AC896" s="5" t="s">
        <v>79</v>
      </c>
      <c r="AD896" s="5" t="s">
        <v>79</v>
      </c>
      <c r="AE896" s="5" t="s">
        <v>82</v>
      </c>
      <c r="AF896" s="10">
        <v>29500</v>
      </c>
      <c r="AG896" s="7">
        <v>49429</v>
      </c>
      <c r="AH896" s="10"/>
      <c r="AI896" s="10"/>
      <c r="AJ896" s="11" t="str">
        <f t="shared" si="13"/>
        <v/>
      </c>
      <c r="AK896" s="12">
        <f>IF(B896="","",OR(K896="Not in use",K896="Low use")+AND(N896&lt;&gt;"",N896&lt;&gt;"TBD")+AND(ISNUMBER(U896),U896&lt;=EDATE('Scoring Settings'!$B$4,'Scoring Settings'!$B$8))+AND(ISNUMBER(L896),L896&lt;='Scoring Settings'!$B$7))</f>
        <v>2</v>
      </c>
      <c r="AL896" s="5" t="s">
        <v>111</v>
      </c>
      <c r="AM896" s="8" t="str">
        <f>IF(B896="","",IF(Z896="N","Easy",IF(OR(AND(ISNUMBER(AB896),AB896&gt;'Scoring Settings'!$B$11),AND(ISNUMBER(W896),W896&gt;'Scoring Settings'!$B$12),AND(ISNUMBER(M896),M896&lt;='Scoring Settings'!$B$13)),"High","Medium")))</f>
        <v>Medium</v>
      </c>
      <c r="AN896" s="5"/>
      <c r="AO896" s="7"/>
      <c r="AP896" s="5" t="s">
        <v>98</v>
      </c>
      <c r="AQ896" s="29" t="s">
        <v>159</v>
      </c>
    </row>
    <row r="897" spans="1:43" ht="42.75" hidden="1">
      <c r="A897" s="28">
        <v>124462</v>
      </c>
      <c r="B897" s="5" t="s">
        <v>1778</v>
      </c>
      <c r="C897" s="5" t="s">
        <v>13</v>
      </c>
      <c r="D897" s="5" t="s">
        <v>162</v>
      </c>
      <c r="E897" s="5" t="s">
        <v>68</v>
      </c>
      <c r="F897" s="5" t="s">
        <v>236</v>
      </c>
      <c r="G897" s="5" t="s">
        <v>179</v>
      </c>
      <c r="H897" s="5" t="s">
        <v>189</v>
      </c>
      <c r="I897" s="6">
        <v>151</v>
      </c>
      <c r="J897" s="7">
        <v>44311</v>
      </c>
      <c r="K897" s="8" t="str">
        <f>IF(B897="","",IF(AND(I897="",J897=""),"Unknown",IF(OR(AND(ISNUMBER(I897),I897=0),AND(ISNUMBER(J897),J897&lt;=EDATE('Scoring Settings'!$B$4,-'Scoring Settings'!$B$5))),"Not in use",IF(AND(ISNUMBER(I897),I897&lt;'Scoring Settings'!$B$6),"Low use","Active"))))</f>
        <v>Active</v>
      </c>
      <c r="L897" s="5">
        <v>4</v>
      </c>
      <c r="M897" s="5">
        <v>3</v>
      </c>
      <c r="N897" s="5"/>
      <c r="O897" s="5" t="s">
        <v>130</v>
      </c>
      <c r="P897" s="5" t="s">
        <v>1347</v>
      </c>
      <c r="Q897" s="9">
        <v>4</v>
      </c>
      <c r="R897" s="5" t="s">
        <v>251</v>
      </c>
      <c r="S897" s="5" t="s">
        <v>133</v>
      </c>
      <c r="T897" s="5" t="s">
        <v>134</v>
      </c>
      <c r="U897" s="7">
        <v>44165</v>
      </c>
      <c r="V897" s="5" t="s">
        <v>135</v>
      </c>
      <c r="W897" s="6">
        <v>150</v>
      </c>
      <c r="X897" s="5" t="s">
        <v>79</v>
      </c>
      <c r="Y897" s="9">
        <v>2</v>
      </c>
      <c r="Z897" s="5" t="s">
        <v>79</v>
      </c>
      <c r="AA897" s="5" t="s">
        <v>110</v>
      </c>
      <c r="AB897" s="9">
        <v>5</v>
      </c>
      <c r="AC897" s="5" t="s">
        <v>79</v>
      </c>
      <c r="AD897" s="5" t="s">
        <v>79</v>
      </c>
      <c r="AE897" s="5" t="s">
        <v>79</v>
      </c>
      <c r="AF897" s="10">
        <v>50000</v>
      </c>
      <c r="AG897" s="7">
        <v>48730</v>
      </c>
      <c r="AH897" s="10">
        <v>68500</v>
      </c>
      <c r="AI897" s="10">
        <v>43000</v>
      </c>
      <c r="AJ897" s="11">
        <f t="shared" si="13"/>
        <v>19.11627906976744</v>
      </c>
      <c r="AK897" s="12">
        <f>IF(B897="","",OR(K897="Not in use",K897="Low use")+AND(N897&lt;&gt;"",N897&lt;&gt;"TBD")+AND(ISNUMBER(U897),U897&lt;=EDATE('Scoring Settings'!$B$4,'Scoring Settings'!$B$8))+AND(ISNUMBER(L897),L897&lt;='Scoring Settings'!$B$7))</f>
        <v>1</v>
      </c>
      <c r="AL897" s="5" t="s">
        <v>111</v>
      </c>
      <c r="AM897" s="8" t="str">
        <f>IF(B897="","",IF(Z897="N","Easy",IF(OR(AND(ISNUMBER(AB897),AB897&gt;'Scoring Settings'!$B$11),AND(ISNUMBER(W897),W897&gt;'Scoring Settings'!$B$12),AND(ISNUMBER(M897),M897&lt;='Scoring Settings'!$B$13)),"High","Medium")))</f>
        <v>Easy</v>
      </c>
      <c r="AN897" s="5"/>
      <c r="AO897" s="7"/>
      <c r="AP897" s="5" t="s">
        <v>98</v>
      </c>
      <c r="AQ897" s="29" t="s">
        <v>1360</v>
      </c>
    </row>
    <row r="898" spans="1:43" hidden="1">
      <c r="A898" s="28">
        <v>102338</v>
      </c>
      <c r="B898" s="5" t="s">
        <v>1779</v>
      </c>
      <c r="C898" s="5" t="s">
        <v>667</v>
      </c>
      <c r="D898" s="5" t="s">
        <v>115</v>
      </c>
      <c r="E898" s="5" t="s">
        <v>68</v>
      </c>
      <c r="F898" s="5" t="s">
        <v>326</v>
      </c>
      <c r="G898" s="5" t="s">
        <v>179</v>
      </c>
      <c r="H898" s="5" t="s">
        <v>71</v>
      </c>
      <c r="I898" s="6">
        <v>512</v>
      </c>
      <c r="J898" s="7">
        <v>44308</v>
      </c>
      <c r="K898" s="8" t="str">
        <f>IF(B898="","",IF(AND(I898="",J898=""),"Unknown",IF(OR(AND(ISNUMBER(I898),I898=0),AND(ISNUMBER(J898),J898&lt;=EDATE('Scoring Settings'!$B$4,-'Scoring Settings'!$B$5))),"Not in use",IF(AND(ISNUMBER(I898),I898&lt;'Scoring Settings'!$B$6),"Low use","Active"))))</f>
        <v>Active</v>
      </c>
      <c r="L898" s="5">
        <v>3</v>
      </c>
      <c r="M898" s="5">
        <v>3</v>
      </c>
      <c r="N898" s="5" t="s">
        <v>72</v>
      </c>
      <c r="O898" s="5" t="s">
        <v>130</v>
      </c>
      <c r="P898" s="5" t="s">
        <v>1780</v>
      </c>
      <c r="Q898" s="9">
        <v>1</v>
      </c>
      <c r="R898" s="5" t="s">
        <v>239</v>
      </c>
      <c r="S898" s="5" t="s">
        <v>240</v>
      </c>
      <c r="T898" s="5" t="s">
        <v>195</v>
      </c>
      <c r="U898" s="7">
        <v>44316</v>
      </c>
      <c r="V898" s="5" t="s">
        <v>78</v>
      </c>
      <c r="W898" s="6">
        <v>600</v>
      </c>
      <c r="X898" s="5" t="s">
        <v>80</v>
      </c>
      <c r="Y898" s="9">
        <v>5</v>
      </c>
      <c r="Z898" s="5" t="s">
        <v>80</v>
      </c>
      <c r="AA898" s="5" t="s">
        <v>205</v>
      </c>
      <c r="AB898" s="9">
        <v>6</v>
      </c>
      <c r="AC898" s="5" t="s">
        <v>82</v>
      </c>
      <c r="AD898" s="5" t="s">
        <v>79</v>
      </c>
      <c r="AE898" s="5" t="s">
        <v>80</v>
      </c>
      <c r="AF898" s="10">
        <v>25000</v>
      </c>
      <c r="AG898" s="7">
        <v>49643</v>
      </c>
      <c r="AH898" s="10">
        <v>34000</v>
      </c>
      <c r="AI898" s="10">
        <v>23000</v>
      </c>
      <c r="AJ898" s="11">
        <f t="shared" si="13"/>
        <v>17.739130434782609</v>
      </c>
      <c r="AK898" s="12">
        <f>IF(B898="","",OR(K898="Not in use",K898="Low use")+AND(N898&lt;&gt;"",N898&lt;&gt;"TBD")+AND(ISNUMBER(U898),U898&lt;=EDATE('Scoring Settings'!$B$4,'Scoring Settings'!$B$8))+AND(ISNUMBER(L898),L898&lt;='Scoring Settings'!$B$7))</f>
        <v>1</v>
      </c>
      <c r="AL898" s="5" t="s">
        <v>111</v>
      </c>
      <c r="AM898" s="8" t="str">
        <f>IF(B898="","",IF(Z898="N","Easy",IF(OR(AND(ISNUMBER(AB898),AB898&gt;'Scoring Settings'!$B$11),AND(ISNUMBER(W898),W898&gt;'Scoring Settings'!$B$12),AND(ISNUMBER(M898),M898&lt;='Scoring Settings'!$B$13)),"High","Medium")))</f>
        <v>High</v>
      </c>
      <c r="AN898" s="5"/>
      <c r="AO898" s="7"/>
      <c r="AP898" s="5" t="s">
        <v>98</v>
      </c>
      <c r="AQ898" s="29" t="s">
        <v>112</v>
      </c>
    </row>
    <row r="899" spans="1:43" hidden="1">
      <c r="A899" s="28">
        <v>77431</v>
      </c>
      <c r="B899" s="5" t="s">
        <v>1789</v>
      </c>
      <c r="C899" s="5" t="s">
        <v>464</v>
      </c>
      <c r="D899" s="5" t="s">
        <v>88</v>
      </c>
      <c r="E899" s="5" t="s">
        <v>298</v>
      </c>
      <c r="F899" s="5" t="s">
        <v>103</v>
      </c>
      <c r="G899" s="5" t="s">
        <v>221</v>
      </c>
      <c r="H899" s="5" t="s">
        <v>142</v>
      </c>
      <c r="I899" s="6">
        <v>955</v>
      </c>
      <c r="J899" s="7">
        <v>44308</v>
      </c>
      <c r="K899" s="8" t="str">
        <f>IF(B899="","",IF(AND(I899="",J899=""),"Unknown",IF(OR(AND(ISNUMBER(I899),I899=0),AND(ISNUMBER(J899),J899&lt;=EDATE('Scoring Settings'!$B$4,-'Scoring Settings'!$B$5))),"Not in use",IF(AND(ISNUMBER(I899),I899&lt;'Scoring Settings'!$B$6),"Low use","Active"))))</f>
        <v>Active</v>
      </c>
      <c r="L899" s="5">
        <v>4</v>
      </c>
      <c r="M899" s="5">
        <v>3</v>
      </c>
      <c r="N899" s="5"/>
      <c r="O899" s="5" t="s">
        <v>143</v>
      </c>
      <c r="P899" s="5" t="s">
        <v>144</v>
      </c>
      <c r="Q899" s="9">
        <v>0</v>
      </c>
      <c r="R899" s="5" t="s">
        <v>145</v>
      </c>
      <c r="S899" s="5" t="s">
        <v>145</v>
      </c>
      <c r="T899" s="5" t="s">
        <v>146</v>
      </c>
      <c r="U899" s="7"/>
      <c r="V899" s="5" t="s">
        <v>78</v>
      </c>
      <c r="W899" s="6">
        <v>3210</v>
      </c>
      <c r="X899" s="5" t="s">
        <v>79</v>
      </c>
      <c r="Y899" s="9">
        <v>5</v>
      </c>
      <c r="Z899" s="5" t="s">
        <v>79</v>
      </c>
      <c r="AA899" s="5" t="s">
        <v>110</v>
      </c>
      <c r="AB899" s="9">
        <v>1</v>
      </c>
      <c r="AC899" s="5" t="s">
        <v>79</v>
      </c>
      <c r="AD899" s="5" t="s">
        <v>80</v>
      </c>
      <c r="AE899" s="5" t="s">
        <v>79</v>
      </c>
      <c r="AF899" s="10">
        <v>60000</v>
      </c>
      <c r="AG899" s="7">
        <v>47026</v>
      </c>
      <c r="AH899" s="10"/>
      <c r="AI899" s="10"/>
      <c r="AJ899" s="11" t="str">
        <f t="shared" si="13"/>
        <v/>
      </c>
      <c r="AK899" s="12">
        <f>IF(B899="","",OR(K899="Not in use",K899="Low use")+AND(N899&lt;&gt;"",N899&lt;&gt;"TBD")+AND(ISNUMBER(U899),U899&lt;=EDATE('Scoring Settings'!$B$4,'Scoring Settings'!$B$8))+AND(ISNUMBER(L899),L899&lt;='Scoring Settings'!$B$7))</f>
        <v>0</v>
      </c>
      <c r="AL899" s="5" t="s">
        <v>83</v>
      </c>
      <c r="AM899" s="8" t="str">
        <f>IF(B899="","",IF(Z899="N","Easy",IF(OR(AND(ISNUMBER(AB899),AB899&gt;'Scoring Settings'!$B$11),AND(ISNUMBER(W899),W899&gt;'Scoring Settings'!$B$12),AND(ISNUMBER(M899),M899&lt;='Scoring Settings'!$B$13)),"High","Medium")))</f>
        <v>Easy</v>
      </c>
      <c r="AN899" s="5"/>
      <c r="AO899" s="7"/>
      <c r="AP899" s="5" t="s">
        <v>98</v>
      </c>
      <c r="AQ899" s="29" t="s">
        <v>314</v>
      </c>
    </row>
    <row r="900" spans="1:43" hidden="1">
      <c r="A900" s="28">
        <v>195477</v>
      </c>
      <c r="B900" s="5" t="s">
        <v>1790</v>
      </c>
      <c r="C900" s="5" t="s">
        <v>293</v>
      </c>
      <c r="D900" s="5" t="s">
        <v>162</v>
      </c>
      <c r="E900" s="5" t="s">
        <v>298</v>
      </c>
      <c r="F900" s="5" t="s">
        <v>178</v>
      </c>
      <c r="G900" s="5" t="s">
        <v>226</v>
      </c>
      <c r="H900" s="5" t="s">
        <v>118</v>
      </c>
      <c r="I900" s="6">
        <v>7</v>
      </c>
      <c r="J900" s="7">
        <v>44175</v>
      </c>
      <c r="K900" s="8" t="str">
        <f>IF(B900="","",IF(AND(I900="",J900=""),"Unknown",IF(OR(AND(ISNUMBER(I900),I900=0),AND(ISNUMBER(J900),J900&lt;=EDATE('Scoring Settings'!$B$4,-'Scoring Settings'!$B$5))),"Not in use",IF(AND(ISNUMBER(I900),I900&lt;'Scoring Settings'!$B$6),"Low use","Active"))))</f>
        <v>Low use</v>
      </c>
      <c r="L900" s="5">
        <v>2</v>
      </c>
      <c r="M900" s="5">
        <v>3</v>
      </c>
      <c r="N900" s="5"/>
      <c r="O900" s="5" t="s">
        <v>73</v>
      </c>
      <c r="P900" s="5" t="s">
        <v>1791</v>
      </c>
      <c r="Q900" s="9">
        <v>3</v>
      </c>
      <c r="R900" s="5" t="s">
        <v>182</v>
      </c>
      <c r="S900" s="5" t="s">
        <v>183</v>
      </c>
      <c r="T900" s="5" t="s">
        <v>184</v>
      </c>
      <c r="U900" s="7">
        <v>42855</v>
      </c>
      <c r="V900" s="5" t="s">
        <v>135</v>
      </c>
      <c r="W900" s="6">
        <v>1</v>
      </c>
      <c r="X900" s="5" t="s">
        <v>79</v>
      </c>
      <c r="Y900" s="9">
        <v>3</v>
      </c>
      <c r="Z900" s="5" t="s">
        <v>79</v>
      </c>
      <c r="AA900" s="5" t="s">
        <v>110</v>
      </c>
      <c r="AB900" s="9">
        <v>4</v>
      </c>
      <c r="AC900" s="5" t="s">
        <v>80</v>
      </c>
      <c r="AD900" s="5" t="s">
        <v>82</v>
      </c>
      <c r="AE900" s="5" t="s">
        <v>79</v>
      </c>
      <c r="AF900" s="10">
        <v>36500</v>
      </c>
      <c r="AG900" s="7">
        <v>46843</v>
      </c>
      <c r="AH900" s="10"/>
      <c r="AI900" s="10"/>
      <c r="AJ900" s="11" t="str">
        <f t="shared" si="13"/>
        <v/>
      </c>
      <c r="AK900" s="12">
        <f>IF(B900="","",OR(K900="Not in use",K900="Low use")+AND(N900&lt;&gt;"",N900&lt;&gt;"TBD")+AND(ISNUMBER(U900),U900&lt;=EDATE('Scoring Settings'!$B$4,'Scoring Settings'!$B$8))+AND(ISNUMBER(L900),L900&lt;='Scoring Settings'!$B$7))</f>
        <v>3</v>
      </c>
      <c r="AL900" s="5" t="s">
        <v>111</v>
      </c>
      <c r="AM900" s="8" t="str">
        <f>IF(B900="","",IF(Z900="N","Easy",IF(OR(AND(ISNUMBER(AB900),AB900&gt;'Scoring Settings'!$B$11),AND(ISNUMBER(W900),W900&gt;'Scoring Settings'!$B$12),AND(ISNUMBER(M900),M900&lt;='Scoring Settings'!$B$13)),"High","Medium")))</f>
        <v>Easy</v>
      </c>
      <c r="AN900" s="5"/>
      <c r="AO900" s="7"/>
      <c r="AP900" s="5" t="s">
        <v>98</v>
      </c>
      <c r="AQ900" s="29" t="s">
        <v>124</v>
      </c>
    </row>
    <row r="901" spans="1:43" hidden="1">
      <c r="A901" s="28">
        <v>71719</v>
      </c>
      <c r="B901" s="5" t="s">
        <v>1792</v>
      </c>
      <c r="C901" s="5" t="s">
        <v>371</v>
      </c>
      <c r="D901" s="5" t="s">
        <v>162</v>
      </c>
      <c r="E901" s="5" t="s">
        <v>68</v>
      </c>
      <c r="F901" s="5" t="s">
        <v>201</v>
      </c>
      <c r="G901" s="5" t="s">
        <v>267</v>
      </c>
      <c r="H901" s="5" t="s">
        <v>71</v>
      </c>
      <c r="I901" s="6">
        <v>5550</v>
      </c>
      <c r="J901" s="7">
        <v>44312</v>
      </c>
      <c r="K901" s="8" t="str">
        <f>IF(B901="","",IF(AND(I901="",J901=""),"Unknown",IF(OR(AND(ISNUMBER(I901),I901=0),AND(ISNUMBER(J901),J901&lt;=EDATE('Scoring Settings'!$B$4,-'Scoring Settings'!$B$5))),"Not in use",IF(AND(ISNUMBER(I901),I901&lt;'Scoring Settings'!$B$6),"Low use","Active"))))</f>
        <v>Active</v>
      </c>
      <c r="L901" s="5">
        <v>5</v>
      </c>
      <c r="M901" s="5">
        <v>1</v>
      </c>
      <c r="N901" s="5"/>
      <c r="O901" s="5" t="s">
        <v>73</v>
      </c>
      <c r="P901" s="5" t="s">
        <v>1793</v>
      </c>
      <c r="Q901" s="9">
        <v>4</v>
      </c>
      <c r="R901" s="5" t="s">
        <v>478</v>
      </c>
      <c r="S901" s="5" t="s">
        <v>479</v>
      </c>
      <c r="T901" s="5" t="s">
        <v>109</v>
      </c>
      <c r="U901" s="7">
        <v>43844</v>
      </c>
      <c r="V901" s="5" t="s">
        <v>95</v>
      </c>
      <c r="W901" s="6">
        <v>97</v>
      </c>
      <c r="X901" s="5" t="s">
        <v>80</v>
      </c>
      <c r="Y901" s="9">
        <v>7</v>
      </c>
      <c r="Z901" s="5" t="s">
        <v>80</v>
      </c>
      <c r="AA901" s="5" t="s">
        <v>205</v>
      </c>
      <c r="AB901" s="9">
        <v>73</v>
      </c>
      <c r="AC901" s="5" t="s">
        <v>79</v>
      </c>
      <c r="AD901" s="5" t="s">
        <v>80</v>
      </c>
      <c r="AE901" s="5" t="s">
        <v>80</v>
      </c>
      <c r="AF901" s="10">
        <v>230000</v>
      </c>
      <c r="AG901" s="7">
        <v>47542</v>
      </c>
      <c r="AH901" s="10">
        <v>779500</v>
      </c>
      <c r="AI901" s="10">
        <v>145000</v>
      </c>
      <c r="AJ901" s="11">
        <f t="shared" ref="AJ901:AJ964" si="14">IF(AND(ISNUMBER(AH901),ISNUMBER(AI901),N(AI901)&gt;0),AH901/AI901*12,"")</f>
        <v>64.510344827586209</v>
      </c>
      <c r="AK901" s="12">
        <f>IF(B901="","",OR(K901="Not in use",K901="Low use")+AND(N901&lt;&gt;"",N901&lt;&gt;"TBD")+AND(ISNUMBER(U901),U901&lt;=EDATE('Scoring Settings'!$B$4,'Scoring Settings'!$B$8))+AND(ISNUMBER(L901),L901&lt;='Scoring Settings'!$B$7))</f>
        <v>1</v>
      </c>
      <c r="AL901" s="5" t="s">
        <v>111</v>
      </c>
      <c r="AM901" s="8" t="str">
        <f>IF(B901="","",IF(Z901="N","Easy",IF(OR(AND(ISNUMBER(AB901),AB901&gt;'Scoring Settings'!$B$11),AND(ISNUMBER(W901),W901&gt;'Scoring Settings'!$B$12),AND(ISNUMBER(M901),M901&lt;='Scoring Settings'!$B$13)),"High","Medium")))</f>
        <v>High</v>
      </c>
      <c r="AN901" s="5"/>
      <c r="AO901" s="7"/>
      <c r="AP901" s="5" t="s">
        <v>98</v>
      </c>
      <c r="AQ901" s="29" t="s">
        <v>124</v>
      </c>
    </row>
    <row r="902" spans="1:43" hidden="1">
      <c r="A902" s="28">
        <v>189544</v>
      </c>
      <c r="B902" s="5" t="s">
        <v>1799</v>
      </c>
      <c r="C902" s="5" t="s">
        <v>301</v>
      </c>
      <c r="D902" s="5" t="s">
        <v>162</v>
      </c>
      <c r="E902" s="5" t="s">
        <v>311</v>
      </c>
      <c r="F902" s="5" t="s">
        <v>201</v>
      </c>
      <c r="G902" s="5" t="s">
        <v>404</v>
      </c>
      <c r="H902" s="5" t="s">
        <v>174</v>
      </c>
      <c r="I902" s="6">
        <v>20</v>
      </c>
      <c r="J902" s="7">
        <v>44301</v>
      </c>
      <c r="K902" s="8" t="str">
        <f>IF(B902="","",IF(AND(I902="",J902=""),"Unknown",IF(OR(AND(ISNUMBER(I902),I902=0),AND(ISNUMBER(J902),J902&lt;=EDATE('Scoring Settings'!$B$4,-'Scoring Settings'!$B$5))),"Not in use",IF(AND(ISNUMBER(I902),I902&lt;'Scoring Settings'!$B$6),"Low use","Active"))))</f>
        <v>Low use</v>
      </c>
      <c r="L902" s="5">
        <v>3</v>
      </c>
      <c r="M902" s="5">
        <v>3</v>
      </c>
      <c r="N902" s="5"/>
      <c r="O902" s="5" t="s">
        <v>73</v>
      </c>
      <c r="P902" s="5" t="s">
        <v>1800</v>
      </c>
      <c r="Q902" s="9">
        <v>4</v>
      </c>
      <c r="R902" s="5" t="s">
        <v>239</v>
      </c>
      <c r="S902" s="5" t="s">
        <v>240</v>
      </c>
      <c r="T902" s="5" t="s">
        <v>109</v>
      </c>
      <c r="U902" s="7">
        <v>44316</v>
      </c>
      <c r="V902" s="5" t="s">
        <v>135</v>
      </c>
      <c r="W902" s="6">
        <v>160</v>
      </c>
      <c r="X902" s="5" t="s">
        <v>79</v>
      </c>
      <c r="Y902" s="9">
        <v>2</v>
      </c>
      <c r="Z902" s="5" t="s">
        <v>80</v>
      </c>
      <c r="AA902" s="5" t="s">
        <v>205</v>
      </c>
      <c r="AB902" s="9">
        <v>7</v>
      </c>
      <c r="AC902" s="5" t="s">
        <v>82</v>
      </c>
      <c r="AD902" s="5" t="s">
        <v>79</v>
      </c>
      <c r="AE902" s="5" t="s">
        <v>82</v>
      </c>
      <c r="AF902" s="10">
        <v>55000</v>
      </c>
      <c r="AG902" s="7">
        <v>47907</v>
      </c>
      <c r="AH902" s="10"/>
      <c r="AI902" s="10"/>
      <c r="AJ902" s="11" t="str">
        <f t="shared" si="14"/>
        <v/>
      </c>
      <c r="AK902" s="12">
        <f>IF(B902="","",OR(K902="Not in use",K902="Low use")+AND(N902&lt;&gt;"",N902&lt;&gt;"TBD")+AND(ISNUMBER(U902),U902&lt;=EDATE('Scoring Settings'!$B$4,'Scoring Settings'!$B$8))+AND(ISNUMBER(L902),L902&lt;='Scoring Settings'!$B$7))</f>
        <v>2</v>
      </c>
      <c r="AL902" s="5" t="s">
        <v>111</v>
      </c>
      <c r="AM902" s="8" t="str">
        <f>IF(B902="","",IF(Z902="N","Easy",IF(OR(AND(ISNUMBER(AB902),AB902&gt;'Scoring Settings'!$B$11),AND(ISNUMBER(W902),W902&gt;'Scoring Settings'!$B$12),AND(ISNUMBER(M902),M902&lt;='Scoring Settings'!$B$13)),"High","Medium")))</f>
        <v>High</v>
      </c>
      <c r="AN902" s="5"/>
      <c r="AO902" s="7"/>
      <c r="AP902" s="5" t="s">
        <v>98</v>
      </c>
      <c r="AQ902" s="29" t="s">
        <v>112</v>
      </c>
    </row>
    <row r="903" spans="1:43" hidden="1">
      <c r="A903" s="28">
        <v>35322</v>
      </c>
      <c r="B903" s="5" t="s">
        <v>1801</v>
      </c>
      <c r="C903" s="5" t="s">
        <v>287</v>
      </c>
      <c r="D903" s="5" t="s">
        <v>162</v>
      </c>
      <c r="E903" s="5" t="s">
        <v>68</v>
      </c>
      <c r="F903" s="5" t="s">
        <v>236</v>
      </c>
      <c r="G903" s="5" t="s">
        <v>117</v>
      </c>
      <c r="H903" s="5" t="s">
        <v>189</v>
      </c>
      <c r="I903" s="6">
        <v>40</v>
      </c>
      <c r="J903" s="7">
        <v>44285</v>
      </c>
      <c r="K903" s="8" t="str">
        <f>IF(B903="","",IF(AND(I903="",J903=""),"Unknown",IF(OR(AND(ISNUMBER(I903),I903=0),AND(ISNUMBER(J903),J903&lt;=EDATE('Scoring Settings'!$B$4,-'Scoring Settings'!$B$5))),"Not in use",IF(AND(ISNUMBER(I903),I903&lt;'Scoring Settings'!$B$6),"Low use","Active"))))</f>
        <v>Active</v>
      </c>
      <c r="L903" s="5">
        <v>5</v>
      </c>
      <c r="M903" s="5">
        <v>1</v>
      </c>
      <c r="N903" s="5"/>
      <c r="O903" s="5" t="s">
        <v>191</v>
      </c>
      <c r="P903" s="5" t="s">
        <v>192</v>
      </c>
      <c r="Q903" s="9">
        <v>0</v>
      </c>
      <c r="R903" s="5" t="s">
        <v>193</v>
      </c>
      <c r="S903" s="5" t="s">
        <v>318</v>
      </c>
      <c r="T903" s="5" t="s">
        <v>195</v>
      </c>
      <c r="U903" s="7"/>
      <c r="V903" s="5" t="s">
        <v>95</v>
      </c>
      <c r="W903" s="6">
        <v>220</v>
      </c>
      <c r="X903" s="5" t="s">
        <v>79</v>
      </c>
      <c r="Y903" s="9">
        <v>3</v>
      </c>
      <c r="Z903" s="5" t="s">
        <v>79</v>
      </c>
      <c r="AA903" s="5" t="s">
        <v>110</v>
      </c>
      <c r="AB903" s="9">
        <v>21</v>
      </c>
      <c r="AC903" s="5" t="s">
        <v>79</v>
      </c>
      <c r="AD903" s="5" t="s">
        <v>79</v>
      </c>
      <c r="AE903" s="5" t="s">
        <v>82</v>
      </c>
      <c r="AF903" s="10">
        <v>43000</v>
      </c>
      <c r="AG903" s="7">
        <v>48730</v>
      </c>
      <c r="AH903" s="10"/>
      <c r="AI903" s="10"/>
      <c r="AJ903" s="11" t="str">
        <f t="shared" si="14"/>
        <v/>
      </c>
      <c r="AK903" s="12">
        <f>IF(B903="","",OR(K903="Not in use",K903="Low use")+AND(N903&lt;&gt;"",N903&lt;&gt;"TBD")+AND(ISNUMBER(U903),U903&lt;=EDATE('Scoring Settings'!$B$4,'Scoring Settings'!$B$8))+AND(ISNUMBER(L903),L903&lt;='Scoring Settings'!$B$7))</f>
        <v>0</v>
      </c>
      <c r="AL903" s="5" t="s">
        <v>83</v>
      </c>
      <c r="AM903" s="8" t="str">
        <f>IF(B903="","",IF(Z903="N","Easy",IF(OR(AND(ISNUMBER(AB903),AB903&gt;'Scoring Settings'!$B$11),AND(ISNUMBER(W903),W903&gt;'Scoring Settings'!$B$12),AND(ISNUMBER(M903),M903&lt;='Scoring Settings'!$B$13)),"High","Medium")))</f>
        <v>Easy</v>
      </c>
      <c r="AN903" s="5"/>
      <c r="AO903" s="7"/>
      <c r="AP903" s="5" t="s">
        <v>84</v>
      </c>
      <c r="AQ903" s="29" t="s">
        <v>85</v>
      </c>
    </row>
    <row r="904" spans="1:43" hidden="1">
      <c r="A904" s="28">
        <v>179446</v>
      </c>
      <c r="B904" s="5" t="s">
        <v>1802</v>
      </c>
      <c r="C904" s="5" t="s">
        <v>225</v>
      </c>
      <c r="D904" s="5" t="s">
        <v>67</v>
      </c>
      <c r="E904" s="5" t="s">
        <v>298</v>
      </c>
      <c r="F904" s="5" t="s">
        <v>326</v>
      </c>
      <c r="G904" s="5" t="s">
        <v>284</v>
      </c>
      <c r="H904" s="5" t="s">
        <v>118</v>
      </c>
      <c r="I904" s="6">
        <v>4</v>
      </c>
      <c r="J904" s="7">
        <v>44312</v>
      </c>
      <c r="K904" s="8" t="str">
        <f>IF(B904="","",IF(AND(I904="",J904=""),"Unknown",IF(OR(AND(ISNUMBER(I904),I904=0),AND(ISNUMBER(J904),J904&lt;=EDATE('Scoring Settings'!$B$4,-'Scoring Settings'!$B$5))),"Not in use",IF(AND(ISNUMBER(I904),I904&lt;'Scoring Settings'!$B$6),"Low use","Active"))))</f>
        <v>Low use</v>
      </c>
      <c r="L904" s="5">
        <v>5</v>
      </c>
      <c r="M904" s="5">
        <v>1</v>
      </c>
      <c r="N904" s="5"/>
      <c r="O904" s="5" t="s">
        <v>191</v>
      </c>
      <c r="P904" s="5" t="s">
        <v>192</v>
      </c>
      <c r="Q904" s="9">
        <v>0</v>
      </c>
      <c r="R904" s="5" t="s">
        <v>193</v>
      </c>
      <c r="S904" s="5" t="s">
        <v>318</v>
      </c>
      <c r="T904" s="5" t="s">
        <v>195</v>
      </c>
      <c r="U904" s="7"/>
      <c r="V904" s="5" t="s">
        <v>135</v>
      </c>
      <c r="W904" s="6">
        <v>5990</v>
      </c>
      <c r="X904" s="5" t="s">
        <v>80</v>
      </c>
      <c r="Y904" s="9">
        <v>5</v>
      </c>
      <c r="Z904" s="5" t="s">
        <v>80</v>
      </c>
      <c r="AA904" s="5" t="s">
        <v>123</v>
      </c>
      <c r="AB904" s="9">
        <v>57</v>
      </c>
      <c r="AC904" s="5" t="s">
        <v>80</v>
      </c>
      <c r="AD904" s="5" t="s">
        <v>82</v>
      </c>
      <c r="AE904" s="5" t="s">
        <v>79</v>
      </c>
      <c r="AF904" s="10">
        <v>35000</v>
      </c>
      <c r="AG904" s="7">
        <v>46295</v>
      </c>
      <c r="AH904" s="10">
        <v>264500</v>
      </c>
      <c r="AI904" s="10">
        <v>26000</v>
      </c>
      <c r="AJ904" s="11">
        <f t="shared" si="14"/>
        <v>122.07692307692308</v>
      </c>
      <c r="AK904" s="12">
        <f>IF(B904="","",OR(K904="Not in use",K904="Low use")+AND(N904&lt;&gt;"",N904&lt;&gt;"TBD")+AND(ISNUMBER(U904),U904&lt;=EDATE('Scoring Settings'!$B$4,'Scoring Settings'!$B$8))+AND(ISNUMBER(L904),L904&lt;='Scoring Settings'!$B$7))</f>
        <v>1</v>
      </c>
      <c r="AL904" s="5" t="s">
        <v>111</v>
      </c>
      <c r="AM904" s="8" t="str">
        <f>IF(B904="","",IF(Z904="N","Easy",IF(OR(AND(ISNUMBER(AB904),AB904&gt;'Scoring Settings'!$B$11),AND(ISNUMBER(W904),W904&gt;'Scoring Settings'!$B$12),AND(ISNUMBER(M904),M904&lt;='Scoring Settings'!$B$13)),"High","Medium")))</f>
        <v>High</v>
      </c>
      <c r="AN904" s="5"/>
      <c r="AO904" s="7"/>
      <c r="AP904" s="5" t="s">
        <v>98</v>
      </c>
      <c r="AQ904" s="29" t="s">
        <v>124</v>
      </c>
    </row>
    <row r="905" spans="1:43" hidden="1">
      <c r="A905" s="28">
        <v>162613</v>
      </c>
      <c r="B905" s="5" t="s">
        <v>1805</v>
      </c>
      <c r="C905" s="5" t="s">
        <v>265</v>
      </c>
      <c r="D905" s="5" t="s">
        <v>102</v>
      </c>
      <c r="E905" s="5" t="s">
        <v>311</v>
      </c>
      <c r="F905" s="5" t="s">
        <v>103</v>
      </c>
      <c r="G905" s="5" t="s">
        <v>356</v>
      </c>
      <c r="H905" s="5" t="s">
        <v>142</v>
      </c>
      <c r="I905" s="6">
        <v>105</v>
      </c>
      <c r="J905" s="7">
        <v>44275</v>
      </c>
      <c r="K905" s="8" t="str">
        <f>IF(B905="","",IF(AND(I905="",J905=""),"Unknown",IF(OR(AND(ISNUMBER(I905),I905=0),AND(ISNUMBER(J905),J905&lt;=EDATE('Scoring Settings'!$B$4,-'Scoring Settings'!$B$5))),"Not in use",IF(AND(ISNUMBER(I905),I905&lt;'Scoring Settings'!$B$6),"Low use","Active"))))</f>
        <v>Active</v>
      </c>
      <c r="L905" s="5">
        <v>5</v>
      </c>
      <c r="M905" s="5">
        <v>2</v>
      </c>
      <c r="N905" s="5"/>
      <c r="O905" s="5" t="s">
        <v>143</v>
      </c>
      <c r="P905" s="5" t="s">
        <v>144</v>
      </c>
      <c r="Q905" s="9">
        <v>0</v>
      </c>
      <c r="R905" s="5" t="s">
        <v>145</v>
      </c>
      <c r="S905" s="5" t="s">
        <v>145</v>
      </c>
      <c r="T905" s="5" t="s">
        <v>146</v>
      </c>
      <c r="U905" s="7">
        <v>45107</v>
      </c>
      <c r="V905" s="5" t="s">
        <v>78</v>
      </c>
      <c r="W905" s="6">
        <v>250</v>
      </c>
      <c r="X905" s="5" t="s">
        <v>79</v>
      </c>
      <c r="Y905" s="9">
        <v>5</v>
      </c>
      <c r="Z905" s="5" t="s">
        <v>80</v>
      </c>
      <c r="AA905" s="5" t="s">
        <v>81</v>
      </c>
      <c r="AB905" s="9">
        <v>25</v>
      </c>
      <c r="AC905" s="5" t="s">
        <v>80</v>
      </c>
      <c r="AD905" s="5" t="s">
        <v>80</v>
      </c>
      <c r="AE905" s="5" t="s">
        <v>80</v>
      </c>
      <c r="AF905" s="10">
        <v>33500</v>
      </c>
      <c r="AG905" s="7">
        <v>49460</v>
      </c>
      <c r="AH905" s="10"/>
      <c r="AI905" s="10"/>
      <c r="AJ905" s="11" t="str">
        <f t="shared" si="14"/>
        <v/>
      </c>
      <c r="AK905" s="12">
        <f>IF(B905="","",OR(K905="Not in use",K905="Low use")+AND(N905&lt;&gt;"",N905&lt;&gt;"TBD")+AND(ISNUMBER(U905),U905&lt;=EDATE('Scoring Settings'!$B$4,'Scoring Settings'!$B$8))+AND(ISNUMBER(L905),L905&lt;='Scoring Settings'!$B$7))</f>
        <v>0</v>
      </c>
      <c r="AL905" s="5" t="s">
        <v>83</v>
      </c>
      <c r="AM905" s="8" t="str">
        <f>IF(B905="","",IF(Z905="N","Easy",IF(OR(AND(ISNUMBER(AB905),AB905&gt;'Scoring Settings'!$B$11),AND(ISNUMBER(W905),W905&gt;'Scoring Settings'!$B$12),AND(ISNUMBER(M905),M905&lt;='Scoring Settings'!$B$13)),"High","Medium")))</f>
        <v>High</v>
      </c>
      <c r="AN905" s="5"/>
      <c r="AO905" s="7"/>
      <c r="AP905" s="5" t="s">
        <v>84</v>
      </c>
      <c r="AQ905" s="29" t="s">
        <v>247</v>
      </c>
    </row>
    <row r="906" spans="1:43" ht="42.75" hidden="1">
      <c r="A906" s="28">
        <v>97484</v>
      </c>
      <c r="B906" s="5" t="s">
        <v>1806</v>
      </c>
      <c r="C906" s="5" t="s">
        <v>265</v>
      </c>
      <c r="D906" s="5" t="s">
        <v>102</v>
      </c>
      <c r="E906" s="5" t="s">
        <v>311</v>
      </c>
      <c r="F906" s="5" t="s">
        <v>173</v>
      </c>
      <c r="G906" s="5" t="s">
        <v>271</v>
      </c>
      <c r="H906" s="5" t="s">
        <v>142</v>
      </c>
      <c r="I906" s="6">
        <v>0</v>
      </c>
      <c r="J906" s="7">
        <v>44176</v>
      </c>
      <c r="K906" s="8" t="str">
        <f>IF(B906="","",IF(AND(I906="",J906=""),"Unknown",IF(OR(AND(ISNUMBER(I906),I906=0),AND(ISNUMBER(J906),J906&lt;=EDATE('Scoring Settings'!$B$4,-'Scoring Settings'!$B$5))),"Not in use",IF(AND(ISNUMBER(I906),I906&lt;'Scoring Settings'!$B$6),"Low use","Active"))))</f>
        <v>Not in use</v>
      </c>
      <c r="L906" s="5">
        <v>4</v>
      </c>
      <c r="M906" s="5">
        <v>1</v>
      </c>
      <c r="N906" s="5" t="s">
        <v>784</v>
      </c>
      <c r="O906" s="5" t="s">
        <v>143</v>
      </c>
      <c r="P906" s="5" t="s">
        <v>144</v>
      </c>
      <c r="Q906" s="9">
        <v>0</v>
      </c>
      <c r="R906" s="5" t="s">
        <v>145</v>
      </c>
      <c r="S906" s="5" t="s">
        <v>145</v>
      </c>
      <c r="T906" s="5" t="s">
        <v>146</v>
      </c>
      <c r="U906" s="7">
        <v>45716</v>
      </c>
      <c r="V906" s="5" t="s">
        <v>95</v>
      </c>
      <c r="W906" s="6">
        <v>76</v>
      </c>
      <c r="X906" s="5" t="s">
        <v>80</v>
      </c>
      <c r="Y906" s="9">
        <v>10</v>
      </c>
      <c r="Z906" s="5" t="s">
        <v>79</v>
      </c>
      <c r="AA906" s="5" t="s">
        <v>110</v>
      </c>
      <c r="AB906" s="9">
        <v>82</v>
      </c>
      <c r="AC906" s="5" t="s">
        <v>82</v>
      </c>
      <c r="AD906" s="5" t="s">
        <v>79</v>
      </c>
      <c r="AE906" s="5" t="s">
        <v>79</v>
      </c>
      <c r="AF906" s="10">
        <v>490000</v>
      </c>
      <c r="AG906" s="7">
        <v>48699</v>
      </c>
      <c r="AH906" s="10">
        <v>1060000</v>
      </c>
      <c r="AI906" s="10">
        <v>315000</v>
      </c>
      <c r="AJ906" s="11">
        <f t="shared" si="14"/>
        <v>40.38095238095238</v>
      </c>
      <c r="AK906" s="12">
        <f>IF(B906="","",OR(K906="Not in use",K906="Low use")+AND(N906&lt;&gt;"",N906&lt;&gt;"TBD")+AND(ISNUMBER(U906),U906&lt;=EDATE('Scoring Settings'!$B$4,'Scoring Settings'!$B$8))+AND(ISNUMBER(L906),L906&lt;='Scoring Settings'!$B$7))</f>
        <v>2</v>
      </c>
      <c r="AL906" s="5" t="s">
        <v>111</v>
      </c>
      <c r="AM906" s="8" t="str">
        <f>IF(B906="","",IF(Z906="N","Easy",IF(OR(AND(ISNUMBER(AB906),AB906&gt;'Scoring Settings'!$B$11),AND(ISNUMBER(W906),W906&gt;'Scoring Settings'!$B$12),AND(ISNUMBER(M906),M906&lt;='Scoring Settings'!$B$13)),"High","Medium")))</f>
        <v>Easy</v>
      </c>
      <c r="AN906" s="5"/>
      <c r="AO906" s="7"/>
      <c r="AP906" s="5" t="s">
        <v>98</v>
      </c>
      <c r="AQ906" s="29" t="s">
        <v>1807</v>
      </c>
    </row>
    <row r="907" spans="1:43" hidden="1">
      <c r="A907" s="28">
        <v>111308</v>
      </c>
      <c r="B907" s="5" t="s">
        <v>1809</v>
      </c>
      <c r="C907" s="5" t="s">
        <v>87</v>
      </c>
      <c r="D907" s="5" t="s">
        <v>88</v>
      </c>
      <c r="E907" s="5" t="s">
        <v>68</v>
      </c>
      <c r="F907" s="5" t="s">
        <v>302</v>
      </c>
      <c r="G907" s="5" t="s">
        <v>104</v>
      </c>
      <c r="H907" s="5" t="s">
        <v>142</v>
      </c>
      <c r="I907" s="6">
        <v>134</v>
      </c>
      <c r="J907" s="7">
        <v>44291</v>
      </c>
      <c r="K907" s="8" t="str">
        <f>IF(B907="","",IF(AND(I907="",J907=""),"Unknown",IF(OR(AND(ISNUMBER(I907),I907=0),AND(ISNUMBER(J907),J907&lt;=EDATE('Scoring Settings'!$B$4,-'Scoring Settings'!$B$5))),"Not in use",IF(AND(ISNUMBER(I907),I907&lt;'Scoring Settings'!$B$6),"Low use","Active"))))</f>
        <v>Active</v>
      </c>
      <c r="L907" s="5">
        <v>4</v>
      </c>
      <c r="M907" s="5">
        <v>2</v>
      </c>
      <c r="N907" s="5"/>
      <c r="O907" s="5" t="s">
        <v>143</v>
      </c>
      <c r="P907" s="5" t="s">
        <v>144</v>
      </c>
      <c r="Q907" s="9">
        <v>0</v>
      </c>
      <c r="R907" s="5" t="s">
        <v>145</v>
      </c>
      <c r="S907" s="5" t="s">
        <v>145</v>
      </c>
      <c r="T907" s="5" t="s">
        <v>146</v>
      </c>
      <c r="U907" s="7">
        <v>44712</v>
      </c>
      <c r="V907" s="5" t="s">
        <v>135</v>
      </c>
      <c r="W907" s="6">
        <v>5</v>
      </c>
      <c r="X907" s="5" t="s">
        <v>79</v>
      </c>
      <c r="Y907" s="9">
        <v>7</v>
      </c>
      <c r="Z907" s="5" t="s">
        <v>79</v>
      </c>
      <c r="AA907" s="5" t="s">
        <v>110</v>
      </c>
      <c r="AB907" s="9">
        <v>13</v>
      </c>
      <c r="AC907" s="5" t="s">
        <v>79</v>
      </c>
      <c r="AD907" s="5" t="s">
        <v>80</v>
      </c>
      <c r="AE907" s="5" t="s">
        <v>79</v>
      </c>
      <c r="AF907" s="10">
        <v>36000</v>
      </c>
      <c r="AG907" s="7">
        <v>47726</v>
      </c>
      <c r="AH907" s="10"/>
      <c r="AI907" s="10"/>
      <c r="AJ907" s="11" t="str">
        <f t="shared" si="14"/>
        <v/>
      </c>
      <c r="AK907" s="12">
        <f>IF(B907="","",OR(K907="Not in use",K907="Low use")+AND(N907&lt;&gt;"",N907&lt;&gt;"TBD")+AND(ISNUMBER(U907),U907&lt;=EDATE('Scoring Settings'!$B$4,'Scoring Settings'!$B$8))+AND(ISNUMBER(L907),L907&lt;='Scoring Settings'!$B$7))</f>
        <v>0</v>
      </c>
      <c r="AL907" s="5" t="s">
        <v>83</v>
      </c>
      <c r="AM907" s="8" t="str">
        <f>IF(B907="","",IF(Z907="N","Easy",IF(OR(AND(ISNUMBER(AB907),AB907&gt;'Scoring Settings'!$B$11),AND(ISNUMBER(W907),W907&gt;'Scoring Settings'!$B$12),AND(ISNUMBER(M907),M907&lt;='Scoring Settings'!$B$13)),"High","Medium")))</f>
        <v>Easy</v>
      </c>
      <c r="AN907" s="5"/>
      <c r="AO907" s="7"/>
      <c r="AP907" s="5" t="s">
        <v>84</v>
      </c>
      <c r="AQ907" s="29" t="s">
        <v>206</v>
      </c>
    </row>
    <row r="908" spans="1:43" hidden="1">
      <c r="A908" s="28">
        <v>156448</v>
      </c>
      <c r="B908" s="5" t="s">
        <v>1812</v>
      </c>
      <c r="C908" s="5" t="s">
        <v>599</v>
      </c>
      <c r="D908" s="5" t="s">
        <v>67</v>
      </c>
      <c r="E908" s="5" t="s">
        <v>68</v>
      </c>
      <c r="F908" s="5" t="s">
        <v>178</v>
      </c>
      <c r="G908" s="5" t="s">
        <v>179</v>
      </c>
      <c r="H908" s="5" t="s">
        <v>91</v>
      </c>
      <c r="I908" s="6">
        <v>357</v>
      </c>
      <c r="J908" s="7">
        <v>44314</v>
      </c>
      <c r="K908" s="8" t="str">
        <f>IF(B908="","",IF(AND(I908="",J908=""),"Unknown",IF(OR(AND(ISNUMBER(I908),I908=0),AND(ISNUMBER(J908),J908&lt;=EDATE('Scoring Settings'!$B$4,-'Scoring Settings'!$B$5))),"Not in use",IF(AND(ISNUMBER(I908),I908&lt;'Scoring Settings'!$B$6),"Low use","Active"))))</f>
        <v>Active</v>
      </c>
      <c r="L908" s="5">
        <v>3</v>
      </c>
      <c r="M908" s="5">
        <v>3</v>
      </c>
      <c r="N908" s="5"/>
      <c r="O908" s="5" t="s">
        <v>73</v>
      </c>
      <c r="P908" s="5" t="s">
        <v>1813</v>
      </c>
      <c r="Q908" s="9">
        <v>4</v>
      </c>
      <c r="R908" s="5" t="s">
        <v>478</v>
      </c>
      <c r="S908" s="5" t="s">
        <v>479</v>
      </c>
      <c r="T908" s="5" t="s">
        <v>184</v>
      </c>
      <c r="U908" s="7">
        <v>43844</v>
      </c>
      <c r="V908" s="5" t="s">
        <v>78</v>
      </c>
      <c r="W908" s="6">
        <v>180</v>
      </c>
      <c r="X908" s="5" t="s">
        <v>80</v>
      </c>
      <c r="Y908" s="9">
        <v>7</v>
      </c>
      <c r="Z908" s="5" t="s">
        <v>79</v>
      </c>
      <c r="AA908" s="5" t="s">
        <v>110</v>
      </c>
      <c r="AB908" s="9">
        <v>1</v>
      </c>
      <c r="AC908" s="5" t="s">
        <v>82</v>
      </c>
      <c r="AD908" s="5" t="s">
        <v>82</v>
      </c>
      <c r="AE908" s="5" t="s">
        <v>82</v>
      </c>
      <c r="AF908" s="10">
        <v>29000</v>
      </c>
      <c r="AG908" s="7">
        <v>45716</v>
      </c>
      <c r="AH908" s="10">
        <v>37500</v>
      </c>
      <c r="AI908" s="10">
        <v>28000</v>
      </c>
      <c r="AJ908" s="11">
        <f t="shared" si="14"/>
        <v>16.071428571428569</v>
      </c>
      <c r="AK908" s="12">
        <f>IF(B908="","",OR(K908="Not in use",K908="Low use")+AND(N908&lt;&gt;"",N908&lt;&gt;"TBD")+AND(ISNUMBER(U908),U908&lt;=EDATE('Scoring Settings'!$B$4,'Scoring Settings'!$B$8))+AND(ISNUMBER(L908),L908&lt;='Scoring Settings'!$B$7))</f>
        <v>1</v>
      </c>
      <c r="AL908" s="5" t="s">
        <v>111</v>
      </c>
      <c r="AM908" s="8" t="str">
        <f>IF(B908="","",IF(Z908="N","Easy",IF(OR(AND(ISNUMBER(AB908),AB908&gt;'Scoring Settings'!$B$11),AND(ISNUMBER(W908),W908&gt;'Scoring Settings'!$B$12),AND(ISNUMBER(M908),M908&lt;='Scoring Settings'!$B$13)),"High","Medium")))</f>
        <v>Easy</v>
      </c>
      <c r="AN908" s="5"/>
      <c r="AO908" s="7"/>
      <c r="AP908" s="5" t="s">
        <v>98</v>
      </c>
      <c r="AQ908" s="29" t="s">
        <v>159</v>
      </c>
    </row>
    <row r="909" spans="1:43" hidden="1">
      <c r="A909" s="28">
        <v>31079</v>
      </c>
      <c r="B909" s="5" t="s">
        <v>1817</v>
      </c>
      <c r="C909" s="5" t="s">
        <v>156</v>
      </c>
      <c r="D909" s="5" t="s">
        <v>139</v>
      </c>
      <c r="E909" s="5" t="s">
        <v>68</v>
      </c>
      <c r="F909" s="5" t="s">
        <v>243</v>
      </c>
      <c r="G909" s="5" t="s">
        <v>278</v>
      </c>
      <c r="H909" s="5" t="s">
        <v>105</v>
      </c>
      <c r="I909" s="6">
        <v>109</v>
      </c>
      <c r="J909" s="7">
        <v>44305</v>
      </c>
      <c r="K909" s="8" t="str">
        <f>IF(B909="","",IF(AND(I909="",J909=""),"Unknown",IF(OR(AND(ISNUMBER(I909),I909=0),AND(ISNUMBER(J909),J909&lt;=EDATE('Scoring Settings'!$B$4,-'Scoring Settings'!$B$5))),"Not in use",IF(AND(ISNUMBER(I909),I909&lt;'Scoring Settings'!$B$6),"Low use","Active"))))</f>
        <v>Active</v>
      </c>
      <c r="L909" s="5">
        <v>1</v>
      </c>
      <c r="M909" s="5">
        <v>3</v>
      </c>
      <c r="N909" s="5"/>
      <c r="O909" s="5" t="s">
        <v>73</v>
      </c>
      <c r="P909" s="5" t="s">
        <v>1818</v>
      </c>
      <c r="Q909" s="9">
        <v>4</v>
      </c>
      <c r="R909" s="5" t="s">
        <v>93</v>
      </c>
      <c r="S909" s="5" t="s">
        <v>94</v>
      </c>
      <c r="T909" s="5" t="s">
        <v>122</v>
      </c>
      <c r="U909" s="7">
        <v>44561</v>
      </c>
      <c r="V909" s="5" t="s">
        <v>95</v>
      </c>
      <c r="W909" s="6">
        <v>920</v>
      </c>
      <c r="X909" s="5" t="s">
        <v>79</v>
      </c>
      <c r="Y909" s="9">
        <v>7</v>
      </c>
      <c r="Z909" s="5" t="s">
        <v>79</v>
      </c>
      <c r="AA909" s="5" t="s">
        <v>110</v>
      </c>
      <c r="AB909" s="9">
        <v>5</v>
      </c>
      <c r="AC909" s="5" t="s">
        <v>82</v>
      </c>
      <c r="AD909" s="5" t="s">
        <v>79</v>
      </c>
      <c r="AE909" s="5" t="s">
        <v>80</v>
      </c>
      <c r="AF909" s="10">
        <v>27000</v>
      </c>
      <c r="AG909" s="7">
        <v>48822</v>
      </c>
      <c r="AH909" s="10">
        <v>23000</v>
      </c>
      <c r="AI909" s="10">
        <v>22500</v>
      </c>
      <c r="AJ909" s="11">
        <f t="shared" si="14"/>
        <v>12.266666666666666</v>
      </c>
      <c r="AK909" s="12">
        <f>IF(B909="","",OR(K909="Not in use",K909="Low use")+AND(N909&lt;&gt;"",N909&lt;&gt;"TBD")+AND(ISNUMBER(U909),U909&lt;=EDATE('Scoring Settings'!$B$4,'Scoring Settings'!$B$8))+AND(ISNUMBER(L909),L909&lt;='Scoring Settings'!$B$7))</f>
        <v>2</v>
      </c>
      <c r="AL909" s="5" t="s">
        <v>111</v>
      </c>
      <c r="AM909" s="8" t="str">
        <f>IF(B909="","",IF(Z909="N","Easy",IF(OR(AND(ISNUMBER(AB909),AB909&gt;'Scoring Settings'!$B$11),AND(ISNUMBER(W909),W909&gt;'Scoring Settings'!$B$12),AND(ISNUMBER(M909),M909&lt;='Scoring Settings'!$B$13)),"High","Medium")))</f>
        <v>Easy</v>
      </c>
      <c r="AN909" s="5"/>
      <c r="AO909" s="7"/>
      <c r="AP909" s="5" t="s">
        <v>98</v>
      </c>
      <c r="AQ909" s="29" t="s">
        <v>124</v>
      </c>
    </row>
    <row r="910" spans="1:43" hidden="1">
      <c r="A910" s="28">
        <v>113233</v>
      </c>
      <c r="B910" s="5" t="s">
        <v>1819</v>
      </c>
      <c r="C910" s="5" t="s">
        <v>265</v>
      </c>
      <c r="D910" s="5" t="s">
        <v>102</v>
      </c>
      <c r="E910" s="5" t="s">
        <v>68</v>
      </c>
      <c r="F910" s="5" t="s">
        <v>152</v>
      </c>
      <c r="G910" s="5" t="s">
        <v>128</v>
      </c>
      <c r="H910" s="5" t="s">
        <v>118</v>
      </c>
      <c r="I910" s="6">
        <v>4</v>
      </c>
      <c r="J910" s="7">
        <v>44274</v>
      </c>
      <c r="K910" s="8" t="str">
        <f>IF(B910="","",IF(AND(I910="",J910=""),"Unknown",IF(OR(AND(ISNUMBER(I910),I910=0),AND(ISNUMBER(J910),J910&lt;=EDATE('Scoring Settings'!$B$4,-'Scoring Settings'!$B$5))),"Not in use",IF(AND(ISNUMBER(I910),I910&lt;'Scoring Settings'!$B$6),"Low use","Active"))))</f>
        <v>Low use</v>
      </c>
      <c r="L910" s="5">
        <v>4</v>
      </c>
      <c r="M910" s="5">
        <v>2</v>
      </c>
      <c r="N910" s="5"/>
      <c r="O910" s="5" t="s">
        <v>191</v>
      </c>
      <c r="P910" s="5" t="s">
        <v>192</v>
      </c>
      <c r="Q910" s="9">
        <v>0</v>
      </c>
      <c r="R910" s="5" t="s">
        <v>193</v>
      </c>
      <c r="S910" s="5" t="s">
        <v>194</v>
      </c>
      <c r="T910" s="5" t="s">
        <v>195</v>
      </c>
      <c r="U910" s="7"/>
      <c r="V910" s="5" t="s">
        <v>135</v>
      </c>
      <c r="W910" s="6">
        <v>260</v>
      </c>
      <c r="X910" s="5" t="s">
        <v>79</v>
      </c>
      <c r="Y910" s="9">
        <v>3</v>
      </c>
      <c r="Z910" s="5" t="s">
        <v>80</v>
      </c>
      <c r="AA910" s="5" t="s">
        <v>185</v>
      </c>
      <c r="AB910" s="9">
        <v>18</v>
      </c>
      <c r="AC910" s="5" t="s">
        <v>79</v>
      </c>
      <c r="AD910" s="5" t="s">
        <v>82</v>
      </c>
      <c r="AE910" s="5" t="s">
        <v>82</v>
      </c>
      <c r="AF910" s="10">
        <v>14500</v>
      </c>
      <c r="AG910" s="7">
        <v>45747</v>
      </c>
      <c r="AH910" s="10">
        <v>22500</v>
      </c>
      <c r="AI910" s="10">
        <v>14000</v>
      </c>
      <c r="AJ910" s="11">
        <f t="shared" si="14"/>
        <v>19.285714285714285</v>
      </c>
      <c r="AK910" s="12">
        <f>IF(B910="","",OR(K910="Not in use",K910="Low use")+AND(N910&lt;&gt;"",N910&lt;&gt;"TBD")+AND(ISNUMBER(U910),U910&lt;=EDATE('Scoring Settings'!$B$4,'Scoring Settings'!$B$8))+AND(ISNUMBER(L910),L910&lt;='Scoring Settings'!$B$7))</f>
        <v>1</v>
      </c>
      <c r="AL910" s="5" t="s">
        <v>111</v>
      </c>
      <c r="AM910" s="8" t="str">
        <f>IF(B910="","",IF(Z910="N","Easy",IF(OR(AND(ISNUMBER(AB910),AB910&gt;'Scoring Settings'!$B$11),AND(ISNUMBER(W910),W910&gt;'Scoring Settings'!$B$12),AND(ISNUMBER(M910),M910&lt;='Scoring Settings'!$B$13)),"High","Medium")))</f>
        <v>High</v>
      </c>
      <c r="AN910" s="5"/>
      <c r="AO910" s="7"/>
      <c r="AP910" s="5" t="s">
        <v>98</v>
      </c>
      <c r="AQ910" s="29" t="s">
        <v>124</v>
      </c>
    </row>
    <row r="911" spans="1:43" hidden="1">
      <c r="A911" s="28">
        <v>90463</v>
      </c>
      <c r="B911" s="5" t="s">
        <v>1822</v>
      </c>
      <c r="C911" s="5" t="s">
        <v>380</v>
      </c>
      <c r="D911" s="5" t="s">
        <v>102</v>
      </c>
      <c r="E911" s="5" t="s">
        <v>68</v>
      </c>
      <c r="F911" s="5" t="s">
        <v>116</v>
      </c>
      <c r="G911" s="5" t="s">
        <v>271</v>
      </c>
      <c r="H911" s="5" t="s">
        <v>142</v>
      </c>
      <c r="I911" s="6">
        <v>440</v>
      </c>
      <c r="J911" s="7">
        <v>44301</v>
      </c>
      <c r="K911" s="8" t="str">
        <f>IF(B911="","",IF(AND(I911="",J911=""),"Unknown",IF(OR(AND(ISNUMBER(I911),I911=0),AND(ISNUMBER(J911),J911&lt;=EDATE('Scoring Settings'!$B$4,-'Scoring Settings'!$B$5))),"Not in use",IF(AND(ISNUMBER(I911),I911&lt;'Scoring Settings'!$B$6),"Low use","Active"))))</f>
        <v>Active</v>
      </c>
      <c r="L911" s="5">
        <v>4</v>
      </c>
      <c r="M911" s="5">
        <v>2</v>
      </c>
      <c r="N911" s="5" t="s">
        <v>1163</v>
      </c>
      <c r="O911" s="5" t="s">
        <v>143</v>
      </c>
      <c r="P911" s="5" t="s">
        <v>144</v>
      </c>
      <c r="Q911" s="9">
        <v>0</v>
      </c>
      <c r="R911" s="5" t="s">
        <v>145</v>
      </c>
      <c r="S911" s="5" t="s">
        <v>145</v>
      </c>
      <c r="T911" s="5" t="s">
        <v>146</v>
      </c>
      <c r="U911" s="7"/>
      <c r="V911" s="5" t="s">
        <v>95</v>
      </c>
      <c r="W911" s="6">
        <v>50</v>
      </c>
      <c r="X911" s="5" t="s">
        <v>79</v>
      </c>
      <c r="Y911" s="9">
        <v>1</v>
      </c>
      <c r="Z911" s="5" t="s">
        <v>79</v>
      </c>
      <c r="AA911" s="5" t="s">
        <v>110</v>
      </c>
      <c r="AB911" s="9">
        <v>27</v>
      </c>
      <c r="AC911" s="5" t="s">
        <v>79</v>
      </c>
      <c r="AD911" s="5" t="s">
        <v>79</v>
      </c>
      <c r="AE911" s="5" t="s">
        <v>80</v>
      </c>
      <c r="AF911" s="10">
        <v>165000</v>
      </c>
      <c r="AG911" s="7">
        <v>47726</v>
      </c>
      <c r="AH911" s="10"/>
      <c r="AI911" s="10"/>
      <c r="AJ911" s="11" t="str">
        <f t="shared" si="14"/>
        <v/>
      </c>
      <c r="AK911" s="12">
        <f>IF(B911="","",OR(K911="Not in use",K911="Low use")+AND(N911&lt;&gt;"",N911&lt;&gt;"TBD")+AND(ISNUMBER(U911),U911&lt;=EDATE('Scoring Settings'!$B$4,'Scoring Settings'!$B$8))+AND(ISNUMBER(L911),L911&lt;='Scoring Settings'!$B$7))</f>
        <v>1</v>
      </c>
      <c r="AL911" s="5" t="s">
        <v>111</v>
      </c>
      <c r="AM911" s="8" t="str">
        <f>IF(B911="","",IF(Z911="N","Easy",IF(OR(AND(ISNUMBER(AB911),AB911&gt;'Scoring Settings'!$B$11),AND(ISNUMBER(W911),W911&gt;'Scoring Settings'!$B$12),AND(ISNUMBER(M911),M911&lt;='Scoring Settings'!$B$13)),"High","Medium")))</f>
        <v>Easy</v>
      </c>
      <c r="AN911" s="5"/>
      <c r="AO911" s="7"/>
      <c r="AP911" s="5" t="s">
        <v>98</v>
      </c>
      <c r="AQ911" s="29" t="s">
        <v>218</v>
      </c>
    </row>
    <row r="912" spans="1:43" hidden="1">
      <c r="A912" s="28">
        <v>108153</v>
      </c>
      <c r="B912" s="5" t="s">
        <v>1823</v>
      </c>
      <c r="C912" s="5" t="s">
        <v>66</v>
      </c>
      <c r="D912" s="5" t="s">
        <v>67</v>
      </c>
      <c r="E912" s="5" t="s">
        <v>68</v>
      </c>
      <c r="F912" s="5" t="s">
        <v>312</v>
      </c>
      <c r="G912" s="5" t="s">
        <v>226</v>
      </c>
      <c r="H912" s="5" t="s">
        <v>129</v>
      </c>
      <c r="I912" s="6">
        <v>134</v>
      </c>
      <c r="J912" s="7">
        <v>44292</v>
      </c>
      <c r="K912" s="8" t="str">
        <f>IF(B912="","",IF(AND(I912="",J912=""),"Unknown",IF(OR(AND(ISNUMBER(I912),I912=0),AND(ISNUMBER(J912),J912&lt;=EDATE('Scoring Settings'!$B$4,-'Scoring Settings'!$B$5))),"Not in use",IF(AND(ISNUMBER(I912),I912&lt;'Scoring Settings'!$B$6),"Low use","Active"))))</f>
        <v>Active</v>
      </c>
      <c r="L912" s="5">
        <v>4</v>
      </c>
      <c r="M912" s="5">
        <v>2</v>
      </c>
      <c r="N912" s="5" t="s">
        <v>227</v>
      </c>
      <c r="O912" s="5" t="s">
        <v>73</v>
      </c>
      <c r="P912" s="5" t="s">
        <v>1764</v>
      </c>
      <c r="Q912" s="9">
        <v>4</v>
      </c>
      <c r="R912" s="5" t="s">
        <v>203</v>
      </c>
      <c r="S912" s="5" t="s">
        <v>508</v>
      </c>
      <c r="T912" s="5" t="s">
        <v>72</v>
      </c>
      <c r="U912" s="7">
        <v>47269</v>
      </c>
      <c r="V912" s="5" t="s">
        <v>135</v>
      </c>
      <c r="W912" s="6">
        <v>35</v>
      </c>
      <c r="X912" s="5" t="s">
        <v>79</v>
      </c>
      <c r="Y912" s="9">
        <v>7</v>
      </c>
      <c r="Z912" s="5" t="s">
        <v>80</v>
      </c>
      <c r="AA912" s="5" t="s">
        <v>81</v>
      </c>
      <c r="AB912" s="9">
        <v>18</v>
      </c>
      <c r="AC912" s="5" t="s">
        <v>82</v>
      </c>
      <c r="AD912" s="5" t="s">
        <v>79</v>
      </c>
      <c r="AE912" s="5" t="s">
        <v>82</v>
      </c>
      <c r="AF912" s="10">
        <v>90000</v>
      </c>
      <c r="AG912" s="7">
        <v>46265</v>
      </c>
      <c r="AH912" s="10"/>
      <c r="AI912" s="10"/>
      <c r="AJ912" s="11" t="str">
        <f t="shared" si="14"/>
        <v/>
      </c>
      <c r="AK912" s="12">
        <f>IF(B912="","",OR(K912="Not in use",K912="Low use")+AND(N912&lt;&gt;"",N912&lt;&gt;"TBD")+AND(ISNUMBER(U912),U912&lt;=EDATE('Scoring Settings'!$B$4,'Scoring Settings'!$B$8))+AND(ISNUMBER(L912),L912&lt;='Scoring Settings'!$B$7))</f>
        <v>1</v>
      </c>
      <c r="AL912" s="5" t="s">
        <v>111</v>
      </c>
      <c r="AM912" s="8" t="str">
        <f>IF(B912="","",IF(Z912="N","Easy",IF(OR(AND(ISNUMBER(AB912),AB912&gt;'Scoring Settings'!$B$11),AND(ISNUMBER(W912),W912&gt;'Scoring Settings'!$B$12),AND(ISNUMBER(M912),M912&lt;='Scoring Settings'!$B$13)),"High","Medium")))</f>
        <v>High</v>
      </c>
      <c r="AN912" s="5"/>
      <c r="AO912" s="7"/>
      <c r="AP912" s="5" t="s">
        <v>98</v>
      </c>
      <c r="AQ912" s="29" t="s">
        <v>218</v>
      </c>
    </row>
    <row r="913" spans="1:43" hidden="1">
      <c r="A913" s="28">
        <v>148285</v>
      </c>
      <c r="B913" s="5" t="s">
        <v>1825</v>
      </c>
      <c r="C913" s="5" t="s">
        <v>467</v>
      </c>
      <c r="D913" s="5" t="s">
        <v>297</v>
      </c>
      <c r="E913" s="5" t="s">
        <v>298</v>
      </c>
      <c r="F913" s="5" t="s">
        <v>476</v>
      </c>
      <c r="G913" s="5" t="s">
        <v>221</v>
      </c>
      <c r="H913" s="5" t="s">
        <v>142</v>
      </c>
      <c r="I913" s="6">
        <v>109</v>
      </c>
      <c r="J913" s="7">
        <v>44299</v>
      </c>
      <c r="K913" s="8" t="str">
        <f>IF(B913="","",IF(AND(I913="",J913=""),"Unknown",IF(OR(AND(ISNUMBER(I913),I913=0),AND(ISNUMBER(J913),J913&lt;=EDATE('Scoring Settings'!$B$4,-'Scoring Settings'!$B$5))),"Not in use",IF(AND(ISNUMBER(I913),I913&lt;'Scoring Settings'!$B$6),"Low use","Active"))))</f>
        <v>Active</v>
      </c>
      <c r="L913" s="5">
        <v>4</v>
      </c>
      <c r="M913" s="5">
        <v>2</v>
      </c>
      <c r="N913" s="5" t="s">
        <v>575</v>
      </c>
      <c r="O913" s="5" t="s">
        <v>143</v>
      </c>
      <c r="P913" s="5" t="s">
        <v>144</v>
      </c>
      <c r="Q913" s="9">
        <v>0</v>
      </c>
      <c r="R913" s="5" t="s">
        <v>145</v>
      </c>
      <c r="S913" s="5" t="s">
        <v>145</v>
      </c>
      <c r="T913" s="5" t="s">
        <v>146</v>
      </c>
      <c r="U913" s="7"/>
      <c r="V913" s="5" t="s">
        <v>135</v>
      </c>
      <c r="W913" s="6">
        <v>440</v>
      </c>
      <c r="X913" s="5" t="s">
        <v>80</v>
      </c>
      <c r="Y913" s="9">
        <v>7</v>
      </c>
      <c r="Z913" s="5" t="s">
        <v>79</v>
      </c>
      <c r="AA913" s="5" t="s">
        <v>110</v>
      </c>
      <c r="AB913" s="9">
        <v>19</v>
      </c>
      <c r="AC913" s="5" t="s">
        <v>82</v>
      </c>
      <c r="AD913" s="5" t="s">
        <v>80</v>
      </c>
      <c r="AE913" s="5" t="s">
        <v>79</v>
      </c>
      <c r="AF913" s="10">
        <v>160000</v>
      </c>
      <c r="AG913" s="7">
        <v>48883</v>
      </c>
      <c r="AH913" s="10"/>
      <c r="AI913" s="10"/>
      <c r="AJ913" s="11" t="str">
        <f t="shared" si="14"/>
        <v/>
      </c>
      <c r="AK913" s="12">
        <f>IF(B913="","",OR(K913="Not in use",K913="Low use")+AND(N913&lt;&gt;"",N913&lt;&gt;"TBD")+AND(ISNUMBER(U913),U913&lt;=EDATE('Scoring Settings'!$B$4,'Scoring Settings'!$B$8))+AND(ISNUMBER(L913),L913&lt;='Scoring Settings'!$B$7))</f>
        <v>1</v>
      </c>
      <c r="AL913" s="5" t="s">
        <v>111</v>
      </c>
      <c r="AM913" s="8" t="str">
        <f>IF(B913="","",IF(Z913="N","Easy",IF(OR(AND(ISNUMBER(AB913),AB913&gt;'Scoring Settings'!$B$11),AND(ISNUMBER(W913),W913&gt;'Scoring Settings'!$B$12),AND(ISNUMBER(M913),M913&lt;='Scoring Settings'!$B$13)),"High","Medium")))</f>
        <v>Easy</v>
      </c>
      <c r="AN913" s="5"/>
      <c r="AO913" s="7"/>
      <c r="AP913" s="5" t="s">
        <v>98</v>
      </c>
      <c r="AQ913" s="29" t="s">
        <v>159</v>
      </c>
    </row>
    <row r="914" spans="1:43" hidden="1">
      <c r="A914" s="28">
        <v>48974</v>
      </c>
      <c r="B914" s="5" t="s">
        <v>1826</v>
      </c>
      <c r="C914" s="5" t="s">
        <v>242</v>
      </c>
      <c r="D914" s="5" t="s">
        <v>115</v>
      </c>
      <c r="E914" s="5" t="s">
        <v>68</v>
      </c>
      <c r="F914" s="5" t="s">
        <v>157</v>
      </c>
      <c r="G914" s="5" t="s">
        <v>210</v>
      </c>
      <c r="H914" s="5" t="s">
        <v>105</v>
      </c>
      <c r="I914" s="6">
        <v>496</v>
      </c>
      <c r="J914" s="7">
        <v>44297</v>
      </c>
      <c r="K914" s="8" t="str">
        <f>IF(B914="","",IF(AND(I914="",J914=""),"Unknown",IF(OR(AND(ISNUMBER(I914),I914=0),AND(ISNUMBER(J914),J914&lt;=EDATE('Scoring Settings'!$B$4,-'Scoring Settings'!$B$5))),"Not in use",IF(AND(ISNUMBER(I914),I914&lt;'Scoring Settings'!$B$6),"Low use","Active"))))</f>
        <v>Active</v>
      </c>
      <c r="L914" s="5">
        <v>5</v>
      </c>
      <c r="M914" s="5">
        <v>1</v>
      </c>
      <c r="N914" s="5"/>
      <c r="O914" s="5" t="s">
        <v>73</v>
      </c>
      <c r="P914" s="5" t="s">
        <v>1827</v>
      </c>
      <c r="Q914" s="9">
        <v>7</v>
      </c>
      <c r="R914" s="5" t="s">
        <v>75</v>
      </c>
      <c r="S914" s="5" t="s">
        <v>76</v>
      </c>
      <c r="T914" s="5" t="s">
        <v>72</v>
      </c>
      <c r="U914" s="7">
        <v>46399</v>
      </c>
      <c r="V914" s="5" t="s">
        <v>95</v>
      </c>
      <c r="W914" s="6">
        <v>39</v>
      </c>
      <c r="X914" s="5" t="s">
        <v>79</v>
      </c>
      <c r="Y914" s="9">
        <v>1</v>
      </c>
      <c r="Z914" s="5" t="s">
        <v>79</v>
      </c>
      <c r="AA914" s="5" t="s">
        <v>110</v>
      </c>
      <c r="AB914" s="9">
        <v>54</v>
      </c>
      <c r="AC914" s="5" t="s">
        <v>79</v>
      </c>
      <c r="AD914" s="5" t="s">
        <v>82</v>
      </c>
      <c r="AE914" s="5" t="s">
        <v>80</v>
      </c>
      <c r="AF914" s="10">
        <v>305000</v>
      </c>
      <c r="AG914" s="7">
        <v>46418</v>
      </c>
      <c r="AH914" s="10"/>
      <c r="AI914" s="10"/>
      <c r="AJ914" s="11" t="str">
        <f t="shared" si="14"/>
        <v/>
      </c>
      <c r="AK914" s="12">
        <f>IF(B914="","",OR(K914="Not in use",K914="Low use")+AND(N914&lt;&gt;"",N914&lt;&gt;"TBD")+AND(ISNUMBER(U914),U914&lt;=EDATE('Scoring Settings'!$B$4,'Scoring Settings'!$B$8))+AND(ISNUMBER(L914),L914&lt;='Scoring Settings'!$B$7))</f>
        <v>0</v>
      </c>
      <c r="AL914" s="5" t="s">
        <v>83</v>
      </c>
      <c r="AM914" s="8" t="str">
        <f>IF(B914="","",IF(Z914="N","Easy",IF(OR(AND(ISNUMBER(AB914),AB914&gt;'Scoring Settings'!$B$11),AND(ISNUMBER(W914),W914&gt;'Scoring Settings'!$B$12),AND(ISNUMBER(M914),M914&lt;='Scoring Settings'!$B$13)),"High","Medium")))</f>
        <v>Easy</v>
      </c>
      <c r="AN914" s="5"/>
      <c r="AO914" s="7"/>
      <c r="AP914" s="5" t="s">
        <v>84</v>
      </c>
      <c r="AQ914" s="29" t="s">
        <v>247</v>
      </c>
    </row>
    <row r="915" spans="1:43" hidden="1">
      <c r="A915" s="28">
        <v>139254</v>
      </c>
      <c r="B915" s="5" t="s">
        <v>1828</v>
      </c>
      <c r="C915" s="5" t="s">
        <v>296</v>
      </c>
      <c r="D915" s="5" t="s">
        <v>297</v>
      </c>
      <c r="E915" s="5" t="s">
        <v>311</v>
      </c>
      <c r="F915" s="5" t="s">
        <v>346</v>
      </c>
      <c r="G915" s="5" t="s">
        <v>117</v>
      </c>
      <c r="H915" s="5" t="s">
        <v>129</v>
      </c>
      <c r="I915" s="6">
        <v>291</v>
      </c>
      <c r="J915" s="7">
        <v>44288</v>
      </c>
      <c r="K915" s="8" t="str">
        <f>IF(B915="","",IF(AND(I915="",J915=""),"Unknown",IF(OR(AND(ISNUMBER(I915),I915=0),AND(ISNUMBER(J915),J915&lt;=EDATE('Scoring Settings'!$B$4,-'Scoring Settings'!$B$5))),"Not in use",IF(AND(ISNUMBER(I915),I915&lt;'Scoring Settings'!$B$6),"Low use","Active"))))</f>
        <v>Active</v>
      </c>
      <c r="L915" s="5">
        <v>3</v>
      </c>
      <c r="M915" s="5">
        <v>3</v>
      </c>
      <c r="N915" s="5"/>
      <c r="O915" s="5" t="s">
        <v>73</v>
      </c>
      <c r="P915" s="5" t="s">
        <v>1829</v>
      </c>
      <c r="Q915" s="9">
        <v>4</v>
      </c>
      <c r="R915" s="5" t="s">
        <v>166</v>
      </c>
      <c r="S915" s="5" t="s">
        <v>564</v>
      </c>
      <c r="T915" s="5" t="s">
        <v>72</v>
      </c>
      <c r="U915" s="7">
        <v>44754</v>
      </c>
      <c r="V915" s="5" t="s">
        <v>95</v>
      </c>
      <c r="W915" s="6">
        <v>110</v>
      </c>
      <c r="X915" s="5" t="s">
        <v>80</v>
      </c>
      <c r="Y915" s="9">
        <v>7</v>
      </c>
      <c r="Z915" s="5" t="s">
        <v>80</v>
      </c>
      <c r="AA915" s="5" t="s">
        <v>123</v>
      </c>
      <c r="AB915" s="9">
        <v>2</v>
      </c>
      <c r="AC915" s="5" t="s">
        <v>82</v>
      </c>
      <c r="AD915" s="5" t="s">
        <v>79</v>
      </c>
      <c r="AE915" s="5" t="s">
        <v>80</v>
      </c>
      <c r="AF915" s="10">
        <v>32500</v>
      </c>
      <c r="AG915" s="7">
        <v>46265</v>
      </c>
      <c r="AH915" s="10"/>
      <c r="AI915" s="10"/>
      <c r="AJ915" s="11" t="str">
        <f t="shared" si="14"/>
        <v/>
      </c>
      <c r="AK915" s="12">
        <f>IF(B915="","",OR(K915="Not in use",K915="Low use")+AND(N915&lt;&gt;"",N915&lt;&gt;"TBD")+AND(ISNUMBER(U915),U915&lt;=EDATE('Scoring Settings'!$B$4,'Scoring Settings'!$B$8))+AND(ISNUMBER(L915),L915&lt;='Scoring Settings'!$B$7))</f>
        <v>0</v>
      </c>
      <c r="AL915" s="5" t="s">
        <v>83</v>
      </c>
      <c r="AM915" s="8" t="str">
        <f>IF(B915="","",IF(Z915="N","Easy",IF(OR(AND(ISNUMBER(AB915),AB915&gt;'Scoring Settings'!$B$11),AND(ISNUMBER(W915),W915&gt;'Scoring Settings'!$B$12),AND(ISNUMBER(M915),M915&lt;='Scoring Settings'!$B$13)),"High","Medium")))</f>
        <v>Medium</v>
      </c>
      <c r="AN915" s="5"/>
      <c r="AO915" s="7"/>
      <c r="AP915" s="5" t="s">
        <v>84</v>
      </c>
      <c r="AQ915" s="29" t="s">
        <v>206</v>
      </c>
    </row>
    <row r="916" spans="1:43" hidden="1">
      <c r="A916" s="28">
        <v>132727</v>
      </c>
      <c r="B916" s="5" t="s">
        <v>1830</v>
      </c>
      <c r="C916" s="5" t="s">
        <v>172</v>
      </c>
      <c r="D916" s="5" t="s">
        <v>162</v>
      </c>
      <c r="E916" s="5" t="s">
        <v>68</v>
      </c>
      <c r="F916" s="5" t="s">
        <v>163</v>
      </c>
      <c r="G916" s="5" t="s">
        <v>104</v>
      </c>
      <c r="H916" s="5" t="s">
        <v>91</v>
      </c>
      <c r="I916" s="6">
        <v>0</v>
      </c>
      <c r="J916" s="7">
        <v>43858</v>
      </c>
      <c r="K916" s="8" t="str">
        <f>IF(B916="","",IF(AND(I916="",J916=""),"Unknown",IF(OR(AND(ISNUMBER(I916),I916=0),AND(ISNUMBER(J916),J916&lt;=EDATE('Scoring Settings'!$B$4,-'Scoring Settings'!$B$5))),"Not in use",IF(AND(ISNUMBER(I916),I916&lt;'Scoring Settings'!$B$6),"Low use","Active"))))</f>
        <v>Not in use</v>
      </c>
      <c r="L916" s="5">
        <v>3</v>
      </c>
      <c r="M916" s="5">
        <v>2</v>
      </c>
      <c r="N916" s="5"/>
      <c r="O916" s="5" t="s">
        <v>130</v>
      </c>
      <c r="P916" s="5" t="s">
        <v>1831</v>
      </c>
      <c r="Q916" s="9">
        <v>3</v>
      </c>
      <c r="R916" s="5" t="s">
        <v>239</v>
      </c>
      <c r="S916" s="5" t="s">
        <v>240</v>
      </c>
      <c r="T916" s="5" t="s">
        <v>195</v>
      </c>
      <c r="U916" s="7">
        <v>44316</v>
      </c>
      <c r="V916" s="5" t="s">
        <v>95</v>
      </c>
      <c r="W916" s="6">
        <v>160</v>
      </c>
      <c r="X916" s="5" t="s">
        <v>79</v>
      </c>
      <c r="Y916" s="9">
        <v>3</v>
      </c>
      <c r="Z916" s="5" t="s">
        <v>80</v>
      </c>
      <c r="AA916" s="5" t="s">
        <v>185</v>
      </c>
      <c r="AB916" s="9">
        <v>8</v>
      </c>
      <c r="AC916" s="5" t="s">
        <v>82</v>
      </c>
      <c r="AD916" s="5" t="s">
        <v>82</v>
      </c>
      <c r="AE916" s="5" t="s">
        <v>79</v>
      </c>
      <c r="AF916" s="10">
        <v>32000</v>
      </c>
      <c r="AG916" s="7">
        <v>48883</v>
      </c>
      <c r="AH916" s="10"/>
      <c r="AI916" s="10"/>
      <c r="AJ916" s="11" t="str">
        <f t="shared" si="14"/>
        <v/>
      </c>
      <c r="AK916" s="12">
        <f>IF(B916="","",OR(K916="Not in use",K916="Low use")+AND(N916&lt;&gt;"",N916&lt;&gt;"TBD")+AND(ISNUMBER(U916),U916&lt;=EDATE('Scoring Settings'!$B$4,'Scoring Settings'!$B$8))+AND(ISNUMBER(L916),L916&lt;='Scoring Settings'!$B$7))</f>
        <v>2</v>
      </c>
      <c r="AL916" s="5" t="s">
        <v>111</v>
      </c>
      <c r="AM916" s="8" t="str">
        <f>IF(B916="","",IF(Z916="N","Easy",IF(OR(AND(ISNUMBER(AB916),AB916&gt;'Scoring Settings'!$B$11),AND(ISNUMBER(W916),W916&gt;'Scoring Settings'!$B$12),AND(ISNUMBER(M916),M916&lt;='Scoring Settings'!$B$13)),"High","Medium")))</f>
        <v>High</v>
      </c>
      <c r="AN916" s="5"/>
      <c r="AO916" s="7"/>
      <c r="AP916" s="5" t="s">
        <v>98</v>
      </c>
      <c r="AQ916" s="29" t="s">
        <v>124</v>
      </c>
    </row>
    <row r="917" spans="1:43" hidden="1">
      <c r="A917" s="28">
        <v>100530</v>
      </c>
      <c r="B917" s="5" t="s">
        <v>1834</v>
      </c>
      <c r="C917" s="5" t="s">
        <v>13</v>
      </c>
      <c r="D917" s="5" t="s">
        <v>162</v>
      </c>
      <c r="E917" s="5" t="s">
        <v>68</v>
      </c>
      <c r="F917" s="5" t="s">
        <v>209</v>
      </c>
      <c r="G917" s="5" t="s">
        <v>210</v>
      </c>
      <c r="H917" s="5" t="s">
        <v>142</v>
      </c>
      <c r="I917" s="6">
        <v>1390</v>
      </c>
      <c r="J917" s="7">
        <v>44308</v>
      </c>
      <c r="K917" s="8" t="str">
        <f>IF(B917="","",IF(AND(I917="",J917=""),"Unknown",IF(OR(AND(ISNUMBER(I917),I917=0),AND(ISNUMBER(J917),J917&lt;=EDATE('Scoring Settings'!$B$4,-'Scoring Settings'!$B$5))),"Not in use",IF(AND(ISNUMBER(I917),I917&lt;'Scoring Settings'!$B$6),"Low use","Active"))))</f>
        <v>Active</v>
      </c>
      <c r="L917" s="5">
        <v>3</v>
      </c>
      <c r="M917" s="5">
        <v>3</v>
      </c>
      <c r="N917" s="5" t="s">
        <v>533</v>
      </c>
      <c r="O917" s="5" t="s">
        <v>143</v>
      </c>
      <c r="P917" s="5" t="s">
        <v>144</v>
      </c>
      <c r="Q917" s="9">
        <v>0</v>
      </c>
      <c r="R917" s="5" t="s">
        <v>145</v>
      </c>
      <c r="S917" s="5" t="s">
        <v>145</v>
      </c>
      <c r="T917" s="5" t="s">
        <v>146</v>
      </c>
      <c r="U917" s="7"/>
      <c r="V917" s="5" t="s">
        <v>135</v>
      </c>
      <c r="W917" s="6">
        <v>160</v>
      </c>
      <c r="X917" s="5" t="s">
        <v>79</v>
      </c>
      <c r="Y917" s="9">
        <v>7</v>
      </c>
      <c r="Z917" s="5" t="s">
        <v>79</v>
      </c>
      <c r="AA917" s="5" t="s">
        <v>110</v>
      </c>
      <c r="AB917" s="9">
        <v>7</v>
      </c>
      <c r="AC917" s="5" t="s">
        <v>82</v>
      </c>
      <c r="AD917" s="5" t="s">
        <v>82</v>
      </c>
      <c r="AE917" s="5" t="s">
        <v>82</v>
      </c>
      <c r="AF917" s="10">
        <v>48000</v>
      </c>
      <c r="AG917" s="7">
        <v>46142</v>
      </c>
      <c r="AH917" s="10"/>
      <c r="AI917" s="10"/>
      <c r="AJ917" s="11" t="str">
        <f t="shared" si="14"/>
        <v/>
      </c>
      <c r="AK917" s="12">
        <f>IF(B917="","",OR(K917="Not in use",K917="Low use")+AND(N917&lt;&gt;"",N917&lt;&gt;"TBD")+AND(ISNUMBER(U917),U917&lt;=EDATE('Scoring Settings'!$B$4,'Scoring Settings'!$B$8))+AND(ISNUMBER(L917),L917&lt;='Scoring Settings'!$B$7))</f>
        <v>1</v>
      </c>
      <c r="AL917" s="5" t="s">
        <v>111</v>
      </c>
      <c r="AM917" s="8" t="str">
        <f>IF(B917="","",IF(Z917="N","Easy",IF(OR(AND(ISNUMBER(AB917),AB917&gt;'Scoring Settings'!$B$11),AND(ISNUMBER(W917),W917&gt;'Scoring Settings'!$B$12),AND(ISNUMBER(M917),M917&lt;='Scoring Settings'!$B$13)),"High","Medium")))</f>
        <v>Easy</v>
      </c>
      <c r="AN917" s="5"/>
      <c r="AO917" s="7"/>
      <c r="AP917" s="5" t="s">
        <v>98</v>
      </c>
      <c r="AQ917" s="29" t="s">
        <v>112</v>
      </c>
    </row>
    <row r="918" spans="1:43" hidden="1">
      <c r="A918" s="28">
        <v>111942</v>
      </c>
      <c r="B918" s="5" t="s">
        <v>1838</v>
      </c>
      <c r="C918" s="5" t="s">
        <v>114</v>
      </c>
      <c r="D918" s="5" t="s">
        <v>115</v>
      </c>
      <c r="E918" s="5" t="s">
        <v>311</v>
      </c>
      <c r="F918" s="5" t="s">
        <v>157</v>
      </c>
      <c r="G918" s="5" t="s">
        <v>237</v>
      </c>
      <c r="H918" s="5" t="s">
        <v>105</v>
      </c>
      <c r="I918" s="6">
        <v>56</v>
      </c>
      <c r="J918" s="7">
        <v>44284</v>
      </c>
      <c r="K918" s="8" t="str">
        <f>IF(B918="","",IF(AND(I918="",J918=""),"Unknown",IF(OR(AND(ISNUMBER(I918),I918=0),AND(ISNUMBER(J918),J918&lt;=EDATE('Scoring Settings'!$B$4,-'Scoring Settings'!$B$5))),"Not in use",IF(AND(ISNUMBER(I918),I918&lt;'Scoring Settings'!$B$6),"Low use","Active"))))</f>
        <v>Active</v>
      </c>
      <c r="L918" s="5">
        <v>3</v>
      </c>
      <c r="M918" s="5">
        <v>2</v>
      </c>
      <c r="N918" s="5"/>
      <c r="O918" s="5" t="s">
        <v>73</v>
      </c>
      <c r="P918" s="5" t="s">
        <v>1839</v>
      </c>
      <c r="Q918" s="9">
        <v>4</v>
      </c>
      <c r="R918" s="5" t="s">
        <v>107</v>
      </c>
      <c r="S918" s="5" t="s">
        <v>108</v>
      </c>
      <c r="T918" s="5" t="s">
        <v>77</v>
      </c>
      <c r="U918" s="7">
        <v>43655</v>
      </c>
      <c r="V918" s="5" t="s">
        <v>135</v>
      </c>
      <c r="W918" s="6">
        <v>350</v>
      </c>
      <c r="X918" s="5" t="s">
        <v>80</v>
      </c>
      <c r="Y918" s="9">
        <v>7</v>
      </c>
      <c r="Z918" s="5" t="s">
        <v>80</v>
      </c>
      <c r="AA918" s="5" t="s">
        <v>205</v>
      </c>
      <c r="AB918" s="9">
        <v>14</v>
      </c>
      <c r="AC918" s="5" t="s">
        <v>79</v>
      </c>
      <c r="AD918" s="5" t="s">
        <v>82</v>
      </c>
      <c r="AE918" s="5" t="s">
        <v>82</v>
      </c>
      <c r="AF918" s="10">
        <v>110000</v>
      </c>
      <c r="AG918" s="7">
        <v>48975</v>
      </c>
      <c r="AH918" s="10">
        <v>173500</v>
      </c>
      <c r="AI918" s="10">
        <v>80000</v>
      </c>
      <c r="AJ918" s="11">
        <f t="shared" si="14"/>
        <v>26.025000000000002</v>
      </c>
      <c r="AK918" s="12">
        <f>IF(B918="","",OR(K918="Not in use",K918="Low use")+AND(N918&lt;&gt;"",N918&lt;&gt;"TBD")+AND(ISNUMBER(U918),U918&lt;=EDATE('Scoring Settings'!$B$4,'Scoring Settings'!$B$8))+AND(ISNUMBER(L918),L918&lt;='Scoring Settings'!$B$7))</f>
        <v>1</v>
      </c>
      <c r="AL918" s="5" t="s">
        <v>111</v>
      </c>
      <c r="AM918" s="8" t="str">
        <f>IF(B918="","",IF(Z918="N","Easy",IF(OR(AND(ISNUMBER(AB918),AB918&gt;'Scoring Settings'!$B$11),AND(ISNUMBER(W918),W918&gt;'Scoring Settings'!$B$12),AND(ISNUMBER(M918),M918&lt;='Scoring Settings'!$B$13)),"High","Medium")))</f>
        <v>High</v>
      </c>
      <c r="AN918" s="5"/>
      <c r="AO918" s="7"/>
      <c r="AP918" s="5" t="s">
        <v>98</v>
      </c>
      <c r="AQ918" s="29" t="s">
        <v>112</v>
      </c>
    </row>
    <row r="919" spans="1:43" hidden="1">
      <c r="A919" s="28">
        <v>40973</v>
      </c>
      <c r="B919" s="5" t="s">
        <v>1844</v>
      </c>
      <c r="C919" s="5" t="s">
        <v>114</v>
      </c>
      <c r="D919" s="5" t="s">
        <v>115</v>
      </c>
      <c r="E919" s="5" t="s">
        <v>68</v>
      </c>
      <c r="F919" s="5" t="s">
        <v>209</v>
      </c>
      <c r="G919" s="5" t="s">
        <v>237</v>
      </c>
      <c r="H919" s="5" t="s">
        <v>142</v>
      </c>
      <c r="I919" s="6">
        <v>100</v>
      </c>
      <c r="J919" s="7">
        <v>44302</v>
      </c>
      <c r="K919" s="8" t="str">
        <f>IF(B919="","",IF(AND(I919="",J919=""),"Unknown",IF(OR(AND(ISNUMBER(I919),I919=0),AND(ISNUMBER(J919),J919&lt;=EDATE('Scoring Settings'!$B$4,-'Scoring Settings'!$B$5))),"Not in use",IF(AND(ISNUMBER(I919),I919&lt;'Scoring Settings'!$B$6),"Low use","Active"))))</f>
        <v>Active</v>
      </c>
      <c r="L919" s="5">
        <v>4</v>
      </c>
      <c r="M919" s="5">
        <v>1</v>
      </c>
      <c r="N919" s="5"/>
      <c r="O919" s="5" t="s">
        <v>143</v>
      </c>
      <c r="P919" s="5" t="s">
        <v>144</v>
      </c>
      <c r="Q919" s="9">
        <v>0</v>
      </c>
      <c r="R919" s="5" t="s">
        <v>145</v>
      </c>
      <c r="S919" s="5" t="s">
        <v>145</v>
      </c>
      <c r="T919" s="5" t="s">
        <v>146</v>
      </c>
      <c r="U919" s="7"/>
      <c r="V919" s="5" t="s">
        <v>135</v>
      </c>
      <c r="W919" s="6">
        <v>95</v>
      </c>
      <c r="X919" s="5" t="s">
        <v>80</v>
      </c>
      <c r="Y919" s="9">
        <v>7</v>
      </c>
      <c r="Z919" s="5" t="s">
        <v>80</v>
      </c>
      <c r="AA919" s="5" t="s">
        <v>185</v>
      </c>
      <c r="AB919" s="9">
        <v>26</v>
      </c>
      <c r="AC919" s="5" t="s">
        <v>82</v>
      </c>
      <c r="AD919" s="5" t="s">
        <v>79</v>
      </c>
      <c r="AE919" s="5" t="s">
        <v>80</v>
      </c>
      <c r="AF919" s="10">
        <v>100000</v>
      </c>
      <c r="AG919" s="7">
        <v>46691</v>
      </c>
      <c r="AH919" s="10"/>
      <c r="AI919" s="10"/>
      <c r="AJ919" s="11" t="str">
        <f t="shared" si="14"/>
        <v/>
      </c>
      <c r="AK919" s="12">
        <f>IF(B919="","",OR(K919="Not in use",K919="Low use")+AND(N919&lt;&gt;"",N919&lt;&gt;"TBD")+AND(ISNUMBER(U919),U919&lt;=EDATE('Scoring Settings'!$B$4,'Scoring Settings'!$B$8))+AND(ISNUMBER(L919),L919&lt;='Scoring Settings'!$B$7))</f>
        <v>0</v>
      </c>
      <c r="AL919" s="5" t="s">
        <v>111</v>
      </c>
      <c r="AM919" s="8" t="str">
        <f>IF(B919="","",IF(Z919="N","Easy",IF(OR(AND(ISNUMBER(AB919),AB919&gt;'Scoring Settings'!$B$11),AND(ISNUMBER(W919),W919&gt;'Scoring Settings'!$B$12),AND(ISNUMBER(M919),M919&lt;='Scoring Settings'!$B$13)),"High","Medium")))</f>
        <v>High</v>
      </c>
      <c r="AN919" s="5"/>
      <c r="AO919" s="7"/>
      <c r="AP919" s="5" t="s">
        <v>98</v>
      </c>
      <c r="AQ919" s="29" t="s">
        <v>112</v>
      </c>
    </row>
    <row r="920" spans="1:43" hidden="1">
      <c r="A920" s="28">
        <v>38133</v>
      </c>
      <c r="B920" s="5" t="s">
        <v>1849</v>
      </c>
      <c r="C920" s="5" t="s">
        <v>200</v>
      </c>
      <c r="D920" s="5" t="s">
        <v>115</v>
      </c>
      <c r="E920" s="5" t="s">
        <v>68</v>
      </c>
      <c r="F920" s="5" t="s">
        <v>243</v>
      </c>
      <c r="G920" s="5" t="s">
        <v>226</v>
      </c>
      <c r="H920" s="5" t="s">
        <v>105</v>
      </c>
      <c r="I920" s="6">
        <v>1512</v>
      </c>
      <c r="J920" s="7">
        <v>44309</v>
      </c>
      <c r="K920" s="8" t="str">
        <f>IF(B920="","",IF(AND(I920="",J920=""),"Unknown",IF(OR(AND(ISNUMBER(I920),I920=0),AND(ISNUMBER(J920),J920&lt;=EDATE('Scoring Settings'!$B$4,-'Scoring Settings'!$B$5))),"Not in use",IF(AND(ISNUMBER(I920),I920&lt;'Scoring Settings'!$B$6),"Low use","Active"))))</f>
        <v>Active</v>
      </c>
      <c r="L920" s="5">
        <v>5</v>
      </c>
      <c r="M920" s="5">
        <v>1</v>
      </c>
      <c r="N920" s="5"/>
      <c r="O920" s="5" t="s">
        <v>73</v>
      </c>
      <c r="P920" s="5" t="s">
        <v>1850</v>
      </c>
      <c r="Q920" s="9">
        <v>2</v>
      </c>
      <c r="R920" s="5" t="s">
        <v>203</v>
      </c>
      <c r="S920" s="5" t="s">
        <v>508</v>
      </c>
      <c r="T920" s="5" t="s">
        <v>122</v>
      </c>
      <c r="U920" s="7">
        <v>47269</v>
      </c>
      <c r="V920" s="5" t="s">
        <v>78</v>
      </c>
      <c r="W920" s="6">
        <v>230</v>
      </c>
      <c r="X920" s="5" t="s">
        <v>80</v>
      </c>
      <c r="Y920" s="9">
        <v>10</v>
      </c>
      <c r="Z920" s="5" t="s">
        <v>80</v>
      </c>
      <c r="AA920" s="5" t="s">
        <v>81</v>
      </c>
      <c r="AB920" s="9">
        <v>52</v>
      </c>
      <c r="AC920" s="5" t="s">
        <v>79</v>
      </c>
      <c r="AD920" s="5" t="s">
        <v>80</v>
      </c>
      <c r="AE920" s="5" t="s">
        <v>79</v>
      </c>
      <c r="AF920" s="10">
        <v>95000</v>
      </c>
      <c r="AG920" s="7">
        <v>46904</v>
      </c>
      <c r="AH920" s="10"/>
      <c r="AI920" s="10"/>
      <c r="AJ920" s="11" t="str">
        <f t="shared" si="14"/>
        <v/>
      </c>
      <c r="AK920" s="12">
        <f>IF(B920="","",OR(K920="Not in use",K920="Low use")+AND(N920&lt;&gt;"",N920&lt;&gt;"TBD")+AND(ISNUMBER(U920),U920&lt;=EDATE('Scoring Settings'!$B$4,'Scoring Settings'!$B$8))+AND(ISNUMBER(L920),L920&lt;='Scoring Settings'!$B$7))</f>
        <v>0</v>
      </c>
      <c r="AL920" s="5" t="s">
        <v>83</v>
      </c>
      <c r="AM920" s="8" t="str">
        <f>IF(B920="","",IF(Z920="N","Easy",IF(OR(AND(ISNUMBER(AB920),AB920&gt;'Scoring Settings'!$B$11),AND(ISNUMBER(W920),W920&gt;'Scoring Settings'!$B$12),AND(ISNUMBER(M920),M920&lt;='Scoring Settings'!$B$13)),"High","Medium")))</f>
        <v>High</v>
      </c>
      <c r="AN920" s="5"/>
      <c r="AO920" s="7"/>
      <c r="AP920" s="5" t="s">
        <v>84</v>
      </c>
      <c r="AQ920" s="29" t="s">
        <v>314</v>
      </c>
    </row>
    <row r="921" spans="1:43" hidden="1">
      <c r="A921" s="28">
        <v>191394</v>
      </c>
      <c r="B921" s="5" t="s">
        <v>1854</v>
      </c>
      <c r="C921" s="5" t="s">
        <v>599</v>
      </c>
      <c r="D921" s="5" t="s">
        <v>67</v>
      </c>
      <c r="E921" s="5" t="s">
        <v>298</v>
      </c>
      <c r="F921" s="5" t="s">
        <v>387</v>
      </c>
      <c r="G921" s="5" t="s">
        <v>278</v>
      </c>
      <c r="H921" s="5" t="s">
        <v>189</v>
      </c>
      <c r="I921" s="6">
        <v>20</v>
      </c>
      <c r="J921" s="7">
        <v>44270</v>
      </c>
      <c r="K921" s="8" t="str">
        <f>IF(B921="","",IF(AND(I921="",J921=""),"Unknown",IF(OR(AND(ISNUMBER(I921),I921=0),AND(ISNUMBER(J921),J921&lt;=EDATE('Scoring Settings'!$B$4,-'Scoring Settings'!$B$5))),"Not in use",IF(AND(ISNUMBER(I921),I921&lt;'Scoring Settings'!$B$6),"Low use","Active"))))</f>
        <v>Low use</v>
      </c>
      <c r="L921" s="5">
        <v>3</v>
      </c>
      <c r="M921" s="5">
        <v>4</v>
      </c>
      <c r="N921" s="5"/>
      <c r="O921" s="5" t="s">
        <v>73</v>
      </c>
      <c r="P921" s="5" t="s">
        <v>1855</v>
      </c>
      <c r="Q921" s="9">
        <v>2</v>
      </c>
      <c r="R921" s="5" t="s">
        <v>352</v>
      </c>
      <c r="S921" s="5" t="s">
        <v>353</v>
      </c>
      <c r="T921" s="5" t="s">
        <v>72</v>
      </c>
      <c r="U921" s="7">
        <v>47127</v>
      </c>
      <c r="V921" s="5" t="s">
        <v>95</v>
      </c>
      <c r="W921" s="6">
        <v>13060</v>
      </c>
      <c r="X921" s="5" t="s">
        <v>80</v>
      </c>
      <c r="Y921" s="9">
        <v>7</v>
      </c>
      <c r="Z921" s="5" t="s">
        <v>79</v>
      </c>
      <c r="AA921" s="5" t="s">
        <v>110</v>
      </c>
      <c r="AB921" s="9">
        <v>0</v>
      </c>
      <c r="AC921" s="5" t="s">
        <v>82</v>
      </c>
      <c r="AD921" s="5" t="s">
        <v>82</v>
      </c>
      <c r="AE921" s="5" t="s">
        <v>80</v>
      </c>
      <c r="AF921" s="10">
        <v>30000</v>
      </c>
      <c r="AG921" s="7">
        <v>46904</v>
      </c>
      <c r="AH921" s="10">
        <v>145000</v>
      </c>
      <c r="AI921" s="10">
        <v>24500</v>
      </c>
      <c r="AJ921" s="11">
        <f t="shared" si="14"/>
        <v>71.020408163265301</v>
      </c>
      <c r="AK921" s="12">
        <f>IF(B921="","",OR(K921="Not in use",K921="Low use")+AND(N921&lt;&gt;"",N921&lt;&gt;"TBD")+AND(ISNUMBER(U921),U921&lt;=EDATE('Scoring Settings'!$B$4,'Scoring Settings'!$B$8))+AND(ISNUMBER(L921),L921&lt;='Scoring Settings'!$B$7))</f>
        <v>1</v>
      </c>
      <c r="AL921" s="5" t="s">
        <v>111</v>
      </c>
      <c r="AM921" s="8" t="str">
        <f>IF(B921="","",IF(Z921="N","Easy",IF(OR(AND(ISNUMBER(AB921),AB921&gt;'Scoring Settings'!$B$11),AND(ISNUMBER(W921),W921&gt;'Scoring Settings'!$B$12),AND(ISNUMBER(M921),M921&lt;='Scoring Settings'!$B$13)),"High","Medium")))</f>
        <v>Easy</v>
      </c>
      <c r="AN921" s="5"/>
      <c r="AO921" s="7"/>
      <c r="AP921" s="5" t="s">
        <v>98</v>
      </c>
      <c r="AQ921" s="29" t="s">
        <v>159</v>
      </c>
    </row>
    <row r="922" spans="1:43" ht="42.75" hidden="1">
      <c r="A922" s="28">
        <v>51696</v>
      </c>
      <c r="B922" s="5" t="s">
        <v>1856</v>
      </c>
      <c r="C922" s="5" t="s">
        <v>215</v>
      </c>
      <c r="D922" s="5" t="s">
        <v>139</v>
      </c>
      <c r="E922" s="5" t="s">
        <v>68</v>
      </c>
      <c r="F922" s="5" t="s">
        <v>249</v>
      </c>
      <c r="G922" s="5" t="s">
        <v>278</v>
      </c>
      <c r="H922" s="5" t="s">
        <v>174</v>
      </c>
      <c r="I922" s="6">
        <v>8</v>
      </c>
      <c r="J922" s="7">
        <v>44311</v>
      </c>
      <c r="K922" s="8" t="str">
        <f>IF(B922="","",IF(AND(I922="",J922=""),"Unknown",IF(OR(AND(ISNUMBER(I922),I922=0),AND(ISNUMBER(J922),J922&lt;=EDATE('Scoring Settings'!$B$4,-'Scoring Settings'!$B$5))),"Not in use",IF(AND(ISNUMBER(I922),I922&lt;'Scoring Settings'!$B$6),"Low use","Active"))))</f>
        <v>Low use</v>
      </c>
      <c r="L922" s="5">
        <v>2</v>
      </c>
      <c r="M922" s="5">
        <v>3</v>
      </c>
      <c r="N922" s="5" t="s">
        <v>72</v>
      </c>
      <c r="O922" s="5" t="s">
        <v>73</v>
      </c>
      <c r="P922" s="5" t="s">
        <v>477</v>
      </c>
      <c r="Q922" s="9">
        <v>2</v>
      </c>
      <c r="R922" s="5" t="s">
        <v>93</v>
      </c>
      <c r="S922" s="5" t="s">
        <v>94</v>
      </c>
      <c r="T922" s="5" t="s">
        <v>122</v>
      </c>
      <c r="U922" s="7">
        <v>44561</v>
      </c>
      <c r="V922" s="5" t="s">
        <v>78</v>
      </c>
      <c r="W922" s="6">
        <v>810</v>
      </c>
      <c r="X922" s="5" t="s">
        <v>79</v>
      </c>
      <c r="Y922" s="9">
        <v>3</v>
      </c>
      <c r="Z922" s="5" t="s">
        <v>80</v>
      </c>
      <c r="AA922" s="5" t="s">
        <v>123</v>
      </c>
      <c r="AB922" s="9">
        <v>6</v>
      </c>
      <c r="AC922" s="5" t="s">
        <v>79</v>
      </c>
      <c r="AD922" s="5" t="s">
        <v>82</v>
      </c>
      <c r="AE922" s="5" t="s">
        <v>80</v>
      </c>
      <c r="AF922" s="10">
        <v>24000</v>
      </c>
      <c r="AG922" s="7">
        <v>49368</v>
      </c>
      <c r="AH922" s="10"/>
      <c r="AI922" s="10"/>
      <c r="AJ922" s="11" t="str">
        <f t="shared" si="14"/>
        <v/>
      </c>
      <c r="AK922" s="12">
        <f>IF(B922="","",OR(K922="Not in use",K922="Low use")+AND(N922&lt;&gt;"",N922&lt;&gt;"TBD")+AND(ISNUMBER(U922),U922&lt;=EDATE('Scoring Settings'!$B$4,'Scoring Settings'!$B$8))+AND(ISNUMBER(L922),L922&lt;='Scoring Settings'!$B$7))</f>
        <v>3</v>
      </c>
      <c r="AL922" s="5" t="s">
        <v>111</v>
      </c>
      <c r="AM922" s="8" t="str">
        <f>IF(B922="","",IF(Z922="N","Easy",IF(OR(AND(ISNUMBER(AB922),AB922&gt;'Scoring Settings'!$B$11),AND(ISNUMBER(W922),W922&gt;'Scoring Settings'!$B$12),AND(ISNUMBER(M922),M922&lt;='Scoring Settings'!$B$13)),"High","Medium")))</f>
        <v>High</v>
      </c>
      <c r="AN922" s="5"/>
      <c r="AO922" s="7"/>
      <c r="AP922" s="5" t="s">
        <v>98</v>
      </c>
      <c r="AQ922" s="29" t="s">
        <v>1857</v>
      </c>
    </row>
    <row r="923" spans="1:43" ht="42.75" hidden="1">
      <c r="A923" s="28">
        <v>62922</v>
      </c>
      <c r="B923" s="5" t="s">
        <v>1858</v>
      </c>
      <c r="C923" s="5" t="s">
        <v>296</v>
      </c>
      <c r="D923" s="5" t="s">
        <v>297</v>
      </c>
      <c r="E923" s="5" t="s">
        <v>311</v>
      </c>
      <c r="F923" s="5" t="s">
        <v>326</v>
      </c>
      <c r="G923" s="5" t="s">
        <v>141</v>
      </c>
      <c r="H923" s="5" t="s">
        <v>91</v>
      </c>
      <c r="I923" s="6">
        <v>25</v>
      </c>
      <c r="J923" s="7">
        <v>44285</v>
      </c>
      <c r="K923" s="8" t="str">
        <f>IF(B923="","",IF(AND(I923="",J923=""),"Unknown",IF(OR(AND(ISNUMBER(I923),I923=0),AND(ISNUMBER(J923),J923&lt;=EDATE('Scoring Settings'!$B$4,-'Scoring Settings'!$B$5))),"Not in use",IF(AND(ISNUMBER(I923),I923&lt;'Scoring Settings'!$B$6),"Low use","Active"))))</f>
        <v>Active</v>
      </c>
      <c r="L923" s="5">
        <v>3</v>
      </c>
      <c r="M923" s="5">
        <v>3</v>
      </c>
      <c r="N923" s="5"/>
      <c r="O923" s="5" t="s">
        <v>73</v>
      </c>
      <c r="P923" s="5" t="s">
        <v>1261</v>
      </c>
      <c r="Q923" s="9">
        <v>2</v>
      </c>
      <c r="R923" s="5" t="s">
        <v>72</v>
      </c>
      <c r="S923" s="5" t="s">
        <v>331</v>
      </c>
      <c r="T923" s="5" t="s">
        <v>72</v>
      </c>
      <c r="U923" s="7">
        <v>45046</v>
      </c>
      <c r="V923" s="5" t="s">
        <v>78</v>
      </c>
      <c r="W923" s="6">
        <v>34</v>
      </c>
      <c r="X923" s="5" t="s">
        <v>80</v>
      </c>
      <c r="Y923" s="9">
        <v>7</v>
      </c>
      <c r="Z923" s="5" t="s">
        <v>79</v>
      </c>
      <c r="AA923" s="5" t="s">
        <v>110</v>
      </c>
      <c r="AB923" s="9">
        <v>6</v>
      </c>
      <c r="AC923" s="5" t="s">
        <v>80</v>
      </c>
      <c r="AD923" s="5" t="s">
        <v>79</v>
      </c>
      <c r="AE923" s="5" t="s">
        <v>82</v>
      </c>
      <c r="AF923" s="10">
        <v>29000</v>
      </c>
      <c r="AG923" s="7">
        <v>48426</v>
      </c>
      <c r="AH923" s="10">
        <v>35500</v>
      </c>
      <c r="AI923" s="10">
        <v>16000</v>
      </c>
      <c r="AJ923" s="11">
        <f t="shared" si="14"/>
        <v>26.625</v>
      </c>
      <c r="AK923" s="12">
        <f>IF(B923="","",OR(K923="Not in use",K923="Low use")+AND(N923&lt;&gt;"",N923&lt;&gt;"TBD")+AND(ISNUMBER(U923),U923&lt;=EDATE('Scoring Settings'!$B$4,'Scoring Settings'!$B$8))+AND(ISNUMBER(L923),L923&lt;='Scoring Settings'!$B$7))</f>
        <v>0</v>
      </c>
      <c r="AL923" s="5" t="s">
        <v>111</v>
      </c>
      <c r="AM923" s="8" t="str">
        <f>IF(B923="","",IF(Z923="N","Easy",IF(OR(AND(ISNUMBER(AB923),AB923&gt;'Scoring Settings'!$B$11),AND(ISNUMBER(W923),W923&gt;'Scoring Settings'!$B$12),AND(ISNUMBER(M923),M923&lt;='Scoring Settings'!$B$13)),"High","Medium")))</f>
        <v>Easy</v>
      </c>
      <c r="AN923" s="5"/>
      <c r="AO923" s="7"/>
      <c r="AP923" s="5" t="s">
        <v>98</v>
      </c>
      <c r="AQ923" s="29" t="s">
        <v>1859</v>
      </c>
    </row>
    <row r="924" spans="1:43" hidden="1">
      <c r="A924" s="28">
        <v>193035</v>
      </c>
      <c r="B924" s="5" t="s">
        <v>1866</v>
      </c>
      <c r="C924" s="5" t="s">
        <v>338</v>
      </c>
      <c r="D924" s="5" t="s">
        <v>139</v>
      </c>
      <c r="E924" s="5" t="s">
        <v>298</v>
      </c>
      <c r="F924" s="5" t="s">
        <v>201</v>
      </c>
      <c r="G924" s="5" t="s">
        <v>237</v>
      </c>
      <c r="H924" s="5" t="s">
        <v>118</v>
      </c>
      <c r="I924" s="6">
        <v>156</v>
      </c>
      <c r="J924" s="7">
        <v>44299</v>
      </c>
      <c r="K924" s="8" t="str">
        <f>IF(B924="","",IF(AND(I924="",J924=""),"Unknown",IF(OR(AND(ISNUMBER(I924),I924=0),AND(ISNUMBER(J924),J924&lt;=EDATE('Scoring Settings'!$B$4,-'Scoring Settings'!$B$5))),"Not in use",IF(AND(ISNUMBER(I924),I924&lt;'Scoring Settings'!$B$6),"Low use","Active"))))</f>
        <v>Active</v>
      </c>
      <c r="L924" s="5">
        <v>4</v>
      </c>
      <c r="M924" s="5">
        <v>1</v>
      </c>
      <c r="N924" s="5"/>
      <c r="O924" s="5" t="s">
        <v>191</v>
      </c>
      <c r="P924" s="5" t="s">
        <v>192</v>
      </c>
      <c r="Q924" s="9">
        <v>0</v>
      </c>
      <c r="R924" s="5" t="s">
        <v>193</v>
      </c>
      <c r="S924" s="5" t="s">
        <v>318</v>
      </c>
      <c r="T924" s="5" t="s">
        <v>195</v>
      </c>
      <c r="U924" s="7"/>
      <c r="V924" s="5" t="s">
        <v>78</v>
      </c>
      <c r="W924" s="6">
        <v>31</v>
      </c>
      <c r="X924" s="5" t="s">
        <v>79</v>
      </c>
      <c r="Y924" s="9">
        <v>3</v>
      </c>
      <c r="Z924" s="5" t="s">
        <v>80</v>
      </c>
      <c r="AA924" s="5" t="s">
        <v>205</v>
      </c>
      <c r="AB924" s="9">
        <v>40</v>
      </c>
      <c r="AC924" s="5" t="s">
        <v>79</v>
      </c>
      <c r="AD924" s="5" t="s">
        <v>82</v>
      </c>
      <c r="AE924" s="5" t="s">
        <v>82</v>
      </c>
      <c r="AF924" s="10">
        <v>49500</v>
      </c>
      <c r="AG924" s="7">
        <v>45991</v>
      </c>
      <c r="AH924" s="10"/>
      <c r="AI924" s="10"/>
      <c r="AJ924" s="11" t="str">
        <f t="shared" si="14"/>
        <v/>
      </c>
      <c r="AK924" s="12">
        <f>IF(B924="","",OR(K924="Not in use",K924="Low use")+AND(N924&lt;&gt;"",N924&lt;&gt;"TBD")+AND(ISNUMBER(U924),U924&lt;=EDATE('Scoring Settings'!$B$4,'Scoring Settings'!$B$8))+AND(ISNUMBER(L924),L924&lt;='Scoring Settings'!$B$7))</f>
        <v>0</v>
      </c>
      <c r="AL924" s="5" t="s">
        <v>83</v>
      </c>
      <c r="AM924" s="8" t="str">
        <f>IF(B924="","",IF(Z924="N","Easy",IF(OR(AND(ISNUMBER(AB924),AB924&gt;'Scoring Settings'!$B$11),AND(ISNUMBER(W924),W924&gt;'Scoring Settings'!$B$12),AND(ISNUMBER(M924),M924&lt;='Scoring Settings'!$B$13)),"High","Medium")))</f>
        <v>High</v>
      </c>
      <c r="AN924" s="5"/>
      <c r="AO924" s="7"/>
      <c r="AP924" s="5" t="s">
        <v>84</v>
      </c>
      <c r="AQ924" s="29" t="s">
        <v>314</v>
      </c>
    </row>
    <row r="925" spans="1:43" ht="42.75" hidden="1">
      <c r="A925" s="28">
        <v>196310</v>
      </c>
      <c r="B925" s="5" t="s">
        <v>1870</v>
      </c>
      <c r="C925" s="5" t="s">
        <v>464</v>
      </c>
      <c r="D925" s="5" t="s">
        <v>88</v>
      </c>
      <c r="E925" s="5" t="s">
        <v>68</v>
      </c>
      <c r="F925" s="5" t="s">
        <v>163</v>
      </c>
      <c r="G925" s="5" t="s">
        <v>404</v>
      </c>
      <c r="H925" s="5" t="s">
        <v>91</v>
      </c>
      <c r="I925" s="6">
        <v>37</v>
      </c>
      <c r="J925" s="7">
        <v>44310</v>
      </c>
      <c r="K925" s="8" t="str">
        <f>IF(B925="","",IF(AND(I925="",J925=""),"Unknown",IF(OR(AND(ISNUMBER(I925),I925=0),AND(ISNUMBER(J925),J925&lt;=EDATE('Scoring Settings'!$B$4,-'Scoring Settings'!$B$5))),"Not in use",IF(AND(ISNUMBER(I925),I925&lt;'Scoring Settings'!$B$6),"Low use","Active"))))</f>
        <v>Active</v>
      </c>
      <c r="L925" s="5">
        <v>4</v>
      </c>
      <c r="M925" s="5">
        <v>3</v>
      </c>
      <c r="N925" s="5" t="s">
        <v>72</v>
      </c>
      <c r="O925" s="5" t="s">
        <v>73</v>
      </c>
      <c r="P925" s="5" t="s">
        <v>1871</v>
      </c>
      <c r="Q925" s="9">
        <v>2</v>
      </c>
      <c r="R925" s="5" t="s">
        <v>245</v>
      </c>
      <c r="S925" s="5" t="s">
        <v>246</v>
      </c>
      <c r="T925" s="5" t="s">
        <v>122</v>
      </c>
      <c r="U925" s="7">
        <v>45777</v>
      </c>
      <c r="V925" s="5" t="s">
        <v>78</v>
      </c>
      <c r="W925" s="6">
        <v>26</v>
      </c>
      <c r="X925" s="5" t="s">
        <v>80</v>
      </c>
      <c r="Y925" s="9">
        <v>5</v>
      </c>
      <c r="Z925" s="5" t="s">
        <v>79</v>
      </c>
      <c r="AA925" s="5" t="s">
        <v>110</v>
      </c>
      <c r="AB925" s="9">
        <v>6</v>
      </c>
      <c r="AC925" s="5" t="s">
        <v>79</v>
      </c>
      <c r="AD925" s="5" t="s">
        <v>79</v>
      </c>
      <c r="AE925" s="5" t="s">
        <v>82</v>
      </c>
      <c r="AF925" s="10">
        <v>42500</v>
      </c>
      <c r="AG925" s="7">
        <v>49613</v>
      </c>
      <c r="AH925" s="10"/>
      <c r="AI925" s="10"/>
      <c r="AJ925" s="11" t="str">
        <f t="shared" si="14"/>
        <v/>
      </c>
      <c r="AK925" s="12">
        <f>IF(B925="","",OR(K925="Not in use",K925="Low use")+AND(N925&lt;&gt;"",N925&lt;&gt;"TBD")+AND(ISNUMBER(U925),U925&lt;=EDATE('Scoring Settings'!$B$4,'Scoring Settings'!$B$8))+AND(ISNUMBER(L925),L925&lt;='Scoring Settings'!$B$7))</f>
        <v>0</v>
      </c>
      <c r="AL925" s="5" t="s">
        <v>111</v>
      </c>
      <c r="AM925" s="8" t="str">
        <f>IF(B925="","",IF(Z925="N","Easy",IF(OR(AND(ISNUMBER(AB925),AB925&gt;'Scoring Settings'!$B$11),AND(ISNUMBER(W925),W925&gt;'Scoring Settings'!$B$12),AND(ISNUMBER(M925),M925&lt;='Scoring Settings'!$B$13)),"High","Medium")))</f>
        <v>Easy</v>
      </c>
      <c r="AN925" s="5"/>
      <c r="AO925" s="7"/>
      <c r="AP925" s="5" t="s">
        <v>98</v>
      </c>
      <c r="AQ925" s="29" t="s">
        <v>1187</v>
      </c>
    </row>
    <row r="926" spans="1:43" hidden="1">
      <c r="A926" s="28">
        <v>72092</v>
      </c>
      <c r="B926" s="5" t="s">
        <v>1873</v>
      </c>
      <c r="C926" s="5" t="s">
        <v>301</v>
      </c>
      <c r="D926" s="5" t="s">
        <v>162</v>
      </c>
      <c r="E926" s="5" t="s">
        <v>68</v>
      </c>
      <c r="F926" s="5" t="s">
        <v>157</v>
      </c>
      <c r="G926" s="5" t="s">
        <v>278</v>
      </c>
      <c r="H926" s="5" t="s">
        <v>174</v>
      </c>
      <c r="I926" s="6">
        <v>61</v>
      </c>
      <c r="J926" s="7">
        <v>44276</v>
      </c>
      <c r="K926" s="8" t="str">
        <f>IF(B926="","",IF(AND(I926="",J926=""),"Unknown",IF(OR(AND(ISNUMBER(I926),I926=0),AND(ISNUMBER(J926),J926&lt;=EDATE('Scoring Settings'!$B$4,-'Scoring Settings'!$B$5))),"Not in use",IF(AND(ISNUMBER(I926),I926&lt;'Scoring Settings'!$B$6),"Low use","Active"))))</f>
        <v>Active</v>
      </c>
      <c r="L926" s="5">
        <v>5</v>
      </c>
      <c r="M926" s="5">
        <v>2</v>
      </c>
      <c r="N926" s="5"/>
      <c r="O926" s="5" t="s">
        <v>191</v>
      </c>
      <c r="P926" s="5" t="s">
        <v>192</v>
      </c>
      <c r="Q926" s="9">
        <v>0</v>
      </c>
      <c r="R926" s="5" t="s">
        <v>193</v>
      </c>
      <c r="S926" s="5" t="s">
        <v>318</v>
      </c>
      <c r="T926" s="5" t="s">
        <v>195</v>
      </c>
      <c r="U926" s="7"/>
      <c r="V926" s="5" t="s">
        <v>135</v>
      </c>
      <c r="W926" s="6">
        <v>87</v>
      </c>
      <c r="X926" s="5" t="s">
        <v>80</v>
      </c>
      <c r="Y926" s="9">
        <v>7</v>
      </c>
      <c r="Z926" s="5" t="s">
        <v>79</v>
      </c>
      <c r="AA926" s="5" t="s">
        <v>110</v>
      </c>
      <c r="AB926" s="9">
        <v>8</v>
      </c>
      <c r="AC926" s="5" t="s">
        <v>80</v>
      </c>
      <c r="AD926" s="5" t="s">
        <v>79</v>
      </c>
      <c r="AE926" s="5" t="s">
        <v>82</v>
      </c>
      <c r="AF926" s="10">
        <v>32500</v>
      </c>
      <c r="AG926" s="7">
        <v>45900</v>
      </c>
      <c r="AH926" s="10"/>
      <c r="AI926" s="10"/>
      <c r="AJ926" s="11" t="str">
        <f t="shared" si="14"/>
        <v/>
      </c>
      <c r="AK926" s="12">
        <f>IF(B926="","",OR(K926="Not in use",K926="Low use")+AND(N926&lt;&gt;"",N926&lt;&gt;"TBD")+AND(ISNUMBER(U926),U926&lt;=EDATE('Scoring Settings'!$B$4,'Scoring Settings'!$B$8))+AND(ISNUMBER(L926),L926&lt;='Scoring Settings'!$B$7))</f>
        <v>0</v>
      </c>
      <c r="AL926" s="5" t="s">
        <v>83</v>
      </c>
      <c r="AM926" s="8" t="str">
        <f>IF(B926="","",IF(Z926="N","Easy",IF(OR(AND(ISNUMBER(AB926),AB926&gt;'Scoring Settings'!$B$11),AND(ISNUMBER(W926),W926&gt;'Scoring Settings'!$B$12),AND(ISNUMBER(M926),M926&lt;='Scoring Settings'!$B$13)),"High","Medium")))</f>
        <v>Easy</v>
      </c>
      <c r="AN926" s="5"/>
      <c r="AO926" s="7"/>
      <c r="AP926" s="5" t="s">
        <v>84</v>
      </c>
      <c r="AQ926" s="29" t="s">
        <v>85</v>
      </c>
    </row>
    <row r="927" spans="1:43" hidden="1">
      <c r="A927" s="28">
        <v>189148</v>
      </c>
      <c r="B927" s="5" t="s">
        <v>1876</v>
      </c>
      <c r="C927" s="5" t="s">
        <v>126</v>
      </c>
      <c r="D927" s="5" t="s">
        <v>88</v>
      </c>
      <c r="E927" s="5" t="s">
        <v>311</v>
      </c>
      <c r="F927" s="5" t="s">
        <v>152</v>
      </c>
      <c r="G927" s="5" t="s">
        <v>267</v>
      </c>
      <c r="H927" s="5" t="s">
        <v>142</v>
      </c>
      <c r="I927" s="6">
        <v>483</v>
      </c>
      <c r="J927" s="7">
        <v>44288</v>
      </c>
      <c r="K927" s="8" t="str">
        <f>IF(B927="","",IF(AND(I927="",J927=""),"Unknown",IF(OR(AND(ISNUMBER(I927),I927=0),AND(ISNUMBER(J927),J927&lt;=EDATE('Scoring Settings'!$B$4,-'Scoring Settings'!$B$5))),"Not in use",IF(AND(ISNUMBER(I927),I927&lt;'Scoring Settings'!$B$6),"Low use","Active"))))</f>
        <v>Active</v>
      </c>
      <c r="L927" s="5">
        <v>4</v>
      </c>
      <c r="M927" s="5">
        <v>1</v>
      </c>
      <c r="N927" s="5"/>
      <c r="O927" s="5" t="s">
        <v>143</v>
      </c>
      <c r="P927" s="5" t="s">
        <v>144</v>
      </c>
      <c r="Q927" s="9">
        <v>0</v>
      </c>
      <c r="R927" s="5" t="s">
        <v>145</v>
      </c>
      <c r="S927" s="5" t="s">
        <v>145</v>
      </c>
      <c r="T927" s="5" t="s">
        <v>146</v>
      </c>
      <c r="U927" s="7">
        <v>45596</v>
      </c>
      <c r="V927" s="5" t="s">
        <v>95</v>
      </c>
      <c r="W927" s="6">
        <v>76</v>
      </c>
      <c r="X927" s="5" t="s">
        <v>79</v>
      </c>
      <c r="Y927" s="9">
        <v>3</v>
      </c>
      <c r="Z927" s="5" t="s">
        <v>79</v>
      </c>
      <c r="AA927" s="5" t="s">
        <v>110</v>
      </c>
      <c r="AB927" s="9">
        <v>38</v>
      </c>
      <c r="AC927" s="5" t="s">
        <v>82</v>
      </c>
      <c r="AD927" s="5" t="s">
        <v>82</v>
      </c>
      <c r="AE927" s="5" t="s">
        <v>79</v>
      </c>
      <c r="AF927" s="10">
        <v>310000</v>
      </c>
      <c r="AG927" s="7">
        <v>45961</v>
      </c>
      <c r="AH927" s="10"/>
      <c r="AI927" s="10"/>
      <c r="AJ927" s="11" t="str">
        <f t="shared" si="14"/>
        <v/>
      </c>
      <c r="AK927" s="12">
        <f>IF(B927="","",OR(K927="Not in use",K927="Low use")+AND(N927&lt;&gt;"",N927&lt;&gt;"TBD")+AND(ISNUMBER(U927),U927&lt;=EDATE('Scoring Settings'!$B$4,'Scoring Settings'!$B$8))+AND(ISNUMBER(L927),L927&lt;='Scoring Settings'!$B$7))</f>
        <v>0</v>
      </c>
      <c r="AL927" s="5" t="s">
        <v>83</v>
      </c>
      <c r="AM927" s="8" t="str">
        <f>IF(B927="","",IF(Z927="N","Easy",IF(OR(AND(ISNUMBER(AB927),AB927&gt;'Scoring Settings'!$B$11),AND(ISNUMBER(W927),W927&gt;'Scoring Settings'!$B$12),AND(ISNUMBER(M927),M927&lt;='Scoring Settings'!$B$13)),"High","Medium")))</f>
        <v>Easy</v>
      </c>
      <c r="AN927" s="5"/>
      <c r="AO927" s="7"/>
      <c r="AP927" s="5" t="s">
        <v>84</v>
      </c>
      <c r="AQ927" s="29" t="s">
        <v>273</v>
      </c>
    </row>
    <row r="928" spans="1:43" hidden="1">
      <c r="A928" s="28">
        <v>168105</v>
      </c>
      <c r="B928" s="5" t="s">
        <v>1877</v>
      </c>
      <c r="C928" s="5" t="s">
        <v>483</v>
      </c>
      <c r="D928" s="5" t="s">
        <v>88</v>
      </c>
      <c r="E928" s="5" t="s">
        <v>68</v>
      </c>
      <c r="F928" s="5" t="s">
        <v>89</v>
      </c>
      <c r="G928" s="5" t="s">
        <v>356</v>
      </c>
      <c r="H928" s="5" t="s">
        <v>189</v>
      </c>
      <c r="I928" s="6">
        <v>161</v>
      </c>
      <c r="J928" s="7">
        <v>44313</v>
      </c>
      <c r="K928" s="8" t="str">
        <f>IF(B928="","",IF(AND(I928="",J928=""),"Unknown",IF(OR(AND(ISNUMBER(I928),I928=0),AND(ISNUMBER(J928),J928&lt;=EDATE('Scoring Settings'!$B$4,-'Scoring Settings'!$B$5))),"Not in use",IF(AND(ISNUMBER(I928),I928&lt;'Scoring Settings'!$B$6),"Low use","Active"))))</f>
        <v>Active</v>
      </c>
      <c r="L928" s="5">
        <v>4</v>
      </c>
      <c r="M928" s="5">
        <v>2</v>
      </c>
      <c r="N928" s="5"/>
      <c r="O928" s="5" t="s">
        <v>73</v>
      </c>
      <c r="P928" s="5" t="s">
        <v>1878</v>
      </c>
      <c r="Q928" s="9">
        <v>3</v>
      </c>
      <c r="R928" s="5" t="s">
        <v>166</v>
      </c>
      <c r="S928" s="5" t="s">
        <v>167</v>
      </c>
      <c r="T928" s="5" t="s">
        <v>72</v>
      </c>
      <c r="U928" s="7">
        <v>45482</v>
      </c>
      <c r="V928" s="5" t="s">
        <v>135</v>
      </c>
      <c r="W928" s="6">
        <v>210</v>
      </c>
      <c r="X928" s="5" t="s">
        <v>79</v>
      </c>
      <c r="Y928" s="9">
        <v>3</v>
      </c>
      <c r="Z928" s="5" t="s">
        <v>79</v>
      </c>
      <c r="AA928" s="5" t="s">
        <v>110</v>
      </c>
      <c r="AB928" s="9">
        <v>17</v>
      </c>
      <c r="AC928" s="5" t="s">
        <v>82</v>
      </c>
      <c r="AD928" s="5" t="s">
        <v>82</v>
      </c>
      <c r="AE928" s="5" t="s">
        <v>79</v>
      </c>
      <c r="AF928" s="10">
        <v>75000</v>
      </c>
      <c r="AG928" s="7">
        <v>49643</v>
      </c>
      <c r="AH928" s="10"/>
      <c r="AI928" s="10"/>
      <c r="AJ928" s="11" t="str">
        <f t="shared" si="14"/>
        <v/>
      </c>
      <c r="AK928" s="12">
        <f>IF(B928="","",OR(K928="Not in use",K928="Low use")+AND(N928&lt;&gt;"",N928&lt;&gt;"TBD")+AND(ISNUMBER(U928),U928&lt;=EDATE('Scoring Settings'!$B$4,'Scoring Settings'!$B$8))+AND(ISNUMBER(L928),L928&lt;='Scoring Settings'!$B$7))</f>
        <v>0</v>
      </c>
      <c r="AL928" s="5" t="s">
        <v>83</v>
      </c>
      <c r="AM928" s="8" t="str">
        <f>IF(B928="","",IF(Z928="N","Easy",IF(OR(AND(ISNUMBER(AB928),AB928&gt;'Scoring Settings'!$B$11),AND(ISNUMBER(W928),W928&gt;'Scoring Settings'!$B$12),AND(ISNUMBER(M928),M928&lt;='Scoring Settings'!$B$13)),"High","Medium")))</f>
        <v>Easy</v>
      </c>
      <c r="AN928" s="5"/>
      <c r="AO928" s="7"/>
      <c r="AP928" s="5" t="s">
        <v>98</v>
      </c>
      <c r="AQ928" s="29" t="s">
        <v>85</v>
      </c>
    </row>
    <row r="929" spans="1:43" hidden="1">
      <c r="A929" s="28">
        <v>120769</v>
      </c>
      <c r="B929" s="5" t="s">
        <v>1879</v>
      </c>
      <c r="C929" s="5" t="s">
        <v>287</v>
      </c>
      <c r="D929" s="5" t="s">
        <v>162</v>
      </c>
      <c r="E929" s="5" t="s">
        <v>68</v>
      </c>
      <c r="F929" s="5" t="s">
        <v>127</v>
      </c>
      <c r="G929" s="5" t="s">
        <v>90</v>
      </c>
      <c r="H929" s="5" t="s">
        <v>174</v>
      </c>
      <c r="I929" s="6">
        <v>5</v>
      </c>
      <c r="J929" s="7">
        <v>44094</v>
      </c>
      <c r="K929" s="8" t="str">
        <f>IF(B929="","",IF(AND(I929="",J929=""),"Unknown",IF(OR(AND(ISNUMBER(I929),I929=0),AND(ISNUMBER(J929),J929&lt;=EDATE('Scoring Settings'!$B$4,-'Scoring Settings'!$B$5))),"Not in use",IF(AND(ISNUMBER(I929),I929&lt;'Scoring Settings'!$B$6),"Low use","Active"))))</f>
        <v>Not in use</v>
      </c>
      <c r="L929" s="5">
        <v>4</v>
      </c>
      <c r="M929" s="5">
        <v>1</v>
      </c>
      <c r="N929" s="5"/>
      <c r="O929" s="5" t="s">
        <v>73</v>
      </c>
      <c r="P929" s="5" t="s">
        <v>1565</v>
      </c>
      <c r="Q929" s="9">
        <v>4</v>
      </c>
      <c r="R929" s="5" t="s">
        <v>132</v>
      </c>
      <c r="S929" s="5" t="s">
        <v>133</v>
      </c>
      <c r="T929" s="5" t="s">
        <v>72</v>
      </c>
      <c r="U929" s="7">
        <v>44227</v>
      </c>
      <c r="V929" s="5" t="s">
        <v>95</v>
      </c>
      <c r="W929" s="6">
        <v>26</v>
      </c>
      <c r="X929" s="5" t="s">
        <v>79</v>
      </c>
      <c r="Y929" s="9">
        <v>3</v>
      </c>
      <c r="Z929" s="5" t="s">
        <v>80</v>
      </c>
      <c r="AA929" s="5" t="s">
        <v>185</v>
      </c>
      <c r="AB929" s="9">
        <v>27</v>
      </c>
      <c r="AC929" s="5" t="s">
        <v>79</v>
      </c>
      <c r="AD929" s="5" t="s">
        <v>82</v>
      </c>
      <c r="AE929" s="5" t="s">
        <v>82</v>
      </c>
      <c r="AF929" s="10">
        <v>250000</v>
      </c>
      <c r="AG929" s="7">
        <v>48944</v>
      </c>
      <c r="AH929" s="10">
        <v>544500</v>
      </c>
      <c r="AI929" s="10">
        <v>218500</v>
      </c>
      <c r="AJ929" s="11">
        <f t="shared" si="14"/>
        <v>29.903890160183067</v>
      </c>
      <c r="AK929" s="12">
        <f>IF(B929="","",OR(K929="Not in use",K929="Low use")+AND(N929&lt;&gt;"",N929&lt;&gt;"TBD")+AND(ISNUMBER(U929),U929&lt;=EDATE('Scoring Settings'!$B$4,'Scoring Settings'!$B$8))+AND(ISNUMBER(L929),L929&lt;='Scoring Settings'!$B$7))</f>
        <v>2</v>
      </c>
      <c r="AL929" s="5" t="s">
        <v>111</v>
      </c>
      <c r="AM929" s="8" t="str">
        <f>IF(B929="","",IF(Z929="N","Easy",IF(OR(AND(ISNUMBER(AB929),AB929&gt;'Scoring Settings'!$B$11),AND(ISNUMBER(W929),W929&gt;'Scoring Settings'!$B$12),AND(ISNUMBER(M929),M929&lt;='Scoring Settings'!$B$13)),"High","Medium")))</f>
        <v>High</v>
      </c>
      <c r="AN929" s="5"/>
      <c r="AO929" s="7"/>
      <c r="AP929" s="5" t="s">
        <v>98</v>
      </c>
      <c r="AQ929" s="29" t="s">
        <v>218</v>
      </c>
    </row>
    <row r="930" spans="1:43" hidden="1">
      <c r="A930" s="28">
        <v>178399</v>
      </c>
      <c r="B930" s="5" t="s">
        <v>1880</v>
      </c>
      <c r="C930" s="5" t="s">
        <v>101</v>
      </c>
      <c r="D930" s="5" t="s">
        <v>102</v>
      </c>
      <c r="E930" s="5" t="s">
        <v>298</v>
      </c>
      <c r="F930" s="5" t="s">
        <v>299</v>
      </c>
      <c r="G930" s="5" t="s">
        <v>356</v>
      </c>
      <c r="H930" s="5" t="s">
        <v>174</v>
      </c>
      <c r="I930" s="6">
        <v>537</v>
      </c>
      <c r="J930" s="7">
        <v>44274</v>
      </c>
      <c r="K930" s="8" t="str">
        <f>IF(B930="","",IF(AND(I930="",J930=""),"Unknown",IF(OR(AND(ISNUMBER(I930),I930=0),AND(ISNUMBER(J930),J930&lt;=EDATE('Scoring Settings'!$B$4,-'Scoring Settings'!$B$5))),"Not in use",IF(AND(ISNUMBER(I930),I930&lt;'Scoring Settings'!$B$6),"Low use","Active"))))</f>
        <v>Active</v>
      </c>
      <c r="L930" s="5">
        <v>3</v>
      </c>
      <c r="M930" s="5">
        <v>3</v>
      </c>
      <c r="N930" s="5" t="s">
        <v>72</v>
      </c>
      <c r="O930" s="5" t="s">
        <v>73</v>
      </c>
      <c r="P930" s="5" t="s">
        <v>1881</v>
      </c>
      <c r="Q930" s="9">
        <v>1</v>
      </c>
      <c r="R930" s="5" t="s">
        <v>166</v>
      </c>
      <c r="S930" s="5" t="s">
        <v>308</v>
      </c>
      <c r="T930" s="5" t="s">
        <v>72</v>
      </c>
      <c r="U930" s="7">
        <v>45209</v>
      </c>
      <c r="V930" s="5" t="s">
        <v>95</v>
      </c>
      <c r="W930" s="6">
        <v>1100</v>
      </c>
      <c r="X930" s="5" t="s">
        <v>79</v>
      </c>
      <c r="Y930" s="9">
        <v>3</v>
      </c>
      <c r="Z930" s="5" t="s">
        <v>80</v>
      </c>
      <c r="AA930" s="5" t="s">
        <v>147</v>
      </c>
      <c r="AB930" s="9">
        <v>3</v>
      </c>
      <c r="AC930" s="5" t="s">
        <v>80</v>
      </c>
      <c r="AD930" s="5" t="s">
        <v>79</v>
      </c>
      <c r="AE930" s="5" t="s">
        <v>79</v>
      </c>
      <c r="AF930" s="10">
        <v>19500</v>
      </c>
      <c r="AG930" s="7">
        <v>48304</v>
      </c>
      <c r="AH930" s="10"/>
      <c r="AI930" s="10"/>
      <c r="AJ930" s="11" t="str">
        <f t="shared" si="14"/>
        <v/>
      </c>
      <c r="AK930" s="12">
        <f>IF(B930="","",OR(K930="Not in use",K930="Low use")+AND(N930&lt;&gt;"",N930&lt;&gt;"TBD")+AND(ISNUMBER(U930),U930&lt;=EDATE('Scoring Settings'!$B$4,'Scoring Settings'!$B$8))+AND(ISNUMBER(L930),L930&lt;='Scoring Settings'!$B$7))</f>
        <v>0</v>
      </c>
      <c r="AL930" s="5" t="s">
        <v>83</v>
      </c>
      <c r="AM930" s="8" t="str">
        <f>IF(B930="","",IF(Z930="N","Easy",IF(OR(AND(ISNUMBER(AB930),AB930&gt;'Scoring Settings'!$B$11),AND(ISNUMBER(W930),W930&gt;'Scoring Settings'!$B$12),AND(ISNUMBER(M930),M930&lt;='Scoring Settings'!$B$13)),"High","Medium")))</f>
        <v>High</v>
      </c>
      <c r="AN930" s="5"/>
      <c r="AO930" s="7"/>
      <c r="AP930" s="5" t="s">
        <v>98</v>
      </c>
      <c r="AQ930" s="29" t="s">
        <v>273</v>
      </c>
    </row>
    <row r="931" spans="1:43" hidden="1">
      <c r="A931" s="28">
        <v>34334</v>
      </c>
      <c r="B931" s="5" t="s">
        <v>1882</v>
      </c>
      <c r="C931" s="5" t="s">
        <v>151</v>
      </c>
      <c r="D931" s="5" t="s">
        <v>102</v>
      </c>
      <c r="E931" s="5" t="s">
        <v>68</v>
      </c>
      <c r="F931" s="5" t="s">
        <v>173</v>
      </c>
      <c r="G931" s="5" t="s">
        <v>284</v>
      </c>
      <c r="H931" s="5" t="s">
        <v>91</v>
      </c>
      <c r="I931" s="6">
        <v>102</v>
      </c>
      <c r="J931" s="7">
        <v>44279</v>
      </c>
      <c r="K931" s="8" t="str">
        <f>IF(B931="","",IF(AND(I931="",J931=""),"Unknown",IF(OR(AND(ISNUMBER(I931),I931=0),AND(ISNUMBER(J931),J931&lt;=EDATE('Scoring Settings'!$B$4,-'Scoring Settings'!$B$5))),"Not in use",IF(AND(ISNUMBER(I931),I931&lt;'Scoring Settings'!$B$6),"Low use","Active"))))</f>
        <v>Active</v>
      </c>
      <c r="L931" s="5">
        <v>5</v>
      </c>
      <c r="M931" s="5">
        <v>2</v>
      </c>
      <c r="N931" s="5"/>
      <c r="O931" s="5" t="s">
        <v>130</v>
      </c>
      <c r="P931" s="5" t="s">
        <v>1883</v>
      </c>
      <c r="Q931" s="9">
        <v>4</v>
      </c>
      <c r="R931" s="5" t="s">
        <v>75</v>
      </c>
      <c r="S931" s="5" t="s">
        <v>76</v>
      </c>
      <c r="T931" s="5" t="s">
        <v>168</v>
      </c>
      <c r="U931" s="7">
        <v>46399</v>
      </c>
      <c r="V931" s="5" t="s">
        <v>135</v>
      </c>
      <c r="W931" s="6">
        <v>270</v>
      </c>
      <c r="X931" s="5" t="s">
        <v>80</v>
      </c>
      <c r="Y931" s="9">
        <v>7</v>
      </c>
      <c r="Z931" s="5" t="s">
        <v>80</v>
      </c>
      <c r="AA931" s="5" t="s">
        <v>205</v>
      </c>
      <c r="AB931" s="9">
        <v>8</v>
      </c>
      <c r="AC931" s="5" t="s">
        <v>82</v>
      </c>
      <c r="AD931" s="5" t="s">
        <v>82</v>
      </c>
      <c r="AE931" s="5" t="s">
        <v>80</v>
      </c>
      <c r="AF931" s="10">
        <v>75000</v>
      </c>
      <c r="AG931" s="7">
        <v>48944</v>
      </c>
      <c r="AH931" s="10"/>
      <c r="AI931" s="10"/>
      <c r="AJ931" s="11" t="str">
        <f t="shared" si="14"/>
        <v/>
      </c>
      <c r="AK931" s="12">
        <f>IF(B931="","",OR(K931="Not in use",K931="Low use")+AND(N931&lt;&gt;"",N931&lt;&gt;"TBD")+AND(ISNUMBER(U931),U931&lt;=EDATE('Scoring Settings'!$B$4,'Scoring Settings'!$B$8))+AND(ISNUMBER(L931),L931&lt;='Scoring Settings'!$B$7))</f>
        <v>0</v>
      </c>
      <c r="AL931" s="5" t="s">
        <v>83</v>
      </c>
      <c r="AM931" s="8" t="str">
        <f>IF(B931="","",IF(Z931="N","Easy",IF(OR(AND(ISNUMBER(AB931),AB931&gt;'Scoring Settings'!$B$11),AND(ISNUMBER(W931),W931&gt;'Scoring Settings'!$B$12),AND(ISNUMBER(M931),M931&lt;='Scoring Settings'!$B$13)),"High","Medium")))</f>
        <v>High</v>
      </c>
      <c r="AN931" s="5"/>
      <c r="AO931" s="7"/>
      <c r="AP931" s="5" t="s">
        <v>84</v>
      </c>
      <c r="AQ931" s="29" t="s">
        <v>206</v>
      </c>
    </row>
    <row r="932" spans="1:43" hidden="1">
      <c r="A932" s="28">
        <v>168227</v>
      </c>
      <c r="B932" s="5" t="s">
        <v>1887</v>
      </c>
      <c r="C932" s="5" t="s">
        <v>395</v>
      </c>
      <c r="D932" s="5" t="s">
        <v>88</v>
      </c>
      <c r="E932" s="5" t="s">
        <v>68</v>
      </c>
      <c r="F932" s="5" t="s">
        <v>178</v>
      </c>
      <c r="G932" s="5" t="s">
        <v>404</v>
      </c>
      <c r="H932" s="5" t="s">
        <v>105</v>
      </c>
      <c r="I932" s="6">
        <v>223</v>
      </c>
      <c r="J932" s="7">
        <v>44313</v>
      </c>
      <c r="K932" s="8" t="str">
        <f>IF(B932="","",IF(AND(I932="",J932=""),"Unknown",IF(OR(AND(ISNUMBER(I932),I932=0),AND(ISNUMBER(J932),J932&lt;=EDATE('Scoring Settings'!$B$4,-'Scoring Settings'!$B$5))),"Not in use",IF(AND(ISNUMBER(I932),I932&lt;'Scoring Settings'!$B$6),"Low use","Active"))))</f>
        <v>Active</v>
      </c>
      <c r="L932" s="5">
        <v>5</v>
      </c>
      <c r="M932" s="5">
        <v>2</v>
      </c>
      <c r="N932" s="5"/>
      <c r="O932" s="5" t="s">
        <v>73</v>
      </c>
      <c r="P932" s="5" t="s">
        <v>1888</v>
      </c>
      <c r="Q932" s="9">
        <v>3</v>
      </c>
      <c r="R932" s="5" t="s">
        <v>335</v>
      </c>
      <c r="S932" s="5" t="s">
        <v>336</v>
      </c>
      <c r="T932" s="5" t="s">
        <v>122</v>
      </c>
      <c r="U932" s="7">
        <v>45473</v>
      </c>
      <c r="V932" s="5" t="s">
        <v>135</v>
      </c>
      <c r="W932" s="6">
        <v>58</v>
      </c>
      <c r="X932" s="5" t="s">
        <v>79</v>
      </c>
      <c r="Y932" s="9">
        <v>3</v>
      </c>
      <c r="Z932" s="5" t="s">
        <v>79</v>
      </c>
      <c r="AA932" s="5" t="s">
        <v>110</v>
      </c>
      <c r="AB932" s="9">
        <v>19</v>
      </c>
      <c r="AC932" s="5" t="s">
        <v>80</v>
      </c>
      <c r="AD932" s="5" t="s">
        <v>79</v>
      </c>
      <c r="AE932" s="5" t="s">
        <v>80</v>
      </c>
      <c r="AF932" s="10">
        <v>95000</v>
      </c>
      <c r="AG932" s="7">
        <v>47573</v>
      </c>
      <c r="AH932" s="10"/>
      <c r="AI932" s="10"/>
      <c r="AJ932" s="11" t="str">
        <f t="shared" si="14"/>
        <v/>
      </c>
      <c r="AK932" s="12">
        <f>IF(B932="","",OR(K932="Not in use",K932="Low use")+AND(N932&lt;&gt;"",N932&lt;&gt;"TBD")+AND(ISNUMBER(U932),U932&lt;=EDATE('Scoring Settings'!$B$4,'Scoring Settings'!$B$8))+AND(ISNUMBER(L932),L932&lt;='Scoring Settings'!$B$7))</f>
        <v>0</v>
      </c>
      <c r="AL932" s="5" t="s">
        <v>83</v>
      </c>
      <c r="AM932" s="8" t="str">
        <f>IF(B932="","",IF(Z932="N","Easy",IF(OR(AND(ISNUMBER(AB932),AB932&gt;'Scoring Settings'!$B$11),AND(ISNUMBER(W932),W932&gt;'Scoring Settings'!$B$12),AND(ISNUMBER(M932),M932&lt;='Scoring Settings'!$B$13)),"High","Medium")))</f>
        <v>Easy</v>
      </c>
      <c r="AN932" s="5"/>
      <c r="AO932" s="7"/>
      <c r="AP932" s="5" t="s">
        <v>84</v>
      </c>
      <c r="AQ932" s="29" t="s">
        <v>206</v>
      </c>
    </row>
    <row r="933" spans="1:43" hidden="1">
      <c r="A933" s="28">
        <v>142871</v>
      </c>
      <c r="B933" s="5" t="s">
        <v>1894</v>
      </c>
      <c r="C933" s="5" t="s">
        <v>296</v>
      </c>
      <c r="D933" s="5" t="s">
        <v>297</v>
      </c>
      <c r="E933" s="5" t="s">
        <v>311</v>
      </c>
      <c r="F933" s="5" t="s">
        <v>103</v>
      </c>
      <c r="G933" s="5" t="s">
        <v>267</v>
      </c>
      <c r="H933" s="5" t="s">
        <v>91</v>
      </c>
      <c r="I933" s="6">
        <v>895</v>
      </c>
      <c r="J933" s="7">
        <v>44279</v>
      </c>
      <c r="K933" s="8" t="str">
        <f>IF(B933="","",IF(AND(I933="",J933=""),"Unknown",IF(OR(AND(ISNUMBER(I933),I933=0),AND(ISNUMBER(J933),J933&lt;=EDATE('Scoring Settings'!$B$4,-'Scoring Settings'!$B$5))),"Not in use",IF(AND(ISNUMBER(I933),I933&lt;'Scoring Settings'!$B$6),"Low use","Active"))))</f>
        <v>Active</v>
      </c>
      <c r="L933" s="5">
        <v>3</v>
      </c>
      <c r="M933" s="5">
        <v>2</v>
      </c>
      <c r="N933" s="5" t="s">
        <v>72</v>
      </c>
      <c r="O933" s="5" t="s">
        <v>73</v>
      </c>
      <c r="P933" s="5" t="s">
        <v>1895</v>
      </c>
      <c r="Q933" s="9">
        <v>1</v>
      </c>
      <c r="R933" s="5" t="s">
        <v>203</v>
      </c>
      <c r="S933" s="5" t="s">
        <v>508</v>
      </c>
      <c r="T933" s="5" t="s">
        <v>109</v>
      </c>
      <c r="U933" s="7">
        <v>47269</v>
      </c>
      <c r="V933" s="5" t="s">
        <v>135</v>
      </c>
      <c r="W933" s="6">
        <v>19</v>
      </c>
      <c r="X933" s="5" t="s">
        <v>80</v>
      </c>
      <c r="Y933" s="9">
        <v>10</v>
      </c>
      <c r="Z933" s="5" t="s">
        <v>80</v>
      </c>
      <c r="AA933" s="5" t="s">
        <v>123</v>
      </c>
      <c r="AB933" s="9">
        <v>28</v>
      </c>
      <c r="AC933" s="5" t="s">
        <v>82</v>
      </c>
      <c r="AD933" s="5" t="s">
        <v>80</v>
      </c>
      <c r="AE933" s="5" t="s">
        <v>79</v>
      </c>
      <c r="AF933" s="10">
        <v>22500</v>
      </c>
      <c r="AG933" s="7">
        <v>46418</v>
      </c>
      <c r="AH933" s="10"/>
      <c r="AI933" s="10"/>
      <c r="AJ933" s="11" t="str">
        <f t="shared" si="14"/>
        <v/>
      </c>
      <c r="AK933" s="12">
        <f>IF(B933="","",OR(K933="Not in use",K933="Low use")+AND(N933&lt;&gt;"",N933&lt;&gt;"TBD")+AND(ISNUMBER(U933),U933&lt;=EDATE('Scoring Settings'!$B$4,'Scoring Settings'!$B$8))+AND(ISNUMBER(L933),L933&lt;='Scoring Settings'!$B$7))</f>
        <v>0</v>
      </c>
      <c r="AL933" s="5" t="s">
        <v>83</v>
      </c>
      <c r="AM933" s="8" t="str">
        <f>IF(B933="","",IF(Z933="N","Easy",IF(OR(AND(ISNUMBER(AB933),AB933&gt;'Scoring Settings'!$B$11),AND(ISNUMBER(W933),W933&gt;'Scoring Settings'!$B$12),AND(ISNUMBER(M933),M933&lt;='Scoring Settings'!$B$13)),"High","Medium")))</f>
        <v>High</v>
      </c>
      <c r="AN933" s="5"/>
      <c r="AO933" s="7"/>
      <c r="AP933" s="5" t="s">
        <v>84</v>
      </c>
      <c r="AQ933" s="29" t="s">
        <v>206</v>
      </c>
    </row>
    <row r="934" spans="1:43" hidden="1">
      <c r="A934" s="28">
        <v>75018</v>
      </c>
      <c r="B934" s="5" t="s">
        <v>1902</v>
      </c>
      <c r="C934" s="5" t="s">
        <v>453</v>
      </c>
      <c r="D934" s="5" t="s">
        <v>67</v>
      </c>
      <c r="E934" s="5" t="s">
        <v>68</v>
      </c>
      <c r="F934" s="5" t="s">
        <v>302</v>
      </c>
      <c r="G934" s="5" t="s">
        <v>404</v>
      </c>
      <c r="H934" s="5" t="s">
        <v>142</v>
      </c>
      <c r="I934" s="6">
        <v>31</v>
      </c>
      <c r="J934" s="7">
        <v>44282</v>
      </c>
      <c r="K934" s="8" t="str">
        <f>IF(B934="","",IF(AND(I934="",J934=""),"Unknown",IF(OR(AND(ISNUMBER(I934),I934=0),AND(ISNUMBER(J934),J934&lt;=EDATE('Scoring Settings'!$B$4,-'Scoring Settings'!$B$5))),"Not in use",IF(AND(ISNUMBER(I934),I934&lt;'Scoring Settings'!$B$6),"Low use","Active"))))</f>
        <v>Active</v>
      </c>
      <c r="L934" s="5">
        <v>5</v>
      </c>
      <c r="M934" s="5">
        <v>1</v>
      </c>
      <c r="N934" s="5"/>
      <c r="O934" s="5" t="s">
        <v>143</v>
      </c>
      <c r="P934" s="5" t="s">
        <v>144</v>
      </c>
      <c r="Q934" s="9">
        <v>0</v>
      </c>
      <c r="R934" s="5" t="s">
        <v>145</v>
      </c>
      <c r="S934" s="5" t="s">
        <v>145</v>
      </c>
      <c r="T934" s="5" t="s">
        <v>146</v>
      </c>
      <c r="U934" s="7">
        <v>45169</v>
      </c>
      <c r="V934" s="5" t="s">
        <v>95</v>
      </c>
      <c r="W934" s="6">
        <v>200</v>
      </c>
      <c r="X934" s="5" t="s">
        <v>79</v>
      </c>
      <c r="Y934" s="9">
        <v>1</v>
      </c>
      <c r="Z934" s="5" t="s">
        <v>79</v>
      </c>
      <c r="AA934" s="5" t="s">
        <v>110</v>
      </c>
      <c r="AB934" s="9">
        <v>21</v>
      </c>
      <c r="AC934" s="5" t="s">
        <v>79</v>
      </c>
      <c r="AD934" s="5" t="s">
        <v>79</v>
      </c>
      <c r="AE934" s="5" t="s">
        <v>82</v>
      </c>
      <c r="AF934" s="10">
        <v>130000</v>
      </c>
      <c r="AG934" s="7">
        <v>47542</v>
      </c>
      <c r="AH934" s="10"/>
      <c r="AI934" s="10"/>
      <c r="AJ934" s="11" t="str">
        <f t="shared" si="14"/>
        <v/>
      </c>
      <c r="AK934" s="12">
        <f>IF(B934="","",OR(K934="Not in use",K934="Low use")+AND(N934&lt;&gt;"",N934&lt;&gt;"TBD")+AND(ISNUMBER(U934),U934&lt;=EDATE('Scoring Settings'!$B$4,'Scoring Settings'!$B$8))+AND(ISNUMBER(L934),L934&lt;='Scoring Settings'!$B$7))</f>
        <v>0</v>
      </c>
      <c r="AL934" s="5" t="s">
        <v>83</v>
      </c>
      <c r="AM934" s="8" t="str">
        <f>IF(B934="","",IF(Z934="N","Easy",IF(OR(AND(ISNUMBER(AB934),AB934&gt;'Scoring Settings'!$B$11),AND(ISNUMBER(W934),W934&gt;'Scoring Settings'!$B$12),AND(ISNUMBER(M934),M934&lt;='Scoring Settings'!$B$13)),"High","Medium")))</f>
        <v>Easy</v>
      </c>
      <c r="AN934" s="5"/>
      <c r="AO934" s="7"/>
      <c r="AP934" s="5" t="s">
        <v>84</v>
      </c>
      <c r="AQ934" s="29" t="s">
        <v>273</v>
      </c>
    </row>
    <row r="935" spans="1:43" hidden="1">
      <c r="A935" s="28">
        <v>44876</v>
      </c>
      <c r="B935" s="5" t="s">
        <v>1903</v>
      </c>
      <c r="C935" s="5" t="s">
        <v>215</v>
      </c>
      <c r="D935" s="5" t="s">
        <v>139</v>
      </c>
      <c r="E935" s="5" t="s">
        <v>68</v>
      </c>
      <c r="F935" s="5" t="s">
        <v>243</v>
      </c>
      <c r="G935" s="5" t="s">
        <v>153</v>
      </c>
      <c r="H935" s="5" t="s">
        <v>71</v>
      </c>
      <c r="I935" s="6"/>
      <c r="J935" s="7"/>
      <c r="K935" s="8" t="str">
        <f>IF(B935="","",IF(AND(I935="",J935=""),"Unknown",IF(OR(AND(ISNUMBER(I935),I935=0),AND(ISNUMBER(J935),J935&lt;=EDATE('Scoring Settings'!$B$4,-'Scoring Settings'!$B$5))),"Not in use",IF(AND(ISNUMBER(I935),I935&lt;'Scoring Settings'!$B$6),"Low use","Active"))))</f>
        <v>Unknown</v>
      </c>
      <c r="L935" s="5">
        <v>3</v>
      </c>
      <c r="M935" s="5">
        <v>3</v>
      </c>
      <c r="N935" s="5"/>
      <c r="O935" s="5" t="s">
        <v>191</v>
      </c>
      <c r="P935" s="5" t="s">
        <v>192</v>
      </c>
      <c r="Q935" s="9">
        <v>0</v>
      </c>
      <c r="R935" s="5" t="s">
        <v>193</v>
      </c>
      <c r="S935" s="5" t="s">
        <v>318</v>
      </c>
      <c r="T935" s="5" t="s">
        <v>195</v>
      </c>
      <c r="U935" s="7"/>
      <c r="V935" s="5" t="s">
        <v>95</v>
      </c>
      <c r="W935" s="6">
        <v>600</v>
      </c>
      <c r="X935" s="5" t="s">
        <v>79</v>
      </c>
      <c r="Y935" s="9">
        <v>2</v>
      </c>
      <c r="Z935" s="5" t="s">
        <v>79</v>
      </c>
      <c r="AA935" s="5" t="s">
        <v>110</v>
      </c>
      <c r="AB935" s="9">
        <v>7</v>
      </c>
      <c r="AC935" s="5" t="s">
        <v>82</v>
      </c>
      <c r="AD935" s="5" t="s">
        <v>82</v>
      </c>
      <c r="AE935" s="5" t="s">
        <v>79</v>
      </c>
      <c r="AF935" s="10">
        <v>9500</v>
      </c>
      <c r="AG935" s="7">
        <v>46418</v>
      </c>
      <c r="AH935" s="10"/>
      <c r="AI935" s="10"/>
      <c r="AJ935" s="11" t="str">
        <f t="shared" si="14"/>
        <v/>
      </c>
      <c r="AK935" s="12">
        <f>IF(B935="","",OR(K935="Not in use",K935="Low use")+AND(N935&lt;&gt;"",N935&lt;&gt;"TBD")+AND(ISNUMBER(U935),U935&lt;=EDATE('Scoring Settings'!$B$4,'Scoring Settings'!$B$8))+AND(ISNUMBER(L935),L935&lt;='Scoring Settings'!$B$7))</f>
        <v>0</v>
      </c>
      <c r="AL935" s="5" t="s">
        <v>111</v>
      </c>
      <c r="AM935" s="8" t="str">
        <f>IF(B935="","",IF(Z935="N","Easy",IF(OR(AND(ISNUMBER(AB935),AB935&gt;'Scoring Settings'!$B$11),AND(ISNUMBER(W935),W935&gt;'Scoring Settings'!$B$12),AND(ISNUMBER(M935),M935&lt;='Scoring Settings'!$B$13)),"High","Medium")))</f>
        <v>Easy</v>
      </c>
      <c r="AN935" s="5"/>
      <c r="AO935" s="7"/>
      <c r="AP935" s="5" t="s">
        <v>98</v>
      </c>
      <c r="AQ935" s="29" t="s">
        <v>159</v>
      </c>
    </row>
    <row r="936" spans="1:43" hidden="1">
      <c r="A936" s="28">
        <v>59081</v>
      </c>
      <c r="B936" s="5" t="s">
        <v>1905</v>
      </c>
      <c r="C936" s="5" t="s">
        <v>87</v>
      </c>
      <c r="D936" s="5" t="s">
        <v>88</v>
      </c>
      <c r="E936" s="5" t="s">
        <v>68</v>
      </c>
      <c r="F936" s="5" t="s">
        <v>127</v>
      </c>
      <c r="G936" s="5" t="s">
        <v>90</v>
      </c>
      <c r="H936" s="5" t="s">
        <v>189</v>
      </c>
      <c r="I936" s="6">
        <v>344</v>
      </c>
      <c r="J936" s="7">
        <v>44293</v>
      </c>
      <c r="K936" s="8" t="str">
        <f>IF(B936="","",IF(AND(I936="",J936=""),"Unknown",IF(OR(AND(ISNUMBER(I936),I936=0),AND(ISNUMBER(J936),J936&lt;=EDATE('Scoring Settings'!$B$4,-'Scoring Settings'!$B$5))),"Not in use",IF(AND(ISNUMBER(I936),I936&lt;'Scoring Settings'!$B$6),"Low use","Active"))))</f>
        <v>Active</v>
      </c>
      <c r="L936" s="5">
        <v>4</v>
      </c>
      <c r="M936" s="5">
        <v>2</v>
      </c>
      <c r="N936" s="5"/>
      <c r="O936" s="5" t="s">
        <v>73</v>
      </c>
      <c r="P936" s="5" t="s">
        <v>1906</v>
      </c>
      <c r="Q936" s="9">
        <v>5</v>
      </c>
      <c r="R936" s="5" t="s">
        <v>239</v>
      </c>
      <c r="S936" s="5" t="s">
        <v>72</v>
      </c>
      <c r="T936" s="5" t="s">
        <v>122</v>
      </c>
      <c r="U936" s="7">
        <v>44316</v>
      </c>
      <c r="V936" s="5" t="s">
        <v>135</v>
      </c>
      <c r="W936" s="6">
        <v>510</v>
      </c>
      <c r="X936" s="5" t="s">
        <v>79</v>
      </c>
      <c r="Y936" s="9">
        <v>7</v>
      </c>
      <c r="Z936" s="5" t="s">
        <v>80</v>
      </c>
      <c r="AA936" s="5" t="s">
        <v>185</v>
      </c>
      <c r="AB936" s="9">
        <v>20</v>
      </c>
      <c r="AC936" s="5" t="s">
        <v>82</v>
      </c>
      <c r="AD936" s="5" t="s">
        <v>82</v>
      </c>
      <c r="AE936" s="5" t="s">
        <v>79</v>
      </c>
      <c r="AF936" s="10">
        <v>100000</v>
      </c>
      <c r="AG936" s="7">
        <v>46599</v>
      </c>
      <c r="AH936" s="10"/>
      <c r="AI936" s="10"/>
      <c r="AJ936" s="11" t="str">
        <f t="shared" si="14"/>
        <v/>
      </c>
      <c r="AK936" s="12">
        <f>IF(B936="","",OR(K936="Not in use",K936="Low use")+AND(N936&lt;&gt;"",N936&lt;&gt;"TBD")+AND(ISNUMBER(U936),U936&lt;=EDATE('Scoring Settings'!$B$4,'Scoring Settings'!$B$8))+AND(ISNUMBER(L936),L936&lt;='Scoring Settings'!$B$7))</f>
        <v>1</v>
      </c>
      <c r="AL936" s="5" t="s">
        <v>111</v>
      </c>
      <c r="AM936" s="8" t="str">
        <f>IF(B936="","",IF(Z936="N","Easy",IF(OR(AND(ISNUMBER(AB936),AB936&gt;'Scoring Settings'!$B$11),AND(ISNUMBER(W936),W936&gt;'Scoring Settings'!$B$12),AND(ISNUMBER(M936),M936&lt;='Scoring Settings'!$B$13)),"High","Medium")))</f>
        <v>High</v>
      </c>
      <c r="AN936" s="5"/>
      <c r="AO936" s="7"/>
      <c r="AP936" s="5" t="s">
        <v>98</v>
      </c>
      <c r="AQ936" s="29" t="s">
        <v>159</v>
      </c>
    </row>
    <row r="937" spans="1:43" hidden="1">
      <c r="A937" s="28">
        <v>187137</v>
      </c>
      <c r="B937" s="5" t="s">
        <v>1913</v>
      </c>
      <c r="C937" s="5" t="s">
        <v>301</v>
      </c>
      <c r="D937" s="5" t="s">
        <v>162</v>
      </c>
      <c r="E937" s="5" t="s">
        <v>68</v>
      </c>
      <c r="F937" s="5" t="s">
        <v>201</v>
      </c>
      <c r="G937" s="5" t="s">
        <v>104</v>
      </c>
      <c r="H937" s="5" t="s">
        <v>174</v>
      </c>
      <c r="I937" s="6">
        <v>49</v>
      </c>
      <c r="J937" s="7">
        <v>44271</v>
      </c>
      <c r="K937" s="8" t="str">
        <f>IF(B937="","",IF(AND(I937="",J937=""),"Unknown",IF(OR(AND(ISNUMBER(I937),I937=0),AND(ISNUMBER(J937),J937&lt;=EDATE('Scoring Settings'!$B$4,-'Scoring Settings'!$B$5))),"Not in use",IF(AND(ISNUMBER(I937),I937&lt;'Scoring Settings'!$B$6),"Low use","Active"))))</f>
        <v>Active</v>
      </c>
      <c r="L937" s="5">
        <v>5</v>
      </c>
      <c r="M937" s="5">
        <v>1</v>
      </c>
      <c r="N937" s="5"/>
      <c r="O937" s="5" t="s">
        <v>191</v>
      </c>
      <c r="P937" s="5" t="s">
        <v>192</v>
      </c>
      <c r="Q937" s="9">
        <v>0</v>
      </c>
      <c r="R937" s="5" t="s">
        <v>193</v>
      </c>
      <c r="S937" s="5" t="s">
        <v>194</v>
      </c>
      <c r="T937" s="5" t="s">
        <v>195</v>
      </c>
      <c r="U937" s="7">
        <v>44742</v>
      </c>
      <c r="V937" s="5" t="s">
        <v>135</v>
      </c>
      <c r="W937" s="6">
        <v>1330</v>
      </c>
      <c r="X937" s="5" t="s">
        <v>79</v>
      </c>
      <c r="Y937" s="9">
        <v>3</v>
      </c>
      <c r="Z937" s="5" t="s">
        <v>80</v>
      </c>
      <c r="AA937" s="5" t="s">
        <v>81</v>
      </c>
      <c r="AB937" s="9">
        <v>21</v>
      </c>
      <c r="AC937" s="5" t="s">
        <v>79</v>
      </c>
      <c r="AD937" s="5" t="s">
        <v>80</v>
      </c>
      <c r="AE937" s="5" t="s">
        <v>79</v>
      </c>
      <c r="AF937" s="10">
        <v>95000</v>
      </c>
      <c r="AG937" s="7">
        <v>48029</v>
      </c>
      <c r="AH937" s="10"/>
      <c r="AI937" s="10"/>
      <c r="AJ937" s="11" t="str">
        <f t="shared" si="14"/>
        <v/>
      </c>
      <c r="AK937" s="12">
        <f>IF(B937="","",OR(K937="Not in use",K937="Low use")+AND(N937&lt;&gt;"",N937&lt;&gt;"TBD")+AND(ISNUMBER(U937),U937&lt;=EDATE('Scoring Settings'!$B$4,'Scoring Settings'!$B$8))+AND(ISNUMBER(L937),L937&lt;='Scoring Settings'!$B$7))</f>
        <v>0</v>
      </c>
      <c r="AL937" s="5" t="s">
        <v>83</v>
      </c>
      <c r="AM937" s="8" t="str">
        <f>IF(B937="","",IF(Z937="N","Easy",IF(OR(AND(ISNUMBER(AB937),AB937&gt;'Scoring Settings'!$B$11),AND(ISNUMBER(W937),W937&gt;'Scoring Settings'!$B$12),AND(ISNUMBER(M937),M937&lt;='Scoring Settings'!$B$13)),"High","Medium")))</f>
        <v>High</v>
      </c>
      <c r="AN937" s="5"/>
      <c r="AO937" s="7"/>
      <c r="AP937" s="5" t="s">
        <v>84</v>
      </c>
      <c r="AQ937" s="29" t="s">
        <v>206</v>
      </c>
    </row>
    <row r="938" spans="1:43" hidden="1">
      <c r="A938" s="28">
        <v>115626</v>
      </c>
      <c r="B938" s="5" t="s">
        <v>1914</v>
      </c>
      <c r="C938" s="5" t="s">
        <v>470</v>
      </c>
      <c r="D938" s="5" t="s">
        <v>297</v>
      </c>
      <c r="E938" s="5" t="s">
        <v>68</v>
      </c>
      <c r="F938" s="5" t="s">
        <v>263</v>
      </c>
      <c r="G938" s="5" t="s">
        <v>90</v>
      </c>
      <c r="H938" s="5" t="s">
        <v>189</v>
      </c>
      <c r="I938" s="6">
        <v>134</v>
      </c>
      <c r="J938" s="7">
        <v>44276</v>
      </c>
      <c r="K938" s="8" t="str">
        <f>IF(B938="","",IF(AND(I938="",J938=""),"Unknown",IF(OR(AND(ISNUMBER(I938),I938=0),AND(ISNUMBER(J938),J938&lt;=EDATE('Scoring Settings'!$B$4,-'Scoring Settings'!$B$5))),"Not in use",IF(AND(ISNUMBER(I938),I938&lt;'Scoring Settings'!$B$6),"Low use","Active"))))</f>
        <v>Active</v>
      </c>
      <c r="L938" s="5">
        <v>4</v>
      </c>
      <c r="M938" s="5">
        <v>1</v>
      </c>
      <c r="N938" s="5"/>
      <c r="O938" s="5" t="s">
        <v>73</v>
      </c>
      <c r="P938" s="5" t="s">
        <v>1915</v>
      </c>
      <c r="Q938" s="9">
        <v>8</v>
      </c>
      <c r="R938" s="5" t="s">
        <v>239</v>
      </c>
      <c r="S938" s="5" t="s">
        <v>240</v>
      </c>
      <c r="T938" s="5" t="s">
        <v>77</v>
      </c>
      <c r="U938" s="7">
        <v>44316</v>
      </c>
      <c r="V938" s="5" t="s">
        <v>135</v>
      </c>
      <c r="W938" s="6">
        <v>380</v>
      </c>
      <c r="X938" s="5" t="s">
        <v>80</v>
      </c>
      <c r="Y938" s="9">
        <v>7</v>
      </c>
      <c r="Z938" s="5" t="s">
        <v>79</v>
      </c>
      <c r="AA938" s="5" t="s">
        <v>110</v>
      </c>
      <c r="AB938" s="9">
        <v>26</v>
      </c>
      <c r="AC938" s="5" t="s">
        <v>79</v>
      </c>
      <c r="AD938" s="5" t="s">
        <v>80</v>
      </c>
      <c r="AE938" s="5" t="s">
        <v>79</v>
      </c>
      <c r="AF938" s="10">
        <v>365000</v>
      </c>
      <c r="AG938" s="7">
        <v>47664</v>
      </c>
      <c r="AH938" s="10">
        <v>401500</v>
      </c>
      <c r="AI938" s="10">
        <v>364000</v>
      </c>
      <c r="AJ938" s="11">
        <f t="shared" si="14"/>
        <v>13.236263736263737</v>
      </c>
      <c r="AK938" s="12">
        <f>IF(B938="","",OR(K938="Not in use",K938="Low use")+AND(N938&lt;&gt;"",N938&lt;&gt;"TBD")+AND(ISNUMBER(U938),U938&lt;=EDATE('Scoring Settings'!$B$4,'Scoring Settings'!$B$8))+AND(ISNUMBER(L938),L938&lt;='Scoring Settings'!$B$7))</f>
        <v>1</v>
      </c>
      <c r="AL938" s="5" t="s">
        <v>111</v>
      </c>
      <c r="AM938" s="8" t="str">
        <f>IF(B938="","",IF(Z938="N","Easy",IF(OR(AND(ISNUMBER(AB938),AB938&gt;'Scoring Settings'!$B$11),AND(ISNUMBER(W938),W938&gt;'Scoring Settings'!$B$12),AND(ISNUMBER(M938),M938&lt;='Scoring Settings'!$B$13)),"High","Medium")))</f>
        <v>Easy</v>
      </c>
      <c r="AN938" s="5"/>
      <c r="AO938" s="7"/>
      <c r="AP938" s="5" t="s">
        <v>98</v>
      </c>
      <c r="AQ938" s="29" t="s">
        <v>159</v>
      </c>
    </row>
    <row r="939" spans="1:43" hidden="1">
      <c r="A939" s="28">
        <v>155991</v>
      </c>
      <c r="B939" s="5" t="s">
        <v>1918</v>
      </c>
      <c r="C939" s="5" t="s">
        <v>467</v>
      </c>
      <c r="D939" s="5" t="s">
        <v>297</v>
      </c>
      <c r="E939" s="5" t="s">
        <v>68</v>
      </c>
      <c r="F939" s="5" t="s">
        <v>243</v>
      </c>
      <c r="G939" s="5" t="s">
        <v>90</v>
      </c>
      <c r="H939" s="5" t="s">
        <v>174</v>
      </c>
      <c r="I939" s="6">
        <v>181</v>
      </c>
      <c r="J939" s="7">
        <v>44308</v>
      </c>
      <c r="K939" s="8" t="str">
        <f>IF(B939="","",IF(AND(I939="",J939=""),"Unknown",IF(OR(AND(ISNUMBER(I939),I939=0),AND(ISNUMBER(J939),J939&lt;=EDATE('Scoring Settings'!$B$4,-'Scoring Settings'!$B$5))),"Not in use",IF(AND(ISNUMBER(I939),I939&lt;'Scoring Settings'!$B$6),"Low use","Active"))))</f>
        <v>Active</v>
      </c>
      <c r="L939" s="5">
        <v>3</v>
      </c>
      <c r="M939" s="5">
        <v>2</v>
      </c>
      <c r="N939" s="5" t="s">
        <v>617</v>
      </c>
      <c r="O939" s="5" t="s">
        <v>73</v>
      </c>
      <c r="P939" s="5" t="s">
        <v>1919</v>
      </c>
      <c r="Q939" s="9">
        <v>6</v>
      </c>
      <c r="R939" s="5" t="s">
        <v>132</v>
      </c>
      <c r="S939" s="5" t="s">
        <v>133</v>
      </c>
      <c r="T939" s="5" t="s">
        <v>72</v>
      </c>
      <c r="U939" s="7">
        <v>44227</v>
      </c>
      <c r="V939" s="5" t="s">
        <v>95</v>
      </c>
      <c r="W939" s="6">
        <v>130</v>
      </c>
      <c r="X939" s="5" t="s">
        <v>80</v>
      </c>
      <c r="Y939" s="9">
        <v>7</v>
      </c>
      <c r="Z939" s="5" t="s">
        <v>80</v>
      </c>
      <c r="AA939" s="5" t="s">
        <v>81</v>
      </c>
      <c r="AB939" s="9">
        <v>12</v>
      </c>
      <c r="AC939" s="5" t="s">
        <v>82</v>
      </c>
      <c r="AD939" s="5" t="s">
        <v>79</v>
      </c>
      <c r="AE939" s="5" t="s">
        <v>79</v>
      </c>
      <c r="AF939" s="10">
        <v>100000</v>
      </c>
      <c r="AG939" s="7">
        <v>46203</v>
      </c>
      <c r="AH939" s="10">
        <v>207500</v>
      </c>
      <c r="AI939" s="10">
        <v>88000</v>
      </c>
      <c r="AJ939" s="11">
        <f t="shared" si="14"/>
        <v>28.295454545454547</v>
      </c>
      <c r="AK939" s="12">
        <f>IF(B939="","",OR(K939="Not in use",K939="Low use")+AND(N939&lt;&gt;"",N939&lt;&gt;"TBD")+AND(ISNUMBER(U939),U939&lt;=EDATE('Scoring Settings'!$B$4,'Scoring Settings'!$B$8))+AND(ISNUMBER(L939),L939&lt;='Scoring Settings'!$B$7))</f>
        <v>2</v>
      </c>
      <c r="AL939" s="5" t="s">
        <v>111</v>
      </c>
      <c r="AM939" s="8" t="str">
        <f>IF(B939="","",IF(Z939="N","Easy",IF(OR(AND(ISNUMBER(AB939),AB939&gt;'Scoring Settings'!$B$11),AND(ISNUMBER(W939),W939&gt;'Scoring Settings'!$B$12),AND(ISNUMBER(M939),M939&lt;='Scoring Settings'!$B$13)),"High","Medium")))</f>
        <v>High</v>
      </c>
      <c r="AN939" s="5"/>
      <c r="AO939" s="7"/>
      <c r="AP939" s="5" t="s">
        <v>98</v>
      </c>
      <c r="AQ939" s="29" t="s">
        <v>159</v>
      </c>
    </row>
    <row r="940" spans="1:43" hidden="1">
      <c r="A940" s="28">
        <v>29258</v>
      </c>
      <c r="B940" s="5" t="s">
        <v>1925</v>
      </c>
      <c r="C940" s="5" t="s">
        <v>242</v>
      </c>
      <c r="D940" s="5" t="s">
        <v>115</v>
      </c>
      <c r="E940" s="5" t="s">
        <v>298</v>
      </c>
      <c r="F940" s="5" t="s">
        <v>178</v>
      </c>
      <c r="G940" s="5" t="s">
        <v>284</v>
      </c>
      <c r="H940" s="5" t="s">
        <v>129</v>
      </c>
      <c r="I940" s="6">
        <v>163</v>
      </c>
      <c r="J940" s="7">
        <v>44299</v>
      </c>
      <c r="K940" s="8" t="str">
        <f>IF(B940="","",IF(AND(I940="",J940=""),"Unknown",IF(OR(AND(ISNUMBER(I940),I940=0),AND(ISNUMBER(J940),J940&lt;=EDATE('Scoring Settings'!$B$4,-'Scoring Settings'!$B$5))),"Not in use",IF(AND(ISNUMBER(I940),I940&lt;'Scoring Settings'!$B$6),"Low use","Active"))))</f>
        <v>Active</v>
      </c>
      <c r="L940" s="5">
        <v>4</v>
      </c>
      <c r="M940" s="5">
        <v>2</v>
      </c>
      <c r="N940" s="5"/>
      <c r="O940" s="5" t="s">
        <v>73</v>
      </c>
      <c r="P940" s="5" t="s">
        <v>1926</v>
      </c>
      <c r="Q940" s="9">
        <v>7</v>
      </c>
      <c r="R940" s="5" t="s">
        <v>182</v>
      </c>
      <c r="S940" s="5" t="s">
        <v>183</v>
      </c>
      <c r="T940" s="5" t="s">
        <v>184</v>
      </c>
      <c r="U940" s="7">
        <v>42855</v>
      </c>
      <c r="V940" s="5" t="s">
        <v>95</v>
      </c>
      <c r="W940" s="6">
        <v>1310</v>
      </c>
      <c r="X940" s="5" t="s">
        <v>79</v>
      </c>
      <c r="Y940" s="9">
        <v>3</v>
      </c>
      <c r="Z940" s="5" t="s">
        <v>79</v>
      </c>
      <c r="AA940" s="5" t="s">
        <v>110</v>
      </c>
      <c r="AB940" s="9">
        <v>9</v>
      </c>
      <c r="AC940" s="5" t="s">
        <v>80</v>
      </c>
      <c r="AD940" s="5" t="s">
        <v>80</v>
      </c>
      <c r="AE940" s="5" t="s">
        <v>80</v>
      </c>
      <c r="AF940" s="10">
        <v>145000</v>
      </c>
      <c r="AG940" s="7">
        <v>49674</v>
      </c>
      <c r="AH940" s="10"/>
      <c r="AI940" s="10"/>
      <c r="AJ940" s="11" t="str">
        <f t="shared" si="14"/>
        <v/>
      </c>
      <c r="AK940" s="12">
        <f>IF(B940="","",OR(K940="Not in use",K940="Low use")+AND(N940&lt;&gt;"",N940&lt;&gt;"TBD")+AND(ISNUMBER(U940),U940&lt;=EDATE('Scoring Settings'!$B$4,'Scoring Settings'!$B$8))+AND(ISNUMBER(L940),L940&lt;='Scoring Settings'!$B$7))</f>
        <v>1</v>
      </c>
      <c r="AL940" s="5" t="s">
        <v>111</v>
      </c>
      <c r="AM940" s="8" t="str">
        <f>IF(B940="","",IF(Z940="N","Easy",IF(OR(AND(ISNUMBER(AB940),AB940&gt;'Scoring Settings'!$B$11),AND(ISNUMBER(W940),W940&gt;'Scoring Settings'!$B$12),AND(ISNUMBER(M940),M940&lt;='Scoring Settings'!$B$13)),"High","Medium")))</f>
        <v>Easy</v>
      </c>
      <c r="AN940" s="5"/>
      <c r="AO940" s="7"/>
      <c r="AP940" s="5" t="s">
        <v>98</v>
      </c>
      <c r="AQ940" s="29" t="s">
        <v>218</v>
      </c>
    </row>
    <row r="941" spans="1:43" hidden="1">
      <c r="A941" s="28">
        <v>27690</v>
      </c>
      <c r="B941" s="5" t="s">
        <v>1927</v>
      </c>
      <c r="C941" s="5" t="s">
        <v>634</v>
      </c>
      <c r="D941" s="5" t="s">
        <v>297</v>
      </c>
      <c r="E941" s="5" t="s">
        <v>68</v>
      </c>
      <c r="F941" s="5" t="s">
        <v>249</v>
      </c>
      <c r="G941" s="5" t="s">
        <v>284</v>
      </c>
      <c r="H941" s="5" t="s">
        <v>174</v>
      </c>
      <c r="I941" s="6">
        <v>52</v>
      </c>
      <c r="J941" s="7">
        <v>44280</v>
      </c>
      <c r="K941" s="8" t="str">
        <f>IF(B941="","",IF(AND(I941="",J941=""),"Unknown",IF(OR(AND(ISNUMBER(I941),I941=0),AND(ISNUMBER(J941),J941&lt;=EDATE('Scoring Settings'!$B$4,-'Scoring Settings'!$B$5))),"Not in use",IF(AND(ISNUMBER(I941),I941&lt;'Scoring Settings'!$B$6),"Low use","Active"))))</f>
        <v>Active</v>
      </c>
      <c r="L941" s="5">
        <v>5</v>
      </c>
      <c r="M941" s="5">
        <v>1</v>
      </c>
      <c r="N941" s="5"/>
      <c r="O941" s="5" t="s">
        <v>130</v>
      </c>
      <c r="P941" s="5" t="s">
        <v>1928</v>
      </c>
      <c r="Q941" s="9">
        <v>3</v>
      </c>
      <c r="R941" s="5" t="s">
        <v>203</v>
      </c>
      <c r="S941" s="5" t="s">
        <v>508</v>
      </c>
      <c r="T941" s="5" t="s">
        <v>134</v>
      </c>
      <c r="U941" s="7">
        <v>47269</v>
      </c>
      <c r="V941" s="5" t="s">
        <v>95</v>
      </c>
      <c r="W941" s="6">
        <v>1560</v>
      </c>
      <c r="X941" s="5" t="s">
        <v>80</v>
      </c>
      <c r="Y941" s="9">
        <v>5</v>
      </c>
      <c r="Z941" s="5" t="s">
        <v>79</v>
      </c>
      <c r="AA941" s="5" t="s">
        <v>110</v>
      </c>
      <c r="AB941" s="9">
        <v>23</v>
      </c>
      <c r="AC941" s="5" t="s">
        <v>79</v>
      </c>
      <c r="AD941" s="5" t="s">
        <v>82</v>
      </c>
      <c r="AE941" s="5" t="s">
        <v>79</v>
      </c>
      <c r="AF941" s="10">
        <v>55000</v>
      </c>
      <c r="AG941" s="7">
        <v>48426</v>
      </c>
      <c r="AH941" s="10"/>
      <c r="AI941" s="10"/>
      <c r="AJ941" s="11" t="str">
        <f t="shared" si="14"/>
        <v/>
      </c>
      <c r="AK941" s="12">
        <f>IF(B941="","",OR(K941="Not in use",K941="Low use")+AND(N941&lt;&gt;"",N941&lt;&gt;"TBD")+AND(ISNUMBER(U941),U941&lt;=EDATE('Scoring Settings'!$B$4,'Scoring Settings'!$B$8))+AND(ISNUMBER(L941),L941&lt;='Scoring Settings'!$B$7))</f>
        <v>0</v>
      </c>
      <c r="AL941" s="5" t="s">
        <v>83</v>
      </c>
      <c r="AM941" s="8" t="str">
        <f>IF(B941="","",IF(Z941="N","Easy",IF(OR(AND(ISNUMBER(AB941),AB941&gt;'Scoring Settings'!$B$11),AND(ISNUMBER(W941),W941&gt;'Scoring Settings'!$B$12),AND(ISNUMBER(M941),M941&lt;='Scoring Settings'!$B$13)),"High","Medium")))</f>
        <v>Easy</v>
      </c>
      <c r="AN941" s="5"/>
      <c r="AO941" s="7"/>
      <c r="AP941" s="5" t="s">
        <v>84</v>
      </c>
      <c r="AQ941" s="29" t="s">
        <v>314</v>
      </c>
    </row>
    <row r="942" spans="1:43" hidden="1">
      <c r="A942" s="28">
        <v>174674</v>
      </c>
      <c r="B942" s="5" t="s">
        <v>1929</v>
      </c>
      <c r="C942" s="5" t="s">
        <v>515</v>
      </c>
      <c r="D942" s="5" t="s">
        <v>102</v>
      </c>
      <c r="E942" s="5" t="s">
        <v>68</v>
      </c>
      <c r="F942" s="5" t="s">
        <v>127</v>
      </c>
      <c r="G942" s="5" t="s">
        <v>210</v>
      </c>
      <c r="H942" s="5" t="s">
        <v>174</v>
      </c>
      <c r="I942" s="6">
        <v>52</v>
      </c>
      <c r="J942" s="7">
        <v>44297</v>
      </c>
      <c r="K942" s="8" t="str">
        <f>IF(B942="","",IF(AND(I942="",J942=""),"Unknown",IF(OR(AND(ISNUMBER(I942),I942=0),AND(ISNUMBER(J942),J942&lt;=EDATE('Scoring Settings'!$B$4,-'Scoring Settings'!$B$5))),"Not in use",IF(AND(ISNUMBER(I942),I942&lt;'Scoring Settings'!$B$6),"Low use","Active"))))</f>
        <v>Active</v>
      </c>
      <c r="L942" s="5">
        <v>4</v>
      </c>
      <c r="M942" s="5">
        <v>2</v>
      </c>
      <c r="N942" s="5"/>
      <c r="O942" s="5" t="s">
        <v>73</v>
      </c>
      <c r="P942" s="5" t="s">
        <v>1930</v>
      </c>
      <c r="Q942" s="9">
        <v>2</v>
      </c>
      <c r="R942" s="5" t="s">
        <v>166</v>
      </c>
      <c r="S942" s="5" t="s">
        <v>167</v>
      </c>
      <c r="T942" s="5" t="s">
        <v>109</v>
      </c>
      <c r="U942" s="7">
        <v>45482</v>
      </c>
      <c r="V942" s="5" t="s">
        <v>135</v>
      </c>
      <c r="W942" s="6">
        <v>2700</v>
      </c>
      <c r="X942" s="5" t="s">
        <v>79</v>
      </c>
      <c r="Y942" s="9">
        <v>7</v>
      </c>
      <c r="Z942" s="5" t="s">
        <v>80</v>
      </c>
      <c r="AA942" s="5" t="s">
        <v>185</v>
      </c>
      <c r="AB942" s="9">
        <v>29</v>
      </c>
      <c r="AC942" s="5" t="s">
        <v>80</v>
      </c>
      <c r="AD942" s="5" t="s">
        <v>82</v>
      </c>
      <c r="AE942" s="5" t="s">
        <v>79</v>
      </c>
      <c r="AF942" s="10">
        <v>33500</v>
      </c>
      <c r="AG942" s="7">
        <v>46721</v>
      </c>
      <c r="AH942" s="10"/>
      <c r="AI942" s="10"/>
      <c r="AJ942" s="11" t="str">
        <f t="shared" si="14"/>
        <v/>
      </c>
      <c r="AK942" s="12">
        <f>IF(B942="","",OR(K942="Not in use",K942="Low use")+AND(N942&lt;&gt;"",N942&lt;&gt;"TBD")+AND(ISNUMBER(U942),U942&lt;=EDATE('Scoring Settings'!$B$4,'Scoring Settings'!$B$8))+AND(ISNUMBER(L942),L942&lt;='Scoring Settings'!$B$7))</f>
        <v>0</v>
      </c>
      <c r="AL942" s="5" t="s">
        <v>83</v>
      </c>
      <c r="AM942" s="8" t="str">
        <f>IF(B942="","",IF(Z942="N","Easy",IF(OR(AND(ISNUMBER(AB942),AB942&gt;'Scoring Settings'!$B$11),AND(ISNUMBER(W942),W942&gt;'Scoring Settings'!$B$12),AND(ISNUMBER(M942),M942&lt;='Scoring Settings'!$B$13)),"High","Medium")))</f>
        <v>High</v>
      </c>
      <c r="AN942" s="5"/>
      <c r="AO942" s="7"/>
      <c r="AP942" s="5" t="s">
        <v>84</v>
      </c>
      <c r="AQ942" s="29" t="s">
        <v>273</v>
      </c>
    </row>
    <row r="943" spans="1:43" hidden="1">
      <c r="A943" s="28">
        <v>134440</v>
      </c>
      <c r="B943" s="5" t="s">
        <v>1931</v>
      </c>
      <c r="C943" s="5" t="s">
        <v>699</v>
      </c>
      <c r="D943" s="5" t="s">
        <v>297</v>
      </c>
      <c r="E943" s="5" t="s">
        <v>68</v>
      </c>
      <c r="F943" s="5" t="s">
        <v>89</v>
      </c>
      <c r="G943" s="5" t="s">
        <v>90</v>
      </c>
      <c r="H943" s="5" t="s">
        <v>129</v>
      </c>
      <c r="I943" s="6">
        <v>55</v>
      </c>
      <c r="J943" s="7">
        <v>44301</v>
      </c>
      <c r="K943" s="8" t="str">
        <f>IF(B943="","",IF(AND(I943="",J943=""),"Unknown",IF(OR(AND(ISNUMBER(I943),I943=0),AND(ISNUMBER(J943),J943&lt;=EDATE('Scoring Settings'!$B$4,-'Scoring Settings'!$B$5))),"Not in use",IF(AND(ISNUMBER(I943),I943&lt;'Scoring Settings'!$B$6),"Low use","Active"))))</f>
        <v>Active</v>
      </c>
      <c r="L943" s="5">
        <v>3</v>
      </c>
      <c r="M943" s="5">
        <v>3</v>
      </c>
      <c r="N943" s="5"/>
      <c r="O943" s="5" t="s">
        <v>73</v>
      </c>
      <c r="P943" s="5" t="s">
        <v>1932</v>
      </c>
      <c r="Q943" s="9">
        <v>1</v>
      </c>
      <c r="R943" s="5" t="s">
        <v>132</v>
      </c>
      <c r="S943" s="5" t="s">
        <v>133</v>
      </c>
      <c r="T943" s="5" t="s">
        <v>184</v>
      </c>
      <c r="U943" s="7">
        <v>44227</v>
      </c>
      <c r="V943" s="5" t="s">
        <v>135</v>
      </c>
      <c r="W943" s="6">
        <v>65</v>
      </c>
      <c r="X943" s="5" t="s">
        <v>80</v>
      </c>
      <c r="Y943" s="9">
        <v>10</v>
      </c>
      <c r="Z943" s="5" t="s">
        <v>79</v>
      </c>
      <c r="AA943" s="5" t="s">
        <v>110</v>
      </c>
      <c r="AB943" s="9">
        <v>5</v>
      </c>
      <c r="AC943" s="5" t="s">
        <v>80</v>
      </c>
      <c r="AD943" s="5" t="s">
        <v>82</v>
      </c>
      <c r="AE943" s="5" t="s">
        <v>80</v>
      </c>
      <c r="AF943" s="10">
        <v>10500</v>
      </c>
      <c r="AG943" s="7">
        <v>46630</v>
      </c>
      <c r="AH943" s="10"/>
      <c r="AI943" s="10"/>
      <c r="AJ943" s="11" t="str">
        <f t="shared" si="14"/>
        <v/>
      </c>
      <c r="AK943" s="12">
        <f>IF(B943="","",OR(K943="Not in use",K943="Low use")+AND(N943&lt;&gt;"",N943&lt;&gt;"TBD")+AND(ISNUMBER(U943),U943&lt;=EDATE('Scoring Settings'!$B$4,'Scoring Settings'!$B$8))+AND(ISNUMBER(L943),L943&lt;='Scoring Settings'!$B$7))</f>
        <v>1</v>
      </c>
      <c r="AL943" s="5" t="s">
        <v>111</v>
      </c>
      <c r="AM943" s="8" t="str">
        <f>IF(B943="","",IF(Z943="N","Easy",IF(OR(AND(ISNUMBER(AB943),AB943&gt;'Scoring Settings'!$B$11),AND(ISNUMBER(W943),W943&gt;'Scoring Settings'!$B$12),AND(ISNUMBER(M943),M943&lt;='Scoring Settings'!$B$13)),"High","Medium")))</f>
        <v>Easy</v>
      </c>
      <c r="AN943" s="5"/>
      <c r="AO943" s="7"/>
      <c r="AP943" s="5" t="s">
        <v>98</v>
      </c>
      <c r="AQ943" s="29" t="s">
        <v>159</v>
      </c>
    </row>
    <row r="944" spans="1:43" hidden="1">
      <c r="A944" s="28">
        <v>107799</v>
      </c>
      <c r="B944" s="5" t="s">
        <v>1933</v>
      </c>
      <c r="C944" s="5" t="s">
        <v>270</v>
      </c>
      <c r="D944" s="5" t="s">
        <v>139</v>
      </c>
      <c r="E944" s="5" t="s">
        <v>311</v>
      </c>
      <c r="F944" s="5" t="s">
        <v>299</v>
      </c>
      <c r="G944" s="5" t="s">
        <v>221</v>
      </c>
      <c r="H944" s="5" t="s">
        <v>118</v>
      </c>
      <c r="I944" s="6">
        <v>149</v>
      </c>
      <c r="J944" s="7">
        <v>44301</v>
      </c>
      <c r="K944" s="8" t="str">
        <f>IF(B944="","",IF(AND(I944="",J944=""),"Unknown",IF(OR(AND(ISNUMBER(I944),I944=0),AND(ISNUMBER(J944),J944&lt;=EDATE('Scoring Settings'!$B$4,-'Scoring Settings'!$B$5))),"Not in use",IF(AND(ISNUMBER(I944),I944&lt;'Scoring Settings'!$B$6),"Low use","Active"))))</f>
        <v>Active</v>
      </c>
      <c r="L944" s="5">
        <v>3</v>
      </c>
      <c r="M944" s="5">
        <v>2</v>
      </c>
      <c r="N944" s="5" t="s">
        <v>512</v>
      </c>
      <c r="O944" s="5" t="s">
        <v>73</v>
      </c>
      <c r="P944" s="5" t="s">
        <v>1934</v>
      </c>
      <c r="Q944" s="9">
        <v>1</v>
      </c>
      <c r="R944" s="5" t="s">
        <v>93</v>
      </c>
      <c r="S944" s="5" t="s">
        <v>94</v>
      </c>
      <c r="T944" s="5" t="s">
        <v>184</v>
      </c>
      <c r="U944" s="7">
        <v>44561</v>
      </c>
      <c r="V944" s="5" t="s">
        <v>135</v>
      </c>
      <c r="W944" s="6">
        <v>640</v>
      </c>
      <c r="X944" s="5" t="s">
        <v>79</v>
      </c>
      <c r="Y944" s="9">
        <v>3</v>
      </c>
      <c r="Z944" s="5" t="s">
        <v>80</v>
      </c>
      <c r="AA944" s="5" t="s">
        <v>81</v>
      </c>
      <c r="AB944" s="9">
        <v>16</v>
      </c>
      <c r="AC944" s="5" t="s">
        <v>80</v>
      </c>
      <c r="AD944" s="5" t="s">
        <v>82</v>
      </c>
      <c r="AE944" s="5" t="s">
        <v>79</v>
      </c>
      <c r="AF944" s="10">
        <v>46500</v>
      </c>
      <c r="AG944" s="7">
        <v>46446</v>
      </c>
      <c r="AH944" s="10"/>
      <c r="AI944" s="10"/>
      <c r="AJ944" s="11" t="str">
        <f t="shared" si="14"/>
        <v/>
      </c>
      <c r="AK944" s="12">
        <f>IF(B944="","",OR(K944="Not in use",K944="Low use")+AND(N944&lt;&gt;"",N944&lt;&gt;"TBD")+AND(ISNUMBER(U944),U944&lt;=EDATE('Scoring Settings'!$B$4,'Scoring Settings'!$B$8))+AND(ISNUMBER(L944),L944&lt;='Scoring Settings'!$B$7))</f>
        <v>2</v>
      </c>
      <c r="AL944" s="5" t="s">
        <v>111</v>
      </c>
      <c r="AM944" s="8" t="str">
        <f>IF(B944="","",IF(Z944="N","Easy",IF(OR(AND(ISNUMBER(AB944),AB944&gt;'Scoring Settings'!$B$11),AND(ISNUMBER(W944),W944&gt;'Scoring Settings'!$B$12),AND(ISNUMBER(M944),M944&lt;='Scoring Settings'!$B$13)),"High","Medium")))</f>
        <v>High</v>
      </c>
      <c r="AN944" s="5"/>
      <c r="AO944" s="7"/>
      <c r="AP944" s="5" t="s">
        <v>98</v>
      </c>
      <c r="AQ944" s="29" t="s">
        <v>124</v>
      </c>
    </row>
    <row r="945" spans="1:43" hidden="1">
      <c r="A945" s="28">
        <v>113832</v>
      </c>
      <c r="B945" s="5" t="s">
        <v>1937</v>
      </c>
      <c r="C945" s="5" t="s">
        <v>270</v>
      </c>
      <c r="D945" s="5" t="s">
        <v>139</v>
      </c>
      <c r="E945" s="5" t="s">
        <v>68</v>
      </c>
      <c r="F945" s="5" t="s">
        <v>209</v>
      </c>
      <c r="G945" s="5" t="s">
        <v>221</v>
      </c>
      <c r="H945" s="5" t="s">
        <v>91</v>
      </c>
      <c r="I945" s="6"/>
      <c r="J945" s="7"/>
      <c r="K945" s="8" t="str">
        <f>IF(B945="","",IF(AND(I945="",J945=""),"Unknown",IF(OR(AND(ISNUMBER(I945),I945=0),AND(ISNUMBER(J945),J945&lt;=EDATE('Scoring Settings'!$B$4,-'Scoring Settings'!$B$5))),"Not in use",IF(AND(ISNUMBER(I945),I945&lt;'Scoring Settings'!$B$6),"Low use","Active"))))</f>
        <v>Unknown</v>
      </c>
      <c r="L945" s="5">
        <v>4</v>
      </c>
      <c r="M945" s="5">
        <v>1</v>
      </c>
      <c r="N945" s="5"/>
      <c r="O945" s="5" t="s">
        <v>73</v>
      </c>
      <c r="P945" s="5" t="s">
        <v>1938</v>
      </c>
      <c r="Q945" s="9">
        <v>6</v>
      </c>
      <c r="R945" s="5" t="s">
        <v>245</v>
      </c>
      <c r="S945" s="5" t="s">
        <v>246</v>
      </c>
      <c r="T945" s="5" t="s">
        <v>122</v>
      </c>
      <c r="U945" s="7">
        <v>45777</v>
      </c>
      <c r="V945" s="5" t="s">
        <v>135</v>
      </c>
      <c r="W945" s="6">
        <v>66</v>
      </c>
      <c r="X945" s="5" t="s">
        <v>79</v>
      </c>
      <c r="Y945" s="9">
        <v>3</v>
      </c>
      <c r="Z945" s="5" t="s">
        <v>80</v>
      </c>
      <c r="AA945" s="5" t="s">
        <v>205</v>
      </c>
      <c r="AB945" s="9">
        <v>68</v>
      </c>
      <c r="AC945" s="5" t="s">
        <v>82</v>
      </c>
      <c r="AD945" s="5" t="s">
        <v>82</v>
      </c>
      <c r="AE945" s="5" t="s">
        <v>82</v>
      </c>
      <c r="AF945" s="10">
        <v>300000</v>
      </c>
      <c r="AG945" s="7">
        <v>49003</v>
      </c>
      <c r="AH945" s="10"/>
      <c r="AI945" s="10"/>
      <c r="AJ945" s="11" t="str">
        <f t="shared" si="14"/>
        <v/>
      </c>
      <c r="AK945" s="12">
        <f>IF(B945="","",OR(K945="Not in use",K945="Low use")+AND(N945&lt;&gt;"",N945&lt;&gt;"TBD")+AND(ISNUMBER(U945),U945&lt;=EDATE('Scoring Settings'!$B$4,'Scoring Settings'!$B$8))+AND(ISNUMBER(L945),L945&lt;='Scoring Settings'!$B$7))</f>
        <v>0</v>
      </c>
      <c r="AL945" s="5" t="s">
        <v>111</v>
      </c>
      <c r="AM945" s="8" t="str">
        <f>IF(B945="","",IF(Z945="N","Easy",IF(OR(AND(ISNUMBER(AB945),AB945&gt;'Scoring Settings'!$B$11),AND(ISNUMBER(W945),W945&gt;'Scoring Settings'!$B$12),AND(ISNUMBER(M945),M945&lt;='Scoring Settings'!$B$13)),"High","Medium")))</f>
        <v>High</v>
      </c>
      <c r="AN945" s="5"/>
      <c r="AO945" s="7"/>
      <c r="AP945" s="5" t="s">
        <v>98</v>
      </c>
      <c r="AQ945" s="29" t="s">
        <v>218</v>
      </c>
    </row>
    <row r="946" spans="1:43" hidden="1">
      <c r="A946" s="28">
        <v>118131</v>
      </c>
      <c r="B946" s="5" t="s">
        <v>1939</v>
      </c>
      <c r="C946" s="5" t="s">
        <v>699</v>
      </c>
      <c r="D946" s="5" t="s">
        <v>297</v>
      </c>
      <c r="E946" s="5" t="s">
        <v>68</v>
      </c>
      <c r="F946" s="5" t="s">
        <v>299</v>
      </c>
      <c r="G946" s="5" t="s">
        <v>226</v>
      </c>
      <c r="H946" s="5" t="s">
        <v>105</v>
      </c>
      <c r="I946" s="6">
        <v>1291</v>
      </c>
      <c r="J946" s="7">
        <v>44293</v>
      </c>
      <c r="K946" s="8" t="str">
        <f>IF(B946="","",IF(AND(I946="",J946=""),"Unknown",IF(OR(AND(ISNUMBER(I946),I946=0),AND(ISNUMBER(J946),J946&lt;=EDATE('Scoring Settings'!$B$4,-'Scoring Settings'!$B$5))),"Not in use",IF(AND(ISNUMBER(I946),I946&lt;'Scoring Settings'!$B$6),"Low use","Active"))))</f>
        <v>Active</v>
      </c>
      <c r="L946" s="5">
        <v>4</v>
      </c>
      <c r="M946" s="5">
        <v>2</v>
      </c>
      <c r="N946" s="5"/>
      <c r="O946" s="5" t="s">
        <v>73</v>
      </c>
      <c r="P946" s="5" t="s">
        <v>1940</v>
      </c>
      <c r="Q946" s="9">
        <v>7</v>
      </c>
      <c r="R946" s="5" t="s">
        <v>75</v>
      </c>
      <c r="S946" s="5" t="s">
        <v>121</v>
      </c>
      <c r="T946" s="5" t="s">
        <v>109</v>
      </c>
      <c r="U946" s="7">
        <v>46217</v>
      </c>
      <c r="V946" s="5" t="s">
        <v>95</v>
      </c>
      <c r="W946" s="6">
        <v>53</v>
      </c>
      <c r="X946" s="5" t="s">
        <v>80</v>
      </c>
      <c r="Y946" s="9">
        <v>7</v>
      </c>
      <c r="Z946" s="5" t="s">
        <v>79</v>
      </c>
      <c r="AA946" s="5" t="s">
        <v>110</v>
      </c>
      <c r="AB946" s="9">
        <v>19</v>
      </c>
      <c r="AC946" s="5" t="s">
        <v>82</v>
      </c>
      <c r="AD946" s="5" t="s">
        <v>79</v>
      </c>
      <c r="AE946" s="5" t="s">
        <v>79</v>
      </c>
      <c r="AF946" s="10">
        <v>130000</v>
      </c>
      <c r="AG946" s="7">
        <v>46418</v>
      </c>
      <c r="AH946" s="10"/>
      <c r="AI946" s="10"/>
      <c r="AJ946" s="11" t="str">
        <f t="shared" si="14"/>
        <v/>
      </c>
      <c r="AK946" s="12">
        <f>IF(B946="","",OR(K946="Not in use",K946="Low use")+AND(N946&lt;&gt;"",N946&lt;&gt;"TBD")+AND(ISNUMBER(U946),U946&lt;=EDATE('Scoring Settings'!$B$4,'Scoring Settings'!$B$8))+AND(ISNUMBER(L946),L946&lt;='Scoring Settings'!$B$7))</f>
        <v>0</v>
      </c>
      <c r="AL946" s="5" t="s">
        <v>83</v>
      </c>
      <c r="AM946" s="8" t="str">
        <f>IF(B946="","",IF(Z946="N","Easy",IF(OR(AND(ISNUMBER(AB946),AB946&gt;'Scoring Settings'!$B$11),AND(ISNUMBER(W946),W946&gt;'Scoring Settings'!$B$12),AND(ISNUMBER(M946),M946&lt;='Scoring Settings'!$B$13)),"High","Medium")))</f>
        <v>Easy</v>
      </c>
      <c r="AN946" s="5"/>
      <c r="AO946" s="7"/>
      <c r="AP946" s="5" t="s">
        <v>84</v>
      </c>
      <c r="AQ946" s="29" t="s">
        <v>314</v>
      </c>
    </row>
    <row r="947" spans="1:43" hidden="1">
      <c r="A947" s="28">
        <v>53000</v>
      </c>
      <c r="B947" s="5" t="s">
        <v>1943</v>
      </c>
      <c r="C947" s="5" t="s">
        <v>225</v>
      </c>
      <c r="D947" s="5" t="s">
        <v>67</v>
      </c>
      <c r="E947" s="5" t="s">
        <v>68</v>
      </c>
      <c r="F947" s="5" t="s">
        <v>152</v>
      </c>
      <c r="G947" s="5" t="s">
        <v>404</v>
      </c>
      <c r="H947" s="5" t="s">
        <v>129</v>
      </c>
      <c r="I947" s="6">
        <v>54</v>
      </c>
      <c r="J947" s="7">
        <v>44311</v>
      </c>
      <c r="K947" s="8" t="str">
        <f>IF(B947="","",IF(AND(I947="",J947=""),"Unknown",IF(OR(AND(ISNUMBER(I947),I947=0),AND(ISNUMBER(J947),J947&lt;=EDATE('Scoring Settings'!$B$4,-'Scoring Settings'!$B$5))),"Not in use",IF(AND(ISNUMBER(I947),I947&lt;'Scoring Settings'!$B$6),"Low use","Active"))))</f>
        <v>Active</v>
      </c>
      <c r="L947" s="5">
        <v>2</v>
      </c>
      <c r="M947" s="5">
        <v>4</v>
      </c>
      <c r="N947" s="5"/>
      <c r="O947" s="5" t="s">
        <v>73</v>
      </c>
      <c r="P947" s="5" t="s">
        <v>1944</v>
      </c>
      <c r="Q947" s="9">
        <v>2</v>
      </c>
      <c r="R947" s="5" t="s">
        <v>166</v>
      </c>
      <c r="S947" s="5" t="s">
        <v>564</v>
      </c>
      <c r="T947" s="5" t="s">
        <v>122</v>
      </c>
      <c r="U947" s="7">
        <v>44754</v>
      </c>
      <c r="V947" s="5" t="s">
        <v>135</v>
      </c>
      <c r="W947" s="6">
        <v>130</v>
      </c>
      <c r="X947" s="5" t="s">
        <v>80</v>
      </c>
      <c r="Y947" s="9">
        <v>10</v>
      </c>
      <c r="Z947" s="5" t="s">
        <v>79</v>
      </c>
      <c r="AA947" s="5" t="s">
        <v>110</v>
      </c>
      <c r="AB947" s="9">
        <v>2</v>
      </c>
      <c r="AC947" s="5" t="s">
        <v>82</v>
      </c>
      <c r="AD947" s="5" t="s">
        <v>82</v>
      </c>
      <c r="AE947" s="5" t="s">
        <v>82</v>
      </c>
      <c r="AF947" s="10">
        <v>36000</v>
      </c>
      <c r="AG947" s="7">
        <v>47879</v>
      </c>
      <c r="AH947" s="10"/>
      <c r="AI947" s="10"/>
      <c r="AJ947" s="11" t="str">
        <f t="shared" si="14"/>
        <v/>
      </c>
      <c r="AK947" s="12">
        <f>IF(B947="","",OR(K947="Not in use",K947="Low use")+AND(N947&lt;&gt;"",N947&lt;&gt;"TBD")+AND(ISNUMBER(U947),U947&lt;=EDATE('Scoring Settings'!$B$4,'Scoring Settings'!$B$8))+AND(ISNUMBER(L947),L947&lt;='Scoring Settings'!$B$7))</f>
        <v>1</v>
      </c>
      <c r="AL947" s="5" t="s">
        <v>83</v>
      </c>
      <c r="AM947" s="8" t="str">
        <f>IF(B947="","",IF(Z947="N","Easy",IF(OR(AND(ISNUMBER(AB947),AB947&gt;'Scoring Settings'!$B$11),AND(ISNUMBER(W947),W947&gt;'Scoring Settings'!$B$12),AND(ISNUMBER(M947),M947&lt;='Scoring Settings'!$B$13)),"High","Medium")))</f>
        <v>Easy</v>
      </c>
      <c r="AN947" s="5"/>
      <c r="AO947" s="7"/>
      <c r="AP947" s="5" t="s">
        <v>84</v>
      </c>
      <c r="AQ947" s="29" t="s">
        <v>85</v>
      </c>
    </row>
    <row r="948" spans="1:43" hidden="1">
      <c r="A948" s="28">
        <v>90116</v>
      </c>
      <c r="B948" s="5" t="s">
        <v>1945</v>
      </c>
      <c r="C948" s="5" t="s">
        <v>270</v>
      </c>
      <c r="D948" s="5" t="s">
        <v>139</v>
      </c>
      <c r="E948" s="5" t="s">
        <v>68</v>
      </c>
      <c r="F948" s="5" t="s">
        <v>263</v>
      </c>
      <c r="G948" s="5" t="s">
        <v>141</v>
      </c>
      <c r="H948" s="5" t="s">
        <v>189</v>
      </c>
      <c r="I948" s="6">
        <v>26</v>
      </c>
      <c r="J948" s="7">
        <v>44279</v>
      </c>
      <c r="K948" s="8" t="str">
        <f>IF(B948="","",IF(AND(I948="",J948=""),"Unknown",IF(OR(AND(ISNUMBER(I948),I948=0),AND(ISNUMBER(J948),J948&lt;=EDATE('Scoring Settings'!$B$4,-'Scoring Settings'!$B$5))),"Not in use",IF(AND(ISNUMBER(I948),I948&lt;'Scoring Settings'!$B$6),"Low use","Active"))))</f>
        <v>Active</v>
      </c>
      <c r="L948" s="5">
        <v>5</v>
      </c>
      <c r="M948" s="5">
        <v>1</v>
      </c>
      <c r="N948" s="5"/>
      <c r="O948" s="5" t="s">
        <v>130</v>
      </c>
      <c r="P948" s="5" t="s">
        <v>1670</v>
      </c>
      <c r="Q948" s="9">
        <v>2</v>
      </c>
      <c r="R948" s="5" t="s">
        <v>335</v>
      </c>
      <c r="S948" s="5" t="s">
        <v>336</v>
      </c>
      <c r="T948" s="5" t="s">
        <v>168</v>
      </c>
      <c r="U948" s="7">
        <v>45473</v>
      </c>
      <c r="V948" s="5" t="s">
        <v>95</v>
      </c>
      <c r="W948" s="6">
        <v>85</v>
      </c>
      <c r="X948" s="5" t="s">
        <v>79</v>
      </c>
      <c r="Y948" s="9">
        <v>7</v>
      </c>
      <c r="Z948" s="5" t="s">
        <v>80</v>
      </c>
      <c r="AA948" s="5" t="s">
        <v>81</v>
      </c>
      <c r="AB948" s="9">
        <v>43</v>
      </c>
      <c r="AC948" s="5" t="s">
        <v>80</v>
      </c>
      <c r="AD948" s="5" t="s">
        <v>82</v>
      </c>
      <c r="AE948" s="5" t="s">
        <v>82</v>
      </c>
      <c r="AF948" s="10">
        <v>70000</v>
      </c>
      <c r="AG948" s="7">
        <v>46022</v>
      </c>
      <c r="AH948" s="10"/>
      <c r="AI948" s="10"/>
      <c r="AJ948" s="11" t="str">
        <f t="shared" si="14"/>
        <v/>
      </c>
      <c r="AK948" s="12">
        <f>IF(B948="","",OR(K948="Not in use",K948="Low use")+AND(N948&lt;&gt;"",N948&lt;&gt;"TBD")+AND(ISNUMBER(U948),U948&lt;=EDATE('Scoring Settings'!$B$4,'Scoring Settings'!$B$8))+AND(ISNUMBER(L948),L948&lt;='Scoring Settings'!$B$7))</f>
        <v>0</v>
      </c>
      <c r="AL948" s="5" t="s">
        <v>83</v>
      </c>
      <c r="AM948" s="8" t="str">
        <f>IF(B948="","",IF(Z948="N","Easy",IF(OR(AND(ISNUMBER(AB948),AB948&gt;'Scoring Settings'!$B$11),AND(ISNUMBER(W948),W948&gt;'Scoring Settings'!$B$12),AND(ISNUMBER(M948),M948&lt;='Scoring Settings'!$B$13)),"High","Medium")))</f>
        <v>High</v>
      </c>
      <c r="AN948" s="5"/>
      <c r="AO948" s="7"/>
      <c r="AP948" s="5" t="s">
        <v>84</v>
      </c>
      <c r="AQ948" s="29" t="s">
        <v>314</v>
      </c>
    </row>
    <row r="949" spans="1:43" hidden="1">
      <c r="A949" s="28">
        <v>69756</v>
      </c>
      <c r="B949" s="5" t="s">
        <v>1946</v>
      </c>
      <c r="C949" s="5" t="s">
        <v>126</v>
      </c>
      <c r="D949" s="5" t="s">
        <v>88</v>
      </c>
      <c r="E949" s="5" t="s">
        <v>68</v>
      </c>
      <c r="F949" s="5" t="s">
        <v>387</v>
      </c>
      <c r="G949" s="5" t="s">
        <v>271</v>
      </c>
      <c r="H949" s="5" t="s">
        <v>105</v>
      </c>
      <c r="I949" s="6">
        <v>304</v>
      </c>
      <c r="J949" s="7">
        <v>44275</v>
      </c>
      <c r="K949" s="8" t="str">
        <f>IF(B949="","",IF(AND(I949="",J949=""),"Unknown",IF(OR(AND(ISNUMBER(I949),I949=0),AND(ISNUMBER(J949),J949&lt;=EDATE('Scoring Settings'!$B$4,-'Scoring Settings'!$B$5))),"Not in use",IF(AND(ISNUMBER(I949),I949&lt;'Scoring Settings'!$B$6),"Low use","Active"))))</f>
        <v>Active</v>
      </c>
      <c r="L949" s="5">
        <v>5</v>
      </c>
      <c r="M949" s="5">
        <v>2</v>
      </c>
      <c r="N949" s="5" t="s">
        <v>1592</v>
      </c>
      <c r="O949" s="5" t="s">
        <v>73</v>
      </c>
      <c r="P949" s="5" t="s">
        <v>1947</v>
      </c>
      <c r="Q949" s="9">
        <v>1</v>
      </c>
      <c r="R949" s="5" t="s">
        <v>478</v>
      </c>
      <c r="S949" s="5" t="s">
        <v>479</v>
      </c>
      <c r="T949" s="5" t="s">
        <v>184</v>
      </c>
      <c r="U949" s="7">
        <v>43844</v>
      </c>
      <c r="V949" s="5" t="s">
        <v>135</v>
      </c>
      <c r="W949" s="6">
        <v>360</v>
      </c>
      <c r="X949" s="5" t="s">
        <v>79</v>
      </c>
      <c r="Y949" s="9">
        <v>2</v>
      </c>
      <c r="Z949" s="5" t="s">
        <v>80</v>
      </c>
      <c r="AA949" s="5" t="s">
        <v>81</v>
      </c>
      <c r="AB949" s="9">
        <v>10</v>
      </c>
      <c r="AC949" s="5" t="s">
        <v>82</v>
      </c>
      <c r="AD949" s="5" t="s">
        <v>79</v>
      </c>
      <c r="AE949" s="5" t="s">
        <v>82</v>
      </c>
      <c r="AF949" s="10">
        <v>30000</v>
      </c>
      <c r="AG949" s="7">
        <v>46112</v>
      </c>
      <c r="AH949" s="10">
        <v>25500</v>
      </c>
      <c r="AI949" s="10">
        <v>25000</v>
      </c>
      <c r="AJ949" s="11">
        <f t="shared" si="14"/>
        <v>12.24</v>
      </c>
      <c r="AK949" s="12">
        <f>IF(B949="","",OR(K949="Not in use",K949="Low use")+AND(N949&lt;&gt;"",N949&lt;&gt;"TBD")+AND(ISNUMBER(U949),U949&lt;=EDATE('Scoring Settings'!$B$4,'Scoring Settings'!$B$8))+AND(ISNUMBER(L949),L949&lt;='Scoring Settings'!$B$7))</f>
        <v>2</v>
      </c>
      <c r="AL949" s="5" t="s">
        <v>111</v>
      </c>
      <c r="AM949" s="8" t="str">
        <f>IF(B949="","",IF(Z949="N","Easy",IF(OR(AND(ISNUMBER(AB949),AB949&gt;'Scoring Settings'!$B$11),AND(ISNUMBER(W949),W949&gt;'Scoring Settings'!$B$12),AND(ISNUMBER(M949),M949&lt;='Scoring Settings'!$B$13)),"High","Medium")))</f>
        <v>High</v>
      </c>
      <c r="AN949" s="5"/>
      <c r="AO949" s="7"/>
      <c r="AP949" s="5" t="s">
        <v>98</v>
      </c>
      <c r="AQ949" s="29" t="s">
        <v>124</v>
      </c>
    </row>
    <row r="950" spans="1:43" hidden="1">
      <c r="A950" s="28">
        <v>113146</v>
      </c>
      <c r="B950" s="5" t="s">
        <v>1948</v>
      </c>
      <c r="C950" s="5" t="s">
        <v>270</v>
      </c>
      <c r="D950" s="5" t="s">
        <v>139</v>
      </c>
      <c r="E950" s="5" t="s">
        <v>68</v>
      </c>
      <c r="F950" s="5" t="s">
        <v>103</v>
      </c>
      <c r="G950" s="5" t="s">
        <v>153</v>
      </c>
      <c r="H950" s="5" t="s">
        <v>142</v>
      </c>
      <c r="I950" s="6">
        <v>276</v>
      </c>
      <c r="J950" s="7">
        <v>44281</v>
      </c>
      <c r="K950" s="8" t="str">
        <f>IF(B950="","",IF(AND(I950="",J950=""),"Unknown",IF(OR(AND(ISNUMBER(I950),I950=0),AND(ISNUMBER(J950),J950&lt;=EDATE('Scoring Settings'!$B$4,-'Scoring Settings'!$B$5))),"Not in use",IF(AND(ISNUMBER(I950),I950&lt;'Scoring Settings'!$B$6),"Low use","Active"))))</f>
        <v>Active</v>
      </c>
      <c r="L950" s="5">
        <v>4</v>
      </c>
      <c r="M950" s="5">
        <v>1</v>
      </c>
      <c r="N950" s="5"/>
      <c r="O950" s="5" t="s">
        <v>143</v>
      </c>
      <c r="P950" s="5" t="s">
        <v>144</v>
      </c>
      <c r="Q950" s="9">
        <v>0</v>
      </c>
      <c r="R950" s="5" t="s">
        <v>145</v>
      </c>
      <c r="S950" s="5" t="s">
        <v>145</v>
      </c>
      <c r="T950" s="5" t="s">
        <v>146</v>
      </c>
      <c r="U950" s="7"/>
      <c r="V950" s="5" t="s">
        <v>135</v>
      </c>
      <c r="W950" s="6">
        <v>4290</v>
      </c>
      <c r="X950" s="5" t="s">
        <v>79</v>
      </c>
      <c r="Y950" s="9">
        <v>2</v>
      </c>
      <c r="Z950" s="5" t="s">
        <v>80</v>
      </c>
      <c r="AA950" s="5" t="s">
        <v>205</v>
      </c>
      <c r="AB950" s="9">
        <v>22</v>
      </c>
      <c r="AC950" s="5" t="s">
        <v>82</v>
      </c>
      <c r="AD950" s="5" t="s">
        <v>79</v>
      </c>
      <c r="AE950" s="5" t="s">
        <v>82</v>
      </c>
      <c r="AF950" s="10">
        <v>60000</v>
      </c>
      <c r="AG950" s="7">
        <v>48121</v>
      </c>
      <c r="AH950" s="10"/>
      <c r="AI950" s="10"/>
      <c r="AJ950" s="11" t="str">
        <f t="shared" si="14"/>
        <v/>
      </c>
      <c r="AK950" s="12">
        <f>IF(B950="","",OR(K950="Not in use",K950="Low use")+AND(N950&lt;&gt;"",N950&lt;&gt;"TBD")+AND(ISNUMBER(U950),U950&lt;=EDATE('Scoring Settings'!$B$4,'Scoring Settings'!$B$8))+AND(ISNUMBER(L950),L950&lt;='Scoring Settings'!$B$7))</f>
        <v>0</v>
      </c>
      <c r="AL950" s="5" t="s">
        <v>83</v>
      </c>
      <c r="AM950" s="8" t="str">
        <f>IF(B950="","",IF(Z950="N","Easy",IF(OR(AND(ISNUMBER(AB950),AB950&gt;'Scoring Settings'!$B$11),AND(ISNUMBER(W950),W950&gt;'Scoring Settings'!$B$12),AND(ISNUMBER(M950),M950&lt;='Scoring Settings'!$B$13)),"High","Medium")))</f>
        <v>High</v>
      </c>
      <c r="AN950" s="5"/>
      <c r="AO950" s="7"/>
      <c r="AP950" s="5" t="s">
        <v>84</v>
      </c>
      <c r="AQ950" s="29" t="s">
        <v>273</v>
      </c>
    </row>
    <row r="951" spans="1:43" hidden="1">
      <c r="A951" s="28">
        <v>78273</v>
      </c>
      <c r="B951" s="5" t="s">
        <v>1949</v>
      </c>
      <c r="C951" s="5" t="s">
        <v>230</v>
      </c>
      <c r="D951" s="5" t="s">
        <v>115</v>
      </c>
      <c r="E951" s="5" t="s">
        <v>68</v>
      </c>
      <c r="F951" s="5" t="s">
        <v>236</v>
      </c>
      <c r="G951" s="5" t="s">
        <v>70</v>
      </c>
      <c r="H951" s="5" t="s">
        <v>105</v>
      </c>
      <c r="I951" s="6">
        <v>224</v>
      </c>
      <c r="J951" s="7">
        <v>44295</v>
      </c>
      <c r="K951" s="8" t="str">
        <f>IF(B951="","",IF(AND(I951="",J951=""),"Unknown",IF(OR(AND(ISNUMBER(I951),I951=0),AND(ISNUMBER(J951),J951&lt;=EDATE('Scoring Settings'!$B$4,-'Scoring Settings'!$B$5))),"Not in use",IF(AND(ISNUMBER(I951),I951&lt;'Scoring Settings'!$B$6),"Low use","Active"))))</f>
        <v>Active</v>
      </c>
      <c r="L951" s="5">
        <v>2</v>
      </c>
      <c r="M951" s="5">
        <v>4</v>
      </c>
      <c r="N951" s="5" t="s">
        <v>549</v>
      </c>
      <c r="O951" s="5" t="s">
        <v>73</v>
      </c>
      <c r="P951" s="5" t="s">
        <v>1950</v>
      </c>
      <c r="Q951" s="9">
        <v>2</v>
      </c>
      <c r="R951" s="5" t="s">
        <v>93</v>
      </c>
      <c r="S951" s="5" t="s">
        <v>94</v>
      </c>
      <c r="T951" s="5" t="s">
        <v>184</v>
      </c>
      <c r="U951" s="7">
        <v>44561</v>
      </c>
      <c r="V951" s="5" t="s">
        <v>78</v>
      </c>
      <c r="W951" s="6">
        <v>18</v>
      </c>
      <c r="X951" s="5" t="s">
        <v>79</v>
      </c>
      <c r="Y951" s="9">
        <v>5</v>
      </c>
      <c r="Z951" s="5" t="s">
        <v>80</v>
      </c>
      <c r="AA951" s="5" t="s">
        <v>205</v>
      </c>
      <c r="AB951" s="9">
        <v>0</v>
      </c>
      <c r="AC951" s="5" t="s">
        <v>82</v>
      </c>
      <c r="AD951" s="5" t="s">
        <v>82</v>
      </c>
      <c r="AE951" s="5" t="s">
        <v>82</v>
      </c>
      <c r="AF951" s="10">
        <v>35000</v>
      </c>
      <c r="AG951" s="7">
        <v>48730</v>
      </c>
      <c r="AH951" s="10"/>
      <c r="AI951" s="10"/>
      <c r="AJ951" s="11" t="str">
        <f t="shared" si="14"/>
        <v/>
      </c>
      <c r="AK951" s="12">
        <f>IF(B951="","",OR(K951="Not in use",K951="Low use")+AND(N951&lt;&gt;"",N951&lt;&gt;"TBD")+AND(ISNUMBER(U951),U951&lt;=EDATE('Scoring Settings'!$B$4,'Scoring Settings'!$B$8))+AND(ISNUMBER(L951),L951&lt;='Scoring Settings'!$B$7))</f>
        <v>3</v>
      </c>
      <c r="AL951" s="5" t="s">
        <v>111</v>
      </c>
      <c r="AM951" s="8" t="str">
        <f>IF(B951="","",IF(Z951="N","Easy",IF(OR(AND(ISNUMBER(AB951),AB951&gt;'Scoring Settings'!$B$11),AND(ISNUMBER(W951),W951&gt;'Scoring Settings'!$B$12),AND(ISNUMBER(M951),M951&lt;='Scoring Settings'!$B$13)),"High","Medium")))</f>
        <v>Medium</v>
      </c>
      <c r="AN951" s="5"/>
      <c r="AO951" s="7"/>
      <c r="AP951" s="5" t="s">
        <v>98</v>
      </c>
      <c r="AQ951" s="29" t="s">
        <v>218</v>
      </c>
    </row>
    <row r="952" spans="1:43" hidden="1">
      <c r="A952" s="28">
        <v>16893</v>
      </c>
      <c r="B952" s="5" t="s">
        <v>1951</v>
      </c>
      <c r="C952" s="5" t="s">
        <v>495</v>
      </c>
      <c r="D952" s="5" t="s">
        <v>162</v>
      </c>
      <c r="E952" s="5" t="s">
        <v>68</v>
      </c>
      <c r="F952" s="5" t="s">
        <v>89</v>
      </c>
      <c r="G952" s="5" t="s">
        <v>356</v>
      </c>
      <c r="H952" s="5" t="s">
        <v>71</v>
      </c>
      <c r="I952" s="6">
        <v>2365</v>
      </c>
      <c r="J952" s="7">
        <v>44312</v>
      </c>
      <c r="K952" s="8" t="str">
        <f>IF(B952="","",IF(AND(I952="",J952=""),"Unknown",IF(OR(AND(ISNUMBER(I952),I952=0),AND(ISNUMBER(J952),J952&lt;=EDATE('Scoring Settings'!$B$4,-'Scoring Settings'!$B$5))),"Not in use",IF(AND(ISNUMBER(I952),I952&lt;'Scoring Settings'!$B$6),"Low use","Active"))))</f>
        <v>Active</v>
      </c>
      <c r="L952" s="5">
        <v>1</v>
      </c>
      <c r="M952" s="5">
        <v>4</v>
      </c>
      <c r="N952" s="5"/>
      <c r="O952" s="5" t="s">
        <v>73</v>
      </c>
      <c r="P952" s="5" t="s">
        <v>1952</v>
      </c>
      <c r="Q952" s="9">
        <v>2</v>
      </c>
      <c r="R952" s="5" t="s">
        <v>358</v>
      </c>
      <c r="S952" s="5" t="s">
        <v>133</v>
      </c>
      <c r="T952" s="5" t="s">
        <v>122</v>
      </c>
      <c r="U952" s="7">
        <v>43555</v>
      </c>
      <c r="V952" s="5" t="s">
        <v>95</v>
      </c>
      <c r="W952" s="6">
        <v>620</v>
      </c>
      <c r="X952" s="5" t="s">
        <v>79</v>
      </c>
      <c r="Y952" s="9">
        <v>3</v>
      </c>
      <c r="Z952" s="5" t="s">
        <v>80</v>
      </c>
      <c r="AA952" s="5" t="s">
        <v>205</v>
      </c>
      <c r="AB952" s="9">
        <v>0</v>
      </c>
      <c r="AC952" s="5" t="s">
        <v>79</v>
      </c>
      <c r="AD952" s="5" t="s">
        <v>79</v>
      </c>
      <c r="AE952" s="5" t="s">
        <v>79</v>
      </c>
      <c r="AF952" s="10">
        <v>28500</v>
      </c>
      <c r="AG952" s="7">
        <v>46630</v>
      </c>
      <c r="AH952" s="10">
        <v>30000</v>
      </c>
      <c r="AI952" s="10">
        <v>27500</v>
      </c>
      <c r="AJ952" s="11">
        <f t="shared" si="14"/>
        <v>13.09090909090909</v>
      </c>
      <c r="AK952" s="12">
        <f>IF(B952="","",OR(K952="Not in use",K952="Low use")+AND(N952&lt;&gt;"",N952&lt;&gt;"TBD")+AND(ISNUMBER(U952),U952&lt;=EDATE('Scoring Settings'!$B$4,'Scoring Settings'!$B$8))+AND(ISNUMBER(L952),L952&lt;='Scoring Settings'!$B$7))</f>
        <v>2</v>
      </c>
      <c r="AL952" s="5" t="s">
        <v>111</v>
      </c>
      <c r="AM952" s="8" t="str">
        <f>IF(B952="","",IF(Z952="N","Easy",IF(OR(AND(ISNUMBER(AB952),AB952&gt;'Scoring Settings'!$B$11),AND(ISNUMBER(W952),W952&gt;'Scoring Settings'!$B$12),AND(ISNUMBER(M952),M952&lt;='Scoring Settings'!$B$13)),"High","Medium")))</f>
        <v>Medium</v>
      </c>
      <c r="AN952" s="5"/>
      <c r="AO952" s="7"/>
      <c r="AP952" s="5" t="s">
        <v>98</v>
      </c>
      <c r="AQ952" s="29" t="s">
        <v>124</v>
      </c>
    </row>
    <row r="953" spans="1:43" hidden="1">
      <c r="A953" s="28">
        <v>18863</v>
      </c>
      <c r="B953" s="5" t="s">
        <v>1953</v>
      </c>
      <c r="C953" s="5" t="s">
        <v>464</v>
      </c>
      <c r="D953" s="5" t="s">
        <v>88</v>
      </c>
      <c r="E953" s="5" t="s">
        <v>68</v>
      </c>
      <c r="F953" s="5" t="s">
        <v>288</v>
      </c>
      <c r="G953" s="5" t="s">
        <v>104</v>
      </c>
      <c r="H953" s="5" t="s">
        <v>118</v>
      </c>
      <c r="I953" s="6">
        <v>463</v>
      </c>
      <c r="J953" s="7">
        <v>44281</v>
      </c>
      <c r="K953" s="8" t="str">
        <f>IF(B953="","",IF(AND(I953="",J953=""),"Unknown",IF(OR(AND(ISNUMBER(I953),I953=0),AND(ISNUMBER(J953),J953&lt;=EDATE('Scoring Settings'!$B$4,-'Scoring Settings'!$B$5))),"Not in use",IF(AND(ISNUMBER(I953),I953&lt;'Scoring Settings'!$B$6),"Low use","Active"))))</f>
        <v>Active</v>
      </c>
      <c r="L953" s="5">
        <v>3</v>
      </c>
      <c r="M953" s="5">
        <v>4</v>
      </c>
      <c r="N953" s="5" t="s">
        <v>180</v>
      </c>
      <c r="O953" s="5" t="s">
        <v>73</v>
      </c>
      <c r="P953" s="5" t="s">
        <v>1954</v>
      </c>
      <c r="Q953" s="9">
        <v>3</v>
      </c>
      <c r="R953" s="5" t="s">
        <v>107</v>
      </c>
      <c r="S953" s="5" t="s">
        <v>108</v>
      </c>
      <c r="T953" s="5" t="s">
        <v>109</v>
      </c>
      <c r="U953" s="7">
        <v>43655</v>
      </c>
      <c r="V953" s="5" t="s">
        <v>95</v>
      </c>
      <c r="W953" s="6">
        <v>900</v>
      </c>
      <c r="X953" s="5" t="s">
        <v>79</v>
      </c>
      <c r="Y953" s="9">
        <v>3</v>
      </c>
      <c r="Z953" s="5" t="s">
        <v>80</v>
      </c>
      <c r="AA953" s="5" t="s">
        <v>185</v>
      </c>
      <c r="AB953" s="9">
        <v>3</v>
      </c>
      <c r="AC953" s="5" t="s">
        <v>79</v>
      </c>
      <c r="AD953" s="5" t="s">
        <v>82</v>
      </c>
      <c r="AE953" s="5" t="s">
        <v>82</v>
      </c>
      <c r="AF953" s="10">
        <v>33000</v>
      </c>
      <c r="AG953" s="7">
        <v>48730</v>
      </c>
      <c r="AH953" s="10"/>
      <c r="AI953" s="10"/>
      <c r="AJ953" s="11" t="str">
        <f t="shared" si="14"/>
        <v/>
      </c>
      <c r="AK953" s="12">
        <f>IF(B953="","",OR(K953="Not in use",K953="Low use")+AND(N953&lt;&gt;"",N953&lt;&gt;"TBD")+AND(ISNUMBER(U953),U953&lt;=EDATE('Scoring Settings'!$B$4,'Scoring Settings'!$B$8))+AND(ISNUMBER(L953),L953&lt;='Scoring Settings'!$B$7))</f>
        <v>2</v>
      </c>
      <c r="AL953" s="5" t="s">
        <v>111</v>
      </c>
      <c r="AM953" s="8" t="str">
        <f>IF(B953="","",IF(Z953="N","Easy",IF(OR(AND(ISNUMBER(AB953),AB953&gt;'Scoring Settings'!$B$11),AND(ISNUMBER(W953),W953&gt;'Scoring Settings'!$B$12),AND(ISNUMBER(M953),M953&lt;='Scoring Settings'!$B$13)),"High","Medium")))</f>
        <v>Medium</v>
      </c>
      <c r="AN953" s="5"/>
      <c r="AO953" s="7"/>
      <c r="AP953" s="5" t="s">
        <v>98</v>
      </c>
      <c r="AQ953" s="29" t="s">
        <v>124</v>
      </c>
    </row>
    <row r="954" spans="1:43" hidden="1">
      <c r="A954" s="28">
        <v>139847</v>
      </c>
      <c r="B954" s="5" t="s">
        <v>1955</v>
      </c>
      <c r="C954" s="5" t="s">
        <v>639</v>
      </c>
      <c r="D954" s="5" t="s">
        <v>88</v>
      </c>
      <c r="E954" s="5" t="s">
        <v>68</v>
      </c>
      <c r="F954" s="5" t="s">
        <v>312</v>
      </c>
      <c r="G954" s="5" t="s">
        <v>141</v>
      </c>
      <c r="H954" s="5" t="s">
        <v>142</v>
      </c>
      <c r="I954" s="6">
        <v>25</v>
      </c>
      <c r="J954" s="7">
        <v>44311</v>
      </c>
      <c r="K954" s="8" t="str">
        <f>IF(B954="","",IF(AND(I954="",J954=""),"Unknown",IF(OR(AND(ISNUMBER(I954),I954=0),AND(ISNUMBER(J954),J954&lt;=EDATE('Scoring Settings'!$B$4,-'Scoring Settings'!$B$5))),"Not in use",IF(AND(ISNUMBER(I954),I954&lt;'Scoring Settings'!$B$6),"Low use","Active"))))</f>
        <v>Active</v>
      </c>
      <c r="L954" s="5">
        <v>5</v>
      </c>
      <c r="M954" s="5">
        <v>1</v>
      </c>
      <c r="N954" s="5"/>
      <c r="O954" s="5" t="s">
        <v>143</v>
      </c>
      <c r="P954" s="5" t="s">
        <v>144</v>
      </c>
      <c r="Q954" s="9">
        <v>0</v>
      </c>
      <c r="R954" s="5" t="s">
        <v>145</v>
      </c>
      <c r="S954" s="5" t="s">
        <v>145</v>
      </c>
      <c r="T954" s="5" t="s">
        <v>146</v>
      </c>
      <c r="U954" s="7"/>
      <c r="V954" s="5" t="s">
        <v>135</v>
      </c>
      <c r="W954" s="6">
        <v>110</v>
      </c>
      <c r="X954" s="5" t="s">
        <v>79</v>
      </c>
      <c r="Y954" s="9">
        <v>3</v>
      </c>
      <c r="Z954" s="5" t="s">
        <v>79</v>
      </c>
      <c r="AA954" s="5" t="s">
        <v>110</v>
      </c>
      <c r="AB954" s="9">
        <v>65</v>
      </c>
      <c r="AC954" s="5" t="s">
        <v>80</v>
      </c>
      <c r="AD954" s="5" t="s">
        <v>79</v>
      </c>
      <c r="AE954" s="5" t="s">
        <v>80</v>
      </c>
      <c r="AF954" s="10">
        <v>40500</v>
      </c>
      <c r="AG954" s="7">
        <v>47726</v>
      </c>
      <c r="AH954" s="10"/>
      <c r="AI954" s="10"/>
      <c r="AJ954" s="11" t="str">
        <f t="shared" si="14"/>
        <v/>
      </c>
      <c r="AK954" s="12">
        <f>IF(B954="","",OR(K954="Not in use",K954="Low use")+AND(N954&lt;&gt;"",N954&lt;&gt;"TBD")+AND(ISNUMBER(U954),U954&lt;=EDATE('Scoring Settings'!$B$4,'Scoring Settings'!$B$8))+AND(ISNUMBER(L954),L954&lt;='Scoring Settings'!$B$7))</f>
        <v>0</v>
      </c>
      <c r="AL954" s="5" t="s">
        <v>83</v>
      </c>
      <c r="AM954" s="8" t="str">
        <f>IF(B954="","",IF(Z954="N","Easy",IF(OR(AND(ISNUMBER(AB954),AB954&gt;'Scoring Settings'!$B$11),AND(ISNUMBER(W954),W954&gt;'Scoring Settings'!$B$12),AND(ISNUMBER(M954),M954&lt;='Scoring Settings'!$B$13)),"High","Medium")))</f>
        <v>Easy</v>
      </c>
      <c r="AN954" s="5"/>
      <c r="AO954" s="7"/>
      <c r="AP954" s="5" t="s">
        <v>84</v>
      </c>
      <c r="AQ954" s="29" t="s">
        <v>206</v>
      </c>
    </row>
    <row r="955" spans="1:43" hidden="1">
      <c r="A955" s="28">
        <v>120477</v>
      </c>
      <c r="B955" s="5" t="s">
        <v>1956</v>
      </c>
      <c r="C955" s="5" t="s">
        <v>599</v>
      </c>
      <c r="D955" s="5" t="s">
        <v>67</v>
      </c>
      <c r="E955" s="5" t="s">
        <v>68</v>
      </c>
      <c r="F955" s="5" t="s">
        <v>312</v>
      </c>
      <c r="G955" s="5" t="s">
        <v>153</v>
      </c>
      <c r="H955" s="5" t="s">
        <v>129</v>
      </c>
      <c r="I955" s="6">
        <v>54</v>
      </c>
      <c r="J955" s="7">
        <v>44270</v>
      </c>
      <c r="K955" s="8" t="str">
        <f>IF(B955="","",IF(AND(I955="",J955=""),"Unknown",IF(OR(AND(ISNUMBER(I955),I955=0),AND(ISNUMBER(J955),J955&lt;=EDATE('Scoring Settings'!$B$4,-'Scoring Settings'!$B$5))),"Not in use",IF(AND(ISNUMBER(I955),I955&lt;'Scoring Settings'!$B$6),"Low use","Active"))))</f>
        <v>Active</v>
      </c>
      <c r="L955" s="5">
        <v>5</v>
      </c>
      <c r="M955" s="5">
        <v>1</v>
      </c>
      <c r="N955" s="5"/>
      <c r="O955" s="5" t="s">
        <v>73</v>
      </c>
      <c r="P955" s="5" t="s">
        <v>1957</v>
      </c>
      <c r="Q955" s="9">
        <v>3</v>
      </c>
      <c r="R955" s="5" t="s">
        <v>251</v>
      </c>
      <c r="S955" s="5" t="s">
        <v>133</v>
      </c>
      <c r="T955" s="5" t="s">
        <v>122</v>
      </c>
      <c r="U955" s="7">
        <v>44165</v>
      </c>
      <c r="V955" s="5" t="s">
        <v>95</v>
      </c>
      <c r="W955" s="6">
        <v>940</v>
      </c>
      <c r="X955" s="5" t="s">
        <v>80</v>
      </c>
      <c r="Y955" s="9">
        <v>7</v>
      </c>
      <c r="Z955" s="5" t="s">
        <v>80</v>
      </c>
      <c r="AA955" s="5" t="s">
        <v>205</v>
      </c>
      <c r="AB955" s="9">
        <v>45</v>
      </c>
      <c r="AC955" s="5" t="s">
        <v>82</v>
      </c>
      <c r="AD955" s="5" t="s">
        <v>80</v>
      </c>
      <c r="AE955" s="5" t="s">
        <v>80</v>
      </c>
      <c r="AF955" s="10">
        <v>100000</v>
      </c>
      <c r="AG955" s="7">
        <v>48182</v>
      </c>
      <c r="AH955" s="10"/>
      <c r="AI955" s="10"/>
      <c r="AJ955" s="11" t="str">
        <f t="shared" si="14"/>
        <v/>
      </c>
      <c r="AK955" s="12">
        <f>IF(B955="","",OR(K955="Not in use",K955="Low use")+AND(N955&lt;&gt;"",N955&lt;&gt;"TBD")+AND(ISNUMBER(U955),U955&lt;=EDATE('Scoring Settings'!$B$4,'Scoring Settings'!$B$8))+AND(ISNUMBER(L955),L955&lt;='Scoring Settings'!$B$7))</f>
        <v>1</v>
      </c>
      <c r="AL955" s="5" t="s">
        <v>111</v>
      </c>
      <c r="AM955" s="8" t="str">
        <f>IF(B955="","",IF(Z955="N","Easy",IF(OR(AND(ISNUMBER(AB955),AB955&gt;'Scoring Settings'!$B$11),AND(ISNUMBER(W955),W955&gt;'Scoring Settings'!$B$12),AND(ISNUMBER(M955),M955&lt;='Scoring Settings'!$B$13)),"High","Medium")))</f>
        <v>High</v>
      </c>
      <c r="AN955" s="5"/>
      <c r="AO955" s="7"/>
      <c r="AP955" s="5" t="s">
        <v>98</v>
      </c>
      <c r="AQ955" s="29" t="s">
        <v>124</v>
      </c>
    </row>
    <row r="956" spans="1:43" hidden="1">
      <c r="A956" s="28">
        <v>101299</v>
      </c>
      <c r="B956" s="5" t="s">
        <v>1958</v>
      </c>
      <c r="C956" s="5" t="s">
        <v>126</v>
      </c>
      <c r="D956" s="5" t="s">
        <v>88</v>
      </c>
      <c r="E956" s="5" t="s">
        <v>311</v>
      </c>
      <c r="F956" s="5" t="s">
        <v>178</v>
      </c>
      <c r="G956" s="5" t="s">
        <v>278</v>
      </c>
      <c r="H956" s="5" t="s">
        <v>129</v>
      </c>
      <c r="I956" s="6">
        <v>132</v>
      </c>
      <c r="J956" s="7">
        <v>44313</v>
      </c>
      <c r="K956" s="8" t="str">
        <f>IF(B956="","",IF(AND(I956="",J956=""),"Unknown",IF(OR(AND(ISNUMBER(I956),I956=0),AND(ISNUMBER(J956),J956&lt;=EDATE('Scoring Settings'!$B$4,-'Scoring Settings'!$B$5))),"Not in use",IF(AND(ISNUMBER(I956),I956&lt;'Scoring Settings'!$B$6),"Low use","Active"))))</f>
        <v>Active</v>
      </c>
      <c r="L956" s="5">
        <v>5</v>
      </c>
      <c r="M956" s="5">
        <v>1</v>
      </c>
      <c r="N956" s="5" t="s">
        <v>543</v>
      </c>
      <c r="O956" s="5" t="s">
        <v>73</v>
      </c>
      <c r="P956" s="5" t="s">
        <v>1959</v>
      </c>
      <c r="Q956" s="9">
        <v>4</v>
      </c>
      <c r="R956" s="5" t="s">
        <v>245</v>
      </c>
      <c r="S956" s="5" t="s">
        <v>246</v>
      </c>
      <c r="T956" s="5" t="s">
        <v>184</v>
      </c>
      <c r="U956" s="7">
        <v>45777</v>
      </c>
      <c r="V956" s="5" t="s">
        <v>135</v>
      </c>
      <c r="W956" s="6">
        <v>62</v>
      </c>
      <c r="X956" s="5" t="s">
        <v>79</v>
      </c>
      <c r="Y956" s="9">
        <v>2</v>
      </c>
      <c r="Z956" s="5" t="s">
        <v>80</v>
      </c>
      <c r="AA956" s="5" t="s">
        <v>205</v>
      </c>
      <c r="AB956" s="9">
        <v>48</v>
      </c>
      <c r="AC956" s="5" t="s">
        <v>82</v>
      </c>
      <c r="AD956" s="5" t="s">
        <v>79</v>
      </c>
      <c r="AE956" s="5" t="s">
        <v>82</v>
      </c>
      <c r="AF956" s="10">
        <v>150000</v>
      </c>
      <c r="AG956" s="7">
        <v>47695</v>
      </c>
      <c r="AH956" s="10"/>
      <c r="AI956" s="10"/>
      <c r="AJ956" s="11" t="str">
        <f t="shared" si="14"/>
        <v/>
      </c>
      <c r="AK956" s="12">
        <f>IF(B956="","",OR(K956="Not in use",K956="Low use")+AND(N956&lt;&gt;"",N956&lt;&gt;"TBD")+AND(ISNUMBER(U956),U956&lt;=EDATE('Scoring Settings'!$B$4,'Scoring Settings'!$B$8))+AND(ISNUMBER(L956),L956&lt;='Scoring Settings'!$B$7))</f>
        <v>1</v>
      </c>
      <c r="AL956" s="5" t="s">
        <v>111</v>
      </c>
      <c r="AM956" s="8" t="str">
        <f>IF(B956="","",IF(Z956="N","Easy",IF(OR(AND(ISNUMBER(AB956),AB956&gt;'Scoring Settings'!$B$11),AND(ISNUMBER(W956),W956&gt;'Scoring Settings'!$B$12),AND(ISNUMBER(M956),M956&lt;='Scoring Settings'!$B$13)),"High","Medium")))</f>
        <v>High</v>
      </c>
      <c r="AN956" s="5"/>
      <c r="AO956" s="7"/>
      <c r="AP956" s="5" t="s">
        <v>98</v>
      </c>
      <c r="AQ956" s="29" t="s">
        <v>218</v>
      </c>
    </row>
    <row r="957" spans="1:43" hidden="1">
      <c r="A957" s="28">
        <v>69891</v>
      </c>
      <c r="B957" s="5" t="s">
        <v>1961</v>
      </c>
      <c r="C957" s="5" t="s">
        <v>234</v>
      </c>
      <c r="D957" s="5" t="s">
        <v>102</v>
      </c>
      <c r="E957" s="5" t="s">
        <v>68</v>
      </c>
      <c r="F957" s="5" t="s">
        <v>127</v>
      </c>
      <c r="G957" s="5" t="s">
        <v>179</v>
      </c>
      <c r="H957" s="5" t="s">
        <v>105</v>
      </c>
      <c r="I957" s="6">
        <v>710</v>
      </c>
      <c r="J957" s="7">
        <v>44270</v>
      </c>
      <c r="K957" s="8" t="str">
        <f>IF(B957="","",IF(AND(I957="",J957=""),"Unknown",IF(OR(AND(ISNUMBER(I957),I957=0),AND(ISNUMBER(J957),J957&lt;=EDATE('Scoring Settings'!$B$4,-'Scoring Settings'!$B$5))),"Not in use",IF(AND(ISNUMBER(I957),I957&lt;'Scoring Settings'!$B$6),"Low use","Active"))))</f>
        <v>Active</v>
      </c>
      <c r="L957" s="5">
        <v>5</v>
      </c>
      <c r="M957" s="5">
        <v>1</v>
      </c>
      <c r="N957" s="5"/>
      <c r="O957" s="5" t="s">
        <v>73</v>
      </c>
      <c r="P957" s="5" t="s">
        <v>1962</v>
      </c>
      <c r="Q957" s="9">
        <v>6</v>
      </c>
      <c r="R957" s="5" t="s">
        <v>245</v>
      </c>
      <c r="S957" s="5" t="s">
        <v>246</v>
      </c>
      <c r="T957" s="5" t="s">
        <v>72</v>
      </c>
      <c r="U957" s="7">
        <v>45777</v>
      </c>
      <c r="V957" s="5" t="s">
        <v>135</v>
      </c>
      <c r="W957" s="6">
        <v>770</v>
      </c>
      <c r="X957" s="5" t="s">
        <v>79</v>
      </c>
      <c r="Y957" s="9">
        <v>5</v>
      </c>
      <c r="Z957" s="5" t="s">
        <v>80</v>
      </c>
      <c r="AA957" s="5" t="s">
        <v>185</v>
      </c>
      <c r="AB957" s="9">
        <v>40</v>
      </c>
      <c r="AC957" s="5" t="s">
        <v>79</v>
      </c>
      <c r="AD957" s="5" t="s">
        <v>82</v>
      </c>
      <c r="AE957" s="5" t="s">
        <v>79</v>
      </c>
      <c r="AF957" s="10">
        <v>230000</v>
      </c>
      <c r="AG957" s="7">
        <v>47664</v>
      </c>
      <c r="AH957" s="10"/>
      <c r="AI957" s="10"/>
      <c r="AJ957" s="11" t="str">
        <f t="shared" si="14"/>
        <v/>
      </c>
      <c r="AK957" s="12">
        <f>IF(B957="","",OR(K957="Not in use",K957="Low use")+AND(N957&lt;&gt;"",N957&lt;&gt;"TBD")+AND(ISNUMBER(U957),U957&lt;=EDATE('Scoring Settings'!$B$4,'Scoring Settings'!$B$8))+AND(ISNUMBER(L957),L957&lt;='Scoring Settings'!$B$7))</f>
        <v>0</v>
      </c>
      <c r="AL957" s="5" t="s">
        <v>83</v>
      </c>
      <c r="AM957" s="8" t="str">
        <f>IF(B957="","",IF(Z957="N","Easy",IF(OR(AND(ISNUMBER(AB957),AB957&gt;'Scoring Settings'!$B$11),AND(ISNUMBER(W957),W957&gt;'Scoring Settings'!$B$12),AND(ISNUMBER(M957),M957&lt;='Scoring Settings'!$B$13)),"High","Medium")))</f>
        <v>High</v>
      </c>
      <c r="AN957" s="5"/>
      <c r="AO957" s="7"/>
      <c r="AP957" s="5" t="s">
        <v>84</v>
      </c>
      <c r="AQ957" s="29" t="s">
        <v>273</v>
      </c>
    </row>
    <row r="958" spans="1:43" hidden="1">
      <c r="A958" s="28">
        <v>114227</v>
      </c>
      <c r="B958" s="5" t="s">
        <v>1965</v>
      </c>
      <c r="C958" s="5" t="s">
        <v>667</v>
      </c>
      <c r="D958" s="5" t="s">
        <v>115</v>
      </c>
      <c r="E958" s="5" t="s">
        <v>68</v>
      </c>
      <c r="F958" s="5" t="s">
        <v>103</v>
      </c>
      <c r="G958" s="5" t="s">
        <v>141</v>
      </c>
      <c r="H958" s="5" t="s">
        <v>71</v>
      </c>
      <c r="I958" s="6">
        <v>49</v>
      </c>
      <c r="J958" s="7">
        <v>44295</v>
      </c>
      <c r="K958" s="8" t="str">
        <f>IF(B958="","",IF(AND(I958="",J958=""),"Unknown",IF(OR(AND(ISNUMBER(I958),I958=0),AND(ISNUMBER(J958),J958&lt;=EDATE('Scoring Settings'!$B$4,-'Scoring Settings'!$B$5))),"Not in use",IF(AND(ISNUMBER(I958),I958&lt;'Scoring Settings'!$B$6),"Low use","Active"))))</f>
        <v>Active</v>
      </c>
      <c r="L958" s="5">
        <v>5</v>
      </c>
      <c r="M958" s="5">
        <v>2</v>
      </c>
      <c r="N958" s="5"/>
      <c r="O958" s="5" t="s">
        <v>73</v>
      </c>
      <c r="P958" s="5" t="s">
        <v>1966</v>
      </c>
      <c r="Q958" s="9">
        <v>8</v>
      </c>
      <c r="R958" s="5" t="s">
        <v>203</v>
      </c>
      <c r="S958" s="5" t="s">
        <v>204</v>
      </c>
      <c r="T958" s="5" t="s">
        <v>77</v>
      </c>
      <c r="U958" s="7">
        <v>47269</v>
      </c>
      <c r="V958" s="5" t="s">
        <v>135</v>
      </c>
      <c r="W958" s="6">
        <v>600</v>
      </c>
      <c r="X958" s="5" t="s">
        <v>79</v>
      </c>
      <c r="Y958" s="9">
        <v>5</v>
      </c>
      <c r="Z958" s="5" t="s">
        <v>79</v>
      </c>
      <c r="AA958" s="5" t="s">
        <v>110</v>
      </c>
      <c r="AB958" s="9">
        <v>21</v>
      </c>
      <c r="AC958" s="5" t="s">
        <v>82</v>
      </c>
      <c r="AD958" s="5" t="s">
        <v>80</v>
      </c>
      <c r="AE958" s="5" t="s">
        <v>82</v>
      </c>
      <c r="AF958" s="10">
        <v>180000</v>
      </c>
      <c r="AG958" s="7">
        <v>47968</v>
      </c>
      <c r="AH958" s="10"/>
      <c r="AI958" s="10"/>
      <c r="AJ958" s="11" t="str">
        <f t="shared" si="14"/>
        <v/>
      </c>
      <c r="AK958" s="12">
        <f>IF(B958="","",OR(K958="Not in use",K958="Low use")+AND(N958&lt;&gt;"",N958&lt;&gt;"TBD")+AND(ISNUMBER(U958),U958&lt;=EDATE('Scoring Settings'!$B$4,'Scoring Settings'!$B$8))+AND(ISNUMBER(L958),L958&lt;='Scoring Settings'!$B$7))</f>
        <v>0</v>
      </c>
      <c r="AL958" s="5" t="s">
        <v>83</v>
      </c>
      <c r="AM958" s="8" t="str">
        <f>IF(B958="","",IF(Z958="N","Easy",IF(OR(AND(ISNUMBER(AB958),AB958&gt;'Scoring Settings'!$B$11),AND(ISNUMBER(W958),W958&gt;'Scoring Settings'!$B$12),AND(ISNUMBER(M958),M958&lt;='Scoring Settings'!$B$13)),"High","Medium")))</f>
        <v>Easy</v>
      </c>
      <c r="AN958" s="5"/>
      <c r="AO958" s="7"/>
      <c r="AP958" s="5" t="s">
        <v>84</v>
      </c>
      <c r="AQ958" s="29" t="s">
        <v>273</v>
      </c>
    </row>
    <row r="959" spans="1:43" hidden="1">
      <c r="A959" s="28">
        <v>46131</v>
      </c>
      <c r="B959" s="5" t="s">
        <v>1967</v>
      </c>
      <c r="C959" s="5" t="s">
        <v>464</v>
      </c>
      <c r="D959" s="5" t="s">
        <v>88</v>
      </c>
      <c r="E959" s="5" t="s">
        <v>68</v>
      </c>
      <c r="F959" s="5" t="s">
        <v>116</v>
      </c>
      <c r="G959" s="5" t="s">
        <v>153</v>
      </c>
      <c r="H959" s="5" t="s">
        <v>129</v>
      </c>
      <c r="I959" s="6">
        <v>106</v>
      </c>
      <c r="J959" s="7">
        <v>44300</v>
      </c>
      <c r="K959" s="8" t="str">
        <f>IF(B959="","",IF(AND(I959="",J959=""),"Unknown",IF(OR(AND(ISNUMBER(I959),I959=0),AND(ISNUMBER(J959),J959&lt;=EDATE('Scoring Settings'!$B$4,-'Scoring Settings'!$B$5))),"Not in use",IF(AND(ISNUMBER(I959),I959&lt;'Scoring Settings'!$B$6),"Low use","Active"))))</f>
        <v>Active</v>
      </c>
      <c r="L959" s="5">
        <v>4</v>
      </c>
      <c r="M959" s="5">
        <v>1</v>
      </c>
      <c r="N959" s="5"/>
      <c r="O959" s="5" t="s">
        <v>191</v>
      </c>
      <c r="P959" s="5" t="s">
        <v>192</v>
      </c>
      <c r="Q959" s="9">
        <v>0</v>
      </c>
      <c r="R959" s="5" t="s">
        <v>193</v>
      </c>
      <c r="S959" s="5" t="s">
        <v>318</v>
      </c>
      <c r="T959" s="5" t="s">
        <v>195</v>
      </c>
      <c r="U959" s="7"/>
      <c r="V959" s="5" t="s">
        <v>95</v>
      </c>
      <c r="W959" s="6">
        <v>130</v>
      </c>
      <c r="X959" s="5" t="s">
        <v>79</v>
      </c>
      <c r="Y959" s="9">
        <v>2</v>
      </c>
      <c r="Z959" s="5" t="s">
        <v>79</v>
      </c>
      <c r="AA959" s="5" t="s">
        <v>110</v>
      </c>
      <c r="AB959" s="9">
        <v>55</v>
      </c>
      <c r="AC959" s="5" t="s">
        <v>82</v>
      </c>
      <c r="AD959" s="5" t="s">
        <v>79</v>
      </c>
      <c r="AE959" s="5" t="s">
        <v>79</v>
      </c>
      <c r="AF959" s="10">
        <v>28000</v>
      </c>
      <c r="AG959" s="7">
        <v>46477</v>
      </c>
      <c r="AH959" s="10"/>
      <c r="AI959" s="10"/>
      <c r="AJ959" s="11" t="str">
        <f t="shared" si="14"/>
        <v/>
      </c>
      <c r="AK959" s="12">
        <f>IF(B959="","",OR(K959="Not in use",K959="Low use")+AND(N959&lt;&gt;"",N959&lt;&gt;"TBD")+AND(ISNUMBER(U959),U959&lt;=EDATE('Scoring Settings'!$B$4,'Scoring Settings'!$B$8))+AND(ISNUMBER(L959),L959&lt;='Scoring Settings'!$B$7))</f>
        <v>0</v>
      </c>
      <c r="AL959" s="5" t="s">
        <v>83</v>
      </c>
      <c r="AM959" s="8" t="str">
        <f>IF(B959="","",IF(Z959="N","Easy",IF(OR(AND(ISNUMBER(AB959),AB959&gt;'Scoring Settings'!$B$11),AND(ISNUMBER(W959),W959&gt;'Scoring Settings'!$B$12),AND(ISNUMBER(M959),M959&lt;='Scoring Settings'!$B$13)),"High","Medium")))</f>
        <v>Easy</v>
      </c>
      <c r="AN959" s="5"/>
      <c r="AO959" s="7"/>
      <c r="AP959" s="5" t="s">
        <v>84</v>
      </c>
      <c r="AQ959" s="29" t="s">
        <v>247</v>
      </c>
    </row>
    <row r="960" spans="1:43" hidden="1">
      <c r="A960" s="28">
        <v>64289</v>
      </c>
      <c r="B960" s="5" t="s">
        <v>1968</v>
      </c>
      <c r="C960" s="5" t="s">
        <v>371</v>
      </c>
      <c r="D960" s="5" t="s">
        <v>162</v>
      </c>
      <c r="E960" s="5" t="s">
        <v>68</v>
      </c>
      <c r="F960" s="5" t="s">
        <v>236</v>
      </c>
      <c r="G960" s="5" t="s">
        <v>356</v>
      </c>
      <c r="H960" s="5" t="s">
        <v>71</v>
      </c>
      <c r="I960" s="6">
        <v>0</v>
      </c>
      <c r="J960" s="7">
        <v>43777</v>
      </c>
      <c r="K960" s="8" t="str">
        <f>IF(B960="","",IF(AND(I960="",J960=""),"Unknown",IF(OR(AND(ISNUMBER(I960),I960=0),AND(ISNUMBER(J960),J960&lt;=EDATE('Scoring Settings'!$B$4,-'Scoring Settings'!$B$5))),"Not in use",IF(AND(ISNUMBER(I960),I960&lt;'Scoring Settings'!$B$6),"Low use","Active"))))</f>
        <v>Not in use</v>
      </c>
      <c r="L960" s="5">
        <v>5</v>
      </c>
      <c r="M960" s="5">
        <v>2</v>
      </c>
      <c r="N960" s="5"/>
      <c r="O960" s="5" t="s">
        <v>73</v>
      </c>
      <c r="P960" s="5" t="s">
        <v>1793</v>
      </c>
      <c r="Q960" s="9">
        <v>4</v>
      </c>
      <c r="R960" s="5" t="s">
        <v>335</v>
      </c>
      <c r="S960" s="5" t="s">
        <v>336</v>
      </c>
      <c r="T960" s="5" t="s">
        <v>184</v>
      </c>
      <c r="U960" s="7">
        <v>45473</v>
      </c>
      <c r="V960" s="5" t="s">
        <v>135</v>
      </c>
      <c r="W960" s="6">
        <v>58</v>
      </c>
      <c r="X960" s="5" t="s">
        <v>79</v>
      </c>
      <c r="Y960" s="9">
        <v>3</v>
      </c>
      <c r="Z960" s="5" t="s">
        <v>79</v>
      </c>
      <c r="AA960" s="5" t="s">
        <v>110</v>
      </c>
      <c r="AB960" s="9">
        <v>8</v>
      </c>
      <c r="AC960" s="5" t="s">
        <v>80</v>
      </c>
      <c r="AD960" s="5" t="s">
        <v>79</v>
      </c>
      <c r="AE960" s="5" t="s">
        <v>82</v>
      </c>
      <c r="AF960" s="10">
        <v>60000</v>
      </c>
      <c r="AG960" s="7">
        <v>49552</v>
      </c>
      <c r="AH960" s="10"/>
      <c r="AI960" s="10"/>
      <c r="AJ960" s="11" t="str">
        <f t="shared" si="14"/>
        <v/>
      </c>
      <c r="AK960" s="12">
        <f>IF(B960="","",OR(K960="Not in use",K960="Low use")+AND(N960&lt;&gt;"",N960&lt;&gt;"TBD")+AND(ISNUMBER(U960),U960&lt;=EDATE('Scoring Settings'!$B$4,'Scoring Settings'!$B$8))+AND(ISNUMBER(L960),L960&lt;='Scoring Settings'!$B$7))</f>
        <v>1</v>
      </c>
      <c r="AL960" s="5" t="s">
        <v>111</v>
      </c>
      <c r="AM960" s="8" t="str">
        <f>IF(B960="","",IF(Z960="N","Easy",IF(OR(AND(ISNUMBER(AB960),AB960&gt;'Scoring Settings'!$B$11),AND(ISNUMBER(W960),W960&gt;'Scoring Settings'!$B$12),AND(ISNUMBER(M960),M960&lt;='Scoring Settings'!$B$13)),"High","Medium")))</f>
        <v>Easy</v>
      </c>
      <c r="AN960" s="5"/>
      <c r="AO960" s="7"/>
      <c r="AP960" s="5" t="s">
        <v>98</v>
      </c>
      <c r="AQ960" s="29" t="s">
        <v>218</v>
      </c>
    </row>
    <row r="961" spans="1:43" hidden="1">
      <c r="A961" s="28">
        <v>198721</v>
      </c>
      <c r="B961" s="5" t="s">
        <v>1969</v>
      </c>
      <c r="C961" s="5" t="s">
        <v>667</v>
      </c>
      <c r="D961" s="5" t="s">
        <v>115</v>
      </c>
      <c r="E961" s="5" t="s">
        <v>68</v>
      </c>
      <c r="F961" s="5" t="s">
        <v>103</v>
      </c>
      <c r="G961" s="5" t="s">
        <v>90</v>
      </c>
      <c r="H961" s="5" t="s">
        <v>105</v>
      </c>
      <c r="I961" s="6">
        <v>1417</v>
      </c>
      <c r="J961" s="7">
        <v>44304</v>
      </c>
      <c r="K961" s="8" t="str">
        <f>IF(B961="","",IF(AND(I961="",J961=""),"Unknown",IF(OR(AND(ISNUMBER(I961),I961=0),AND(ISNUMBER(J961),J961&lt;=EDATE('Scoring Settings'!$B$4,-'Scoring Settings'!$B$5))),"Not in use",IF(AND(ISNUMBER(I961),I961&lt;'Scoring Settings'!$B$6),"Low use","Active"))))</f>
        <v>Active</v>
      </c>
      <c r="L961" s="5">
        <v>5</v>
      </c>
      <c r="M961" s="5">
        <v>1</v>
      </c>
      <c r="N961" s="5"/>
      <c r="O961" s="5" t="s">
        <v>130</v>
      </c>
      <c r="P961" s="5" t="s">
        <v>1970</v>
      </c>
      <c r="Q961" s="9">
        <v>3</v>
      </c>
      <c r="R961" s="5" t="s">
        <v>335</v>
      </c>
      <c r="S961" s="5" t="s">
        <v>336</v>
      </c>
      <c r="T961" s="5" t="s">
        <v>195</v>
      </c>
      <c r="U961" s="7">
        <v>45473</v>
      </c>
      <c r="V961" s="5" t="s">
        <v>135</v>
      </c>
      <c r="W961" s="6">
        <v>120</v>
      </c>
      <c r="X961" s="5" t="s">
        <v>80</v>
      </c>
      <c r="Y961" s="9">
        <v>10</v>
      </c>
      <c r="Z961" s="5" t="s">
        <v>80</v>
      </c>
      <c r="AA961" s="5" t="s">
        <v>81</v>
      </c>
      <c r="AB961" s="9">
        <v>24</v>
      </c>
      <c r="AC961" s="5" t="s">
        <v>79</v>
      </c>
      <c r="AD961" s="5" t="s">
        <v>79</v>
      </c>
      <c r="AE961" s="5" t="s">
        <v>79</v>
      </c>
      <c r="AF961" s="10">
        <v>80000</v>
      </c>
      <c r="AG961" s="7">
        <v>48944</v>
      </c>
      <c r="AH961" s="10"/>
      <c r="AI961" s="10"/>
      <c r="AJ961" s="11" t="str">
        <f t="shared" si="14"/>
        <v/>
      </c>
      <c r="AK961" s="12">
        <f>IF(B961="","",OR(K961="Not in use",K961="Low use")+AND(N961&lt;&gt;"",N961&lt;&gt;"TBD")+AND(ISNUMBER(U961),U961&lt;=EDATE('Scoring Settings'!$B$4,'Scoring Settings'!$B$8))+AND(ISNUMBER(L961),L961&lt;='Scoring Settings'!$B$7))</f>
        <v>0</v>
      </c>
      <c r="AL961" s="5" t="s">
        <v>83</v>
      </c>
      <c r="AM961" s="8" t="str">
        <f>IF(B961="","",IF(Z961="N","Easy",IF(OR(AND(ISNUMBER(AB961),AB961&gt;'Scoring Settings'!$B$11),AND(ISNUMBER(W961),W961&gt;'Scoring Settings'!$B$12),AND(ISNUMBER(M961),M961&lt;='Scoring Settings'!$B$13)),"High","Medium")))</f>
        <v>High</v>
      </c>
      <c r="AN961" s="5"/>
      <c r="AO961" s="7"/>
      <c r="AP961" s="5" t="s">
        <v>84</v>
      </c>
      <c r="AQ961" s="29" t="s">
        <v>206</v>
      </c>
    </row>
    <row r="962" spans="1:43" hidden="1">
      <c r="A962" s="28">
        <v>78832</v>
      </c>
      <c r="B962" s="5" t="s">
        <v>1971</v>
      </c>
      <c r="C962" s="5" t="s">
        <v>301</v>
      </c>
      <c r="D962" s="5" t="s">
        <v>162</v>
      </c>
      <c r="E962" s="5" t="s">
        <v>311</v>
      </c>
      <c r="F962" s="5" t="s">
        <v>346</v>
      </c>
      <c r="G962" s="5" t="s">
        <v>284</v>
      </c>
      <c r="H962" s="5" t="s">
        <v>142</v>
      </c>
      <c r="I962" s="6">
        <v>384</v>
      </c>
      <c r="J962" s="7">
        <v>44285</v>
      </c>
      <c r="K962" s="8" t="str">
        <f>IF(B962="","",IF(AND(I962="",J962=""),"Unknown",IF(OR(AND(ISNUMBER(I962),I962=0),AND(ISNUMBER(J962),J962&lt;=EDATE('Scoring Settings'!$B$4,-'Scoring Settings'!$B$5))),"Not in use",IF(AND(ISNUMBER(I962),I962&lt;'Scoring Settings'!$B$6),"Low use","Active"))))</f>
        <v>Active</v>
      </c>
      <c r="L962" s="5">
        <v>5</v>
      </c>
      <c r="M962" s="5">
        <v>1</v>
      </c>
      <c r="N962" s="5"/>
      <c r="O962" s="5" t="s">
        <v>143</v>
      </c>
      <c r="P962" s="5" t="s">
        <v>144</v>
      </c>
      <c r="Q962" s="9">
        <v>0</v>
      </c>
      <c r="R962" s="5" t="s">
        <v>145</v>
      </c>
      <c r="S962" s="5" t="s">
        <v>145</v>
      </c>
      <c r="T962" s="5" t="s">
        <v>146</v>
      </c>
      <c r="U962" s="7"/>
      <c r="V962" s="5" t="s">
        <v>135</v>
      </c>
      <c r="W962" s="6">
        <v>700</v>
      </c>
      <c r="X962" s="5" t="s">
        <v>79</v>
      </c>
      <c r="Y962" s="9">
        <v>1</v>
      </c>
      <c r="Z962" s="5" t="s">
        <v>79</v>
      </c>
      <c r="AA962" s="5" t="s">
        <v>110</v>
      </c>
      <c r="AB962" s="9">
        <v>33</v>
      </c>
      <c r="AC962" s="5" t="s">
        <v>82</v>
      </c>
      <c r="AD962" s="5" t="s">
        <v>82</v>
      </c>
      <c r="AE962" s="5" t="s">
        <v>80</v>
      </c>
      <c r="AF962" s="10">
        <v>75000</v>
      </c>
      <c r="AG962" s="7">
        <v>47057</v>
      </c>
      <c r="AH962" s="10"/>
      <c r="AI962" s="10"/>
      <c r="AJ962" s="11" t="str">
        <f t="shared" si="14"/>
        <v/>
      </c>
      <c r="AK962" s="12">
        <f>IF(B962="","",OR(K962="Not in use",K962="Low use")+AND(N962&lt;&gt;"",N962&lt;&gt;"TBD")+AND(ISNUMBER(U962),U962&lt;=EDATE('Scoring Settings'!$B$4,'Scoring Settings'!$B$8))+AND(ISNUMBER(L962),L962&lt;='Scoring Settings'!$B$7))</f>
        <v>0</v>
      </c>
      <c r="AL962" s="5" t="s">
        <v>111</v>
      </c>
      <c r="AM962" s="8" t="str">
        <f>IF(B962="","",IF(Z962="N","Easy",IF(OR(AND(ISNUMBER(AB962),AB962&gt;'Scoring Settings'!$B$11),AND(ISNUMBER(W962),W962&gt;'Scoring Settings'!$B$12),AND(ISNUMBER(M962),M962&lt;='Scoring Settings'!$B$13)),"High","Medium")))</f>
        <v>Easy</v>
      </c>
      <c r="AN962" s="5"/>
      <c r="AO962" s="7"/>
      <c r="AP962" s="5" t="s">
        <v>98</v>
      </c>
      <c r="AQ962" s="29" t="s">
        <v>112</v>
      </c>
    </row>
    <row r="963" spans="1:43" hidden="1">
      <c r="A963" s="28">
        <v>120987</v>
      </c>
      <c r="B963" s="5" t="s">
        <v>1974</v>
      </c>
      <c r="C963" s="5" t="s">
        <v>483</v>
      </c>
      <c r="D963" s="5" t="s">
        <v>88</v>
      </c>
      <c r="E963" s="5" t="s">
        <v>68</v>
      </c>
      <c r="F963" s="5" t="s">
        <v>178</v>
      </c>
      <c r="G963" s="5" t="s">
        <v>141</v>
      </c>
      <c r="H963" s="5" t="s">
        <v>142</v>
      </c>
      <c r="I963" s="6">
        <v>308</v>
      </c>
      <c r="J963" s="7">
        <v>44295</v>
      </c>
      <c r="K963" s="8" t="str">
        <f>IF(B963="","",IF(AND(I963="",J963=""),"Unknown",IF(OR(AND(ISNUMBER(I963),I963=0),AND(ISNUMBER(J963),J963&lt;=EDATE('Scoring Settings'!$B$4,-'Scoring Settings'!$B$5))),"Not in use",IF(AND(ISNUMBER(I963),I963&lt;'Scoring Settings'!$B$6),"Low use","Active"))))</f>
        <v>Active</v>
      </c>
      <c r="L963" s="5">
        <v>4</v>
      </c>
      <c r="M963" s="5">
        <v>2</v>
      </c>
      <c r="N963" s="5"/>
      <c r="O963" s="5" t="s">
        <v>143</v>
      </c>
      <c r="P963" s="5" t="s">
        <v>144</v>
      </c>
      <c r="Q963" s="9">
        <v>0</v>
      </c>
      <c r="R963" s="5" t="s">
        <v>145</v>
      </c>
      <c r="S963" s="5" t="s">
        <v>145</v>
      </c>
      <c r="T963" s="5" t="s">
        <v>146</v>
      </c>
      <c r="U963" s="7"/>
      <c r="V963" s="5" t="s">
        <v>135</v>
      </c>
      <c r="W963" s="6">
        <v>580</v>
      </c>
      <c r="X963" s="5" t="s">
        <v>79</v>
      </c>
      <c r="Y963" s="9">
        <v>2</v>
      </c>
      <c r="Z963" s="5" t="s">
        <v>80</v>
      </c>
      <c r="AA963" s="5" t="s">
        <v>185</v>
      </c>
      <c r="AB963" s="9">
        <v>7</v>
      </c>
      <c r="AC963" s="5" t="s">
        <v>79</v>
      </c>
      <c r="AD963" s="5" t="s">
        <v>79</v>
      </c>
      <c r="AE963" s="5" t="s">
        <v>80</v>
      </c>
      <c r="AF963" s="10">
        <v>12500</v>
      </c>
      <c r="AG963" s="7">
        <v>49552</v>
      </c>
      <c r="AH963" s="10"/>
      <c r="AI963" s="10"/>
      <c r="AJ963" s="11" t="str">
        <f t="shared" si="14"/>
        <v/>
      </c>
      <c r="AK963" s="12">
        <f>IF(B963="","",OR(K963="Not in use",K963="Low use")+AND(N963&lt;&gt;"",N963&lt;&gt;"TBD")+AND(ISNUMBER(U963),U963&lt;=EDATE('Scoring Settings'!$B$4,'Scoring Settings'!$B$8))+AND(ISNUMBER(L963),L963&lt;='Scoring Settings'!$B$7))</f>
        <v>0</v>
      </c>
      <c r="AL963" s="5" t="s">
        <v>83</v>
      </c>
      <c r="AM963" s="8" t="str">
        <f>IF(B963="","",IF(Z963="N","Easy",IF(OR(AND(ISNUMBER(AB963),AB963&gt;'Scoring Settings'!$B$11),AND(ISNUMBER(W963),W963&gt;'Scoring Settings'!$B$12),AND(ISNUMBER(M963),M963&lt;='Scoring Settings'!$B$13)),"High","Medium")))</f>
        <v>High</v>
      </c>
      <c r="AN963" s="5"/>
      <c r="AO963" s="7"/>
      <c r="AP963" s="5" t="s">
        <v>84</v>
      </c>
      <c r="AQ963" s="29" t="s">
        <v>314</v>
      </c>
    </row>
    <row r="964" spans="1:43" hidden="1">
      <c r="A964" s="28">
        <v>26967</v>
      </c>
      <c r="B964" s="5" t="s">
        <v>1981</v>
      </c>
      <c r="C964" s="5" t="s">
        <v>138</v>
      </c>
      <c r="D964" s="5" t="s">
        <v>139</v>
      </c>
      <c r="E964" s="5" t="s">
        <v>68</v>
      </c>
      <c r="F964" s="5" t="s">
        <v>288</v>
      </c>
      <c r="G964" s="5" t="s">
        <v>179</v>
      </c>
      <c r="H964" s="5" t="s">
        <v>174</v>
      </c>
      <c r="I964" s="6">
        <v>73</v>
      </c>
      <c r="J964" s="7">
        <v>44314</v>
      </c>
      <c r="K964" s="8" t="str">
        <f>IF(B964="","",IF(AND(I964="",J964=""),"Unknown",IF(OR(AND(ISNUMBER(I964),I964=0),AND(ISNUMBER(J964),J964&lt;=EDATE('Scoring Settings'!$B$4,-'Scoring Settings'!$B$5))),"Not in use",IF(AND(ISNUMBER(I964),I964&lt;'Scoring Settings'!$B$6),"Low use","Active"))))</f>
        <v>Active</v>
      </c>
      <c r="L964" s="5">
        <v>3</v>
      </c>
      <c r="M964" s="5">
        <v>3</v>
      </c>
      <c r="N964" s="5"/>
      <c r="O964" s="5" t="s">
        <v>73</v>
      </c>
      <c r="P964" s="5" t="s">
        <v>1982</v>
      </c>
      <c r="Q964" s="9">
        <v>1</v>
      </c>
      <c r="R964" s="5" t="s">
        <v>166</v>
      </c>
      <c r="S964" s="5" t="s">
        <v>308</v>
      </c>
      <c r="T964" s="5" t="s">
        <v>77</v>
      </c>
      <c r="U964" s="7">
        <v>45209</v>
      </c>
      <c r="V964" s="5" t="s">
        <v>78</v>
      </c>
      <c r="W964" s="6">
        <v>540</v>
      </c>
      <c r="X964" s="5" t="s">
        <v>80</v>
      </c>
      <c r="Y964" s="9">
        <v>7</v>
      </c>
      <c r="Z964" s="5" t="s">
        <v>79</v>
      </c>
      <c r="AA964" s="5" t="s">
        <v>110</v>
      </c>
      <c r="AB964" s="9">
        <v>2</v>
      </c>
      <c r="AC964" s="5" t="s">
        <v>82</v>
      </c>
      <c r="AD964" s="5" t="s">
        <v>82</v>
      </c>
      <c r="AE964" s="5" t="s">
        <v>80</v>
      </c>
      <c r="AF964" s="10">
        <v>18000</v>
      </c>
      <c r="AG964" s="7">
        <v>48121</v>
      </c>
      <c r="AH964" s="10"/>
      <c r="AI964" s="10"/>
      <c r="AJ964" s="11" t="str">
        <f t="shared" si="14"/>
        <v/>
      </c>
      <c r="AK964" s="12">
        <f>IF(B964="","",OR(K964="Not in use",K964="Low use")+AND(N964&lt;&gt;"",N964&lt;&gt;"TBD")+AND(ISNUMBER(U964),U964&lt;=EDATE('Scoring Settings'!$B$4,'Scoring Settings'!$B$8))+AND(ISNUMBER(L964),L964&lt;='Scoring Settings'!$B$7))</f>
        <v>0</v>
      </c>
      <c r="AL964" s="5" t="s">
        <v>83</v>
      </c>
      <c r="AM964" s="8" t="str">
        <f>IF(B964="","",IF(Z964="N","Easy",IF(OR(AND(ISNUMBER(AB964),AB964&gt;'Scoring Settings'!$B$11),AND(ISNUMBER(W964),W964&gt;'Scoring Settings'!$B$12),AND(ISNUMBER(M964),M964&lt;='Scoring Settings'!$B$13)),"High","Medium")))</f>
        <v>Easy</v>
      </c>
      <c r="AN964" s="5"/>
      <c r="AO964" s="7"/>
      <c r="AP964" s="5" t="s">
        <v>84</v>
      </c>
      <c r="AQ964" s="29" t="s">
        <v>273</v>
      </c>
    </row>
    <row r="965" spans="1:43" hidden="1">
      <c r="A965" s="28">
        <v>107442</v>
      </c>
      <c r="B965" s="5" t="s">
        <v>1989</v>
      </c>
      <c r="C965" s="5" t="s">
        <v>395</v>
      </c>
      <c r="D965" s="5" t="s">
        <v>88</v>
      </c>
      <c r="E965" s="5" t="s">
        <v>68</v>
      </c>
      <c r="F965" s="5" t="s">
        <v>152</v>
      </c>
      <c r="G965" s="5" t="s">
        <v>153</v>
      </c>
      <c r="H965" s="5" t="s">
        <v>129</v>
      </c>
      <c r="I965" s="6">
        <v>158</v>
      </c>
      <c r="J965" s="7">
        <v>44298</v>
      </c>
      <c r="K965" s="8" t="str">
        <f>IF(B965="","",IF(AND(I965="",J965=""),"Unknown",IF(OR(AND(ISNUMBER(I965),I965=0),AND(ISNUMBER(J965),J965&lt;=EDATE('Scoring Settings'!$B$4,-'Scoring Settings'!$B$5))),"Not in use",IF(AND(ISNUMBER(I965),I965&lt;'Scoring Settings'!$B$6),"Low use","Active"))))</f>
        <v>Active</v>
      </c>
      <c r="L965" s="5">
        <v>3</v>
      </c>
      <c r="M965" s="5">
        <v>3</v>
      </c>
      <c r="N965" s="5" t="s">
        <v>72</v>
      </c>
      <c r="O965" s="5" t="s">
        <v>73</v>
      </c>
      <c r="P965" s="5" t="s">
        <v>1990</v>
      </c>
      <c r="Q965" s="9">
        <v>4</v>
      </c>
      <c r="R965" s="5" t="s">
        <v>182</v>
      </c>
      <c r="S965" s="5" t="s">
        <v>183</v>
      </c>
      <c r="T965" s="5" t="s">
        <v>77</v>
      </c>
      <c r="U965" s="7">
        <v>42855</v>
      </c>
      <c r="V965" s="5" t="s">
        <v>135</v>
      </c>
      <c r="W965" s="6">
        <v>3910</v>
      </c>
      <c r="X965" s="5" t="s">
        <v>80</v>
      </c>
      <c r="Y965" s="9">
        <v>10</v>
      </c>
      <c r="Z965" s="5" t="s">
        <v>79</v>
      </c>
      <c r="AA965" s="5" t="s">
        <v>110</v>
      </c>
      <c r="AB965" s="9">
        <v>5</v>
      </c>
      <c r="AC965" s="5" t="s">
        <v>82</v>
      </c>
      <c r="AD965" s="5" t="s">
        <v>82</v>
      </c>
      <c r="AE965" s="5" t="s">
        <v>79</v>
      </c>
      <c r="AF965" s="10">
        <v>26500</v>
      </c>
      <c r="AG965" s="7">
        <v>47330</v>
      </c>
      <c r="AH965" s="10"/>
      <c r="AI965" s="10"/>
      <c r="AJ965" s="11" t="str">
        <f t="shared" ref="AJ965:AJ1028" si="15">IF(AND(ISNUMBER(AH965),ISNUMBER(AI965),N(AI965)&gt;0),AH965/AI965*12,"")</f>
        <v/>
      </c>
      <c r="AK965" s="12">
        <f>IF(B965="","",OR(K965="Not in use",K965="Low use")+AND(N965&lt;&gt;"",N965&lt;&gt;"TBD")+AND(ISNUMBER(U965),U965&lt;=EDATE('Scoring Settings'!$B$4,'Scoring Settings'!$B$8))+AND(ISNUMBER(L965),L965&lt;='Scoring Settings'!$B$7))</f>
        <v>1</v>
      </c>
      <c r="AL965" s="5" t="s">
        <v>111</v>
      </c>
      <c r="AM965" s="8" t="str">
        <f>IF(B965="","",IF(Z965="N","Easy",IF(OR(AND(ISNUMBER(AB965),AB965&gt;'Scoring Settings'!$B$11),AND(ISNUMBER(W965),W965&gt;'Scoring Settings'!$B$12),AND(ISNUMBER(M965),M965&lt;='Scoring Settings'!$B$13)),"High","Medium")))</f>
        <v>Easy</v>
      </c>
      <c r="AN965" s="5"/>
      <c r="AO965" s="7"/>
      <c r="AP965" s="5" t="s">
        <v>98</v>
      </c>
      <c r="AQ965" s="29" t="s">
        <v>159</v>
      </c>
    </row>
    <row r="966" spans="1:43" hidden="1">
      <c r="A966" s="28">
        <v>121474</v>
      </c>
      <c r="B966" s="5" t="s">
        <v>1992</v>
      </c>
      <c r="C966" s="5" t="s">
        <v>423</v>
      </c>
      <c r="D966" s="5" t="s">
        <v>67</v>
      </c>
      <c r="E966" s="5" t="s">
        <v>68</v>
      </c>
      <c r="F966" s="5" t="s">
        <v>178</v>
      </c>
      <c r="G966" s="5" t="s">
        <v>237</v>
      </c>
      <c r="H966" s="5" t="s">
        <v>71</v>
      </c>
      <c r="I966" s="6">
        <v>0</v>
      </c>
      <c r="J966" s="7">
        <v>43630</v>
      </c>
      <c r="K966" s="8" t="str">
        <f>IF(B966="","",IF(AND(I966="",J966=""),"Unknown",IF(OR(AND(ISNUMBER(I966),I966=0),AND(ISNUMBER(J966),J966&lt;=EDATE('Scoring Settings'!$B$4,-'Scoring Settings'!$B$5))),"Not in use",IF(AND(ISNUMBER(I966),I966&lt;'Scoring Settings'!$B$6),"Low use","Active"))))</f>
        <v>Not in use</v>
      </c>
      <c r="L966" s="5">
        <v>4</v>
      </c>
      <c r="M966" s="5">
        <v>2</v>
      </c>
      <c r="N966" s="5"/>
      <c r="O966" s="5" t="s">
        <v>191</v>
      </c>
      <c r="P966" s="5" t="s">
        <v>192</v>
      </c>
      <c r="Q966" s="9">
        <v>0</v>
      </c>
      <c r="R966" s="5" t="s">
        <v>193</v>
      </c>
      <c r="S966" s="5" t="s">
        <v>194</v>
      </c>
      <c r="T966" s="5" t="s">
        <v>195</v>
      </c>
      <c r="U966" s="7"/>
      <c r="V966" s="5" t="s">
        <v>135</v>
      </c>
      <c r="W966" s="6">
        <v>8</v>
      </c>
      <c r="X966" s="5" t="s">
        <v>80</v>
      </c>
      <c r="Y966" s="9">
        <v>7</v>
      </c>
      <c r="Z966" s="5" t="s">
        <v>79</v>
      </c>
      <c r="AA966" s="5" t="s">
        <v>110</v>
      </c>
      <c r="AB966" s="9">
        <v>7</v>
      </c>
      <c r="AC966" s="5" t="s">
        <v>80</v>
      </c>
      <c r="AD966" s="5" t="s">
        <v>79</v>
      </c>
      <c r="AE966" s="5" t="s">
        <v>82</v>
      </c>
      <c r="AF966" s="10">
        <v>17500</v>
      </c>
      <c r="AG966" s="7">
        <v>48579</v>
      </c>
      <c r="AH966" s="10"/>
      <c r="AI966" s="10"/>
      <c r="AJ966" s="11" t="str">
        <f t="shared" si="15"/>
        <v/>
      </c>
      <c r="AK966" s="12">
        <f>IF(B966="","",OR(K966="Not in use",K966="Low use")+AND(N966&lt;&gt;"",N966&lt;&gt;"TBD")+AND(ISNUMBER(U966),U966&lt;=EDATE('Scoring Settings'!$B$4,'Scoring Settings'!$B$8))+AND(ISNUMBER(L966),L966&lt;='Scoring Settings'!$B$7))</f>
        <v>1</v>
      </c>
      <c r="AL966" s="5" t="s">
        <v>111</v>
      </c>
      <c r="AM966" s="8" t="str">
        <f>IF(B966="","",IF(Z966="N","Easy",IF(OR(AND(ISNUMBER(AB966),AB966&gt;'Scoring Settings'!$B$11),AND(ISNUMBER(W966),W966&gt;'Scoring Settings'!$B$12),AND(ISNUMBER(M966),M966&lt;='Scoring Settings'!$B$13)),"High","Medium")))</f>
        <v>Easy</v>
      </c>
      <c r="AN966" s="5"/>
      <c r="AO966" s="7"/>
      <c r="AP966" s="5" t="s">
        <v>98</v>
      </c>
      <c r="AQ966" s="29" t="s">
        <v>218</v>
      </c>
    </row>
    <row r="967" spans="1:43" hidden="1">
      <c r="A967" s="28">
        <v>118563</v>
      </c>
      <c r="B967" s="5" t="s">
        <v>1998</v>
      </c>
      <c r="C967" s="5" t="s">
        <v>262</v>
      </c>
      <c r="D967" s="5" t="s">
        <v>67</v>
      </c>
      <c r="E967" s="5" t="s">
        <v>68</v>
      </c>
      <c r="F967" s="5" t="s">
        <v>163</v>
      </c>
      <c r="G967" s="5" t="s">
        <v>271</v>
      </c>
      <c r="H967" s="5" t="s">
        <v>142</v>
      </c>
      <c r="I967" s="6">
        <v>892</v>
      </c>
      <c r="J967" s="7">
        <v>44276</v>
      </c>
      <c r="K967" s="8" t="str">
        <f>IF(B967="","",IF(AND(I967="",J967=""),"Unknown",IF(OR(AND(ISNUMBER(I967),I967=0),AND(ISNUMBER(J967),J967&lt;=EDATE('Scoring Settings'!$B$4,-'Scoring Settings'!$B$5))),"Not in use",IF(AND(ISNUMBER(I967),I967&lt;'Scoring Settings'!$B$6),"Low use","Active"))))</f>
        <v>Active</v>
      </c>
      <c r="L967" s="5">
        <v>5</v>
      </c>
      <c r="M967" s="5">
        <v>1</v>
      </c>
      <c r="N967" s="5"/>
      <c r="O967" s="5" t="s">
        <v>143</v>
      </c>
      <c r="P967" s="5" t="s">
        <v>144</v>
      </c>
      <c r="Q967" s="9">
        <v>0</v>
      </c>
      <c r="R967" s="5" t="s">
        <v>145</v>
      </c>
      <c r="S967" s="5" t="s">
        <v>145</v>
      </c>
      <c r="T967" s="5" t="s">
        <v>146</v>
      </c>
      <c r="U967" s="7"/>
      <c r="V967" s="5" t="s">
        <v>78</v>
      </c>
      <c r="W967" s="6">
        <v>41</v>
      </c>
      <c r="X967" s="5" t="s">
        <v>80</v>
      </c>
      <c r="Y967" s="9">
        <v>7</v>
      </c>
      <c r="Z967" s="5" t="s">
        <v>80</v>
      </c>
      <c r="AA967" s="5" t="s">
        <v>185</v>
      </c>
      <c r="AB967" s="9">
        <v>32</v>
      </c>
      <c r="AC967" s="5" t="s">
        <v>79</v>
      </c>
      <c r="AD967" s="5" t="s">
        <v>82</v>
      </c>
      <c r="AE967" s="5" t="s">
        <v>79</v>
      </c>
      <c r="AF967" s="10">
        <v>165000</v>
      </c>
      <c r="AG967" s="7">
        <v>48121</v>
      </c>
      <c r="AH967" s="10"/>
      <c r="AI967" s="10"/>
      <c r="AJ967" s="11" t="str">
        <f t="shared" si="15"/>
        <v/>
      </c>
      <c r="AK967" s="12">
        <f>IF(B967="","",OR(K967="Not in use",K967="Low use")+AND(N967&lt;&gt;"",N967&lt;&gt;"TBD")+AND(ISNUMBER(U967),U967&lt;=EDATE('Scoring Settings'!$B$4,'Scoring Settings'!$B$8))+AND(ISNUMBER(L967),L967&lt;='Scoring Settings'!$B$7))</f>
        <v>0</v>
      </c>
      <c r="AL967" s="5" t="s">
        <v>83</v>
      </c>
      <c r="AM967" s="8" t="str">
        <f>IF(B967="","",IF(Z967="N","Easy",IF(OR(AND(ISNUMBER(AB967),AB967&gt;'Scoring Settings'!$B$11),AND(ISNUMBER(W967),W967&gt;'Scoring Settings'!$B$12),AND(ISNUMBER(M967),M967&lt;='Scoring Settings'!$B$13)),"High","Medium")))</f>
        <v>High</v>
      </c>
      <c r="AN967" s="5"/>
      <c r="AO967" s="7"/>
      <c r="AP967" s="5" t="s">
        <v>98</v>
      </c>
      <c r="AQ967" s="29" t="s">
        <v>206</v>
      </c>
    </row>
    <row r="968" spans="1:43" hidden="1">
      <c r="A968" s="28">
        <v>189432</v>
      </c>
      <c r="B968" s="5" t="s">
        <v>2009</v>
      </c>
      <c r="C968" s="5" t="s">
        <v>699</v>
      </c>
      <c r="D968" s="5" t="s">
        <v>297</v>
      </c>
      <c r="E968" s="5" t="s">
        <v>311</v>
      </c>
      <c r="F968" s="5" t="s">
        <v>312</v>
      </c>
      <c r="G968" s="5" t="s">
        <v>226</v>
      </c>
      <c r="H968" s="5" t="s">
        <v>189</v>
      </c>
      <c r="I968" s="6">
        <v>75</v>
      </c>
      <c r="J968" s="7">
        <v>44293</v>
      </c>
      <c r="K968" s="8" t="str">
        <f>IF(B968="","",IF(AND(I968="",J968=""),"Unknown",IF(OR(AND(ISNUMBER(I968),I968=0),AND(ISNUMBER(J968),J968&lt;=EDATE('Scoring Settings'!$B$4,-'Scoring Settings'!$B$5))),"Not in use",IF(AND(ISNUMBER(I968),I968&lt;'Scoring Settings'!$B$6),"Low use","Active"))))</f>
        <v>Active</v>
      </c>
      <c r="L968" s="5">
        <v>2</v>
      </c>
      <c r="M968" s="5">
        <v>4</v>
      </c>
      <c r="N968" s="5" t="s">
        <v>617</v>
      </c>
      <c r="O968" s="5" t="s">
        <v>73</v>
      </c>
      <c r="P968" s="5" t="s">
        <v>2010</v>
      </c>
      <c r="Q968" s="9">
        <v>1</v>
      </c>
      <c r="R968" s="5" t="s">
        <v>245</v>
      </c>
      <c r="S968" s="5" t="s">
        <v>246</v>
      </c>
      <c r="T968" s="5" t="s">
        <v>109</v>
      </c>
      <c r="U968" s="7">
        <v>45777</v>
      </c>
      <c r="V968" s="5" t="s">
        <v>78</v>
      </c>
      <c r="W968" s="6">
        <v>38</v>
      </c>
      <c r="X968" s="5" t="s">
        <v>80</v>
      </c>
      <c r="Y968" s="9">
        <v>7</v>
      </c>
      <c r="Z968" s="5" t="s">
        <v>79</v>
      </c>
      <c r="AA968" s="5" t="s">
        <v>110</v>
      </c>
      <c r="AB968" s="9">
        <v>2</v>
      </c>
      <c r="AC968" s="5" t="s">
        <v>80</v>
      </c>
      <c r="AD968" s="5" t="s">
        <v>79</v>
      </c>
      <c r="AE968" s="5" t="s">
        <v>79</v>
      </c>
      <c r="AF968" s="10">
        <v>37000</v>
      </c>
      <c r="AG968" s="7">
        <v>49278</v>
      </c>
      <c r="AH968" s="10">
        <v>44000</v>
      </c>
      <c r="AI968" s="10">
        <v>21500</v>
      </c>
      <c r="AJ968" s="11">
        <f t="shared" si="15"/>
        <v>24.558139534883722</v>
      </c>
      <c r="AK968" s="12">
        <f>IF(B968="","",OR(K968="Not in use",K968="Low use")+AND(N968&lt;&gt;"",N968&lt;&gt;"TBD")+AND(ISNUMBER(U968),U968&lt;=EDATE('Scoring Settings'!$B$4,'Scoring Settings'!$B$8))+AND(ISNUMBER(L968),L968&lt;='Scoring Settings'!$B$7))</f>
        <v>2</v>
      </c>
      <c r="AL968" s="5" t="s">
        <v>111</v>
      </c>
      <c r="AM968" s="8" t="str">
        <f>IF(B968="","",IF(Z968="N","Easy",IF(OR(AND(ISNUMBER(AB968),AB968&gt;'Scoring Settings'!$B$11),AND(ISNUMBER(W968),W968&gt;'Scoring Settings'!$B$12),AND(ISNUMBER(M968),M968&lt;='Scoring Settings'!$B$13)),"High","Medium")))</f>
        <v>Easy</v>
      </c>
      <c r="AN968" s="5"/>
      <c r="AO968" s="7"/>
      <c r="AP968" s="5" t="s">
        <v>98</v>
      </c>
      <c r="AQ968" s="29" t="s">
        <v>124</v>
      </c>
    </row>
    <row r="969" spans="1:43" hidden="1">
      <c r="A969" s="28">
        <v>113741</v>
      </c>
      <c r="B969" s="5" t="s">
        <v>2014</v>
      </c>
      <c r="C969" s="5" t="s">
        <v>639</v>
      </c>
      <c r="D969" s="5" t="s">
        <v>88</v>
      </c>
      <c r="E969" s="5" t="s">
        <v>68</v>
      </c>
      <c r="F969" s="5" t="s">
        <v>249</v>
      </c>
      <c r="G969" s="5" t="s">
        <v>278</v>
      </c>
      <c r="H969" s="5" t="s">
        <v>142</v>
      </c>
      <c r="I969" s="6">
        <v>465</v>
      </c>
      <c r="J969" s="7">
        <v>44282</v>
      </c>
      <c r="K969" s="8" t="str">
        <f>IF(B969="","",IF(AND(I969="",J969=""),"Unknown",IF(OR(AND(ISNUMBER(I969),I969=0),AND(ISNUMBER(J969),J969&lt;=EDATE('Scoring Settings'!$B$4,-'Scoring Settings'!$B$5))),"Not in use",IF(AND(ISNUMBER(I969),I969&lt;'Scoring Settings'!$B$6),"Low use","Active"))))</f>
        <v>Active</v>
      </c>
      <c r="L969" s="5">
        <v>2</v>
      </c>
      <c r="M969" s="5">
        <v>4</v>
      </c>
      <c r="N969" s="5" t="s">
        <v>474</v>
      </c>
      <c r="O969" s="5" t="s">
        <v>143</v>
      </c>
      <c r="P969" s="5" t="s">
        <v>144</v>
      </c>
      <c r="Q969" s="9">
        <v>0</v>
      </c>
      <c r="R969" s="5" t="s">
        <v>145</v>
      </c>
      <c r="S969" s="5" t="s">
        <v>145</v>
      </c>
      <c r="T969" s="5" t="s">
        <v>146</v>
      </c>
      <c r="U969" s="7"/>
      <c r="V969" s="5" t="s">
        <v>78</v>
      </c>
      <c r="W969" s="6">
        <v>74</v>
      </c>
      <c r="X969" s="5" t="s">
        <v>79</v>
      </c>
      <c r="Y969" s="9">
        <v>3</v>
      </c>
      <c r="Z969" s="5" t="s">
        <v>80</v>
      </c>
      <c r="AA969" s="5" t="s">
        <v>205</v>
      </c>
      <c r="AB969" s="9">
        <v>3</v>
      </c>
      <c r="AC969" s="5" t="s">
        <v>80</v>
      </c>
      <c r="AD969" s="5" t="s">
        <v>82</v>
      </c>
      <c r="AE969" s="5" t="s">
        <v>82</v>
      </c>
      <c r="AF969" s="10">
        <v>100000</v>
      </c>
      <c r="AG969" s="7">
        <v>47149</v>
      </c>
      <c r="AH969" s="10"/>
      <c r="AI969" s="10"/>
      <c r="AJ969" s="11" t="str">
        <f t="shared" si="15"/>
        <v/>
      </c>
      <c r="AK969" s="12">
        <f>IF(B969="","",OR(K969="Not in use",K969="Low use")+AND(N969&lt;&gt;"",N969&lt;&gt;"TBD")+AND(ISNUMBER(U969),U969&lt;=EDATE('Scoring Settings'!$B$4,'Scoring Settings'!$B$8))+AND(ISNUMBER(L969),L969&lt;='Scoring Settings'!$B$7))</f>
        <v>2</v>
      </c>
      <c r="AL969" s="5" t="s">
        <v>111</v>
      </c>
      <c r="AM969" s="8" t="str">
        <f>IF(B969="","",IF(Z969="N","Easy",IF(OR(AND(ISNUMBER(AB969),AB969&gt;'Scoring Settings'!$B$11),AND(ISNUMBER(W969),W969&gt;'Scoring Settings'!$B$12),AND(ISNUMBER(M969),M969&lt;='Scoring Settings'!$B$13)),"High","Medium")))</f>
        <v>Medium</v>
      </c>
      <c r="AN969" s="5"/>
      <c r="AO969" s="7"/>
      <c r="AP969" s="5" t="s">
        <v>98</v>
      </c>
      <c r="AQ969" s="29" t="s">
        <v>218</v>
      </c>
    </row>
    <row r="970" spans="1:43" hidden="1">
      <c r="A970" s="28">
        <v>134769</v>
      </c>
      <c r="B970" s="5" t="s">
        <v>2015</v>
      </c>
      <c r="C970" s="5" t="s">
        <v>200</v>
      </c>
      <c r="D970" s="5" t="s">
        <v>115</v>
      </c>
      <c r="E970" s="5" t="s">
        <v>311</v>
      </c>
      <c r="F970" s="5" t="s">
        <v>419</v>
      </c>
      <c r="G970" s="5" t="s">
        <v>210</v>
      </c>
      <c r="H970" s="5" t="s">
        <v>142</v>
      </c>
      <c r="I970" s="6">
        <v>14</v>
      </c>
      <c r="J970" s="7">
        <v>44177</v>
      </c>
      <c r="K970" s="8" t="str">
        <f>IF(B970="","",IF(AND(I970="",J970=""),"Unknown",IF(OR(AND(ISNUMBER(I970),I970=0),AND(ISNUMBER(J970),J970&lt;=EDATE('Scoring Settings'!$B$4,-'Scoring Settings'!$B$5))),"Not in use",IF(AND(ISNUMBER(I970),I970&lt;'Scoring Settings'!$B$6),"Low use","Active"))))</f>
        <v>Low use</v>
      </c>
      <c r="L970" s="5">
        <v>4</v>
      </c>
      <c r="M970" s="5">
        <v>2</v>
      </c>
      <c r="N970" s="5"/>
      <c r="O970" s="5" t="s">
        <v>143</v>
      </c>
      <c r="P970" s="5" t="s">
        <v>144</v>
      </c>
      <c r="Q970" s="9">
        <v>0</v>
      </c>
      <c r="R970" s="5" t="s">
        <v>145</v>
      </c>
      <c r="S970" s="5" t="s">
        <v>145</v>
      </c>
      <c r="T970" s="5" t="s">
        <v>146</v>
      </c>
      <c r="U970" s="7"/>
      <c r="V970" s="5" t="s">
        <v>135</v>
      </c>
      <c r="W970" s="6">
        <v>52</v>
      </c>
      <c r="X970" s="5" t="s">
        <v>80</v>
      </c>
      <c r="Y970" s="9">
        <v>7</v>
      </c>
      <c r="Z970" s="5" t="s">
        <v>80</v>
      </c>
      <c r="AA970" s="5" t="s">
        <v>205</v>
      </c>
      <c r="AB970" s="9">
        <v>23</v>
      </c>
      <c r="AC970" s="5" t="s">
        <v>82</v>
      </c>
      <c r="AD970" s="5" t="s">
        <v>79</v>
      </c>
      <c r="AE970" s="5" t="s">
        <v>80</v>
      </c>
      <c r="AF970" s="10">
        <v>55000</v>
      </c>
      <c r="AG970" s="7">
        <v>49521</v>
      </c>
      <c r="AH970" s="10"/>
      <c r="AI970" s="10"/>
      <c r="AJ970" s="11" t="str">
        <f t="shared" si="15"/>
        <v/>
      </c>
      <c r="AK970" s="12">
        <f>IF(B970="","",OR(K970="Not in use",K970="Low use")+AND(N970&lt;&gt;"",N970&lt;&gt;"TBD")+AND(ISNUMBER(U970),U970&lt;=EDATE('Scoring Settings'!$B$4,'Scoring Settings'!$B$8))+AND(ISNUMBER(L970),L970&lt;='Scoring Settings'!$B$7))</f>
        <v>1</v>
      </c>
      <c r="AL970" s="5" t="s">
        <v>83</v>
      </c>
      <c r="AM970" s="8" t="str">
        <f>IF(B970="","",IF(Z970="N","Easy",IF(OR(AND(ISNUMBER(AB970),AB970&gt;'Scoring Settings'!$B$11),AND(ISNUMBER(W970),W970&gt;'Scoring Settings'!$B$12),AND(ISNUMBER(M970),M970&lt;='Scoring Settings'!$B$13)),"High","Medium")))</f>
        <v>High</v>
      </c>
      <c r="AN970" s="5"/>
      <c r="AO970" s="7"/>
      <c r="AP970" s="5" t="s">
        <v>84</v>
      </c>
      <c r="AQ970" s="29" t="s">
        <v>85</v>
      </c>
    </row>
    <row r="971" spans="1:43" hidden="1">
      <c r="A971" s="28">
        <v>116288</v>
      </c>
      <c r="B971" s="5" t="s">
        <v>2016</v>
      </c>
      <c r="C971" s="5" t="s">
        <v>126</v>
      </c>
      <c r="D971" s="5" t="s">
        <v>88</v>
      </c>
      <c r="E971" s="5" t="s">
        <v>298</v>
      </c>
      <c r="F971" s="5" t="s">
        <v>243</v>
      </c>
      <c r="G971" s="5" t="s">
        <v>153</v>
      </c>
      <c r="H971" s="5" t="s">
        <v>174</v>
      </c>
      <c r="I971" s="6">
        <v>7</v>
      </c>
      <c r="J971" s="7">
        <v>44187</v>
      </c>
      <c r="K971" s="8" t="str">
        <f>IF(B971="","",IF(AND(I971="",J971=""),"Unknown",IF(OR(AND(ISNUMBER(I971),I971=0),AND(ISNUMBER(J971),J971&lt;=EDATE('Scoring Settings'!$B$4,-'Scoring Settings'!$B$5))),"Not in use",IF(AND(ISNUMBER(I971),I971&lt;'Scoring Settings'!$B$6),"Low use","Active"))))</f>
        <v>Low use</v>
      </c>
      <c r="L971" s="5">
        <v>5</v>
      </c>
      <c r="M971" s="5">
        <v>1</v>
      </c>
      <c r="N971" s="5" t="s">
        <v>72</v>
      </c>
      <c r="O971" s="5" t="s">
        <v>191</v>
      </c>
      <c r="P971" s="5" t="s">
        <v>192</v>
      </c>
      <c r="Q971" s="9">
        <v>0</v>
      </c>
      <c r="R971" s="5" t="s">
        <v>193</v>
      </c>
      <c r="S971" s="5" t="s">
        <v>318</v>
      </c>
      <c r="T971" s="5" t="s">
        <v>195</v>
      </c>
      <c r="U971" s="7">
        <v>44742</v>
      </c>
      <c r="V971" s="5" t="s">
        <v>78</v>
      </c>
      <c r="W971" s="6">
        <v>100</v>
      </c>
      <c r="X971" s="5" t="s">
        <v>79</v>
      </c>
      <c r="Y971" s="9">
        <v>3</v>
      </c>
      <c r="Z971" s="5" t="s">
        <v>79</v>
      </c>
      <c r="AA971" s="5" t="s">
        <v>110</v>
      </c>
      <c r="AB971" s="9">
        <v>66</v>
      </c>
      <c r="AC971" s="5" t="s">
        <v>79</v>
      </c>
      <c r="AD971" s="5" t="s">
        <v>79</v>
      </c>
      <c r="AE971" s="5" t="s">
        <v>80</v>
      </c>
      <c r="AF971" s="10">
        <v>21500</v>
      </c>
      <c r="AG971" s="7">
        <v>46356</v>
      </c>
      <c r="AH971" s="10"/>
      <c r="AI971" s="10"/>
      <c r="AJ971" s="11" t="str">
        <f t="shared" si="15"/>
        <v/>
      </c>
      <c r="AK971" s="12">
        <f>IF(B971="","",OR(K971="Not in use",K971="Low use")+AND(N971&lt;&gt;"",N971&lt;&gt;"TBD")+AND(ISNUMBER(U971),U971&lt;=EDATE('Scoring Settings'!$B$4,'Scoring Settings'!$B$8))+AND(ISNUMBER(L971),L971&lt;='Scoring Settings'!$B$7))</f>
        <v>1</v>
      </c>
      <c r="AL971" s="5" t="s">
        <v>83</v>
      </c>
      <c r="AM971" s="8" t="str">
        <f>IF(B971="","",IF(Z971="N","Easy",IF(OR(AND(ISNUMBER(AB971),AB971&gt;'Scoring Settings'!$B$11),AND(ISNUMBER(W971),W971&gt;'Scoring Settings'!$B$12),AND(ISNUMBER(M971),M971&lt;='Scoring Settings'!$B$13)),"High","Medium")))</f>
        <v>Easy</v>
      </c>
      <c r="AN971" s="5"/>
      <c r="AO971" s="7"/>
      <c r="AP971" s="5" t="s">
        <v>84</v>
      </c>
      <c r="AQ971" s="29" t="s">
        <v>273</v>
      </c>
    </row>
    <row r="972" spans="1:43" hidden="1">
      <c r="A972" s="28">
        <v>59582</v>
      </c>
      <c r="B972" s="5" t="s">
        <v>2017</v>
      </c>
      <c r="C972" s="5" t="s">
        <v>87</v>
      </c>
      <c r="D972" s="5" t="s">
        <v>88</v>
      </c>
      <c r="E972" s="5" t="s">
        <v>68</v>
      </c>
      <c r="F972" s="5" t="s">
        <v>116</v>
      </c>
      <c r="G972" s="5" t="s">
        <v>104</v>
      </c>
      <c r="H972" s="5" t="s">
        <v>105</v>
      </c>
      <c r="I972" s="6">
        <v>25</v>
      </c>
      <c r="J972" s="7">
        <v>44310</v>
      </c>
      <c r="K972" s="8" t="str">
        <f>IF(B972="","",IF(AND(I972="",J972=""),"Unknown",IF(OR(AND(ISNUMBER(I972),I972=0),AND(ISNUMBER(J972),J972&lt;=EDATE('Scoring Settings'!$B$4,-'Scoring Settings'!$B$5))),"Not in use",IF(AND(ISNUMBER(I972),I972&lt;'Scoring Settings'!$B$6),"Low use","Active"))))</f>
        <v>Active</v>
      </c>
      <c r="L972" s="5">
        <v>1</v>
      </c>
      <c r="M972" s="5">
        <v>4</v>
      </c>
      <c r="N972" s="5" t="s">
        <v>474</v>
      </c>
      <c r="O972" s="5" t="s">
        <v>73</v>
      </c>
      <c r="P972" s="5" t="s">
        <v>2018</v>
      </c>
      <c r="Q972" s="9">
        <v>2</v>
      </c>
      <c r="R972" s="5" t="s">
        <v>93</v>
      </c>
      <c r="S972" s="5" t="s">
        <v>94</v>
      </c>
      <c r="T972" s="5" t="s">
        <v>184</v>
      </c>
      <c r="U972" s="7" t="s">
        <v>72</v>
      </c>
      <c r="V972" s="5" t="s">
        <v>135</v>
      </c>
      <c r="W972" s="6">
        <v>1200</v>
      </c>
      <c r="X972" s="5" t="s">
        <v>79</v>
      </c>
      <c r="Y972" s="9">
        <v>1</v>
      </c>
      <c r="Z972" s="5" t="s">
        <v>80</v>
      </c>
      <c r="AA972" s="5" t="s">
        <v>185</v>
      </c>
      <c r="AB972" s="9">
        <v>1</v>
      </c>
      <c r="AC972" s="5" t="s">
        <v>79</v>
      </c>
      <c r="AD972" s="5" t="s">
        <v>82</v>
      </c>
      <c r="AE972" s="5" t="s">
        <v>82</v>
      </c>
      <c r="AF972" s="10">
        <v>46000</v>
      </c>
      <c r="AG972" s="7">
        <v>46568</v>
      </c>
      <c r="AH972" s="10"/>
      <c r="AI972" s="10"/>
      <c r="AJ972" s="11" t="str">
        <f t="shared" si="15"/>
        <v/>
      </c>
      <c r="AK972" s="12">
        <f>IF(B972="","",OR(K972="Not in use",K972="Low use")+AND(N972&lt;&gt;"",N972&lt;&gt;"TBD")+AND(ISNUMBER(U972),U972&lt;=EDATE('Scoring Settings'!$B$4,'Scoring Settings'!$B$8))+AND(ISNUMBER(L972),L972&lt;='Scoring Settings'!$B$7))</f>
        <v>2</v>
      </c>
      <c r="AL972" s="5" t="s">
        <v>111</v>
      </c>
      <c r="AM972" s="8" t="str">
        <f>IF(B972="","",IF(Z972="N","Easy",IF(OR(AND(ISNUMBER(AB972),AB972&gt;'Scoring Settings'!$B$11),AND(ISNUMBER(W972),W972&gt;'Scoring Settings'!$B$12),AND(ISNUMBER(M972),M972&lt;='Scoring Settings'!$B$13)),"High","Medium")))</f>
        <v>High</v>
      </c>
      <c r="AN972" s="5"/>
      <c r="AO972" s="7"/>
      <c r="AP972" s="5" t="s">
        <v>98</v>
      </c>
      <c r="AQ972" s="29" t="s">
        <v>218</v>
      </c>
    </row>
    <row r="973" spans="1:43" hidden="1">
      <c r="A973" s="28">
        <v>94990</v>
      </c>
      <c r="B973" s="5" t="s">
        <v>2019</v>
      </c>
      <c r="C973" s="5" t="s">
        <v>467</v>
      </c>
      <c r="D973" s="5" t="s">
        <v>297</v>
      </c>
      <c r="E973" s="5" t="s">
        <v>68</v>
      </c>
      <c r="F973" s="5" t="s">
        <v>236</v>
      </c>
      <c r="G973" s="5" t="s">
        <v>271</v>
      </c>
      <c r="H973" s="5" t="s">
        <v>174</v>
      </c>
      <c r="I973" s="6">
        <v>98</v>
      </c>
      <c r="J973" s="7">
        <v>44309</v>
      </c>
      <c r="K973" s="8" t="str">
        <f>IF(B973="","",IF(AND(I973="",J973=""),"Unknown",IF(OR(AND(ISNUMBER(I973),I973=0),AND(ISNUMBER(J973),J973&lt;=EDATE('Scoring Settings'!$B$4,-'Scoring Settings'!$B$5))),"Not in use",IF(AND(ISNUMBER(I973),I973&lt;'Scoring Settings'!$B$6),"Low use","Active"))))</f>
        <v>Active</v>
      </c>
      <c r="L973" s="5">
        <v>3</v>
      </c>
      <c r="M973" s="5">
        <v>2</v>
      </c>
      <c r="N973" s="5"/>
      <c r="O973" s="5" t="s">
        <v>130</v>
      </c>
      <c r="P973" s="5" t="s">
        <v>2020</v>
      </c>
      <c r="Q973" s="9">
        <v>2</v>
      </c>
      <c r="R973" s="5" t="s">
        <v>478</v>
      </c>
      <c r="S973" s="5" t="s">
        <v>479</v>
      </c>
      <c r="T973" s="5" t="s">
        <v>168</v>
      </c>
      <c r="U973" s="7">
        <v>43844</v>
      </c>
      <c r="V973" s="5" t="s">
        <v>95</v>
      </c>
      <c r="W973" s="6">
        <v>660</v>
      </c>
      <c r="X973" s="5" t="s">
        <v>80</v>
      </c>
      <c r="Y973" s="9">
        <v>7</v>
      </c>
      <c r="Z973" s="5" t="s">
        <v>80</v>
      </c>
      <c r="AA973" s="5" t="s">
        <v>81</v>
      </c>
      <c r="AB973" s="9">
        <v>9</v>
      </c>
      <c r="AC973" s="5" t="s">
        <v>82</v>
      </c>
      <c r="AD973" s="5" t="s">
        <v>82</v>
      </c>
      <c r="AE973" s="5" t="s">
        <v>79</v>
      </c>
      <c r="AF973" s="10">
        <v>34500</v>
      </c>
      <c r="AG973" s="7">
        <v>49248</v>
      </c>
      <c r="AH973" s="10">
        <v>53500</v>
      </c>
      <c r="AI973" s="10">
        <v>33000</v>
      </c>
      <c r="AJ973" s="11">
        <f t="shared" si="15"/>
        <v>19.454545454545453</v>
      </c>
      <c r="AK973" s="12">
        <f>IF(B973="","",OR(K973="Not in use",K973="Low use")+AND(N973&lt;&gt;"",N973&lt;&gt;"TBD")+AND(ISNUMBER(U973),U973&lt;=EDATE('Scoring Settings'!$B$4,'Scoring Settings'!$B$8))+AND(ISNUMBER(L973),L973&lt;='Scoring Settings'!$B$7))</f>
        <v>1</v>
      </c>
      <c r="AL973" s="5" t="s">
        <v>111</v>
      </c>
      <c r="AM973" s="8" t="str">
        <f>IF(B973="","",IF(Z973="N","Easy",IF(OR(AND(ISNUMBER(AB973),AB973&gt;'Scoring Settings'!$B$11),AND(ISNUMBER(W973),W973&gt;'Scoring Settings'!$B$12),AND(ISNUMBER(M973),M973&lt;='Scoring Settings'!$B$13)),"High","Medium")))</f>
        <v>High</v>
      </c>
      <c r="AN973" s="5"/>
      <c r="AO973" s="7"/>
      <c r="AP973" s="5" t="s">
        <v>98</v>
      </c>
      <c r="AQ973" s="29" t="s">
        <v>112</v>
      </c>
    </row>
    <row r="974" spans="1:43" hidden="1">
      <c r="A974" s="28">
        <v>185738</v>
      </c>
      <c r="B974" s="5" t="s">
        <v>2023</v>
      </c>
      <c r="C974" s="5" t="s">
        <v>126</v>
      </c>
      <c r="D974" s="5" t="s">
        <v>88</v>
      </c>
      <c r="E974" s="5" t="s">
        <v>68</v>
      </c>
      <c r="F974" s="5" t="s">
        <v>178</v>
      </c>
      <c r="G974" s="5" t="s">
        <v>284</v>
      </c>
      <c r="H974" s="5" t="s">
        <v>91</v>
      </c>
      <c r="I974" s="6">
        <v>86</v>
      </c>
      <c r="J974" s="7">
        <v>44292</v>
      </c>
      <c r="K974" s="8" t="str">
        <f>IF(B974="","",IF(AND(I974="",J974=""),"Unknown",IF(OR(AND(ISNUMBER(I974),I974=0),AND(ISNUMBER(J974),J974&lt;=EDATE('Scoring Settings'!$B$4,-'Scoring Settings'!$B$5))),"Not in use",IF(AND(ISNUMBER(I974),I974&lt;'Scoring Settings'!$B$6),"Low use","Active"))))</f>
        <v>Active</v>
      </c>
      <c r="L974" s="5">
        <v>4</v>
      </c>
      <c r="M974" s="5">
        <v>1</v>
      </c>
      <c r="N974" s="5"/>
      <c r="O974" s="5" t="s">
        <v>73</v>
      </c>
      <c r="P974" s="5" t="s">
        <v>2024</v>
      </c>
      <c r="Q974" s="9">
        <v>5</v>
      </c>
      <c r="R974" s="5" t="s">
        <v>166</v>
      </c>
      <c r="S974" s="5" t="s">
        <v>167</v>
      </c>
      <c r="T974" s="5" t="s">
        <v>184</v>
      </c>
      <c r="U974" s="7" t="s">
        <v>72</v>
      </c>
      <c r="V974" s="5" t="s">
        <v>95</v>
      </c>
      <c r="W974" s="6">
        <v>120</v>
      </c>
      <c r="X974" s="5" t="s">
        <v>80</v>
      </c>
      <c r="Y974" s="9">
        <v>5</v>
      </c>
      <c r="Z974" s="5" t="s">
        <v>79</v>
      </c>
      <c r="AA974" s="5" t="s">
        <v>110</v>
      </c>
      <c r="AB974" s="9">
        <v>39</v>
      </c>
      <c r="AC974" s="5" t="s">
        <v>80</v>
      </c>
      <c r="AD974" s="5" t="s">
        <v>80</v>
      </c>
      <c r="AE974" s="5" t="s">
        <v>82</v>
      </c>
      <c r="AF974" s="10">
        <v>300000</v>
      </c>
      <c r="AG974" s="7">
        <v>48273</v>
      </c>
      <c r="AH974" s="10">
        <v>525000</v>
      </c>
      <c r="AI974" s="10">
        <v>292500</v>
      </c>
      <c r="AJ974" s="11">
        <f t="shared" si="15"/>
        <v>21.53846153846154</v>
      </c>
      <c r="AK974" s="12">
        <f>IF(B974="","",OR(K974="Not in use",K974="Low use")+AND(N974&lt;&gt;"",N974&lt;&gt;"TBD")+AND(ISNUMBER(U974),U974&lt;=EDATE('Scoring Settings'!$B$4,'Scoring Settings'!$B$8))+AND(ISNUMBER(L974),L974&lt;='Scoring Settings'!$B$7))</f>
        <v>0</v>
      </c>
      <c r="AL974" s="5" t="s">
        <v>111</v>
      </c>
      <c r="AM974" s="8" t="str">
        <f>IF(B974="","",IF(Z974="N","Easy",IF(OR(AND(ISNUMBER(AB974),AB974&gt;'Scoring Settings'!$B$11),AND(ISNUMBER(W974),W974&gt;'Scoring Settings'!$B$12),AND(ISNUMBER(M974),M974&lt;='Scoring Settings'!$B$13)),"High","Medium")))</f>
        <v>Easy</v>
      </c>
      <c r="AN974" s="5"/>
      <c r="AO974" s="7"/>
      <c r="AP974" s="5" t="s">
        <v>98</v>
      </c>
      <c r="AQ974" s="29" t="s">
        <v>124</v>
      </c>
    </row>
    <row r="975" spans="1:43" hidden="1">
      <c r="A975" s="28">
        <v>95503</v>
      </c>
      <c r="B975" s="5" t="s">
        <v>2025</v>
      </c>
      <c r="C975" s="5" t="s">
        <v>126</v>
      </c>
      <c r="D975" s="5" t="s">
        <v>88</v>
      </c>
      <c r="E975" s="5" t="s">
        <v>68</v>
      </c>
      <c r="F975" s="5" t="s">
        <v>236</v>
      </c>
      <c r="G975" s="5" t="s">
        <v>284</v>
      </c>
      <c r="H975" s="5" t="s">
        <v>142</v>
      </c>
      <c r="I975" s="6">
        <v>12</v>
      </c>
      <c r="J975" s="7">
        <v>44269</v>
      </c>
      <c r="K975" s="8" t="str">
        <f>IF(B975="","",IF(AND(I975="",J975=""),"Unknown",IF(OR(AND(ISNUMBER(I975),I975=0),AND(ISNUMBER(J975),J975&lt;=EDATE('Scoring Settings'!$B$4,-'Scoring Settings'!$B$5))),"Not in use",IF(AND(ISNUMBER(I975),I975&lt;'Scoring Settings'!$B$6),"Low use","Active"))))</f>
        <v>Low use</v>
      </c>
      <c r="L975" s="5">
        <v>3</v>
      </c>
      <c r="M975" s="5">
        <v>3</v>
      </c>
      <c r="N975" s="5" t="s">
        <v>1592</v>
      </c>
      <c r="O975" s="5" t="s">
        <v>143</v>
      </c>
      <c r="P975" s="5" t="s">
        <v>144</v>
      </c>
      <c r="Q975" s="9">
        <v>0</v>
      </c>
      <c r="R975" s="5" t="s">
        <v>145</v>
      </c>
      <c r="S975" s="5" t="s">
        <v>145</v>
      </c>
      <c r="T975" s="5" t="s">
        <v>146</v>
      </c>
      <c r="U975" s="7"/>
      <c r="V975" s="5" t="s">
        <v>135</v>
      </c>
      <c r="W975" s="6">
        <v>310</v>
      </c>
      <c r="X975" s="5" t="s">
        <v>80</v>
      </c>
      <c r="Y975" s="9">
        <v>7</v>
      </c>
      <c r="Z975" s="5" t="s">
        <v>79</v>
      </c>
      <c r="AA975" s="5" t="s">
        <v>110</v>
      </c>
      <c r="AB975" s="9">
        <v>2</v>
      </c>
      <c r="AC975" s="5" t="s">
        <v>80</v>
      </c>
      <c r="AD975" s="5" t="s">
        <v>82</v>
      </c>
      <c r="AE975" s="5" t="s">
        <v>80</v>
      </c>
      <c r="AF975" s="10">
        <v>90000</v>
      </c>
      <c r="AG975" s="7">
        <v>46934</v>
      </c>
      <c r="AH975" s="10"/>
      <c r="AI975" s="10"/>
      <c r="AJ975" s="11" t="str">
        <f t="shared" si="15"/>
        <v/>
      </c>
      <c r="AK975" s="12">
        <f>IF(B975="","",OR(K975="Not in use",K975="Low use")+AND(N975&lt;&gt;"",N975&lt;&gt;"TBD")+AND(ISNUMBER(U975),U975&lt;=EDATE('Scoring Settings'!$B$4,'Scoring Settings'!$B$8))+AND(ISNUMBER(L975),L975&lt;='Scoring Settings'!$B$7))</f>
        <v>2</v>
      </c>
      <c r="AL975" s="5" t="s">
        <v>111</v>
      </c>
      <c r="AM975" s="8" t="str">
        <f>IF(B975="","",IF(Z975="N","Easy",IF(OR(AND(ISNUMBER(AB975),AB975&gt;'Scoring Settings'!$B$11),AND(ISNUMBER(W975),W975&gt;'Scoring Settings'!$B$12),AND(ISNUMBER(M975),M975&lt;='Scoring Settings'!$B$13)),"High","Medium")))</f>
        <v>Easy</v>
      </c>
      <c r="AN975" s="5"/>
      <c r="AO975" s="7"/>
      <c r="AP975" s="5" t="s">
        <v>98</v>
      </c>
      <c r="AQ975" s="29" t="s">
        <v>159</v>
      </c>
    </row>
    <row r="976" spans="1:43" hidden="1">
      <c r="A976" s="28">
        <v>171965</v>
      </c>
      <c r="B976" s="5" t="s">
        <v>2030</v>
      </c>
      <c r="C976" s="5" t="s">
        <v>87</v>
      </c>
      <c r="D976" s="5" t="s">
        <v>88</v>
      </c>
      <c r="E976" s="5" t="s">
        <v>68</v>
      </c>
      <c r="F976" s="5" t="s">
        <v>326</v>
      </c>
      <c r="G976" s="5" t="s">
        <v>284</v>
      </c>
      <c r="H976" s="5" t="s">
        <v>129</v>
      </c>
      <c r="I976" s="6">
        <v>522</v>
      </c>
      <c r="J976" s="7">
        <v>44287</v>
      </c>
      <c r="K976" s="8" t="str">
        <f>IF(B976="","",IF(AND(I976="",J976=""),"Unknown",IF(OR(AND(ISNUMBER(I976),I976=0),AND(ISNUMBER(J976),J976&lt;=EDATE('Scoring Settings'!$B$4,-'Scoring Settings'!$B$5))),"Not in use",IF(AND(ISNUMBER(I976),I976&lt;'Scoring Settings'!$B$6),"Low use","Active"))))</f>
        <v>Active</v>
      </c>
      <c r="L976" s="5">
        <v>5</v>
      </c>
      <c r="M976" s="5">
        <v>1</v>
      </c>
      <c r="N976" s="5"/>
      <c r="O976" s="5" t="s">
        <v>73</v>
      </c>
      <c r="P976" s="5" t="s">
        <v>2031</v>
      </c>
      <c r="Q976" s="9">
        <v>2</v>
      </c>
      <c r="R976" s="5" t="s">
        <v>132</v>
      </c>
      <c r="S976" s="5" t="s">
        <v>133</v>
      </c>
      <c r="T976" s="5" t="s">
        <v>77</v>
      </c>
      <c r="U976" s="7">
        <v>44227</v>
      </c>
      <c r="V976" s="5" t="s">
        <v>135</v>
      </c>
      <c r="W976" s="6">
        <v>20</v>
      </c>
      <c r="X976" s="5" t="s">
        <v>79</v>
      </c>
      <c r="Y976" s="9">
        <v>7</v>
      </c>
      <c r="Z976" s="5" t="s">
        <v>80</v>
      </c>
      <c r="AA976" s="5" t="s">
        <v>205</v>
      </c>
      <c r="AB976" s="9">
        <v>67</v>
      </c>
      <c r="AC976" s="5" t="s">
        <v>80</v>
      </c>
      <c r="AD976" s="5" t="s">
        <v>79</v>
      </c>
      <c r="AE976" s="5" t="s">
        <v>82</v>
      </c>
      <c r="AF976" s="10">
        <v>100000</v>
      </c>
      <c r="AG976" s="7">
        <v>47542</v>
      </c>
      <c r="AH976" s="10"/>
      <c r="AI976" s="10"/>
      <c r="AJ976" s="11" t="str">
        <f t="shared" si="15"/>
        <v/>
      </c>
      <c r="AK976" s="12">
        <f>IF(B976="","",OR(K976="Not in use",K976="Low use")+AND(N976&lt;&gt;"",N976&lt;&gt;"TBD")+AND(ISNUMBER(U976),U976&lt;=EDATE('Scoring Settings'!$B$4,'Scoring Settings'!$B$8))+AND(ISNUMBER(L976),L976&lt;='Scoring Settings'!$B$7))</f>
        <v>1</v>
      </c>
      <c r="AL976" s="5" t="s">
        <v>111</v>
      </c>
      <c r="AM976" s="8" t="str">
        <f>IF(B976="","",IF(Z976="N","Easy",IF(OR(AND(ISNUMBER(AB976),AB976&gt;'Scoring Settings'!$B$11),AND(ISNUMBER(W976),W976&gt;'Scoring Settings'!$B$12),AND(ISNUMBER(M976),M976&lt;='Scoring Settings'!$B$13)),"High","Medium")))</f>
        <v>High</v>
      </c>
      <c r="AN976" s="5"/>
      <c r="AO976" s="7"/>
      <c r="AP976" s="5" t="s">
        <v>98</v>
      </c>
      <c r="AQ976" s="29" t="s">
        <v>218</v>
      </c>
    </row>
    <row r="977" spans="1:43" hidden="1">
      <c r="A977" s="28">
        <v>122950</v>
      </c>
      <c r="B977" s="5" t="s">
        <v>2032</v>
      </c>
      <c r="C977" s="5" t="s">
        <v>453</v>
      </c>
      <c r="D977" s="5" t="s">
        <v>67</v>
      </c>
      <c r="E977" s="5" t="s">
        <v>68</v>
      </c>
      <c r="F977" s="5" t="s">
        <v>152</v>
      </c>
      <c r="G977" s="5" t="s">
        <v>226</v>
      </c>
      <c r="H977" s="5" t="s">
        <v>118</v>
      </c>
      <c r="I977" s="6">
        <v>91</v>
      </c>
      <c r="J977" s="7">
        <v>44311</v>
      </c>
      <c r="K977" s="8" t="str">
        <f>IF(B977="","",IF(AND(I977="",J977=""),"Unknown",IF(OR(AND(ISNUMBER(I977),I977=0),AND(ISNUMBER(J977),J977&lt;=EDATE('Scoring Settings'!$B$4,-'Scoring Settings'!$B$5))),"Not in use",IF(AND(ISNUMBER(I977),I977&lt;'Scoring Settings'!$B$6),"Low use","Active"))))</f>
        <v>Active</v>
      </c>
      <c r="L977" s="5">
        <v>5</v>
      </c>
      <c r="M977" s="5">
        <v>1</v>
      </c>
      <c r="N977" s="5"/>
      <c r="O977" s="5" t="s">
        <v>130</v>
      </c>
      <c r="P977" s="5" t="s">
        <v>2033</v>
      </c>
      <c r="Q977" s="9">
        <v>2</v>
      </c>
      <c r="R977" s="5" t="s">
        <v>132</v>
      </c>
      <c r="S977" s="5" t="s">
        <v>133</v>
      </c>
      <c r="T977" s="5" t="s">
        <v>168</v>
      </c>
      <c r="U977" s="7">
        <v>44227</v>
      </c>
      <c r="V977" s="5" t="s">
        <v>135</v>
      </c>
      <c r="W977" s="6">
        <v>15</v>
      </c>
      <c r="X977" s="5" t="s">
        <v>80</v>
      </c>
      <c r="Y977" s="9">
        <v>10</v>
      </c>
      <c r="Z977" s="5" t="s">
        <v>80</v>
      </c>
      <c r="AA977" s="5" t="s">
        <v>81</v>
      </c>
      <c r="AB977" s="9">
        <v>71</v>
      </c>
      <c r="AC977" s="5" t="s">
        <v>82</v>
      </c>
      <c r="AD977" s="5" t="s">
        <v>79</v>
      </c>
      <c r="AE977" s="5" t="s">
        <v>82</v>
      </c>
      <c r="AF977" s="10">
        <v>39500</v>
      </c>
      <c r="AG977" s="7">
        <v>49156</v>
      </c>
      <c r="AH977" s="10">
        <v>174000</v>
      </c>
      <c r="AI977" s="10">
        <v>29500</v>
      </c>
      <c r="AJ977" s="11">
        <f t="shared" si="15"/>
        <v>70.779661016949149</v>
      </c>
      <c r="AK977" s="12">
        <f>IF(B977="","",OR(K977="Not in use",K977="Low use")+AND(N977&lt;&gt;"",N977&lt;&gt;"TBD")+AND(ISNUMBER(U977),U977&lt;=EDATE('Scoring Settings'!$B$4,'Scoring Settings'!$B$8))+AND(ISNUMBER(L977),L977&lt;='Scoring Settings'!$B$7))</f>
        <v>1</v>
      </c>
      <c r="AL977" s="5" t="s">
        <v>111</v>
      </c>
      <c r="AM977" s="8" t="str">
        <f>IF(B977="","",IF(Z977="N","Easy",IF(OR(AND(ISNUMBER(AB977),AB977&gt;'Scoring Settings'!$B$11),AND(ISNUMBER(W977),W977&gt;'Scoring Settings'!$B$12),AND(ISNUMBER(M977),M977&lt;='Scoring Settings'!$B$13)),"High","Medium")))</f>
        <v>High</v>
      </c>
      <c r="AN977" s="5"/>
      <c r="AO977" s="7"/>
      <c r="AP977" s="5" t="s">
        <v>98</v>
      </c>
      <c r="AQ977" s="29" t="s">
        <v>218</v>
      </c>
    </row>
    <row r="978" spans="1:43" hidden="1">
      <c r="A978" s="28">
        <v>121668</v>
      </c>
      <c r="B978" s="5" t="s">
        <v>2044</v>
      </c>
      <c r="C978" s="5" t="s">
        <v>172</v>
      </c>
      <c r="D978" s="5" t="s">
        <v>162</v>
      </c>
      <c r="E978" s="5" t="s">
        <v>298</v>
      </c>
      <c r="F978" s="5" t="s">
        <v>249</v>
      </c>
      <c r="G978" s="5" t="s">
        <v>237</v>
      </c>
      <c r="H978" s="5" t="s">
        <v>118</v>
      </c>
      <c r="I978" s="6">
        <v>25</v>
      </c>
      <c r="J978" s="7">
        <v>44294</v>
      </c>
      <c r="K978" s="8" t="str">
        <f>IF(B978="","",IF(AND(I978="",J978=""),"Unknown",IF(OR(AND(ISNUMBER(I978),I978=0),AND(ISNUMBER(J978),J978&lt;=EDATE('Scoring Settings'!$B$4,-'Scoring Settings'!$B$5))),"Not in use",IF(AND(ISNUMBER(I978),I978&lt;'Scoring Settings'!$B$6),"Low use","Active"))))</f>
        <v>Active</v>
      </c>
      <c r="L978" s="5">
        <v>5</v>
      </c>
      <c r="M978" s="5">
        <v>2</v>
      </c>
      <c r="N978" s="5"/>
      <c r="O978" s="5" t="s">
        <v>191</v>
      </c>
      <c r="P978" s="5" t="s">
        <v>192</v>
      </c>
      <c r="Q978" s="9">
        <v>0</v>
      </c>
      <c r="R978" s="5" t="s">
        <v>193</v>
      </c>
      <c r="S978" s="5" t="s">
        <v>318</v>
      </c>
      <c r="T978" s="5" t="s">
        <v>195</v>
      </c>
      <c r="U978" s="7">
        <v>44742</v>
      </c>
      <c r="V978" s="5" t="s">
        <v>135</v>
      </c>
      <c r="W978" s="6">
        <v>24</v>
      </c>
      <c r="X978" s="5" t="s">
        <v>79</v>
      </c>
      <c r="Y978" s="9">
        <v>3</v>
      </c>
      <c r="Z978" s="5" t="s">
        <v>79</v>
      </c>
      <c r="AA978" s="5" t="s">
        <v>110</v>
      </c>
      <c r="AB978" s="9">
        <v>26</v>
      </c>
      <c r="AC978" s="5" t="s">
        <v>80</v>
      </c>
      <c r="AD978" s="5" t="s">
        <v>82</v>
      </c>
      <c r="AE978" s="5" t="s">
        <v>80</v>
      </c>
      <c r="AF978" s="10">
        <v>39500</v>
      </c>
      <c r="AG978" s="7">
        <v>47057</v>
      </c>
      <c r="AH978" s="10"/>
      <c r="AI978" s="10"/>
      <c r="AJ978" s="11" t="str">
        <f t="shared" si="15"/>
        <v/>
      </c>
      <c r="AK978" s="12">
        <f>IF(B978="","",OR(K978="Not in use",K978="Low use")+AND(N978&lt;&gt;"",N978&lt;&gt;"TBD")+AND(ISNUMBER(U978),U978&lt;=EDATE('Scoring Settings'!$B$4,'Scoring Settings'!$B$8))+AND(ISNUMBER(L978),L978&lt;='Scoring Settings'!$B$7))</f>
        <v>0</v>
      </c>
      <c r="AL978" s="5" t="s">
        <v>83</v>
      </c>
      <c r="AM978" s="8" t="str">
        <f>IF(B978="","",IF(Z978="N","Easy",IF(OR(AND(ISNUMBER(AB978),AB978&gt;'Scoring Settings'!$B$11),AND(ISNUMBER(W978),W978&gt;'Scoring Settings'!$B$12),AND(ISNUMBER(M978),M978&lt;='Scoring Settings'!$B$13)),"High","Medium")))</f>
        <v>Easy</v>
      </c>
      <c r="AN978" s="5"/>
      <c r="AO978" s="7"/>
      <c r="AP978" s="5" t="s">
        <v>84</v>
      </c>
      <c r="AQ978" s="29" t="s">
        <v>273</v>
      </c>
    </row>
    <row r="979" spans="1:43" hidden="1">
      <c r="A979" s="28">
        <v>135798</v>
      </c>
      <c r="B979" s="5" t="s">
        <v>2046</v>
      </c>
      <c r="C979" s="5" t="s">
        <v>699</v>
      </c>
      <c r="D979" s="5" t="s">
        <v>297</v>
      </c>
      <c r="E979" s="5" t="s">
        <v>68</v>
      </c>
      <c r="F979" s="5" t="s">
        <v>163</v>
      </c>
      <c r="G979" s="5" t="s">
        <v>271</v>
      </c>
      <c r="H979" s="5" t="s">
        <v>142</v>
      </c>
      <c r="I979" s="6">
        <v>85</v>
      </c>
      <c r="J979" s="7">
        <v>44298</v>
      </c>
      <c r="K979" s="8" t="str">
        <f>IF(B979="","",IF(AND(I979="",J979=""),"Unknown",IF(OR(AND(ISNUMBER(I979),I979=0),AND(ISNUMBER(J979),J979&lt;=EDATE('Scoring Settings'!$B$4,-'Scoring Settings'!$B$5))),"Not in use",IF(AND(ISNUMBER(I979),I979&lt;'Scoring Settings'!$B$6),"Low use","Active"))))</f>
        <v>Active</v>
      </c>
      <c r="L979" s="5">
        <v>3</v>
      </c>
      <c r="M979" s="5">
        <v>3</v>
      </c>
      <c r="N979" s="5" t="s">
        <v>306</v>
      </c>
      <c r="O979" s="5" t="s">
        <v>143</v>
      </c>
      <c r="P979" s="5" t="s">
        <v>144</v>
      </c>
      <c r="Q979" s="9">
        <v>0</v>
      </c>
      <c r="R979" s="5" t="s">
        <v>145</v>
      </c>
      <c r="S979" s="5" t="s">
        <v>145</v>
      </c>
      <c r="T979" s="5" t="s">
        <v>146</v>
      </c>
      <c r="U979" s="7"/>
      <c r="V979" s="5" t="s">
        <v>78</v>
      </c>
      <c r="W979" s="6">
        <v>200</v>
      </c>
      <c r="X979" s="5" t="s">
        <v>79</v>
      </c>
      <c r="Y979" s="9">
        <v>3</v>
      </c>
      <c r="Z979" s="5" t="s">
        <v>80</v>
      </c>
      <c r="AA979" s="5" t="s">
        <v>185</v>
      </c>
      <c r="AB979" s="9">
        <v>5</v>
      </c>
      <c r="AC979" s="5" t="s">
        <v>82</v>
      </c>
      <c r="AD979" s="5" t="s">
        <v>80</v>
      </c>
      <c r="AE979" s="5" t="s">
        <v>82</v>
      </c>
      <c r="AF979" s="10">
        <v>75000</v>
      </c>
      <c r="AG979" s="7">
        <v>45716</v>
      </c>
      <c r="AH979" s="10"/>
      <c r="AI979" s="10"/>
      <c r="AJ979" s="11" t="str">
        <f t="shared" si="15"/>
        <v/>
      </c>
      <c r="AK979" s="12">
        <f>IF(B979="","",OR(K979="Not in use",K979="Low use")+AND(N979&lt;&gt;"",N979&lt;&gt;"TBD")+AND(ISNUMBER(U979),U979&lt;=EDATE('Scoring Settings'!$B$4,'Scoring Settings'!$B$8))+AND(ISNUMBER(L979),L979&lt;='Scoring Settings'!$B$7))</f>
        <v>1</v>
      </c>
      <c r="AL979" s="5" t="s">
        <v>111</v>
      </c>
      <c r="AM979" s="8" t="str">
        <f>IF(B979="","",IF(Z979="N","Easy",IF(OR(AND(ISNUMBER(AB979),AB979&gt;'Scoring Settings'!$B$11),AND(ISNUMBER(W979),W979&gt;'Scoring Settings'!$B$12),AND(ISNUMBER(M979),M979&lt;='Scoring Settings'!$B$13)),"High","Medium")))</f>
        <v>Medium</v>
      </c>
      <c r="AN979" s="5"/>
      <c r="AO979" s="7"/>
      <c r="AP979" s="5" t="s">
        <v>98</v>
      </c>
      <c r="AQ979" s="29" t="s">
        <v>159</v>
      </c>
    </row>
    <row r="980" spans="1:43" hidden="1">
      <c r="A980" s="28">
        <v>179159</v>
      </c>
      <c r="B980" s="5" t="s">
        <v>2050</v>
      </c>
      <c r="C980" s="5" t="s">
        <v>259</v>
      </c>
      <c r="D980" s="5" t="s">
        <v>67</v>
      </c>
      <c r="E980" s="5" t="s">
        <v>68</v>
      </c>
      <c r="F980" s="5" t="s">
        <v>266</v>
      </c>
      <c r="G980" s="5" t="s">
        <v>271</v>
      </c>
      <c r="H980" s="5" t="s">
        <v>142</v>
      </c>
      <c r="I980" s="6">
        <v>95</v>
      </c>
      <c r="J980" s="7">
        <v>44306</v>
      </c>
      <c r="K980" s="8" t="str">
        <f>IF(B980="","",IF(AND(I980="",J980=""),"Unknown",IF(OR(AND(ISNUMBER(I980),I980=0),AND(ISNUMBER(J980),J980&lt;=EDATE('Scoring Settings'!$B$4,-'Scoring Settings'!$B$5))),"Not in use",IF(AND(ISNUMBER(I980),I980&lt;'Scoring Settings'!$B$6),"Low use","Active"))))</f>
        <v>Active</v>
      </c>
      <c r="L980" s="5">
        <v>3</v>
      </c>
      <c r="M980" s="5">
        <v>3</v>
      </c>
      <c r="N980" s="5" t="s">
        <v>72</v>
      </c>
      <c r="O980" s="5" t="s">
        <v>143</v>
      </c>
      <c r="P980" s="5" t="s">
        <v>144</v>
      </c>
      <c r="Q980" s="9">
        <v>0</v>
      </c>
      <c r="R980" s="5" t="s">
        <v>145</v>
      </c>
      <c r="S980" s="5" t="s">
        <v>145</v>
      </c>
      <c r="T980" s="5" t="s">
        <v>146</v>
      </c>
      <c r="U980" s="7"/>
      <c r="V980" s="5" t="s">
        <v>135</v>
      </c>
      <c r="W980" s="6">
        <v>160</v>
      </c>
      <c r="X980" s="5" t="s">
        <v>79</v>
      </c>
      <c r="Y980" s="9">
        <v>2</v>
      </c>
      <c r="Z980" s="5" t="s">
        <v>80</v>
      </c>
      <c r="AA980" s="5" t="s">
        <v>81</v>
      </c>
      <c r="AB980" s="9">
        <v>2</v>
      </c>
      <c r="AC980" s="5" t="s">
        <v>82</v>
      </c>
      <c r="AD980" s="5" t="s">
        <v>82</v>
      </c>
      <c r="AE980" s="5" t="s">
        <v>82</v>
      </c>
      <c r="AF980" s="10">
        <v>21000</v>
      </c>
      <c r="AG980" s="7">
        <v>47848</v>
      </c>
      <c r="AH980" s="10"/>
      <c r="AI980" s="10"/>
      <c r="AJ980" s="11" t="str">
        <f t="shared" si="15"/>
        <v/>
      </c>
      <c r="AK980" s="12">
        <f>IF(B980="","",OR(K980="Not in use",K980="Low use")+AND(N980&lt;&gt;"",N980&lt;&gt;"TBD")+AND(ISNUMBER(U980),U980&lt;=EDATE('Scoring Settings'!$B$4,'Scoring Settings'!$B$8))+AND(ISNUMBER(L980),L980&lt;='Scoring Settings'!$B$7))</f>
        <v>0</v>
      </c>
      <c r="AL980" s="5" t="s">
        <v>83</v>
      </c>
      <c r="AM980" s="8" t="str">
        <f>IF(B980="","",IF(Z980="N","Easy",IF(OR(AND(ISNUMBER(AB980),AB980&gt;'Scoring Settings'!$B$11),AND(ISNUMBER(W980),W980&gt;'Scoring Settings'!$B$12),AND(ISNUMBER(M980),M980&lt;='Scoring Settings'!$B$13)),"High","Medium")))</f>
        <v>Medium</v>
      </c>
      <c r="AN980" s="5"/>
      <c r="AO980" s="7"/>
      <c r="AP980" s="5" t="s">
        <v>84</v>
      </c>
      <c r="AQ980" s="29" t="s">
        <v>273</v>
      </c>
    </row>
    <row r="981" spans="1:43" hidden="1">
      <c r="A981" s="28">
        <v>57805</v>
      </c>
      <c r="B981" s="5" t="s">
        <v>2052</v>
      </c>
      <c r="C981" s="5" t="s">
        <v>114</v>
      </c>
      <c r="D981" s="5" t="s">
        <v>115</v>
      </c>
      <c r="E981" s="5" t="s">
        <v>298</v>
      </c>
      <c r="F981" s="5" t="s">
        <v>157</v>
      </c>
      <c r="G981" s="5" t="s">
        <v>128</v>
      </c>
      <c r="H981" s="5" t="s">
        <v>91</v>
      </c>
      <c r="I981" s="6">
        <v>833</v>
      </c>
      <c r="J981" s="7">
        <v>44314</v>
      </c>
      <c r="K981" s="8" t="str">
        <f>IF(B981="","",IF(AND(I981="",J981=""),"Unknown",IF(OR(AND(ISNUMBER(I981),I981=0),AND(ISNUMBER(J981),J981&lt;=EDATE('Scoring Settings'!$B$4,-'Scoring Settings'!$B$5))),"Not in use",IF(AND(ISNUMBER(I981),I981&lt;'Scoring Settings'!$B$6),"Low use","Active"))))</f>
        <v>Active</v>
      </c>
      <c r="L981" s="5">
        <v>4</v>
      </c>
      <c r="M981" s="5">
        <v>3</v>
      </c>
      <c r="N981" s="5"/>
      <c r="O981" s="5" t="s">
        <v>73</v>
      </c>
      <c r="P981" s="5" t="s">
        <v>1027</v>
      </c>
      <c r="Q981" s="9">
        <v>4</v>
      </c>
      <c r="R981" s="5" t="s">
        <v>330</v>
      </c>
      <c r="S981" s="5" t="s">
        <v>331</v>
      </c>
      <c r="T981" s="5" t="s">
        <v>184</v>
      </c>
      <c r="U981" s="7">
        <v>45046</v>
      </c>
      <c r="V981" s="5" t="s">
        <v>95</v>
      </c>
      <c r="W981" s="6">
        <v>64</v>
      </c>
      <c r="X981" s="5" t="s">
        <v>79</v>
      </c>
      <c r="Y981" s="9">
        <v>5</v>
      </c>
      <c r="Z981" s="5" t="s">
        <v>79</v>
      </c>
      <c r="AA981" s="5" t="s">
        <v>110</v>
      </c>
      <c r="AB981" s="9">
        <v>6</v>
      </c>
      <c r="AC981" s="5" t="s">
        <v>79</v>
      </c>
      <c r="AD981" s="5" t="s">
        <v>82</v>
      </c>
      <c r="AE981" s="5" t="s">
        <v>82</v>
      </c>
      <c r="AF981" s="10">
        <v>70000</v>
      </c>
      <c r="AG981" s="7">
        <v>47695</v>
      </c>
      <c r="AH981" s="10"/>
      <c r="AI981" s="10"/>
      <c r="AJ981" s="11" t="str">
        <f t="shared" si="15"/>
        <v/>
      </c>
      <c r="AK981" s="12">
        <f>IF(B981="","",OR(K981="Not in use",K981="Low use")+AND(N981&lt;&gt;"",N981&lt;&gt;"TBD")+AND(ISNUMBER(U981),U981&lt;=EDATE('Scoring Settings'!$B$4,'Scoring Settings'!$B$8))+AND(ISNUMBER(L981),L981&lt;='Scoring Settings'!$B$7))</f>
        <v>0</v>
      </c>
      <c r="AL981" s="5" t="s">
        <v>83</v>
      </c>
      <c r="AM981" s="8" t="str">
        <f>IF(B981="","",IF(Z981="N","Easy",IF(OR(AND(ISNUMBER(AB981),AB981&gt;'Scoring Settings'!$B$11),AND(ISNUMBER(W981),W981&gt;'Scoring Settings'!$B$12),AND(ISNUMBER(M981),M981&lt;='Scoring Settings'!$B$13)),"High","Medium")))</f>
        <v>Easy</v>
      </c>
      <c r="AN981" s="5"/>
      <c r="AO981" s="7"/>
      <c r="AP981" s="5" t="s">
        <v>84</v>
      </c>
      <c r="AQ981" s="29" t="s">
        <v>85</v>
      </c>
    </row>
    <row r="982" spans="1:43" hidden="1">
      <c r="A982" s="28">
        <v>169829</v>
      </c>
      <c r="B982" s="5" t="s">
        <v>2054</v>
      </c>
      <c r="C982" s="5" t="s">
        <v>270</v>
      </c>
      <c r="D982" s="5" t="s">
        <v>139</v>
      </c>
      <c r="E982" s="5" t="s">
        <v>298</v>
      </c>
      <c r="F982" s="5" t="s">
        <v>209</v>
      </c>
      <c r="G982" s="5" t="s">
        <v>221</v>
      </c>
      <c r="H982" s="5" t="s">
        <v>105</v>
      </c>
      <c r="I982" s="6">
        <v>387</v>
      </c>
      <c r="J982" s="7">
        <v>44311</v>
      </c>
      <c r="K982" s="8" t="str">
        <f>IF(B982="","",IF(AND(I982="",J982=""),"Unknown",IF(OR(AND(ISNUMBER(I982),I982=0),AND(ISNUMBER(J982),J982&lt;=EDATE('Scoring Settings'!$B$4,-'Scoring Settings'!$B$5))),"Not in use",IF(AND(ISNUMBER(I982),I982&lt;'Scoring Settings'!$B$6),"Low use","Active"))))</f>
        <v>Active</v>
      </c>
      <c r="L982" s="5">
        <v>5</v>
      </c>
      <c r="M982" s="5">
        <v>2</v>
      </c>
      <c r="N982" s="5" t="s">
        <v>401</v>
      </c>
      <c r="O982" s="5" t="s">
        <v>73</v>
      </c>
      <c r="P982" s="5" t="s">
        <v>2055</v>
      </c>
      <c r="Q982" s="9">
        <v>2</v>
      </c>
      <c r="R982" s="5" t="s">
        <v>478</v>
      </c>
      <c r="S982" s="5" t="s">
        <v>479</v>
      </c>
      <c r="T982" s="5" t="s">
        <v>122</v>
      </c>
      <c r="U982" s="7">
        <v>43844</v>
      </c>
      <c r="V982" s="5" t="s">
        <v>135</v>
      </c>
      <c r="W982" s="6">
        <v>140</v>
      </c>
      <c r="X982" s="5" t="s">
        <v>79</v>
      </c>
      <c r="Y982" s="9">
        <v>3</v>
      </c>
      <c r="Z982" s="5" t="s">
        <v>80</v>
      </c>
      <c r="AA982" s="5" t="s">
        <v>81</v>
      </c>
      <c r="AB982" s="9">
        <v>12</v>
      </c>
      <c r="AC982" s="5" t="s">
        <v>79</v>
      </c>
      <c r="AD982" s="5" t="s">
        <v>79</v>
      </c>
      <c r="AE982" s="5" t="s">
        <v>82</v>
      </c>
      <c r="AF982" s="10">
        <v>70000</v>
      </c>
      <c r="AG982" s="7">
        <v>47330</v>
      </c>
      <c r="AH982" s="10"/>
      <c r="AI982" s="10"/>
      <c r="AJ982" s="11" t="str">
        <f t="shared" si="15"/>
        <v/>
      </c>
      <c r="AK982" s="12">
        <f>IF(B982="","",OR(K982="Not in use",K982="Low use")+AND(N982&lt;&gt;"",N982&lt;&gt;"TBD")+AND(ISNUMBER(U982),U982&lt;=EDATE('Scoring Settings'!$B$4,'Scoring Settings'!$B$8))+AND(ISNUMBER(L982),L982&lt;='Scoring Settings'!$B$7))</f>
        <v>2</v>
      </c>
      <c r="AL982" s="5" t="s">
        <v>111</v>
      </c>
      <c r="AM982" s="8" t="str">
        <f>IF(B982="","",IF(Z982="N","Easy",IF(OR(AND(ISNUMBER(AB982),AB982&gt;'Scoring Settings'!$B$11),AND(ISNUMBER(W982),W982&gt;'Scoring Settings'!$B$12),AND(ISNUMBER(M982),M982&lt;='Scoring Settings'!$B$13)),"High","Medium")))</f>
        <v>High</v>
      </c>
      <c r="AN982" s="5"/>
      <c r="AO982" s="7"/>
      <c r="AP982" s="5" t="s">
        <v>98</v>
      </c>
      <c r="AQ982" s="29" t="s">
        <v>124</v>
      </c>
    </row>
    <row r="983" spans="1:43" hidden="1">
      <c r="A983" s="28">
        <v>71230</v>
      </c>
      <c r="B983" s="5" t="s">
        <v>2056</v>
      </c>
      <c r="C983" s="5" t="s">
        <v>634</v>
      </c>
      <c r="D983" s="5" t="s">
        <v>297</v>
      </c>
      <c r="E983" s="5" t="s">
        <v>68</v>
      </c>
      <c r="F983" s="5" t="s">
        <v>263</v>
      </c>
      <c r="G983" s="5" t="s">
        <v>117</v>
      </c>
      <c r="H983" s="5" t="s">
        <v>105</v>
      </c>
      <c r="I983" s="6">
        <v>903</v>
      </c>
      <c r="J983" s="7">
        <v>44294</v>
      </c>
      <c r="K983" s="8" t="str">
        <f>IF(B983="","",IF(AND(I983="",J983=""),"Unknown",IF(OR(AND(ISNUMBER(I983),I983=0),AND(ISNUMBER(J983),J983&lt;=EDATE('Scoring Settings'!$B$4,-'Scoring Settings'!$B$5))),"Not in use",IF(AND(ISNUMBER(I983),I983&lt;'Scoring Settings'!$B$6),"Low use","Active"))))</f>
        <v>Active</v>
      </c>
      <c r="L983" s="5">
        <v>5</v>
      </c>
      <c r="M983" s="5">
        <v>1</v>
      </c>
      <c r="N983" s="5"/>
      <c r="O983" s="5" t="s">
        <v>73</v>
      </c>
      <c r="P983" s="5" t="s">
        <v>2057</v>
      </c>
      <c r="Q983" s="9">
        <v>6</v>
      </c>
      <c r="R983" s="5" t="s">
        <v>239</v>
      </c>
      <c r="S983" s="5" t="s">
        <v>240</v>
      </c>
      <c r="T983" s="5" t="s">
        <v>109</v>
      </c>
      <c r="U983" s="7">
        <v>44316</v>
      </c>
      <c r="V983" s="5" t="s">
        <v>95</v>
      </c>
      <c r="W983" s="6">
        <v>310</v>
      </c>
      <c r="X983" s="5" t="s">
        <v>80</v>
      </c>
      <c r="Y983" s="9">
        <v>7</v>
      </c>
      <c r="Z983" s="5" t="s">
        <v>80</v>
      </c>
      <c r="AA983" s="5" t="s">
        <v>123</v>
      </c>
      <c r="AB983" s="9">
        <v>27</v>
      </c>
      <c r="AC983" s="5" t="s">
        <v>82</v>
      </c>
      <c r="AD983" s="5" t="s">
        <v>79</v>
      </c>
      <c r="AE983" s="5" t="s">
        <v>80</v>
      </c>
      <c r="AF983" s="10">
        <v>350000</v>
      </c>
      <c r="AG983" s="7">
        <v>46081</v>
      </c>
      <c r="AH983" s="10">
        <v>894000</v>
      </c>
      <c r="AI983" s="10">
        <v>337000</v>
      </c>
      <c r="AJ983" s="11">
        <f t="shared" si="15"/>
        <v>31.833827893175073</v>
      </c>
      <c r="AK983" s="12">
        <f>IF(B983="","",OR(K983="Not in use",K983="Low use")+AND(N983&lt;&gt;"",N983&lt;&gt;"TBD")+AND(ISNUMBER(U983),U983&lt;=EDATE('Scoring Settings'!$B$4,'Scoring Settings'!$B$8))+AND(ISNUMBER(L983),L983&lt;='Scoring Settings'!$B$7))</f>
        <v>1</v>
      </c>
      <c r="AL983" s="5" t="s">
        <v>111</v>
      </c>
      <c r="AM983" s="8" t="str">
        <f>IF(B983="","",IF(Z983="N","Easy",IF(OR(AND(ISNUMBER(AB983),AB983&gt;'Scoring Settings'!$B$11),AND(ISNUMBER(W983),W983&gt;'Scoring Settings'!$B$12),AND(ISNUMBER(M983),M983&lt;='Scoring Settings'!$B$13)),"High","Medium")))</f>
        <v>High</v>
      </c>
      <c r="AN983" s="5"/>
      <c r="AO983" s="7"/>
      <c r="AP983" s="5" t="s">
        <v>98</v>
      </c>
      <c r="AQ983" s="29" t="s">
        <v>159</v>
      </c>
    </row>
    <row r="984" spans="1:43" hidden="1">
      <c r="A984" s="28">
        <v>195716</v>
      </c>
      <c r="B984" s="5" t="s">
        <v>2058</v>
      </c>
      <c r="C984" s="5" t="s">
        <v>230</v>
      </c>
      <c r="D984" s="5" t="s">
        <v>115</v>
      </c>
      <c r="E984" s="5" t="s">
        <v>68</v>
      </c>
      <c r="F984" s="5" t="s">
        <v>116</v>
      </c>
      <c r="G984" s="5" t="s">
        <v>267</v>
      </c>
      <c r="H984" s="5" t="s">
        <v>189</v>
      </c>
      <c r="I984" s="6">
        <v>245</v>
      </c>
      <c r="J984" s="7">
        <v>44307</v>
      </c>
      <c r="K984" s="8" t="str">
        <f>IF(B984="","",IF(AND(I984="",J984=""),"Unknown",IF(OR(AND(ISNUMBER(I984),I984=0),AND(ISNUMBER(J984),J984&lt;=EDATE('Scoring Settings'!$B$4,-'Scoring Settings'!$B$5))),"Not in use",IF(AND(ISNUMBER(I984),I984&lt;'Scoring Settings'!$B$6),"Low use","Active"))))</f>
        <v>Active</v>
      </c>
      <c r="L984" s="5">
        <v>3</v>
      </c>
      <c r="M984" s="5">
        <v>3</v>
      </c>
      <c r="N984" s="5"/>
      <c r="O984" s="5" t="s">
        <v>130</v>
      </c>
      <c r="P984" s="5" t="s">
        <v>2059</v>
      </c>
      <c r="Q984" s="9">
        <v>4</v>
      </c>
      <c r="R984" s="5" t="s">
        <v>132</v>
      </c>
      <c r="S984" s="5" t="s">
        <v>133</v>
      </c>
      <c r="T984" s="5" t="s">
        <v>168</v>
      </c>
      <c r="U984" s="7">
        <v>44227</v>
      </c>
      <c r="V984" s="5" t="s">
        <v>95</v>
      </c>
      <c r="W984" s="6">
        <v>12</v>
      </c>
      <c r="X984" s="5" t="s">
        <v>80</v>
      </c>
      <c r="Y984" s="9">
        <v>10</v>
      </c>
      <c r="Z984" s="5" t="s">
        <v>80</v>
      </c>
      <c r="AA984" s="5" t="s">
        <v>205</v>
      </c>
      <c r="AB984" s="9">
        <v>2</v>
      </c>
      <c r="AC984" s="5" t="s">
        <v>82</v>
      </c>
      <c r="AD984" s="5" t="s">
        <v>79</v>
      </c>
      <c r="AE984" s="5" t="s">
        <v>79</v>
      </c>
      <c r="AF984" s="10">
        <v>29500</v>
      </c>
      <c r="AG984" s="7">
        <v>48883</v>
      </c>
      <c r="AH984" s="10"/>
      <c r="AI984" s="10"/>
      <c r="AJ984" s="11" t="str">
        <f t="shared" si="15"/>
        <v/>
      </c>
      <c r="AK984" s="12">
        <f>IF(B984="","",OR(K984="Not in use",K984="Low use")+AND(N984&lt;&gt;"",N984&lt;&gt;"TBD")+AND(ISNUMBER(U984),U984&lt;=EDATE('Scoring Settings'!$B$4,'Scoring Settings'!$B$8))+AND(ISNUMBER(L984),L984&lt;='Scoring Settings'!$B$7))</f>
        <v>1</v>
      </c>
      <c r="AL984" s="5" t="s">
        <v>111</v>
      </c>
      <c r="AM984" s="8" t="str">
        <f>IF(B984="","",IF(Z984="N","Easy",IF(OR(AND(ISNUMBER(AB984),AB984&gt;'Scoring Settings'!$B$11),AND(ISNUMBER(W984),W984&gt;'Scoring Settings'!$B$12),AND(ISNUMBER(M984),M984&lt;='Scoring Settings'!$B$13)),"High","Medium")))</f>
        <v>Medium</v>
      </c>
      <c r="AN984" s="5"/>
      <c r="AO984" s="7"/>
      <c r="AP984" s="5" t="s">
        <v>98</v>
      </c>
      <c r="AQ984" s="29" t="s">
        <v>218</v>
      </c>
    </row>
    <row r="985" spans="1:43" hidden="1">
      <c r="A985" s="28">
        <v>78711</v>
      </c>
      <c r="B985" s="5" t="s">
        <v>2060</v>
      </c>
      <c r="C985" s="5" t="s">
        <v>301</v>
      </c>
      <c r="D985" s="5" t="s">
        <v>162</v>
      </c>
      <c r="E985" s="5" t="s">
        <v>68</v>
      </c>
      <c r="F985" s="5" t="s">
        <v>188</v>
      </c>
      <c r="G985" s="5" t="s">
        <v>267</v>
      </c>
      <c r="H985" s="5" t="s">
        <v>105</v>
      </c>
      <c r="I985" s="6">
        <v>71</v>
      </c>
      <c r="J985" s="7">
        <v>44305</v>
      </c>
      <c r="K985" s="8" t="str">
        <f>IF(B985="","",IF(AND(I985="",J985=""),"Unknown",IF(OR(AND(ISNUMBER(I985),I985=0),AND(ISNUMBER(J985),J985&lt;=EDATE('Scoring Settings'!$B$4,-'Scoring Settings'!$B$5))),"Not in use",IF(AND(ISNUMBER(I985),I985&lt;'Scoring Settings'!$B$6),"Low use","Active"))))</f>
        <v>Active</v>
      </c>
      <c r="L985" s="5">
        <v>4</v>
      </c>
      <c r="M985" s="5">
        <v>1</v>
      </c>
      <c r="N985" s="5"/>
      <c r="O985" s="5" t="s">
        <v>73</v>
      </c>
      <c r="P985" s="5" t="s">
        <v>2061</v>
      </c>
      <c r="Q985" s="9">
        <v>7</v>
      </c>
      <c r="R985" s="5" t="s">
        <v>203</v>
      </c>
      <c r="S985" s="5" t="s">
        <v>508</v>
      </c>
      <c r="T985" s="5" t="s">
        <v>72</v>
      </c>
      <c r="U985" s="7">
        <v>47269</v>
      </c>
      <c r="V985" s="5" t="s">
        <v>135</v>
      </c>
      <c r="W985" s="6">
        <v>770</v>
      </c>
      <c r="X985" s="5" t="s">
        <v>79</v>
      </c>
      <c r="Y985" s="9">
        <v>5</v>
      </c>
      <c r="Z985" s="5" t="s">
        <v>79</v>
      </c>
      <c r="AA985" s="5" t="s">
        <v>110</v>
      </c>
      <c r="AB985" s="9">
        <v>56</v>
      </c>
      <c r="AC985" s="5" t="s">
        <v>79</v>
      </c>
      <c r="AD985" s="5" t="s">
        <v>79</v>
      </c>
      <c r="AE985" s="5" t="s">
        <v>82</v>
      </c>
      <c r="AF985" s="10">
        <v>395000</v>
      </c>
      <c r="AG985" s="7">
        <v>48791</v>
      </c>
      <c r="AH985" s="10">
        <v>1311000</v>
      </c>
      <c r="AI985" s="10">
        <v>310500</v>
      </c>
      <c r="AJ985" s="11">
        <f t="shared" si="15"/>
        <v>50.666666666666671</v>
      </c>
      <c r="AK985" s="12">
        <f>IF(B985="","",OR(K985="Not in use",K985="Low use")+AND(N985&lt;&gt;"",N985&lt;&gt;"TBD")+AND(ISNUMBER(U985),U985&lt;=EDATE('Scoring Settings'!$B$4,'Scoring Settings'!$B$8))+AND(ISNUMBER(L985),L985&lt;='Scoring Settings'!$B$7))</f>
        <v>0</v>
      </c>
      <c r="AL985" s="5" t="s">
        <v>111</v>
      </c>
      <c r="AM985" s="8" t="str">
        <f>IF(B985="","",IF(Z985="N","Easy",IF(OR(AND(ISNUMBER(AB985),AB985&gt;'Scoring Settings'!$B$11),AND(ISNUMBER(W985),W985&gt;'Scoring Settings'!$B$12),AND(ISNUMBER(M985),M985&lt;='Scoring Settings'!$B$13)),"High","Medium")))</f>
        <v>Easy</v>
      </c>
      <c r="AN985" s="5"/>
      <c r="AO985" s="7"/>
      <c r="AP985" s="5" t="s">
        <v>98</v>
      </c>
      <c r="AQ985" s="29" t="s">
        <v>218</v>
      </c>
    </row>
    <row r="986" spans="1:43" ht="42.75" hidden="1">
      <c r="A986" s="28">
        <v>18822</v>
      </c>
      <c r="B986" s="5" t="s">
        <v>2062</v>
      </c>
      <c r="C986" s="5" t="s">
        <v>296</v>
      </c>
      <c r="D986" s="5" t="s">
        <v>297</v>
      </c>
      <c r="E986" s="5" t="s">
        <v>68</v>
      </c>
      <c r="F986" s="5" t="s">
        <v>302</v>
      </c>
      <c r="G986" s="5" t="s">
        <v>210</v>
      </c>
      <c r="H986" s="5" t="s">
        <v>189</v>
      </c>
      <c r="I986" s="6">
        <v>57</v>
      </c>
      <c r="J986" s="7">
        <v>44314</v>
      </c>
      <c r="K986" s="8" t="str">
        <f>IF(B986="","",IF(AND(I986="",J986=""),"Unknown",IF(OR(AND(ISNUMBER(I986),I986=0),AND(ISNUMBER(J986),J986&lt;=EDATE('Scoring Settings'!$B$4,-'Scoring Settings'!$B$5))),"Not in use",IF(AND(ISNUMBER(I986),I986&lt;'Scoring Settings'!$B$6),"Low use","Active"))))</f>
        <v>Active</v>
      </c>
      <c r="L986" s="5">
        <v>4</v>
      </c>
      <c r="M986" s="5">
        <v>2</v>
      </c>
      <c r="N986" s="5" t="s">
        <v>72</v>
      </c>
      <c r="O986" s="5" t="s">
        <v>73</v>
      </c>
      <c r="P986" s="5" t="s">
        <v>2063</v>
      </c>
      <c r="Q986" s="9">
        <v>8</v>
      </c>
      <c r="R986" s="5" t="s">
        <v>203</v>
      </c>
      <c r="S986" s="5" t="s">
        <v>508</v>
      </c>
      <c r="T986" s="5" t="s">
        <v>122</v>
      </c>
      <c r="U986" s="7">
        <v>47269</v>
      </c>
      <c r="V986" s="5" t="s">
        <v>135</v>
      </c>
      <c r="W986" s="6">
        <v>50</v>
      </c>
      <c r="X986" s="5" t="s">
        <v>80</v>
      </c>
      <c r="Y986" s="9">
        <v>10</v>
      </c>
      <c r="Z986" s="5" t="s">
        <v>80</v>
      </c>
      <c r="AA986" s="5" t="s">
        <v>81</v>
      </c>
      <c r="AB986" s="9">
        <v>23</v>
      </c>
      <c r="AC986" s="5" t="s">
        <v>80</v>
      </c>
      <c r="AD986" s="5" t="s">
        <v>80</v>
      </c>
      <c r="AE986" s="5" t="s">
        <v>79</v>
      </c>
      <c r="AF986" s="10">
        <v>195000</v>
      </c>
      <c r="AG986" s="7">
        <v>47573</v>
      </c>
      <c r="AH986" s="10"/>
      <c r="AI986" s="10"/>
      <c r="AJ986" s="11" t="str">
        <f t="shared" si="15"/>
        <v/>
      </c>
      <c r="AK986" s="12">
        <f>IF(B986="","",OR(K986="Not in use",K986="Low use")+AND(N986&lt;&gt;"",N986&lt;&gt;"TBD")+AND(ISNUMBER(U986),U986&lt;=EDATE('Scoring Settings'!$B$4,'Scoring Settings'!$B$8))+AND(ISNUMBER(L986),L986&lt;='Scoring Settings'!$B$7))</f>
        <v>0</v>
      </c>
      <c r="AL986" s="5" t="s">
        <v>111</v>
      </c>
      <c r="AM986" s="8" t="str">
        <f>IF(B986="","",IF(Z986="N","Easy",IF(OR(AND(ISNUMBER(AB986),AB986&gt;'Scoring Settings'!$B$11),AND(ISNUMBER(W986),W986&gt;'Scoring Settings'!$B$12),AND(ISNUMBER(M986),M986&lt;='Scoring Settings'!$B$13)),"High","Medium")))</f>
        <v>High</v>
      </c>
      <c r="AN986" s="5"/>
      <c r="AO986" s="7"/>
      <c r="AP986" s="5" t="s">
        <v>98</v>
      </c>
      <c r="AQ986" s="29" t="s">
        <v>1302</v>
      </c>
    </row>
    <row r="987" spans="1:43" ht="42.75" hidden="1">
      <c r="A987" s="28">
        <v>138510</v>
      </c>
      <c r="B987" s="5" t="s">
        <v>2066</v>
      </c>
      <c r="C987" s="5" t="s">
        <v>287</v>
      </c>
      <c r="D987" s="5" t="s">
        <v>162</v>
      </c>
      <c r="E987" s="5" t="s">
        <v>311</v>
      </c>
      <c r="F987" s="5" t="s">
        <v>266</v>
      </c>
      <c r="G987" s="5" t="s">
        <v>221</v>
      </c>
      <c r="H987" s="5" t="s">
        <v>142</v>
      </c>
      <c r="I987" s="6">
        <v>481</v>
      </c>
      <c r="J987" s="7">
        <v>44291</v>
      </c>
      <c r="K987" s="8" t="str">
        <f>IF(B987="","",IF(AND(I987="",J987=""),"Unknown",IF(OR(AND(ISNUMBER(I987),I987=0),AND(ISNUMBER(J987),J987&lt;=EDATE('Scoring Settings'!$B$4,-'Scoring Settings'!$B$5))),"Not in use",IF(AND(ISNUMBER(I987),I987&lt;'Scoring Settings'!$B$6),"Low use","Active"))))</f>
        <v>Active</v>
      </c>
      <c r="L987" s="5">
        <v>4</v>
      </c>
      <c r="M987" s="5">
        <v>1</v>
      </c>
      <c r="N987" s="5"/>
      <c r="O987" s="5" t="s">
        <v>143</v>
      </c>
      <c r="P987" s="5" t="s">
        <v>144</v>
      </c>
      <c r="Q987" s="9">
        <v>0</v>
      </c>
      <c r="R987" s="5" t="s">
        <v>145</v>
      </c>
      <c r="S987" s="5" t="s">
        <v>145</v>
      </c>
      <c r="T987" s="5" t="s">
        <v>146</v>
      </c>
      <c r="U987" s="7"/>
      <c r="V987" s="5" t="s">
        <v>95</v>
      </c>
      <c r="W987" s="6">
        <v>74</v>
      </c>
      <c r="X987" s="5" t="s">
        <v>80</v>
      </c>
      <c r="Y987" s="9">
        <v>10</v>
      </c>
      <c r="Z987" s="5" t="s">
        <v>80</v>
      </c>
      <c r="AA987" s="5" t="s">
        <v>123</v>
      </c>
      <c r="AB987" s="9">
        <v>35</v>
      </c>
      <c r="AC987" s="5" t="s">
        <v>79</v>
      </c>
      <c r="AD987" s="5" t="s">
        <v>80</v>
      </c>
      <c r="AE987" s="5" t="s">
        <v>79</v>
      </c>
      <c r="AF987" s="10">
        <v>365000</v>
      </c>
      <c r="AG987" s="7">
        <v>49156</v>
      </c>
      <c r="AH987" s="10"/>
      <c r="AI987" s="10"/>
      <c r="AJ987" s="11" t="str">
        <f t="shared" si="15"/>
        <v/>
      </c>
      <c r="AK987" s="12">
        <f>IF(B987="","",OR(K987="Not in use",K987="Low use")+AND(N987&lt;&gt;"",N987&lt;&gt;"TBD")+AND(ISNUMBER(U987),U987&lt;=EDATE('Scoring Settings'!$B$4,'Scoring Settings'!$B$8))+AND(ISNUMBER(L987),L987&lt;='Scoring Settings'!$B$7))</f>
        <v>0</v>
      </c>
      <c r="AL987" s="5" t="s">
        <v>111</v>
      </c>
      <c r="AM987" s="8" t="str">
        <f>IF(B987="","",IF(Z987="N","Easy",IF(OR(AND(ISNUMBER(AB987),AB987&gt;'Scoring Settings'!$B$11),AND(ISNUMBER(W987),W987&gt;'Scoring Settings'!$B$12),AND(ISNUMBER(M987),M987&lt;='Scoring Settings'!$B$13)),"High","Medium")))</f>
        <v>High</v>
      </c>
      <c r="AN987" s="5"/>
      <c r="AO987" s="7"/>
      <c r="AP987" s="5" t="s">
        <v>98</v>
      </c>
      <c r="AQ987" s="29" t="s">
        <v>2067</v>
      </c>
    </row>
    <row r="988" spans="1:43" hidden="1">
      <c r="A988" s="28">
        <v>129246</v>
      </c>
      <c r="B988" s="5" t="s">
        <v>2068</v>
      </c>
      <c r="C988" s="5" t="s">
        <v>557</v>
      </c>
      <c r="D988" s="5" t="s">
        <v>297</v>
      </c>
      <c r="E988" s="5" t="s">
        <v>298</v>
      </c>
      <c r="F988" s="5" t="s">
        <v>476</v>
      </c>
      <c r="G988" s="5" t="s">
        <v>221</v>
      </c>
      <c r="H988" s="5" t="s">
        <v>189</v>
      </c>
      <c r="I988" s="6">
        <v>385</v>
      </c>
      <c r="J988" s="7">
        <v>44292</v>
      </c>
      <c r="K988" s="8" t="str">
        <f>IF(B988="","",IF(AND(I988="",J988=""),"Unknown",IF(OR(AND(ISNUMBER(I988),I988=0),AND(ISNUMBER(J988),J988&lt;=EDATE('Scoring Settings'!$B$4,-'Scoring Settings'!$B$5))),"Not in use",IF(AND(ISNUMBER(I988),I988&lt;'Scoring Settings'!$B$6),"Low use","Active"))))</f>
        <v>Active</v>
      </c>
      <c r="L988" s="5">
        <v>4</v>
      </c>
      <c r="M988" s="5">
        <v>1</v>
      </c>
      <c r="N988" s="5"/>
      <c r="O988" s="5" t="s">
        <v>130</v>
      </c>
      <c r="P988" s="5" t="s">
        <v>2069</v>
      </c>
      <c r="Q988" s="9">
        <v>1</v>
      </c>
      <c r="R988" s="5" t="s">
        <v>75</v>
      </c>
      <c r="S988" s="5" t="s">
        <v>121</v>
      </c>
      <c r="T988" s="5" t="s">
        <v>168</v>
      </c>
      <c r="U988" s="7">
        <v>46217</v>
      </c>
      <c r="V988" s="5" t="s">
        <v>95</v>
      </c>
      <c r="W988" s="6">
        <v>1300</v>
      </c>
      <c r="X988" s="5" t="s">
        <v>80</v>
      </c>
      <c r="Y988" s="9">
        <v>7</v>
      </c>
      <c r="Z988" s="5" t="s">
        <v>80</v>
      </c>
      <c r="AA988" s="5" t="s">
        <v>185</v>
      </c>
      <c r="AB988" s="9">
        <v>33</v>
      </c>
      <c r="AC988" s="5" t="s">
        <v>82</v>
      </c>
      <c r="AD988" s="5" t="s">
        <v>79</v>
      </c>
      <c r="AE988" s="5" t="s">
        <v>79</v>
      </c>
      <c r="AF988" s="10">
        <v>100000</v>
      </c>
      <c r="AG988" s="7">
        <v>48365</v>
      </c>
      <c r="AH988" s="10"/>
      <c r="AI988" s="10"/>
      <c r="AJ988" s="11" t="str">
        <f t="shared" si="15"/>
        <v/>
      </c>
      <c r="AK988" s="12">
        <f>IF(B988="","",OR(K988="Not in use",K988="Low use")+AND(N988&lt;&gt;"",N988&lt;&gt;"TBD")+AND(ISNUMBER(U988),U988&lt;=EDATE('Scoring Settings'!$B$4,'Scoring Settings'!$B$8))+AND(ISNUMBER(L988),L988&lt;='Scoring Settings'!$B$7))</f>
        <v>0</v>
      </c>
      <c r="AL988" s="5" t="s">
        <v>83</v>
      </c>
      <c r="AM988" s="8" t="str">
        <f>IF(B988="","",IF(Z988="N","Easy",IF(OR(AND(ISNUMBER(AB988),AB988&gt;'Scoring Settings'!$B$11),AND(ISNUMBER(W988),W988&gt;'Scoring Settings'!$B$12),AND(ISNUMBER(M988),M988&lt;='Scoring Settings'!$B$13)),"High","Medium")))</f>
        <v>High</v>
      </c>
      <c r="AN988" s="5"/>
      <c r="AO988" s="7"/>
      <c r="AP988" s="5" t="s">
        <v>98</v>
      </c>
      <c r="AQ988" s="29" t="s">
        <v>247</v>
      </c>
    </row>
    <row r="989" spans="1:43" hidden="1">
      <c r="A989" s="28">
        <v>137323</v>
      </c>
      <c r="B989" s="5" t="s">
        <v>2073</v>
      </c>
      <c r="C989" s="5" t="s">
        <v>667</v>
      </c>
      <c r="D989" s="5" t="s">
        <v>115</v>
      </c>
      <c r="E989" s="5" t="s">
        <v>298</v>
      </c>
      <c r="F989" s="5" t="s">
        <v>188</v>
      </c>
      <c r="G989" s="5" t="s">
        <v>153</v>
      </c>
      <c r="H989" s="5" t="s">
        <v>71</v>
      </c>
      <c r="I989" s="6">
        <v>206</v>
      </c>
      <c r="J989" s="7">
        <v>44298</v>
      </c>
      <c r="K989" s="8" t="str">
        <f>IF(B989="","",IF(AND(I989="",J989=""),"Unknown",IF(OR(AND(ISNUMBER(I989),I989=0),AND(ISNUMBER(J989),J989&lt;=EDATE('Scoring Settings'!$B$4,-'Scoring Settings'!$B$5))),"Not in use",IF(AND(ISNUMBER(I989),I989&lt;'Scoring Settings'!$B$6),"Low use","Active"))))</f>
        <v>Active</v>
      </c>
      <c r="L989" s="5">
        <v>4</v>
      </c>
      <c r="M989" s="5">
        <v>2</v>
      </c>
      <c r="N989" s="5"/>
      <c r="O989" s="5" t="s">
        <v>73</v>
      </c>
      <c r="P989" s="5" t="s">
        <v>2074</v>
      </c>
      <c r="Q989" s="9">
        <v>1</v>
      </c>
      <c r="R989" s="5" t="s">
        <v>203</v>
      </c>
      <c r="S989" s="5" t="s">
        <v>72</v>
      </c>
      <c r="T989" s="5" t="s">
        <v>122</v>
      </c>
      <c r="U989" s="7">
        <v>47269</v>
      </c>
      <c r="V989" s="5" t="s">
        <v>135</v>
      </c>
      <c r="W989" s="6">
        <v>480</v>
      </c>
      <c r="X989" s="5" t="s">
        <v>80</v>
      </c>
      <c r="Y989" s="9">
        <v>7</v>
      </c>
      <c r="Z989" s="5" t="s">
        <v>80</v>
      </c>
      <c r="AA989" s="5" t="s">
        <v>205</v>
      </c>
      <c r="AB989" s="9">
        <v>29</v>
      </c>
      <c r="AC989" s="5" t="s">
        <v>79</v>
      </c>
      <c r="AD989" s="5" t="s">
        <v>80</v>
      </c>
      <c r="AE989" s="5" t="s">
        <v>80</v>
      </c>
      <c r="AF989" s="10">
        <v>34000</v>
      </c>
      <c r="AG989" s="7">
        <v>46721</v>
      </c>
      <c r="AH989" s="10"/>
      <c r="AI989" s="10"/>
      <c r="AJ989" s="11" t="str">
        <f t="shared" si="15"/>
        <v/>
      </c>
      <c r="AK989" s="12">
        <f>IF(B989="","",OR(K989="Not in use",K989="Low use")+AND(N989&lt;&gt;"",N989&lt;&gt;"TBD")+AND(ISNUMBER(U989),U989&lt;=EDATE('Scoring Settings'!$B$4,'Scoring Settings'!$B$8))+AND(ISNUMBER(L989),L989&lt;='Scoring Settings'!$B$7))</f>
        <v>0</v>
      </c>
      <c r="AL989" s="5" t="s">
        <v>83</v>
      </c>
      <c r="AM989" s="8" t="str">
        <f>IF(B989="","",IF(Z989="N","Easy",IF(OR(AND(ISNUMBER(AB989),AB989&gt;'Scoring Settings'!$B$11),AND(ISNUMBER(W989),W989&gt;'Scoring Settings'!$B$12),AND(ISNUMBER(M989),M989&lt;='Scoring Settings'!$B$13)),"High","Medium")))</f>
        <v>High</v>
      </c>
      <c r="AN989" s="5"/>
      <c r="AO989" s="7"/>
      <c r="AP989" s="5" t="s">
        <v>84</v>
      </c>
      <c r="AQ989" s="29" t="s">
        <v>85</v>
      </c>
    </row>
    <row r="990" spans="1:43" hidden="1">
      <c r="A990" s="28">
        <v>191419</v>
      </c>
      <c r="B990" s="5" t="s">
        <v>2075</v>
      </c>
      <c r="C990" s="5" t="s">
        <v>156</v>
      </c>
      <c r="D990" s="5" t="s">
        <v>139</v>
      </c>
      <c r="E990" s="5" t="s">
        <v>68</v>
      </c>
      <c r="F990" s="5" t="s">
        <v>326</v>
      </c>
      <c r="G990" s="5" t="s">
        <v>237</v>
      </c>
      <c r="H990" s="5" t="s">
        <v>129</v>
      </c>
      <c r="I990" s="6">
        <v>5</v>
      </c>
      <c r="J990" s="7">
        <v>44252</v>
      </c>
      <c r="K990" s="8" t="str">
        <f>IF(B990="","",IF(AND(I990="",J990=""),"Unknown",IF(OR(AND(ISNUMBER(I990),I990=0),AND(ISNUMBER(J990),J990&lt;=EDATE('Scoring Settings'!$B$4,-'Scoring Settings'!$B$5))),"Not in use",IF(AND(ISNUMBER(I990),I990&lt;'Scoring Settings'!$B$6),"Low use","Active"))))</f>
        <v>Low use</v>
      </c>
      <c r="L990" s="5">
        <v>4</v>
      </c>
      <c r="M990" s="5">
        <v>2</v>
      </c>
      <c r="N990" s="5"/>
      <c r="O990" s="5" t="s">
        <v>73</v>
      </c>
      <c r="P990" s="5" t="s">
        <v>2076</v>
      </c>
      <c r="Q990" s="9">
        <v>6</v>
      </c>
      <c r="R990" s="5" t="s">
        <v>132</v>
      </c>
      <c r="S990" s="5" t="s">
        <v>133</v>
      </c>
      <c r="T990" s="5" t="s">
        <v>77</v>
      </c>
      <c r="U990" s="7" t="s">
        <v>72</v>
      </c>
      <c r="V990" s="5" t="s">
        <v>78</v>
      </c>
      <c r="W990" s="6">
        <v>33</v>
      </c>
      <c r="X990" s="5" t="s">
        <v>79</v>
      </c>
      <c r="Y990" s="9">
        <v>3</v>
      </c>
      <c r="Z990" s="5" t="s">
        <v>80</v>
      </c>
      <c r="AA990" s="5" t="s">
        <v>185</v>
      </c>
      <c r="AB990" s="9">
        <v>19</v>
      </c>
      <c r="AC990" s="5" t="s">
        <v>79</v>
      </c>
      <c r="AD990" s="5" t="s">
        <v>79</v>
      </c>
      <c r="AE990" s="5" t="s">
        <v>82</v>
      </c>
      <c r="AF990" s="10">
        <v>85000</v>
      </c>
      <c r="AG990" s="7">
        <v>46418</v>
      </c>
      <c r="AH990" s="10"/>
      <c r="AI990" s="10"/>
      <c r="AJ990" s="11" t="str">
        <f t="shared" si="15"/>
        <v/>
      </c>
      <c r="AK990" s="12">
        <f>IF(B990="","",OR(K990="Not in use",K990="Low use")+AND(N990&lt;&gt;"",N990&lt;&gt;"TBD")+AND(ISNUMBER(U990),U990&lt;=EDATE('Scoring Settings'!$B$4,'Scoring Settings'!$B$8))+AND(ISNUMBER(L990),L990&lt;='Scoring Settings'!$B$7))</f>
        <v>1</v>
      </c>
      <c r="AL990" s="5" t="s">
        <v>111</v>
      </c>
      <c r="AM990" s="8" t="str">
        <f>IF(B990="","",IF(Z990="N","Easy",IF(OR(AND(ISNUMBER(AB990),AB990&gt;'Scoring Settings'!$B$11),AND(ISNUMBER(W990),W990&gt;'Scoring Settings'!$B$12),AND(ISNUMBER(M990),M990&lt;='Scoring Settings'!$B$13)),"High","Medium")))</f>
        <v>High</v>
      </c>
      <c r="AN990" s="5"/>
      <c r="AO990" s="7"/>
      <c r="AP990" s="5" t="s">
        <v>98</v>
      </c>
      <c r="AQ990" s="29" t="s">
        <v>112</v>
      </c>
    </row>
    <row r="991" spans="1:43" hidden="1">
      <c r="A991" s="28">
        <v>79653</v>
      </c>
      <c r="B991" s="5" t="s">
        <v>2078</v>
      </c>
      <c r="C991" s="5" t="s">
        <v>225</v>
      </c>
      <c r="D991" s="5" t="s">
        <v>67</v>
      </c>
      <c r="E991" s="5" t="s">
        <v>68</v>
      </c>
      <c r="F991" s="5" t="s">
        <v>116</v>
      </c>
      <c r="G991" s="5" t="s">
        <v>153</v>
      </c>
      <c r="H991" s="5" t="s">
        <v>129</v>
      </c>
      <c r="I991" s="6">
        <v>25</v>
      </c>
      <c r="J991" s="7">
        <v>44308</v>
      </c>
      <c r="K991" s="8" t="str">
        <f>IF(B991="","",IF(AND(I991="",J991=""),"Unknown",IF(OR(AND(ISNUMBER(I991),I991=0),AND(ISNUMBER(J991),J991&lt;=EDATE('Scoring Settings'!$B$4,-'Scoring Settings'!$B$5))),"Not in use",IF(AND(ISNUMBER(I991),I991&lt;'Scoring Settings'!$B$6),"Low use","Active"))))</f>
        <v>Active</v>
      </c>
      <c r="L991" s="5">
        <v>5</v>
      </c>
      <c r="M991" s="5">
        <v>1</v>
      </c>
      <c r="N991" s="5"/>
      <c r="O991" s="5" t="s">
        <v>73</v>
      </c>
      <c r="P991" s="5" t="s">
        <v>2079</v>
      </c>
      <c r="Q991" s="9">
        <v>2</v>
      </c>
      <c r="R991" s="5" t="s">
        <v>75</v>
      </c>
      <c r="S991" s="5" t="s">
        <v>76</v>
      </c>
      <c r="T991" s="5" t="s">
        <v>72</v>
      </c>
      <c r="U991" s="7">
        <v>46399</v>
      </c>
      <c r="V991" s="5" t="s">
        <v>135</v>
      </c>
      <c r="W991" s="6">
        <v>53</v>
      </c>
      <c r="X991" s="5" t="s">
        <v>79</v>
      </c>
      <c r="Y991" s="9">
        <v>1</v>
      </c>
      <c r="Z991" s="5" t="s">
        <v>80</v>
      </c>
      <c r="AA991" s="5" t="s">
        <v>185</v>
      </c>
      <c r="AB991" s="9">
        <v>73</v>
      </c>
      <c r="AC991" s="5" t="s">
        <v>80</v>
      </c>
      <c r="AD991" s="5" t="s">
        <v>80</v>
      </c>
      <c r="AE991" s="5" t="s">
        <v>82</v>
      </c>
      <c r="AF991" s="10">
        <v>70000</v>
      </c>
      <c r="AG991" s="7">
        <v>47208</v>
      </c>
      <c r="AH991" s="10"/>
      <c r="AI991" s="10"/>
      <c r="AJ991" s="11" t="str">
        <f t="shared" si="15"/>
        <v/>
      </c>
      <c r="AK991" s="12">
        <f>IF(B991="","",OR(K991="Not in use",K991="Low use")+AND(N991&lt;&gt;"",N991&lt;&gt;"TBD")+AND(ISNUMBER(U991),U991&lt;=EDATE('Scoring Settings'!$B$4,'Scoring Settings'!$B$8))+AND(ISNUMBER(L991),L991&lt;='Scoring Settings'!$B$7))</f>
        <v>0</v>
      </c>
      <c r="AL991" s="5" t="s">
        <v>83</v>
      </c>
      <c r="AM991" s="8" t="str">
        <f>IF(B991="","",IF(Z991="N","Easy",IF(OR(AND(ISNUMBER(AB991),AB991&gt;'Scoring Settings'!$B$11),AND(ISNUMBER(W991),W991&gt;'Scoring Settings'!$B$12),AND(ISNUMBER(M991),M991&lt;='Scoring Settings'!$B$13)),"High","Medium")))</f>
        <v>High</v>
      </c>
      <c r="AN991" s="5"/>
      <c r="AO991" s="7"/>
      <c r="AP991" s="5" t="s">
        <v>84</v>
      </c>
      <c r="AQ991" s="29" t="s">
        <v>247</v>
      </c>
    </row>
    <row r="992" spans="1:43" hidden="1">
      <c r="A992" s="28">
        <v>73350</v>
      </c>
      <c r="B992" s="5" t="s">
        <v>2080</v>
      </c>
      <c r="C992" s="5" t="s">
        <v>390</v>
      </c>
      <c r="D992" s="5" t="s">
        <v>88</v>
      </c>
      <c r="E992" s="5" t="s">
        <v>68</v>
      </c>
      <c r="F992" s="5" t="s">
        <v>243</v>
      </c>
      <c r="G992" s="5" t="s">
        <v>70</v>
      </c>
      <c r="H992" s="5" t="s">
        <v>118</v>
      </c>
      <c r="I992" s="6">
        <v>785</v>
      </c>
      <c r="J992" s="7">
        <v>44276</v>
      </c>
      <c r="K992" s="8" t="str">
        <f>IF(B992="","",IF(AND(I992="",J992=""),"Unknown",IF(OR(AND(ISNUMBER(I992),I992=0),AND(ISNUMBER(J992),J992&lt;=EDATE('Scoring Settings'!$B$4,-'Scoring Settings'!$B$5))),"Not in use",IF(AND(ISNUMBER(I992),I992&lt;'Scoring Settings'!$B$6),"Low use","Active"))))</f>
        <v>Active</v>
      </c>
      <c r="L992" s="5">
        <v>4</v>
      </c>
      <c r="M992" s="5">
        <v>2</v>
      </c>
      <c r="N992" s="5" t="s">
        <v>72</v>
      </c>
      <c r="O992" s="5" t="s">
        <v>130</v>
      </c>
      <c r="P992" s="5" t="s">
        <v>2081</v>
      </c>
      <c r="Q992" s="9">
        <v>2</v>
      </c>
      <c r="R992" s="5" t="s">
        <v>72</v>
      </c>
      <c r="S992" s="5" t="s">
        <v>336</v>
      </c>
      <c r="T992" s="5" t="s">
        <v>195</v>
      </c>
      <c r="U992" s="7">
        <v>45473</v>
      </c>
      <c r="V992" s="5" t="s">
        <v>95</v>
      </c>
      <c r="W992" s="6">
        <v>29</v>
      </c>
      <c r="X992" s="5" t="s">
        <v>79</v>
      </c>
      <c r="Y992" s="9">
        <v>3</v>
      </c>
      <c r="Z992" s="5" t="s">
        <v>80</v>
      </c>
      <c r="AA992" s="5" t="s">
        <v>81</v>
      </c>
      <c r="AB992" s="9">
        <v>5</v>
      </c>
      <c r="AC992" s="5" t="s">
        <v>82</v>
      </c>
      <c r="AD992" s="5" t="s">
        <v>82</v>
      </c>
      <c r="AE992" s="5" t="s">
        <v>79</v>
      </c>
      <c r="AF992" s="10">
        <v>55000</v>
      </c>
      <c r="AG992" s="7">
        <v>48913</v>
      </c>
      <c r="AH992" s="10">
        <v>29500</v>
      </c>
      <c r="AI992" s="10">
        <v>32000</v>
      </c>
      <c r="AJ992" s="11">
        <f t="shared" si="15"/>
        <v>11.0625</v>
      </c>
      <c r="AK992" s="12">
        <f>IF(B992="","",OR(K992="Not in use",K992="Low use")+AND(N992&lt;&gt;"",N992&lt;&gt;"TBD")+AND(ISNUMBER(U992),U992&lt;=EDATE('Scoring Settings'!$B$4,'Scoring Settings'!$B$8))+AND(ISNUMBER(L992),L992&lt;='Scoring Settings'!$B$7))</f>
        <v>0</v>
      </c>
      <c r="AL992" s="5" t="s">
        <v>111</v>
      </c>
      <c r="AM992" s="8" t="str">
        <f>IF(B992="","",IF(Z992="N","Easy",IF(OR(AND(ISNUMBER(AB992),AB992&gt;'Scoring Settings'!$B$11),AND(ISNUMBER(W992),W992&gt;'Scoring Settings'!$B$12),AND(ISNUMBER(M992),M992&lt;='Scoring Settings'!$B$13)),"High","Medium")))</f>
        <v>High</v>
      </c>
      <c r="AN992" s="5"/>
      <c r="AO992" s="7"/>
      <c r="AP992" s="5" t="s">
        <v>98</v>
      </c>
      <c r="AQ992" s="29" t="s">
        <v>159</v>
      </c>
    </row>
    <row r="993" spans="1:43" hidden="1">
      <c r="A993" s="28">
        <v>151099</v>
      </c>
      <c r="B993" s="5" t="s">
        <v>2082</v>
      </c>
      <c r="C993" s="5" t="s">
        <v>699</v>
      </c>
      <c r="D993" s="5" t="s">
        <v>297</v>
      </c>
      <c r="E993" s="5" t="s">
        <v>298</v>
      </c>
      <c r="F993" s="5" t="s">
        <v>157</v>
      </c>
      <c r="G993" s="5" t="s">
        <v>104</v>
      </c>
      <c r="H993" s="5" t="s">
        <v>71</v>
      </c>
      <c r="I993" s="6">
        <v>100</v>
      </c>
      <c r="J993" s="7">
        <v>44315</v>
      </c>
      <c r="K993" s="8" t="str">
        <f>IF(B993="","",IF(AND(I993="",J993=""),"Unknown",IF(OR(AND(ISNUMBER(I993),I993=0),AND(ISNUMBER(J993),J993&lt;=EDATE('Scoring Settings'!$B$4,-'Scoring Settings'!$B$5))),"Not in use",IF(AND(ISNUMBER(I993),I993&lt;'Scoring Settings'!$B$6),"Low use","Active"))))</f>
        <v>Active</v>
      </c>
      <c r="L993" s="5">
        <v>1</v>
      </c>
      <c r="M993" s="5">
        <v>4</v>
      </c>
      <c r="N993" s="5"/>
      <c r="O993" s="5" t="s">
        <v>73</v>
      </c>
      <c r="P993" s="5" t="s">
        <v>2083</v>
      </c>
      <c r="Q993" s="9">
        <v>3</v>
      </c>
      <c r="R993" s="5" t="s">
        <v>478</v>
      </c>
      <c r="S993" s="5" t="s">
        <v>479</v>
      </c>
      <c r="T993" s="5" t="s">
        <v>122</v>
      </c>
      <c r="U993" s="7">
        <v>43844</v>
      </c>
      <c r="V993" s="5" t="s">
        <v>95</v>
      </c>
      <c r="W993" s="6">
        <v>30</v>
      </c>
      <c r="X993" s="5" t="s">
        <v>80</v>
      </c>
      <c r="Y993" s="9">
        <v>10</v>
      </c>
      <c r="Z993" s="5" t="s">
        <v>79</v>
      </c>
      <c r="AA993" s="5" t="s">
        <v>110</v>
      </c>
      <c r="AB993" s="9">
        <v>0</v>
      </c>
      <c r="AC993" s="5" t="s">
        <v>80</v>
      </c>
      <c r="AD993" s="5" t="s">
        <v>79</v>
      </c>
      <c r="AE993" s="5" t="s">
        <v>80</v>
      </c>
      <c r="AF993" s="10">
        <v>33000</v>
      </c>
      <c r="AG993" s="7">
        <v>47452</v>
      </c>
      <c r="AH993" s="10">
        <v>35000</v>
      </c>
      <c r="AI993" s="10">
        <v>32500</v>
      </c>
      <c r="AJ993" s="11">
        <f t="shared" si="15"/>
        <v>12.923076923076923</v>
      </c>
      <c r="AK993" s="12">
        <f>IF(B993="","",OR(K993="Not in use",K993="Low use")+AND(N993&lt;&gt;"",N993&lt;&gt;"TBD")+AND(ISNUMBER(U993),U993&lt;=EDATE('Scoring Settings'!$B$4,'Scoring Settings'!$B$8))+AND(ISNUMBER(L993),L993&lt;='Scoring Settings'!$B$7))</f>
        <v>2</v>
      </c>
      <c r="AL993" s="5" t="s">
        <v>111</v>
      </c>
      <c r="AM993" s="8" t="str">
        <f>IF(B993="","",IF(Z993="N","Easy",IF(OR(AND(ISNUMBER(AB993),AB993&gt;'Scoring Settings'!$B$11),AND(ISNUMBER(W993),W993&gt;'Scoring Settings'!$B$12),AND(ISNUMBER(M993),M993&lt;='Scoring Settings'!$B$13)),"High","Medium")))</f>
        <v>Easy</v>
      </c>
      <c r="AN993" s="5"/>
      <c r="AO993" s="7"/>
      <c r="AP993" s="5" t="s">
        <v>98</v>
      </c>
      <c r="AQ993" s="29" t="s">
        <v>124</v>
      </c>
    </row>
    <row r="994" spans="1:43" hidden="1">
      <c r="A994" s="28">
        <v>116537</v>
      </c>
      <c r="B994" s="5" t="s">
        <v>2084</v>
      </c>
      <c r="C994" s="5" t="s">
        <v>380</v>
      </c>
      <c r="D994" s="5" t="s">
        <v>102</v>
      </c>
      <c r="E994" s="5" t="s">
        <v>68</v>
      </c>
      <c r="F994" s="5" t="s">
        <v>419</v>
      </c>
      <c r="G994" s="5" t="s">
        <v>226</v>
      </c>
      <c r="H994" s="5" t="s">
        <v>142</v>
      </c>
      <c r="I994" s="6">
        <v>1222</v>
      </c>
      <c r="J994" s="7">
        <v>44309</v>
      </c>
      <c r="K994" s="8" t="str">
        <f>IF(B994="","",IF(AND(I994="",J994=""),"Unknown",IF(OR(AND(ISNUMBER(I994),I994=0),AND(ISNUMBER(J994),J994&lt;=EDATE('Scoring Settings'!$B$4,-'Scoring Settings'!$B$5))),"Not in use",IF(AND(ISNUMBER(I994),I994&lt;'Scoring Settings'!$B$6),"Low use","Active"))))</f>
        <v>Active</v>
      </c>
      <c r="L994" s="5">
        <v>3</v>
      </c>
      <c r="M994" s="5">
        <v>4</v>
      </c>
      <c r="N994" s="5"/>
      <c r="O994" s="5" t="s">
        <v>143</v>
      </c>
      <c r="P994" s="5" t="s">
        <v>144</v>
      </c>
      <c r="Q994" s="9">
        <v>0</v>
      </c>
      <c r="R994" s="5" t="s">
        <v>145</v>
      </c>
      <c r="S994" s="5" t="s">
        <v>145</v>
      </c>
      <c r="T994" s="5" t="s">
        <v>146</v>
      </c>
      <c r="U994" s="7"/>
      <c r="V994" s="5" t="s">
        <v>135</v>
      </c>
      <c r="W994" s="6">
        <v>14</v>
      </c>
      <c r="X994" s="5" t="s">
        <v>80</v>
      </c>
      <c r="Y994" s="9">
        <v>5</v>
      </c>
      <c r="Z994" s="5" t="s">
        <v>79</v>
      </c>
      <c r="AA994" s="5" t="s">
        <v>110</v>
      </c>
      <c r="AB994" s="9">
        <v>1</v>
      </c>
      <c r="AC994" s="5" t="s">
        <v>82</v>
      </c>
      <c r="AD994" s="5" t="s">
        <v>82</v>
      </c>
      <c r="AE994" s="5" t="s">
        <v>79</v>
      </c>
      <c r="AF994" s="10">
        <v>29000</v>
      </c>
      <c r="AG994" s="7">
        <v>48791</v>
      </c>
      <c r="AH994" s="10"/>
      <c r="AI994" s="10"/>
      <c r="AJ994" s="11" t="str">
        <f t="shared" si="15"/>
        <v/>
      </c>
      <c r="AK994" s="12">
        <f>IF(B994="","",OR(K994="Not in use",K994="Low use")+AND(N994&lt;&gt;"",N994&lt;&gt;"TBD")+AND(ISNUMBER(U994),U994&lt;=EDATE('Scoring Settings'!$B$4,'Scoring Settings'!$B$8))+AND(ISNUMBER(L994),L994&lt;='Scoring Settings'!$B$7))</f>
        <v>0</v>
      </c>
      <c r="AL994" s="5" t="s">
        <v>83</v>
      </c>
      <c r="AM994" s="8" t="str">
        <f>IF(B994="","",IF(Z994="N","Easy",IF(OR(AND(ISNUMBER(AB994),AB994&gt;'Scoring Settings'!$B$11),AND(ISNUMBER(W994),W994&gt;'Scoring Settings'!$B$12),AND(ISNUMBER(M994),M994&lt;='Scoring Settings'!$B$13)),"High","Medium")))</f>
        <v>Easy</v>
      </c>
      <c r="AN994" s="5"/>
      <c r="AO994" s="7"/>
      <c r="AP994" s="5" t="s">
        <v>84</v>
      </c>
      <c r="AQ994" s="29" t="s">
        <v>85</v>
      </c>
    </row>
    <row r="995" spans="1:43" hidden="1">
      <c r="A995" s="28">
        <v>54827</v>
      </c>
      <c r="B995" s="5" t="s">
        <v>2086</v>
      </c>
      <c r="C995" s="5" t="s">
        <v>395</v>
      </c>
      <c r="D995" s="5" t="s">
        <v>88</v>
      </c>
      <c r="E995" s="5" t="s">
        <v>68</v>
      </c>
      <c r="F995" s="5" t="s">
        <v>249</v>
      </c>
      <c r="G995" s="5" t="s">
        <v>237</v>
      </c>
      <c r="H995" s="5" t="s">
        <v>91</v>
      </c>
      <c r="I995" s="6">
        <v>4</v>
      </c>
      <c r="J995" s="7">
        <v>44312</v>
      </c>
      <c r="K995" s="8" t="str">
        <f>IF(B995="","",IF(AND(I995="",J995=""),"Unknown",IF(OR(AND(ISNUMBER(I995),I995=0),AND(ISNUMBER(J995),J995&lt;=EDATE('Scoring Settings'!$B$4,-'Scoring Settings'!$B$5))),"Not in use",IF(AND(ISNUMBER(I995),I995&lt;'Scoring Settings'!$B$6),"Low use","Active"))))</f>
        <v>Low use</v>
      </c>
      <c r="L995" s="5">
        <v>1</v>
      </c>
      <c r="M995" s="5">
        <v>4</v>
      </c>
      <c r="N995" s="5" t="s">
        <v>1592</v>
      </c>
      <c r="O995" s="5" t="s">
        <v>73</v>
      </c>
      <c r="P995" s="5" t="s">
        <v>2087</v>
      </c>
      <c r="Q995" s="9">
        <v>2</v>
      </c>
      <c r="R995" s="5" t="s">
        <v>203</v>
      </c>
      <c r="S995" s="5" t="s">
        <v>508</v>
      </c>
      <c r="T995" s="5" t="s">
        <v>184</v>
      </c>
      <c r="U995" s="7">
        <v>47269</v>
      </c>
      <c r="V995" s="5" t="s">
        <v>135</v>
      </c>
      <c r="W995" s="6">
        <v>400</v>
      </c>
      <c r="X995" s="5" t="s">
        <v>79</v>
      </c>
      <c r="Y995" s="9">
        <v>3</v>
      </c>
      <c r="Z995" s="5" t="s">
        <v>80</v>
      </c>
      <c r="AA995" s="5" t="s">
        <v>185</v>
      </c>
      <c r="AB995" s="9">
        <v>2</v>
      </c>
      <c r="AC995" s="5" t="s">
        <v>79</v>
      </c>
      <c r="AD995" s="5" t="s">
        <v>79</v>
      </c>
      <c r="AE995" s="5" t="s">
        <v>79</v>
      </c>
      <c r="AF995" s="10">
        <v>46500</v>
      </c>
      <c r="AG995" s="7">
        <v>48060</v>
      </c>
      <c r="AH995" s="10"/>
      <c r="AI995" s="10"/>
      <c r="AJ995" s="11" t="str">
        <f t="shared" si="15"/>
        <v/>
      </c>
      <c r="AK995" s="12">
        <f>IF(B995="","",OR(K995="Not in use",K995="Low use")+AND(N995&lt;&gt;"",N995&lt;&gt;"TBD")+AND(ISNUMBER(U995),U995&lt;=EDATE('Scoring Settings'!$B$4,'Scoring Settings'!$B$8))+AND(ISNUMBER(L995),L995&lt;='Scoring Settings'!$B$7))</f>
        <v>3</v>
      </c>
      <c r="AL995" s="5" t="s">
        <v>111</v>
      </c>
      <c r="AM995" s="8" t="str">
        <f>IF(B995="","",IF(Z995="N","Easy",IF(OR(AND(ISNUMBER(AB995),AB995&gt;'Scoring Settings'!$B$11),AND(ISNUMBER(W995),W995&gt;'Scoring Settings'!$B$12),AND(ISNUMBER(M995),M995&lt;='Scoring Settings'!$B$13)),"High","Medium")))</f>
        <v>Medium</v>
      </c>
      <c r="AN995" s="5"/>
      <c r="AO995" s="7"/>
      <c r="AP995" s="5" t="s">
        <v>98</v>
      </c>
      <c r="AQ995" s="29" t="s">
        <v>218</v>
      </c>
    </row>
    <row r="996" spans="1:43" hidden="1">
      <c r="A996" s="28">
        <v>50472</v>
      </c>
      <c r="B996" s="5" t="s">
        <v>2088</v>
      </c>
      <c r="C996" s="5" t="s">
        <v>301</v>
      </c>
      <c r="D996" s="5" t="s">
        <v>162</v>
      </c>
      <c r="E996" s="5" t="s">
        <v>298</v>
      </c>
      <c r="F996" s="5" t="s">
        <v>89</v>
      </c>
      <c r="G996" s="5" t="s">
        <v>117</v>
      </c>
      <c r="H996" s="5" t="s">
        <v>189</v>
      </c>
      <c r="I996" s="6">
        <v>5</v>
      </c>
      <c r="J996" s="7">
        <v>44261</v>
      </c>
      <c r="K996" s="8" t="str">
        <f>IF(B996="","",IF(AND(I996="",J996=""),"Unknown",IF(OR(AND(ISNUMBER(I996),I996=0),AND(ISNUMBER(J996),J996&lt;=EDATE('Scoring Settings'!$B$4,-'Scoring Settings'!$B$5))),"Not in use",IF(AND(ISNUMBER(I996),I996&lt;'Scoring Settings'!$B$6),"Low use","Active"))))</f>
        <v>Low use</v>
      </c>
      <c r="L996" s="5">
        <v>5</v>
      </c>
      <c r="M996" s="5">
        <v>1</v>
      </c>
      <c r="N996" s="5" t="s">
        <v>416</v>
      </c>
      <c r="O996" s="5" t="s">
        <v>73</v>
      </c>
      <c r="P996" s="5" t="s">
        <v>2089</v>
      </c>
      <c r="Q996" s="9">
        <v>3</v>
      </c>
      <c r="R996" s="5" t="s">
        <v>93</v>
      </c>
      <c r="S996" s="5" t="s">
        <v>94</v>
      </c>
      <c r="T996" s="5" t="s">
        <v>184</v>
      </c>
      <c r="U996" s="7">
        <v>44561</v>
      </c>
      <c r="V996" s="5" t="s">
        <v>135</v>
      </c>
      <c r="W996" s="6">
        <v>190</v>
      </c>
      <c r="X996" s="5" t="s">
        <v>79</v>
      </c>
      <c r="Y996" s="9">
        <v>3</v>
      </c>
      <c r="Z996" s="5" t="s">
        <v>80</v>
      </c>
      <c r="AA996" s="5" t="s">
        <v>81</v>
      </c>
      <c r="AB996" s="9">
        <v>38</v>
      </c>
      <c r="AC996" s="5" t="s">
        <v>79</v>
      </c>
      <c r="AD996" s="5" t="s">
        <v>79</v>
      </c>
      <c r="AE996" s="5" t="s">
        <v>82</v>
      </c>
      <c r="AF996" s="10">
        <v>105000</v>
      </c>
      <c r="AG996" s="7">
        <v>46326</v>
      </c>
      <c r="AH996" s="10"/>
      <c r="AI996" s="10"/>
      <c r="AJ996" s="11" t="str">
        <f t="shared" si="15"/>
        <v/>
      </c>
      <c r="AK996" s="12">
        <f>IF(B996="","",OR(K996="Not in use",K996="Low use")+AND(N996&lt;&gt;"",N996&lt;&gt;"TBD")+AND(ISNUMBER(U996),U996&lt;=EDATE('Scoring Settings'!$B$4,'Scoring Settings'!$B$8))+AND(ISNUMBER(L996),L996&lt;='Scoring Settings'!$B$7))</f>
        <v>3</v>
      </c>
      <c r="AL996" s="5" t="s">
        <v>111</v>
      </c>
      <c r="AM996" s="8" t="str">
        <f>IF(B996="","",IF(Z996="N","Easy",IF(OR(AND(ISNUMBER(AB996),AB996&gt;'Scoring Settings'!$B$11),AND(ISNUMBER(W996),W996&gt;'Scoring Settings'!$B$12),AND(ISNUMBER(M996),M996&lt;='Scoring Settings'!$B$13)),"High","Medium")))</f>
        <v>High</v>
      </c>
      <c r="AN996" s="5"/>
      <c r="AO996" s="7"/>
      <c r="AP996" s="5" t="s">
        <v>98</v>
      </c>
      <c r="AQ996" s="29" t="s">
        <v>124</v>
      </c>
    </row>
    <row r="997" spans="1:43" hidden="1">
      <c r="A997" s="28">
        <v>70063</v>
      </c>
      <c r="B997" s="5" t="s">
        <v>2092</v>
      </c>
      <c r="C997" s="5" t="s">
        <v>395</v>
      </c>
      <c r="D997" s="5" t="s">
        <v>88</v>
      </c>
      <c r="E997" s="5" t="s">
        <v>68</v>
      </c>
      <c r="F997" s="5" t="s">
        <v>312</v>
      </c>
      <c r="G997" s="5" t="s">
        <v>271</v>
      </c>
      <c r="H997" s="5" t="s">
        <v>142</v>
      </c>
      <c r="I997" s="6">
        <v>179</v>
      </c>
      <c r="J997" s="7">
        <v>44300</v>
      </c>
      <c r="K997" s="8" t="str">
        <f>IF(B997="","",IF(AND(I997="",J997=""),"Unknown",IF(OR(AND(ISNUMBER(I997),I997=0),AND(ISNUMBER(J997),J997&lt;=EDATE('Scoring Settings'!$B$4,-'Scoring Settings'!$B$5))),"Not in use",IF(AND(ISNUMBER(I997),I997&lt;'Scoring Settings'!$B$6),"Low use","Active"))))</f>
        <v>Active</v>
      </c>
      <c r="L997" s="5">
        <v>4</v>
      </c>
      <c r="M997" s="5">
        <v>2</v>
      </c>
      <c r="N997" s="5"/>
      <c r="O997" s="5" t="s">
        <v>143</v>
      </c>
      <c r="P997" s="5" t="s">
        <v>144</v>
      </c>
      <c r="Q997" s="9">
        <v>0</v>
      </c>
      <c r="R997" s="5" t="s">
        <v>145</v>
      </c>
      <c r="S997" s="5" t="s">
        <v>145</v>
      </c>
      <c r="T997" s="5" t="s">
        <v>146</v>
      </c>
      <c r="U997" s="7">
        <v>45138</v>
      </c>
      <c r="V997" s="5" t="s">
        <v>135</v>
      </c>
      <c r="W997" s="6">
        <v>690</v>
      </c>
      <c r="X997" s="5" t="s">
        <v>79</v>
      </c>
      <c r="Y997" s="9">
        <v>2</v>
      </c>
      <c r="Z997" s="5" t="s">
        <v>80</v>
      </c>
      <c r="AA997" s="5" t="s">
        <v>205</v>
      </c>
      <c r="AB997" s="9">
        <v>9</v>
      </c>
      <c r="AC997" s="5" t="s">
        <v>80</v>
      </c>
      <c r="AD997" s="5" t="s">
        <v>82</v>
      </c>
      <c r="AE997" s="5" t="s">
        <v>82</v>
      </c>
      <c r="AF997" s="10">
        <v>10500</v>
      </c>
      <c r="AG997" s="7">
        <v>49552</v>
      </c>
      <c r="AH997" s="10"/>
      <c r="AI997" s="10"/>
      <c r="AJ997" s="11" t="str">
        <f t="shared" si="15"/>
        <v/>
      </c>
      <c r="AK997" s="12">
        <f>IF(B997="","",OR(K997="Not in use",K997="Low use")+AND(N997&lt;&gt;"",N997&lt;&gt;"TBD")+AND(ISNUMBER(U997),U997&lt;=EDATE('Scoring Settings'!$B$4,'Scoring Settings'!$B$8))+AND(ISNUMBER(L997),L997&lt;='Scoring Settings'!$B$7))</f>
        <v>0</v>
      </c>
      <c r="AL997" s="5" t="s">
        <v>83</v>
      </c>
      <c r="AM997" s="8" t="str">
        <f>IF(B997="","",IF(Z997="N","Easy",IF(OR(AND(ISNUMBER(AB997),AB997&gt;'Scoring Settings'!$B$11),AND(ISNUMBER(W997),W997&gt;'Scoring Settings'!$B$12),AND(ISNUMBER(M997),M997&lt;='Scoring Settings'!$B$13)),"High","Medium")))</f>
        <v>High</v>
      </c>
      <c r="AN997" s="5"/>
      <c r="AO997" s="7"/>
      <c r="AP997" s="5" t="s">
        <v>84</v>
      </c>
      <c r="AQ997" s="29" t="s">
        <v>85</v>
      </c>
    </row>
    <row r="998" spans="1:43" hidden="1">
      <c r="A998" s="28">
        <v>158137</v>
      </c>
      <c r="B998" s="5" t="s">
        <v>2093</v>
      </c>
      <c r="C998" s="5" t="s">
        <v>242</v>
      </c>
      <c r="D998" s="5" t="s">
        <v>115</v>
      </c>
      <c r="E998" s="5" t="s">
        <v>68</v>
      </c>
      <c r="F998" s="5" t="s">
        <v>560</v>
      </c>
      <c r="G998" s="5" t="s">
        <v>117</v>
      </c>
      <c r="H998" s="5" t="s">
        <v>91</v>
      </c>
      <c r="I998" s="6">
        <v>228</v>
      </c>
      <c r="J998" s="7">
        <v>44300</v>
      </c>
      <c r="K998" s="8" t="str">
        <f>IF(B998="","",IF(AND(I998="",J998=""),"Unknown",IF(OR(AND(ISNUMBER(I998),I998=0),AND(ISNUMBER(J998),J998&lt;=EDATE('Scoring Settings'!$B$4,-'Scoring Settings'!$B$5))),"Not in use",IF(AND(ISNUMBER(I998),I998&lt;'Scoring Settings'!$B$6),"Low use","Active"))))</f>
        <v>Active</v>
      </c>
      <c r="L998" s="5">
        <v>2</v>
      </c>
      <c r="M998" s="5">
        <v>3</v>
      </c>
      <c r="N998" s="5" t="s">
        <v>1008</v>
      </c>
      <c r="O998" s="5" t="s">
        <v>73</v>
      </c>
      <c r="P998" s="5" t="s">
        <v>2094</v>
      </c>
      <c r="Q998" s="9">
        <v>4</v>
      </c>
      <c r="R998" s="5" t="s">
        <v>203</v>
      </c>
      <c r="S998" s="5" t="s">
        <v>204</v>
      </c>
      <c r="T998" s="5" t="s">
        <v>109</v>
      </c>
      <c r="U998" s="7">
        <v>47269</v>
      </c>
      <c r="V998" s="5" t="s">
        <v>135</v>
      </c>
      <c r="W998" s="6">
        <v>130</v>
      </c>
      <c r="X998" s="5" t="s">
        <v>80</v>
      </c>
      <c r="Y998" s="9">
        <v>7</v>
      </c>
      <c r="Z998" s="5" t="s">
        <v>80</v>
      </c>
      <c r="AA998" s="5" t="s">
        <v>123</v>
      </c>
      <c r="AB998" s="9">
        <v>1</v>
      </c>
      <c r="AC998" s="5" t="s">
        <v>79</v>
      </c>
      <c r="AD998" s="5" t="s">
        <v>82</v>
      </c>
      <c r="AE998" s="5" t="s">
        <v>79</v>
      </c>
      <c r="AF998" s="10">
        <v>55000</v>
      </c>
      <c r="AG998" s="7">
        <v>46873</v>
      </c>
      <c r="AH998" s="10">
        <v>40000</v>
      </c>
      <c r="AI998" s="10">
        <v>44000</v>
      </c>
      <c r="AJ998" s="11">
        <f t="shared" si="15"/>
        <v>10.909090909090908</v>
      </c>
      <c r="AK998" s="12">
        <f>IF(B998="","",OR(K998="Not in use",K998="Low use")+AND(N998&lt;&gt;"",N998&lt;&gt;"TBD")+AND(ISNUMBER(U998),U998&lt;=EDATE('Scoring Settings'!$B$4,'Scoring Settings'!$B$8))+AND(ISNUMBER(L998),L998&lt;='Scoring Settings'!$B$7))</f>
        <v>2</v>
      </c>
      <c r="AL998" s="5" t="s">
        <v>111</v>
      </c>
      <c r="AM998" s="8" t="str">
        <f>IF(B998="","",IF(Z998="N","Easy",IF(OR(AND(ISNUMBER(AB998),AB998&gt;'Scoring Settings'!$B$11),AND(ISNUMBER(W998),W998&gt;'Scoring Settings'!$B$12),AND(ISNUMBER(M998),M998&lt;='Scoring Settings'!$B$13)),"High","Medium")))</f>
        <v>Medium</v>
      </c>
      <c r="AN998" s="5"/>
      <c r="AO998" s="7"/>
      <c r="AP998" s="5" t="s">
        <v>98</v>
      </c>
      <c r="AQ998" s="29" t="s">
        <v>112</v>
      </c>
    </row>
    <row r="999" spans="1:43" hidden="1">
      <c r="A999" s="28">
        <v>80942</v>
      </c>
      <c r="B999" s="5" t="s">
        <v>2106</v>
      </c>
      <c r="C999" s="5" t="s">
        <v>453</v>
      </c>
      <c r="D999" s="5" t="s">
        <v>67</v>
      </c>
      <c r="E999" s="5" t="s">
        <v>298</v>
      </c>
      <c r="F999" s="5" t="s">
        <v>419</v>
      </c>
      <c r="G999" s="5" t="s">
        <v>284</v>
      </c>
      <c r="H999" s="5" t="s">
        <v>91</v>
      </c>
      <c r="I999" s="6">
        <v>0</v>
      </c>
      <c r="J999" s="7">
        <v>44219</v>
      </c>
      <c r="K999" s="8" t="str">
        <f>IF(B999="","",IF(AND(I999="",J999=""),"Unknown",IF(OR(AND(ISNUMBER(I999),I999=0),AND(ISNUMBER(J999),J999&lt;=EDATE('Scoring Settings'!$B$4,-'Scoring Settings'!$B$5))),"Not in use",IF(AND(ISNUMBER(I999),I999&lt;'Scoring Settings'!$B$6),"Low use","Active"))))</f>
        <v>Not in use</v>
      </c>
      <c r="L999" s="5">
        <v>4</v>
      </c>
      <c r="M999" s="5">
        <v>2</v>
      </c>
      <c r="N999" s="5" t="s">
        <v>1142</v>
      </c>
      <c r="O999" s="5" t="s">
        <v>73</v>
      </c>
      <c r="P999" s="5" t="s">
        <v>2107</v>
      </c>
      <c r="Q999" s="9">
        <v>5</v>
      </c>
      <c r="R999" s="5" t="s">
        <v>132</v>
      </c>
      <c r="S999" s="5" t="s">
        <v>133</v>
      </c>
      <c r="T999" s="5" t="s">
        <v>122</v>
      </c>
      <c r="U999" s="7">
        <v>44227</v>
      </c>
      <c r="V999" s="5" t="s">
        <v>135</v>
      </c>
      <c r="W999" s="6">
        <v>370</v>
      </c>
      <c r="X999" s="5" t="s">
        <v>80</v>
      </c>
      <c r="Y999" s="9">
        <v>10</v>
      </c>
      <c r="Z999" s="5" t="s">
        <v>80</v>
      </c>
      <c r="AA999" s="5" t="s">
        <v>123</v>
      </c>
      <c r="AB999" s="9">
        <v>16</v>
      </c>
      <c r="AC999" s="5" t="s">
        <v>82</v>
      </c>
      <c r="AD999" s="5" t="s">
        <v>82</v>
      </c>
      <c r="AE999" s="5" t="s">
        <v>79</v>
      </c>
      <c r="AF999" s="10">
        <v>145000</v>
      </c>
      <c r="AG999" s="7">
        <v>48944</v>
      </c>
      <c r="AH999" s="10">
        <v>116000</v>
      </c>
      <c r="AI999" s="10">
        <v>89500</v>
      </c>
      <c r="AJ999" s="11">
        <f t="shared" si="15"/>
        <v>15.553072625698324</v>
      </c>
      <c r="AK999" s="12">
        <f>IF(B999="","",OR(K999="Not in use",K999="Low use")+AND(N999&lt;&gt;"",N999&lt;&gt;"TBD")+AND(ISNUMBER(U999),U999&lt;=EDATE('Scoring Settings'!$B$4,'Scoring Settings'!$B$8))+AND(ISNUMBER(L999),L999&lt;='Scoring Settings'!$B$7))</f>
        <v>3</v>
      </c>
      <c r="AL999" s="5" t="s">
        <v>111</v>
      </c>
      <c r="AM999" s="8" t="str">
        <f>IF(B999="","",IF(Z999="N","Easy",IF(OR(AND(ISNUMBER(AB999),AB999&gt;'Scoring Settings'!$B$11),AND(ISNUMBER(W999),W999&gt;'Scoring Settings'!$B$12),AND(ISNUMBER(M999),M999&lt;='Scoring Settings'!$B$13)),"High","Medium")))</f>
        <v>High</v>
      </c>
      <c r="AN999" s="5"/>
      <c r="AO999" s="7"/>
      <c r="AP999" s="5" t="s">
        <v>98</v>
      </c>
      <c r="AQ999" s="29" t="s">
        <v>112</v>
      </c>
    </row>
    <row r="1000" spans="1:43" hidden="1">
      <c r="A1000" s="28">
        <v>76999</v>
      </c>
      <c r="B1000" s="5" t="s">
        <v>2108</v>
      </c>
      <c r="C1000" s="5" t="s">
        <v>208</v>
      </c>
      <c r="D1000" s="5" t="s">
        <v>67</v>
      </c>
      <c r="E1000" s="5" t="s">
        <v>68</v>
      </c>
      <c r="F1000" s="5" t="s">
        <v>243</v>
      </c>
      <c r="G1000" s="5" t="s">
        <v>267</v>
      </c>
      <c r="H1000" s="5" t="s">
        <v>91</v>
      </c>
      <c r="I1000" s="6">
        <v>25</v>
      </c>
      <c r="J1000" s="7">
        <v>44304</v>
      </c>
      <c r="K1000" s="8" t="str">
        <f>IF(B1000="","",IF(AND(I1000="",J1000=""),"Unknown",IF(OR(AND(ISNUMBER(I1000),I1000=0),AND(ISNUMBER(J1000),J1000&lt;=EDATE('Scoring Settings'!$B$4,-'Scoring Settings'!$B$5))),"Not in use",IF(AND(ISNUMBER(I1000),I1000&lt;'Scoring Settings'!$B$6),"Low use","Active"))))</f>
        <v>Active</v>
      </c>
      <c r="L1000" s="5">
        <v>4</v>
      </c>
      <c r="M1000" s="5">
        <v>2</v>
      </c>
      <c r="N1000" s="5" t="s">
        <v>227</v>
      </c>
      <c r="O1000" s="5" t="s">
        <v>130</v>
      </c>
      <c r="P1000" s="5" t="s">
        <v>2109</v>
      </c>
      <c r="Q1000" s="9">
        <v>3</v>
      </c>
      <c r="R1000" s="5" t="s">
        <v>107</v>
      </c>
      <c r="S1000" s="5" t="s">
        <v>108</v>
      </c>
      <c r="T1000" s="5" t="s">
        <v>195</v>
      </c>
      <c r="U1000" s="7">
        <v>43655</v>
      </c>
      <c r="V1000" s="5" t="s">
        <v>95</v>
      </c>
      <c r="W1000" s="6">
        <v>26</v>
      </c>
      <c r="X1000" s="5" t="s">
        <v>79</v>
      </c>
      <c r="Y1000" s="9">
        <v>2</v>
      </c>
      <c r="Z1000" s="5" t="s">
        <v>80</v>
      </c>
      <c r="AA1000" s="5" t="s">
        <v>81</v>
      </c>
      <c r="AB1000" s="9">
        <v>25</v>
      </c>
      <c r="AC1000" s="5" t="s">
        <v>79</v>
      </c>
      <c r="AD1000" s="5" t="s">
        <v>79</v>
      </c>
      <c r="AE1000" s="5" t="s">
        <v>82</v>
      </c>
      <c r="AF1000" s="10">
        <v>65000</v>
      </c>
      <c r="AG1000" s="7">
        <v>49064</v>
      </c>
      <c r="AH1000" s="10"/>
      <c r="AI1000" s="10"/>
      <c r="AJ1000" s="11" t="str">
        <f t="shared" si="15"/>
        <v/>
      </c>
      <c r="AK1000" s="12">
        <f>IF(B1000="","",OR(K1000="Not in use",K1000="Low use")+AND(N1000&lt;&gt;"",N1000&lt;&gt;"TBD")+AND(ISNUMBER(U1000),U1000&lt;=EDATE('Scoring Settings'!$B$4,'Scoring Settings'!$B$8))+AND(ISNUMBER(L1000),L1000&lt;='Scoring Settings'!$B$7))</f>
        <v>2</v>
      </c>
      <c r="AL1000" s="5" t="s">
        <v>111</v>
      </c>
      <c r="AM1000" s="8" t="str">
        <f>IF(B1000="","",IF(Z1000="N","Easy",IF(OR(AND(ISNUMBER(AB1000),AB1000&gt;'Scoring Settings'!$B$11),AND(ISNUMBER(W1000),W1000&gt;'Scoring Settings'!$B$12),AND(ISNUMBER(M1000),M1000&lt;='Scoring Settings'!$B$13)),"High","Medium")))</f>
        <v>High</v>
      </c>
      <c r="AN1000" s="5"/>
      <c r="AO1000" s="7"/>
      <c r="AP1000" s="5" t="s">
        <v>98</v>
      </c>
      <c r="AQ1000" s="29" t="s">
        <v>218</v>
      </c>
    </row>
    <row r="1001" spans="1:43" hidden="1">
      <c r="A1001" s="28">
        <v>179546</v>
      </c>
      <c r="B1001" s="5" t="s">
        <v>2112</v>
      </c>
      <c r="C1001" s="5" t="s">
        <v>464</v>
      </c>
      <c r="D1001" s="5" t="s">
        <v>88</v>
      </c>
      <c r="E1001" s="5" t="s">
        <v>298</v>
      </c>
      <c r="F1001" s="5" t="s">
        <v>396</v>
      </c>
      <c r="G1001" s="5" t="s">
        <v>356</v>
      </c>
      <c r="H1001" s="5" t="s">
        <v>105</v>
      </c>
      <c r="I1001" s="6">
        <v>554</v>
      </c>
      <c r="J1001" s="7">
        <v>44291</v>
      </c>
      <c r="K1001" s="8" t="str">
        <f>IF(B1001="","",IF(AND(I1001="",J1001=""),"Unknown",IF(OR(AND(ISNUMBER(I1001),I1001=0),AND(ISNUMBER(J1001),J1001&lt;=EDATE('Scoring Settings'!$B$4,-'Scoring Settings'!$B$5))),"Not in use",IF(AND(ISNUMBER(I1001),I1001&lt;'Scoring Settings'!$B$6),"Low use","Active"))))</f>
        <v>Active</v>
      </c>
      <c r="L1001" s="5">
        <v>4</v>
      </c>
      <c r="M1001" s="5">
        <v>2</v>
      </c>
      <c r="N1001" s="5"/>
      <c r="O1001" s="5" t="s">
        <v>73</v>
      </c>
      <c r="P1001" s="5" t="s">
        <v>2113</v>
      </c>
      <c r="Q1001" s="9">
        <v>8</v>
      </c>
      <c r="R1001" s="5" t="s">
        <v>166</v>
      </c>
      <c r="S1001" s="5" t="s">
        <v>564</v>
      </c>
      <c r="T1001" s="5" t="s">
        <v>122</v>
      </c>
      <c r="U1001" s="7">
        <v>44754</v>
      </c>
      <c r="V1001" s="5" t="s">
        <v>135</v>
      </c>
      <c r="W1001" s="6">
        <v>1760</v>
      </c>
      <c r="X1001" s="5" t="s">
        <v>79</v>
      </c>
      <c r="Y1001" s="9">
        <v>1</v>
      </c>
      <c r="Z1001" s="5" t="s">
        <v>80</v>
      </c>
      <c r="AA1001" s="5" t="s">
        <v>205</v>
      </c>
      <c r="AB1001" s="9">
        <v>20</v>
      </c>
      <c r="AC1001" s="5" t="s">
        <v>80</v>
      </c>
      <c r="AD1001" s="5" t="s">
        <v>79</v>
      </c>
      <c r="AE1001" s="5" t="s">
        <v>80</v>
      </c>
      <c r="AF1001" s="10">
        <v>135000</v>
      </c>
      <c r="AG1001" s="7">
        <v>48426</v>
      </c>
      <c r="AH1001" s="10"/>
      <c r="AI1001" s="10"/>
      <c r="AJ1001" s="11" t="str">
        <f t="shared" si="15"/>
        <v/>
      </c>
      <c r="AK1001" s="12">
        <f>IF(B1001="","",OR(K1001="Not in use",K1001="Low use")+AND(N1001&lt;&gt;"",N1001&lt;&gt;"TBD")+AND(ISNUMBER(U1001),U1001&lt;=EDATE('Scoring Settings'!$B$4,'Scoring Settings'!$B$8))+AND(ISNUMBER(L1001),L1001&lt;='Scoring Settings'!$B$7))</f>
        <v>0</v>
      </c>
      <c r="AL1001" s="5" t="s">
        <v>83</v>
      </c>
      <c r="AM1001" s="8" t="str">
        <f>IF(B1001="","",IF(Z1001="N","Easy",IF(OR(AND(ISNUMBER(AB1001),AB1001&gt;'Scoring Settings'!$B$11),AND(ISNUMBER(W1001),W1001&gt;'Scoring Settings'!$B$12),AND(ISNUMBER(M1001),M1001&lt;='Scoring Settings'!$B$13)),"High","Medium")))</f>
        <v>High</v>
      </c>
      <c r="AN1001" s="5"/>
      <c r="AO1001" s="7"/>
      <c r="AP1001" s="5" t="s">
        <v>84</v>
      </c>
      <c r="AQ1001" s="29" t="s">
        <v>247</v>
      </c>
    </row>
    <row r="1002" spans="1:43" hidden="1">
      <c r="A1002" s="28">
        <v>142853</v>
      </c>
      <c r="B1002" s="5" t="s">
        <v>2117</v>
      </c>
      <c r="C1002" s="5" t="s">
        <v>151</v>
      </c>
      <c r="D1002" s="5" t="s">
        <v>102</v>
      </c>
      <c r="E1002" s="5" t="s">
        <v>68</v>
      </c>
      <c r="F1002" s="5" t="s">
        <v>346</v>
      </c>
      <c r="G1002" s="5" t="s">
        <v>141</v>
      </c>
      <c r="H1002" s="5" t="s">
        <v>142</v>
      </c>
      <c r="I1002" s="6">
        <v>306</v>
      </c>
      <c r="J1002" s="7">
        <v>44283</v>
      </c>
      <c r="K1002" s="8" t="str">
        <f>IF(B1002="","",IF(AND(I1002="",J1002=""),"Unknown",IF(OR(AND(ISNUMBER(I1002),I1002=0),AND(ISNUMBER(J1002),J1002&lt;=EDATE('Scoring Settings'!$B$4,-'Scoring Settings'!$B$5))),"Not in use",IF(AND(ISNUMBER(I1002),I1002&lt;'Scoring Settings'!$B$6),"Low use","Active"))))</f>
        <v>Active</v>
      </c>
      <c r="L1002" s="5">
        <v>5</v>
      </c>
      <c r="M1002" s="5">
        <v>1</v>
      </c>
      <c r="N1002" s="5"/>
      <c r="O1002" s="5" t="s">
        <v>143</v>
      </c>
      <c r="P1002" s="5" t="s">
        <v>144</v>
      </c>
      <c r="Q1002" s="9">
        <v>0</v>
      </c>
      <c r="R1002" s="5" t="s">
        <v>145</v>
      </c>
      <c r="S1002" s="5" t="s">
        <v>145</v>
      </c>
      <c r="T1002" s="5" t="s">
        <v>146</v>
      </c>
      <c r="U1002" s="7"/>
      <c r="V1002" s="5" t="s">
        <v>135</v>
      </c>
      <c r="W1002" s="6">
        <v>30</v>
      </c>
      <c r="X1002" s="5" t="s">
        <v>79</v>
      </c>
      <c r="Y1002" s="9">
        <v>3</v>
      </c>
      <c r="Z1002" s="5" t="s">
        <v>80</v>
      </c>
      <c r="AA1002" s="5" t="s">
        <v>81</v>
      </c>
      <c r="AB1002" s="9">
        <v>77</v>
      </c>
      <c r="AC1002" s="5" t="s">
        <v>80</v>
      </c>
      <c r="AD1002" s="5" t="s">
        <v>82</v>
      </c>
      <c r="AE1002" s="5" t="s">
        <v>80</v>
      </c>
      <c r="AF1002" s="10">
        <v>355000</v>
      </c>
      <c r="AG1002" s="7">
        <v>46022</v>
      </c>
      <c r="AH1002" s="10"/>
      <c r="AI1002" s="10"/>
      <c r="AJ1002" s="11" t="str">
        <f t="shared" si="15"/>
        <v/>
      </c>
      <c r="AK1002" s="12">
        <f>IF(B1002="","",OR(K1002="Not in use",K1002="Low use")+AND(N1002&lt;&gt;"",N1002&lt;&gt;"TBD")+AND(ISNUMBER(U1002),U1002&lt;=EDATE('Scoring Settings'!$B$4,'Scoring Settings'!$B$8))+AND(ISNUMBER(L1002),L1002&lt;='Scoring Settings'!$B$7))</f>
        <v>0</v>
      </c>
      <c r="AL1002" s="5" t="s">
        <v>83</v>
      </c>
      <c r="AM1002" s="8" t="str">
        <f>IF(B1002="","",IF(Z1002="N","Easy",IF(OR(AND(ISNUMBER(AB1002),AB1002&gt;'Scoring Settings'!$B$11),AND(ISNUMBER(W1002),W1002&gt;'Scoring Settings'!$B$12),AND(ISNUMBER(M1002),M1002&lt;='Scoring Settings'!$B$13)),"High","Medium")))</f>
        <v>High</v>
      </c>
      <c r="AN1002" s="5"/>
      <c r="AO1002" s="7"/>
      <c r="AP1002" s="5" t="s">
        <v>84</v>
      </c>
      <c r="AQ1002" s="29" t="s">
        <v>206</v>
      </c>
    </row>
    <row r="1003" spans="1:43" hidden="1">
      <c r="A1003" s="28">
        <v>178570</v>
      </c>
      <c r="B1003" s="5" t="s">
        <v>2126</v>
      </c>
      <c r="C1003" s="5" t="s">
        <v>305</v>
      </c>
      <c r="D1003" s="5" t="s">
        <v>297</v>
      </c>
      <c r="E1003" s="5" t="s">
        <v>68</v>
      </c>
      <c r="F1003" s="5" t="s">
        <v>312</v>
      </c>
      <c r="G1003" s="5" t="s">
        <v>267</v>
      </c>
      <c r="H1003" s="5" t="s">
        <v>129</v>
      </c>
      <c r="I1003" s="6">
        <v>506</v>
      </c>
      <c r="J1003" s="7">
        <v>44285</v>
      </c>
      <c r="K1003" s="8" t="str">
        <f>IF(B1003="","",IF(AND(I1003="",J1003=""),"Unknown",IF(OR(AND(ISNUMBER(I1003),I1003=0),AND(ISNUMBER(J1003),J1003&lt;=EDATE('Scoring Settings'!$B$4,-'Scoring Settings'!$B$5))),"Not in use",IF(AND(ISNUMBER(I1003),I1003&lt;'Scoring Settings'!$B$6),"Low use","Active"))))</f>
        <v>Active</v>
      </c>
      <c r="L1003" s="5">
        <v>4</v>
      </c>
      <c r="M1003" s="5">
        <v>2</v>
      </c>
      <c r="N1003" s="5"/>
      <c r="O1003" s="5" t="s">
        <v>73</v>
      </c>
      <c r="P1003" s="5" t="s">
        <v>2127</v>
      </c>
      <c r="Q1003" s="9">
        <v>7</v>
      </c>
      <c r="R1003" s="5" t="s">
        <v>203</v>
      </c>
      <c r="S1003" s="5" t="s">
        <v>508</v>
      </c>
      <c r="T1003" s="5" t="s">
        <v>72</v>
      </c>
      <c r="U1003" s="7">
        <v>47269</v>
      </c>
      <c r="V1003" s="5" t="s">
        <v>135</v>
      </c>
      <c r="W1003" s="6">
        <v>65</v>
      </c>
      <c r="X1003" s="5" t="s">
        <v>80</v>
      </c>
      <c r="Y1003" s="9">
        <v>5</v>
      </c>
      <c r="Z1003" s="5" t="s">
        <v>79</v>
      </c>
      <c r="AA1003" s="5" t="s">
        <v>110</v>
      </c>
      <c r="AB1003" s="9">
        <v>30</v>
      </c>
      <c r="AC1003" s="5" t="s">
        <v>82</v>
      </c>
      <c r="AD1003" s="5" t="s">
        <v>82</v>
      </c>
      <c r="AE1003" s="5" t="s">
        <v>82</v>
      </c>
      <c r="AF1003" s="10">
        <v>155000</v>
      </c>
      <c r="AG1003" s="7">
        <v>46843</v>
      </c>
      <c r="AH1003" s="10"/>
      <c r="AI1003" s="10"/>
      <c r="AJ1003" s="11" t="str">
        <f t="shared" si="15"/>
        <v/>
      </c>
      <c r="AK1003" s="12">
        <f>IF(B1003="","",OR(K1003="Not in use",K1003="Low use")+AND(N1003&lt;&gt;"",N1003&lt;&gt;"TBD")+AND(ISNUMBER(U1003),U1003&lt;=EDATE('Scoring Settings'!$B$4,'Scoring Settings'!$B$8))+AND(ISNUMBER(L1003),L1003&lt;='Scoring Settings'!$B$7))</f>
        <v>0</v>
      </c>
      <c r="AL1003" s="5" t="s">
        <v>83</v>
      </c>
      <c r="AM1003" s="8" t="str">
        <f>IF(B1003="","",IF(Z1003="N","Easy",IF(OR(AND(ISNUMBER(AB1003),AB1003&gt;'Scoring Settings'!$B$11),AND(ISNUMBER(W1003),W1003&gt;'Scoring Settings'!$B$12),AND(ISNUMBER(M1003),M1003&lt;='Scoring Settings'!$B$13)),"High","Medium")))</f>
        <v>Easy</v>
      </c>
      <c r="AN1003" s="5"/>
      <c r="AO1003" s="7"/>
      <c r="AP1003" s="5" t="s">
        <v>84</v>
      </c>
      <c r="AQ1003" s="29" t="s">
        <v>85</v>
      </c>
    </row>
    <row r="1004" spans="1:43" hidden="1">
      <c r="A1004" s="33">
        <v>156159</v>
      </c>
      <c r="B1004" s="34" t="s">
        <v>2130</v>
      </c>
      <c r="C1004" s="34" t="s">
        <v>470</v>
      </c>
      <c r="D1004" s="34" t="s">
        <v>297</v>
      </c>
      <c r="E1004" s="34" t="s">
        <v>311</v>
      </c>
      <c r="F1004" s="34" t="s">
        <v>163</v>
      </c>
      <c r="G1004" s="34" t="s">
        <v>179</v>
      </c>
      <c r="H1004" s="34" t="s">
        <v>91</v>
      </c>
      <c r="I1004" s="35">
        <v>640</v>
      </c>
      <c r="J1004" s="36">
        <v>44286</v>
      </c>
      <c r="K1004" s="37" t="str">
        <f>IF(B1004="","",IF(AND(I1004="",J1004=""),"Unknown",IF(OR(AND(ISNUMBER(I1004),I1004=0),AND(ISNUMBER(J1004),J1004&lt;=EDATE('Scoring Settings'!$B$4,-'Scoring Settings'!$B$5))),"Not in use",IF(AND(ISNUMBER(I1004),I1004&lt;'Scoring Settings'!$B$6),"Low use","Active"))))</f>
        <v>Active</v>
      </c>
      <c r="L1004" s="34">
        <v>5</v>
      </c>
      <c r="M1004" s="34">
        <v>2</v>
      </c>
      <c r="N1004" s="34" t="s">
        <v>827</v>
      </c>
      <c r="O1004" s="34" t="s">
        <v>73</v>
      </c>
      <c r="P1004" s="34" t="s">
        <v>2131</v>
      </c>
      <c r="Q1004" s="38">
        <v>1</v>
      </c>
      <c r="R1004" s="34" t="s">
        <v>478</v>
      </c>
      <c r="S1004" s="34" t="s">
        <v>479</v>
      </c>
      <c r="T1004" s="34" t="s">
        <v>184</v>
      </c>
      <c r="U1004" s="36">
        <v>43844</v>
      </c>
      <c r="V1004" s="34" t="s">
        <v>135</v>
      </c>
      <c r="W1004" s="35">
        <v>570</v>
      </c>
      <c r="X1004" s="34" t="s">
        <v>80</v>
      </c>
      <c r="Y1004" s="38">
        <v>7</v>
      </c>
      <c r="Z1004" s="34" t="s">
        <v>79</v>
      </c>
      <c r="AA1004" s="34" t="s">
        <v>110</v>
      </c>
      <c r="AB1004" s="38">
        <v>26</v>
      </c>
      <c r="AC1004" s="34" t="s">
        <v>80</v>
      </c>
      <c r="AD1004" s="34" t="s">
        <v>80</v>
      </c>
      <c r="AE1004" s="34" t="s">
        <v>79</v>
      </c>
      <c r="AF1004" s="39">
        <v>75000</v>
      </c>
      <c r="AG1004" s="36">
        <v>47879</v>
      </c>
      <c r="AH1004" s="39"/>
      <c r="AI1004" s="39"/>
      <c r="AJ1004" s="40" t="str">
        <f t="shared" si="15"/>
        <v/>
      </c>
      <c r="AK1004" s="41">
        <f>IF(B1004="","",OR(K1004="Not in use",K1004="Low use")+AND(N1004&lt;&gt;"",N1004&lt;&gt;"TBD")+AND(ISNUMBER(U1004),U1004&lt;=EDATE('Scoring Settings'!$B$4,'Scoring Settings'!$B$8))+AND(ISNUMBER(L1004),L1004&lt;='Scoring Settings'!$B$7))</f>
        <v>2</v>
      </c>
      <c r="AL1004" s="34" t="s">
        <v>111</v>
      </c>
      <c r="AM1004" s="37" t="str">
        <f>IF(B1004="","",IF(Z1004="N","Easy",IF(OR(AND(ISNUMBER(AB1004),AB1004&gt;'Scoring Settings'!$B$11),AND(ISNUMBER(W1004),W1004&gt;'Scoring Settings'!$B$12),AND(ISNUMBER(M1004),M1004&lt;='Scoring Settings'!$B$13)),"High","Medium")))</f>
        <v>Easy</v>
      </c>
      <c r="AN1004" s="34"/>
      <c r="AO1004" s="36"/>
      <c r="AP1004" s="34" t="s">
        <v>98</v>
      </c>
      <c r="AQ1004" s="42" t="s">
        <v>218</v>
      </c>
    </row>
  </sheetData>
  <mergeCells count="9">
    <mergeCell ref="AC3:AE3"/>
    <mergeCell ref="AF3:AJ3"/>
    <mergeCell ref="AK3:AM3"/>
    <mergeCell ref="AN3:AQ3"/>
    <mergeCell ref="A3:E3"/>
    <mergeCell ref="F3:H3"/>
    <mergeCell ref="I3:N3"/>
    <mergeCell ref="O3:U3"/>
    <mergeCell ref="V3:AA3"/>
  </mergeCells>
  <dataValidations count="12">
    <dataValidation type="list" allowBlank="1" sqref="D5:D1004">
      <formula1>"Finance,HR,Sales,Operations,Supply Chain,IT,Marketing"</formula1>
      <formula2>0</formula2>
    </dataValidation>
    <dataValidation type="list" allowBlank="1" sqref="E5:E1004">
      <formula1>"Internal,External,Partner"</formula1>
      <formula2>0</formula2>
    </dataValidation>
    <dataValidation type="list" allowBlank="1" sqref="L5:L1004">
      <formula1>"1,2,3,4,5"</formula1>
      <formula2>0</formula2>
    </dataValidation>
    <dataValidation type="list" allowBlank="1" sqref="M5:M1004">
      <formula1>"1,2,3,4"</formula1>
      <formula2>0</formula2>
    </dataValidation>
    <dataValidation type="list" allowBlank="1" sqref="O5:O1004">
      <formula1>"On-prem DC,IaaS,PaaS,SaaS"</formula1>
      <formula2>0</formula2>
    </dataValidation>
    <dataValidation type="list" allowBlank="1" sqref="V5:V1004">
      <formula1>"Structured,Unstructured,Both"</formula1>
      <formula2>0</formula2>
    </dataValidation>
    <dataValidation type="list" allowBlank="1" sqref="X5:X1004 Z5:Z1004">
      <formula1>"Y,N"</formula1>
      <formula2>0</formula2>
    </dataValidation>
    <dataValidation type="list" allowBlank="1" sqref="AA5:AA1004">
      <formula1>"None,Data archive,Read-only access,Archive + read-only,Legal hold,Reporting extract"</formula1>
      <formula2>0</formula2>
    </dataValidation>
    <dataValidation type="list" allowBlank="1" sqref="AC5:AE1004">
      <formula1>"Y,Partial,N"</formula1>
      <formula2>0</formula2>
    </dataValidation>
    <dataValidation type="list" allowBlank="1" sqref="AN5:AN1004">
      <formula1>"Wave 1,Wave 2,Wave 3,Backlog"</formula1>
      <formula2>0</formula2>
    </dataValidation>
    <dataValidation type="list" allowBlank="1" sqref="AP5:AP1004">
      <formula1>"Under Review,Approved,In progress,On hold,Completed,Rejected"</formula1>
      <formula2>0</formula2>
    </dataValidation>
    <dataValidation type="list" allowBlank="1" sqref="AL5:AL1004">
      <formula1>"Decommission,Retire,Retire + Archive,Retain,Pending"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&amp;C&amp;"Aptos,Regular"&amp;6 &amp;K626469_x005F_x000d_# Public_x000D_&amp;1#&amp;"Aptos"&amp;6&amp;K626469 Public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V72"/>
  <sheetViews>
    <sheetView workbookViewId="0">
      <selection activeCell="A13" sqref="A13:I17"/>
    </sheetView>
  </sheetViews>
  <sheetFormatPr defaultColWidth="8.7109375" defaultRowHeight="15"/>
  <cols>
    <col min="1" max="1" width="52" customWidth="1"/>
    <col min="2" max="8" width="15" customWidth="1"/>
    <col min="9" max="9" width="18.85546875" bestFit="1" customWidth="1"/>
    <col min="10" max="10" width="20.7109375" bestFit="1" customWidth="1"/>
    <col min="11" max="12" width="8.28515625" bestFit="1" customWidth="1"/>
    <col min="13" max="13" width="7.85546875" bestFit="1" customWidth="1"/>
    <col min="14" max="14" width="8.42578125" bestFit="1" customWidth="1"/>
    <col min="15" max="15" width="8.140625" bestFit="1" customWidth="1"/>
    <col min="16" max="16" width="7.42578125" bestFit="1" customWidth="1"/>
    <col min="17" max="17" width="8.28515625" bestFit="1" customWidth="1"/>
    <col min="18" max="18" width="8.42578125" bestFit="1" customWidth="1"/>
    <col min="19" max="19" width="8" bestFit="1" customWidth="1"/>
    <col min="20" max="20" width="8.5703125" bestFit="1" customWidth="1"/>
    <col min="21" max="21" width="8.42578125" bestFit="1" customWidth="1"/>
    <col min="22" max="22" width="13.140625" bestFit="1" customWidth="1"/>
    <col min="23" max="46" width="10.42578125" bestFit="1" customWidth="1"/>
    <col min="47" max="47" width="8" bestFit="1" customWidth="1"/>
    <col min="48" max="48" width="11.28515625" bestFit="1" customWidth="1"/>
  </cols>
  <sheetData>
    <row r="1" spans="1:9" ht="18" customHeight="1">
      <c r="A1" s="1" t="s">
        <v>2137</v>
      </c>
    </row>
    <row r="2" spans="1:9">
      <c r="A2" s="3" t="s">
        <v>2138</v>
      </c>
    </row>
    <row r="3" spans="1:9">
      <c r="A3" s="14" t="s">
        <v>2225</v>
      </c>
      <c r="B3" s="55" t="s">
        <v>196</v>
      </c>
    </row>
    <row r="4" spans="1:9">
      <c r="A4" s="56" t="s">
        <v>2226</v>
      </c>
      <c r="B4" s="57">
        <v>44317</v>
      </c>
    </row>
    <row r="5" spans="1:9" ht="15" customHeight="1">
      <c r="A5" s="14" t="s">
        <v>2139</v>
      </c>
      <c r="B5" s="15">
        <f>COUNTA('Application Inventory'!$B$5:$B$1004)</f>
        <v>1000</v>
      </c>
    </row>
    <row r="6" spans="1:9" ht="15" customHeight="1">
      <c r="A6" s="14" t="s">
        <v>2140</v>
      </c>
      <c r="B6" s="15">
        <f>COUNTIF('Application Inventory'!$AL$5:$AL$1004,"Decommission")+COUNTIF('Application Inventory'!$AL$5:$AL$1004,"Retire")+COUNTIF('Application Inventory'!$AL$5:$AL$1004,"Retire + Archive")+COUNTIF('Application Inventory'!$AL$5:$AL$1004,"Retain")</f>
        <v>549</v>
      </c>
    </row>
    <row r="7" spans="1:9" ht="15" customHeight="1">
      <c r="A7" s="14" t="s">
        <v>2141</v>
      </c>
      <c r="B7" s="15">
        <f>COUNTIF('Application Inventory'!$AL$5:$AL$1004,"Decommission")+COUNTIF('Application Inventory'!$AL$5:$AL$1004,"Retire")+COUNTIF('Application Inventory'!$AL$5:$AL$1004,"Retire + Archive")</f>
        <v>349</v>
      </c>
    </row>
    <row r="8" spans="1:9" ht="15" customHeight="1">
      <c r="A8" s="14" t="s">
        <v>83</v>
      </c>
      <c r="B8" s="15">
        <f>COUNTIF('Application Inventory'!$AL$5:$AL$1004,"Retain")</f>
        <v>200</v>
      </c>
    </row>
    <row r="9" spans="1:9" ht="15" customHeight="1">
      <c r="A9" s="14" t="s">
        <v>2142</v>
      </c>
      <c r="B9" s="15">
        <f>COUNTIF('Application Inventory'!$AL$5:$AL$1004,"Pending")</f>
        <v>300</v>
      </c>
    </row>
    <row r="10" spans="1:9" ht="15" customHeight="1">
      <c r="A10" s="14" t="s">
        <v>2143</v>
      </c>
      <c r="B10" s="15">
        <f>SUMIF('Application Inventory'!$AL$5:$AL$1004,"Decommission",'Application Inventory'!$AI$5:$AI$1004)+SUMIF('Application Inventory'!$AL$5:$AL$1004,"Retire",'Application Inventory'!$AI$5:$AI$1004)+SUMIF('Application Inventory'!$AL$5:$AL$1004,"Retire + Archive",'Application Inventory'!$AI$5:$AI$1004)</f>
        <v>12956000</v>
      </c>
    </row>
    <row r="11" spans="1:9" ht="15" customHeight="1">
      <c r="A11" s="14" t="s">
        <v>2144</v>
      </c>
      <c r="B11" s="15">
        <f>COUNTIF('Application Inventory'!$AP$5:$AP$1004,"Completed")</f>
        <v>58</v>
      </c>
    </row>
    <row r="12" spans="1:9" ht="30" customHeight="1">
      <c r="A12" s="16" t="s">
        <v>21</v>
      </c>
      <c r="B12" s="16" t="s">
        <v>2145</v>
      </c>
      <c r="C12" s="16" t="s">
        <v>2146</v>
      </c>
      <c r="D12" s="16" t="s">
        <v>2147</v>
      </c>
      <c r="E12" s="16" t="s">
        <v>2148</v>
      </c>
      <c r="F12" s="16" t="s">
        <v>54</v>
      </c>
      <c r="G12" s="16" t="s">
        <v>57</v>
      </c>
      <c r="H12" s="16" t="s">
        <v>56</v>
      </c>
      <c r="I12" s="16" t="s">
        <v>45</v>
      </c>
    </row>
    <row r="13" spans="1:9">
      <c r="A13" s="17" t="s">
        <v>169</v>
      </c>
      <c r="B13" s="17">
        <f>COUNTIFS('Application Inventory'!$AL$5:$AL$1004,$A13,'Application Inventory'!$AM$5:$AM$1004,"Easy")</f>
        <v>0</v>
      </c>
      <c r="C13" s="17">
        <f>COUNTIFS('Application Inventory'!$AL$5:$AL$1004,$A13,'Application Inventory'!$AM$5:$AM$1004,"Medium")</f>
        <v>0</v>
      </c>
      <c r="D13" s="17">
        <f>COUNTIFS('Application Inventory'!$AL$5:$AL$1004,$A13,'Application Inventory'!$AM$5:$AM$1004,"High")</f>
        <v>0</v>
      </c>
      <c r="E13" s="17">
        <f>SUM(B13:D13)</f>
        <v>0</v>
      </c>
      <c r="F13" s="18">
        <f>SUMIF('Application Inventory'!$AL$5:$AL$1004,$A13,'Application Inventory'!$AF$5:$AF$1004)</f>
        <v>0</v>
      </c>
      <c r="G13" s="18">
        <f>SUMIF('Application Inventory'!$AL$5:$AL$1004,$A13,'Application Inventory'!$AI$5:$AI$1004)</f>
        <v>0</v>
      </c>
      <c r="H13" s="18">
        <f>SUMIF('Application Inventory'!$AL$5:$AL$1004,$A13,'Application Inventory'!$AH$5:$AH$1004)</f>
        <v>0</v>
      </c>
      <c r="I13" s="19">
        <f>SUMIF('Application Inventory'!$AL$5:$AL$1004,$A13,'Application Inventory'!$W$5:$W$1004)</f>
        <v>0</v>
      </c>
    </row>
    <row r="14" spans="1:9">
      <c r="A14" s="17" t="s">
        <v>223</v>
      </c>
      <c r="B14" s="17">
        <f>COUNTIFS('Application Inventory'!$AL$5:$AL$1004,$A14,'Application Inventory'!$AM$5:$AM$1004,"Easy")</f>
        <v>161</v>
      </c>
      <c r="C14" s="17">
        <f>COUNTIFS('Application Inventory'!$AL$5:$AL$1004,$A14,'Application Inventory'!$AM$5:$AM$1004,"Medium")</f>
        <v>0</v>
      </c>
      <c r="D14" s="17">
        <f>COUNTIFS('Application Inventory'!$AL$5:$AL$1004,$A14,'Application Inventory'!$AM$5:$AM$1004,"High")</f>
        <v>0</v>
      </c>
      <c r="E14" s="17">
        <f>SUM(B14:D14)</f>
        <v>161</v>
      </c>
      <c r="F14" s="18">
        <f>SUMIF('Application Inventory'!$AL$5:$AL$1004,$A14,'Application Inventory'!$AF$5:$AF$1004)</f>
        <v>7969500</v>
      </c>
      <c r="G14" s="18">
        <f>SUMIF('Application Inventory'!$AL$5:$AL$1004,$A14,'Application Inventory'!$AI$5:$AI$1004)</f>
        <v>6950000</v>
      </c>
      <c r="H14" s="18">
        <f>SUMIF('Application Inventory'!$AL$5:$AL$1004,$A14,'Application Inventory'!$AH$5:$AH$1004)</f>
        <v>39038000</v>
      </c>
      <c r="I14" s="19">
        <f>SUMIF('Application Inventory'!$AL$5:$AL$1004,$A14,'Application Inventory'!$W$5:$W$1004)</f>
        <v>53027</v>
      </c>
    </row>
    <row r="15" spans="1:9">
      <c r="A15" s="17" t="s">
        <v>96</v>
      </c>
      <c r="B15" s="17">
        <f>COUNTIFS('Application Inventory'!$AL$5:$AL$1004,$A15,'Application Inventory'!$AM$5:$AM$1004,"Easy")</f>
        <v>0</v>
      </c>
      <c r="C15" s="17">
        <f>COUNTIFS('Application Inventory'!$AL$5:$AL$1004,$A15,'Application Inventory'!$AM$5:$AM$1004,"Medium")</f>
        <v>105</v>
      </c>
      <c r="D15" s="17">
        <f>COUNTIFS('Application Inventory'!$AL$5:$AL$1004,$A15,'Application Inventory'!$AM$5:$AM$1004,"High")</f>
        <v>83</v>
      </c>
      <c r="E15" s="17">
        <f>SUM(B15:D15)</f>
        <v>188</v>
      </c>
      <c r="F15" s="18">
        <f>SUMIF('Application Inventory'!$AL$5:$AL$1004,$A15,'Application Inventory'!$AF$5:$AF$1004)</f>
        <v>9228000</v>
      </c>
      <c r="G15" s="18">
        <f>SUMIF('Application Inventory'!$AL$5:$AL$1004,$A15,'Application Inventory'!$AI$5:$AI$1004)</f>
        <v>6006000</v>
      </c>
      <c r="H15" s="18">
        <f>SUMIF('Application Inventory'!$AL$5:$AL$1004,$A15,'Application Inventory'!$AH$5:$AH$1004)</f>
        <v>13290500</v>
      </c>
      <c r="I15" s="19">
        <f>SUMIF('Application Inventory'!$AL$5:$AL$1004,$A15,'Application Inventory'!$W$5:$W$1004)</f>
        <v>184467</v>
      </c>
    </row>
    <row r="16" spans="1:9">
      <c r="A16" s="17" t="s">
        <v>83</v>
      </c>
      <c r="B16" s="17">
        <f>COUNTIFS('Application Inventory'!$AL$5:$AL$1004,$A16,'Application Inventory'!$AM$5:$AM$1004,"Easy")</f>
        <v>83</v>
      </c>
      <c r="C16" s="17">
        <f>COUNTIFS('Application Inventory'!$AL$5:$AL$1004,$A16,'Application Inventory'!$AM$5:$AM$1004,"Medium")</f>
        <v>18</v>
      </c>
      <c r="D16" s="17">
        <f>COUNTIFS('Application Inventory'!$AL$5:$AL$1004,$A16,'Application Inventory'!$AM$5:$AM$1004,"High")</f>
        <v>99</v>
      </c>
      <c r="E16" s="17">
        <f>SUM(B16:D16)</f>
        <v>200</v>
      </c>
      <c r="F16" s="18">
        <f>SUMIF('Application Inventory'!$AL$5:$AL$1004,$A16,'Application Inventory'!$AF$5:$AF$1004)</f>
        <v>19221500</v>
      </c>
      <c r="G16" s="18">
        <f>SUMIF('Application Inventory'!$AL$5:$AL$1004,$A16,'Application Inventory'!$AI$5:$AI$1004)</f>
        <v>0</v>
      </c>
      <c r="H16" s="18">
        <f>SUMIF('Application Inventory'!$AL$5:$AL$1004,$A16,'Application Inventory'!$AH$5:$AH$1004)</f>
        <v>0</v>
      </c>
      <c r="I16" s="19">
        <f>SUMIF('Application Inventory'!$AL$5:$AL$1004,$A16,'Application Inventory'!$W$5:$W$1004)</f>
        <v>104569</v>
      </c>
    </row>
    <row r="17" spans="1:10">
      <c r="A17" s="20" t="s">
        <v>2148</v>
      </c>
      <c r="B17" s="20">
        <f t="shared" ref="B17:I17" si="0">SUM(B13:B16)</f>
        <v>244</v>
      </c>
      <c r="C17" s="20">
        <f t="shared" si="0"/>
        <v>123</v>
      </c>
      <c r="D17" s="20">
        <f t="shared" si="0"/>
        <v>182</v>
      </c>
      <c r="E17" s="20">
        <f t="shared" si="0"/>
        <v>549</v>
      </c>
      <c r="F17" s="21">
        <f t="shared" si="0"/>
        <v>36419000</v>
      </c>
      <c r="G17" s="21">
        <f t="shared" si="0"/>
        <v>12956000</v>
      </c>
      <c r="H17" s="21">
        <f t="shared" si="0"/>
        <v>52328500</v>
      </c>
      <c r="I17" s="22">
        <f t="shared" si="0"/>
        <v>342063</v>
      </c>
    </row>
    <row r="19" spans="1:10" ht="30" customHeight="1">
      <c r="A19" s="16" t="s">
        <v>61</v>
      </c>
      <c r="B19" s="16" t="s">
        <v>2149</v>
      </c>
      <c r="C19" s="16" t="s">
        <v>57</v>
      </c>
      <c r="D19" s="16" t="s">
        <v>56</v>
      </c>
    </row>
    <row r="20" spans="1:10">
      <c r="A20" s="17" t="s">
        <v>196</v>
      </c>
      <c r="B20" s="17">
        <f>COUNTIF('Application Inventory'!$AN$5:$AN$1004,A20)</f>
        <v>145</v>
      </c>
      <c r="C20" s="18">
        <f>SUMIF('Application Inventory'!$AN$5:$AN$1004,A20,'Application Inventory'!$AI$5:$AI$1004)</f>
        <v>7647500</v>
      </c>
      <c r="D20" s="18">
        <f>SUMIF('Application Inventory'!$AN$5:$AN$1004,A20,'Application Inventory'!$AH$5:$AH$1004)</f>
        <v>40835500</v>
      </c>
    </row>
    <row r="21" spans="1:10">
      <c r="A21" s="17" t="s">
        <v>97</v>
      </c>
      <c r="B21" s="17">
        <f>COUNTIF('Application Inventory'!$AN$5:$AN$1004,A21)</f>
        <v>190</v>
      </c>
      <c r="C21" s="18">
        <f>SUMIF('Application Inventory'!$AN$5:$AN$1004,A21,'Application Inventory'!$AI$5:$AI$1004)</f>
        <v>6919000</v>
      </c>
      <c r="D21" s="18">
        <f>SUMIF('Application Inventory'!$AN$5:$AN$1004,A21,'Application Inventory'!$AH$5:$AH$1004)</f>
        <v>14090000</v>
      </c>
    </row>
    <row r="22" spans="1:10">
      <c r="A22" s="17" t="s">
        <v>148</v>
      </c>
      <c r="B22" s="17">
        <f>COUNTIF('Application Inventory'!$AN$5:$AN$1004,A22)</f>
        <v>165</v>
      </c>
      <c r="C22" s="18">
        <f>SUMIF('Application Inventory'!$AN$5:$AN$1004,A22,'Application Inventory'!$AI$5:$AI$1004)</f>
        <v>7503500</v>
      </c>
      <c r="D22" s="18">
        <f>SUMIF('Application Inventory'!$AN$5:$AN$1004,A22,'Application Inventory'!$AH$5:$AH$1004)</f>
        <v>18336000</v>
      </c>
    </row>
    <row r="23" spans="1:10">
      <c r="A23" s="17" t="s">
        <v>2150</v>
      </c>
      <c r="B23" s="17">
        <f>COUNTIF('Application Inventory'!$AN$5:$AN$1004,A23)</f>
        <v>0</v>
      </c>
      <c r="C23" s="18">
        <f>SUMIF('Application Inventory'!$AN$5:$AN$1004,A23,'Application Inventory'!$AI$5:$AI$1004)</f>
        <v>0</v>
      </c>
      <c r="D23" s="18">
        <f>SUMIF('Application Inventory'!$AN$5:$AN$1004,A23,'Application Inventory'!$AH$5:$AH$1004)</f>
        <v>0</v>
      </c>
    </row>
    <row r="25" spans="1:10">
      <c r="A25" s="16" t="s">
        <v>63</v>
      </c>
      <c r="B25" s="16" t="s">
        <v>2149</v>
      </c>
    </row>
    <row r="26" spans="1:10">
      <c r="A26" s="17" t="s">
        <v>98</v>
      </c>
      <c r="B26" s="17">
        <f>COUNTIF('Application Inventory'!$AP$5:$AP$1004,A26)</f>
        <v>547</v>
      </c>
    </row>
    <row r="27" spans="1:10">
      <c r="A27" s="17" t="s">
        <v>197</v>
      </c>
      <c r="B27" s="17">
        <f>COUNTIF('Application Inventory'!$AP$5:$AP$1004,A27)</f>
        <v>152</v>
      </c>
    </row>
    <row r="28" spans="1:10">
      <c r="A28" s="17" t="s">
        <v>359</v>
      </c>
      <c r="B28" s="17">
        <f>COUNTIF('Application Inventory'!$AP$5:$AP$1004,A28)</f>
        <v>65</v>
      </c>
    </row>
    <row r="29" spans="1:10">
      <c r="A29" s="17" t="s">
        <v>322</v>
      </c>
      <c r="B29" s="17">
        <f>COUNTIF('Application Inventory'!$AP$5:$AP$1004,A29)</f>
        <v>4</v>
      </c>
    </row>
    <row r="30" spans="1:10">
      <c r="A30" s="17" t="s">
        <v>372</v>
      </c>
      <c r="B30" s="17">
        <f>COUNTIF('Application Inventory'!$AP$5:$AP$1004,A30)</f>
        <v>58</v>
      </c>
    </row>
    <row r="31" spans="1:10">
      <c r="A31" s="17" t="s">
        <v>84</v>
      </c>
      <c r="B31" s="17">
        <f>COUNTIF('Application Inventory'!$AP$5:$AP$1004,A31)</f>
        <v>174</v>
      </c>
    </row>
    <row r="32" spans="1:10">
      <c r="I32" s="54" t="s">
        <v>2224</v>
      </c>
      <c r="J32" t="s">
        <v>196</v>
      </c>
    </row>
    <row r="33" spans="1:22">
      <c r="I33" s="44" t="s">
        <v>60</v>
      </c>
      <c r="J33" t="s">
        <v>2223</v>
      </c>
    </row>
    <row r="34" spans="1:22">
      <c r="A34" s="14" t="s">
        <v>2151</v>
      </c>
    </row>
    <row r="35" spans="1:22" ht="30" customHeight="1">
      <c r="A35" s="16" t="s">
        <v>2152</v>
      </c>
      <c r="B35" s="16" t="s">
        <v>2217</v>
      </c>
      <c r="C35" s="16" t="s">
        <v>223</v>
      </c>
      <c r="D35" s="16" t="s">
        <v>96</v>
      </c>
      <c r="E35" s="16" t="s">
        <v>2148</v>
      </c>
      <c r="F35" s="16" t="s">
        <v>2153</v>
      </c>
      <c r="G35" s="16" t="s">
        <v>2154</v>
      </c>
      <c r="I35" s="49" t="s">
        <v>2218</v>
      </c>
      <c r="J35" s="49" t="s">
        <v>2222</v>
      </c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</row>
    <row r="36" spans="1:22" ht="15" customHeight="1">
      <c r="A36" s="17" t="s">
        <v>2155</v>
      </c>
      <c r="B36" s="17">
        <f>COUNTIFS('Application Inventory'!$AL$5:$AL$1004,"Migrate",'Application Inventory'!$AO$5:$AO$1004,"&gt;="&amp;$F36,'Application Inventory'!$AO$5:$AO$1004,"&lt;="&amp;$G36)</f>
        <v>1</v>
      </c>
      <c r="C36" s="17">
        <f>COUNTIFS('Application Inventory'!$AL$5:$AL$1004,"Retire",'Application Inventory'!$AO$5:$AO$1004,"&gt;="&amp;$F36,'Application Inventory'!$AO$5:$AO$1004,"&lt;="&amp;$G36)</f>
        <v>4</v>
      </c>
      <c r="D36" s="17">
        <f>COUNTIFS('Application Inventory'!$AL$5:$AL$1004,"Retire + Archive",'Application Inventory'!$AO$5:$AO$1004,"&gt;="&amp;$F36,'Application Inventory'!$AO$5:$AO$1004,"&lt;="&amp;$G36)</f>
        <v>3</v>
      </c>
      <c r="E36" s="17">
        <f t="shared" ref="E36:E71" si="1">SUM(B36:D36)</f>
        <v>8</v>
      </c>
      <c r="F36" s="23">
        <v>44197</v>
      </c>
      <c r="G36" s="23">
        <v>44227</v>
      </c>
      <c r="I36" s="49" t="s">
        <v>2219</v>
      </c>
      <c r="J36" s="51">
        <v>44227</v>
      </c>
      <c r="K36" s="51">
        <v>44255</v>
      </c>
      <c r="L36" s="51">
        <v>44286</v>
      </c>
      <c r="M36" s="51">
        <v>44316</v>
      </c>
      <c r="N36" s="51">
        <v>44347</v>
      </c>
      <c r="O36" s="51">
        <v>44377</v>
      </c>
      <c r="P36" s="51">
        <v>44408</v>
      </c>
      <c r="Q36" s="51">
        <v>44439</v>
      </c>
      <c r="R36" s="51">
        <v>44469</v>
      </c>
      <c r="S36" s="51">
        <v>44500</v>
      </c>
      <c r="T36" s="51">
        <v>44530</v>
      </c>
      <c r="U36" s="51">
        <v>44561</v>
      </c>
      <c r="V36" s="50" t="s">
        <v>2220</v>
      </c>
    </row>
    <row r="37" spans="1:22" ht="15" customHeight="1">
      <c r="A37" s="17" t="s">
        <v>2156</v>
      </c>
      <c r="B37" s="17">
        <f>COUNTIFS('Application Inventory'!$AL$5:$AL$1004,"Migrate",'Application Inventory'!$AO$5:$AO$1004,"&gt;="&amp;$F37,'Application Inventory'!$AO$5:$AO$1004,"&lt;="&amp;$G37)</f>
        <v>2</v>
      </c>
      <c r="C37" s="17">
        <f>COUNTIFS('Application Inventory'!$AL$5:$AL$1004,"Retire",'Application Inventory'!$AO$5:$AO$1004,"&gt;="&amp;$F37,'Application Inventory'!$AO$5:$AO$1004,"&lt;="&amp;$G37)</f>
        <v>3</v>
      </c>
      <c r="D37" s="17">
        <f>COUNTIFS('Application Inventory'!$AL$5:$AL$1004,"Retire + Archive",'Application Inventory'!$AO$5:$AO$1004,"&gt;="&amp;$F37,'Application Inventory'!$AO$5:$AO$1004,"&lt;="&amp;$G37)</f>
        <v>5</v>
      </c>
      <c r="E37" s="17">
        <f t="shared" si="1"/>
        <v>10</v>
      </c>
      <c r="F37" s="23">
        <v>44228</v>
      </c>
      <c r="G37" s="23">
        <v>44255</v>
      </c>
      <c r="I37" s="45" t="s">
        <v>197</v>
      </c>
      <c r="J37" s="43"/>
      <c r="K37" s="43"/>
      <c r="L37" s="43"/>
      <c r="M37" s="43"/>
      <c r="N37" s="43"/>
      <c r="O37" s="43"/>
      <c r="P37" s="43"/>
      <c r="Q37" s="43">
        <v>2</v>
      </c>
      <c r="R37" s="43">
        <v>1</v>
      </c>
      <c r="S37" s="43">
        <v>2</v>
      </c>
      <c r="T37" s="43">
        <v>2</v>
      </c>
      <c r="U37" s="43">
        <v>11</v>
      </c>
      <c r="V37" s="52">
        <v>18</v>
      </c>
    </row>
    <row r="38" spans="1:22" ht="15" customHeight="1">
      <c r="A38" s="17" t="s">
        <v>2157</v>
      </c>
      <c r="B38" s="17">
        <f>COUNTIFS('Application Inventory'!$AL$5:$AL$1004,"Migrate",'Application Inventory'!$AO$5:$AO$1004,"&gt;="&amp;$F38,'Application Inventory'!$AO$5:$AO$1004,"&lt;="&amp;$G38)</f>
        <v>1</v>
      </c>
      <c r="C38" s="17">
        <f>COUNTIFS('Application Inventory'!$AL$5:$AL$1004,"Retire",'Application Inventory'!$AO$5:$AO$1004,"&gt;="&amp;$F38,'Application Inventory'!$AO$5:$AO$1004,"&lt;="&amp;$G38)</f>
        <v>7</v>
      </c>
      <c r="D38" s="17">
        <f>COUNTIFS('Application Inventory'!$AL$5:$AL$1004,"Retire + Archive",'Application Inventory'!$AO$5:$AO$1004,"&gt;="&amp;$F38,'Application Inventory'!$AO$5:$AO$1004,"&lt;="&amp;$G38)</f>
        <v>3</v>
      </c>
      <c r="E38" s="17">
        <f t="shared" si="1"/>
        <v>11</v>
      </c>
      <c r="F38" s="23">
        <v>44256</v>
      </c>
      <c r="G38" s="23">
        <v>44286</v>
      </c>
      <c r="I38" s="45" t="s">
        <v>372</v>
      </c>
      <c r="J38" s="43">
        <v>8</v>
      </c>
      <c r="K38" s="43">
        <v>10</v>
      </c>
      <c r="L38" s="43">
        <v>11</v>
      </c>
      <c r="M38" s="43">
        <v>17</v>
      </c>
      <c r="N38" s="43">
        <v>12</v>
      </c>
      <c r="O38" s="43"/>
      <c r="P38" s="43"/>
      <c r="Q38" s="43"/>
      <c r="R38" s="43"/>
      <c r="S38" s="43"/>
      <c r="T38" s="43"/>
      <c r="U38" s="43"/>
      <c r="V38" s="52">
        <v>58</v>
      </c>
    </row>
    <row r="39" spans="1:22" ht="15" customHeight="1">
      <c r="A39" s="17" t="s">
        <v>2158</v>
      </c>
      <c r="B39" s="17">
        <f>COUNTIFS('Application Inventory'!$AL$5:$AL$1004,"Migrate",'Application Inventory'!$AO$5:$AO$1004,"&gt;="&amp;$F39,'Application Inventory'!$AO$5:$AO$1004,"&lt;="&amp;$G39)</f>
        <v>6</v>
      </c>
      <c r="C39" s="17">
        <f>COUNTIFS('Application Inventory'!$AL$5:$AL$1004,"Retire",'Application Inventory'!$AO$5:$AO$1004,"&gt;="&amp;$F39,'Application Inventory'!$AO$5:$AO$1004,"&lt;="&amp;$G39)</f>
        <v>7</v>
      </c>
      <c r="D39" s="17">
        <f>COUNTIFS('Application Inventory'!$AL$5:$AL$1004,"Retire + Archive",'Application Inventory'!$AO$5:$AO$1004,"&gt;="&amp;$F39,'Application Inventory'!$AO$5:$AO$1004,"&lt;="&amp;$G39)</f>
        <v>4</v>
      </c>
      <c r="E39" s="17">
        <f t="shared" si="1"/>
        <v>17</v>
      </c>
      <c r="F39" s="23">
        <v>44287</v>
      </c>
      <c r="G39" s="23">
        <v>44316</v>
      </c>
      <c r="I39" s="46" t="s">
        <v>2217</v>
      </c>
      <c r="J39" s="43">
        <v>1</v>
      </c>
      <c r="K39" s="43">
        <v>2</v>
      </c>
      <c r="L39" s="43">
        <v>1</v>
      </c>
      <c r="M39" s="43">
        <v>6</v>
      </c>
      <c r="N39" s="43">
        <v>3</v>
      </c>
      <c r="O39" s="43"/>
      <c r="P39" s="43"/>
      <c r="Q39" s="43"/>
      <c r="R39" s="43"/>
      <c r="S39" s="43"/>
      <c r="T39" s="43"/>
      <c r="U39" s="43"/>
      <c r="V39" s="52">
        <v>13</v>
      </c>
    </row>
    <row r="40" spans="1:22" ht="15" customHeight="1">
      <c r="A40" s="17" t="s">
        <v>2159</v>
      </c>
      <c r="B40" s="17">
        <f>COUNTIFS('Application Inventory'!$AL$5:$AL$1004,"Migrate",'Application Inventory'!$AO$5:$AO$1004,"&gt;="&amp;$F40,'Application Inventory'!$AO$5:$AO$1004,"&lt;="&amp;$G40)</f>
        <v>4</v>
      </c>
      <c r="C40" s="17">
        <f>COUNTIFS('Application Inventory'!$AL$5:$AL$1004,"Retire",'Application Inventory'!$AO$5:$AO$1004,"&gt;="&amp;$F40,'Application Inventory'!$AO$5:$AO$1004,"&lt;="&amp;$G40)</f>
        <v>6</v>
      </c>
      <c r="D40" s="17">
        <f>COUNTIFS('Application Inventory'!$AL$5:$AL$1004,"Retire + Archive",'Application Inventory'!$AO$5:$AO$1004,"&gt;="&amp;$F40,'Application Inventory'!$AO$5:$AO$1004,"&lt;="&amp;$G40)</f>
        <v>6</v>
      </c>
      <c r="E40" s="17">
        <f t="shared" si="1"/>
        <v>16</v>
      </c>
      <c r="F40" s="23">
        <v>44317</v>
      </c>
      <c r="G40" s="23">
        <v>44347</v>
      </c>
      <c r="I40" s="46" t="s">
        <v>223</v>
      </c>
      <c r="J40" s="43">
        <v>4</v>
      </c>
      <c r="K40" s="43">
        <v>3</v>
      </c>
      <c r="L40" s="43">
        <v>7</v>
      </c>
      <c r="M40" s="43">
        <v>7</v>
      </c>
      <c r="N40" s="43">
        <v>3</v>
      </c>
      <c r="O40" s="43"/>
      <c r="P40" s="43"/>
      <c r="Q40" s="43"/>
      <c r="R40" s="43"/>
      <c r="S40" s="43"/>
      <c r="T40" s="43"/>
      <c r="U40" s="43"/>
      <c r="V40" s="52">
        <v>24</v>
      </c>
    </row>
    <row r="41" spans="1:22" ht="15" customHeight="1">
      <c r="A41" s="17" t="s">
        <v>2160</v>
      </c>
      <c r="B41" s="17">
        <f>COUNTIFS('Application Inventory'!$AL$5:$AL$1004,"Migrate",'Application Inventory'!$AO$5:$AO$1004,"&gt;="&amp;$F41,'Application Inventory'!$AO$5:$AO$1004,"&lt;="&amp;$G41)</f>
        <v>4</v>
      </c>
      <c r="C41" s="17">
        <f>COUNTIFS('Application Inventory'!$AL$5:$AL$1004,"Retire",'Application Inventory'!$AO$5:$AO$1004,"&gt;="&amp;$F41,'Application Inventory'!$AO$5:$AO$1004,"&lt;="&amp;$G41)</f>
        <v>3</v>
      </c>
      <c r="D41" s="17">
        <f>COUNTIFS('Application Inventory'!$AL$5:$AL$1004,"Retire + Archive",'Application Inventory'!$AO$5:$AO$1004,"&gt;="&amp;$F41,'Application Inventory'!$AO$5:$AO$1004,"&lt;="&amp;$G41)</f>
        <v>6</v>
      </c>
      <c r="E41" s="17">
        <f t="shared" si="1"/>
        <v>13</v>
      </c>
      <c r="F41" s="23">
        <v>44348</v>
      </c>
      <c r="G41" s="23">
        <v>44377</v>
      </c>
      <c r="I41" s="46" t="s">
        <v>96</v>
      </c>
      <c r="J41" s="43">
        <v>3</v>
      </c>
      <c r="K41" s="43">
        <v>5</v>
      </c>
      <c r="L41" s="43">
        <v>3</v>
      </c>
      <c r="M41" s="43">
        <v>4</v>
      </c>
      <c r="N41" s="43">
        <v>6</v>
      </c>
      <c r="O41" s="43"/>
      <c r="P41" s="43"/>
      <c r="Q41" s="43"/>
      <c r="R41" s="43"/>
      <c r="S41" s="43"/>
      <c r="T41" s="43"/>
      <c r="U41" s="43"/>
      <c r="V41" s="52">
        <v>21</v>
      </c>
    </row>
    <row r="42" spans="1:22" ht="15" customHeight="1">
      <c r="A42" s="17" t="s">
        <v>2161</v>
      </c>
      <c r="B42" s="17">
        <f>COUNTIFS('Application Inventory'!$AL$5:$AL$1004,"Migrate",'Application Inventory'!$AO$5:$AO$1004,"&gt;="&amp;$F42,'Application Inventory'!$AO$5:$AO$1004,"&lt;="&amp;$G42)</f>
        <v>5</v>
      </c>
      <c r="C42" s="17">
        <f>COUNTIFS('Application Inventory'!$AL$5:$AL$1004,"Retire",'Application Inventory'!$AO$5:$AO$1004,"&gt;="&amp;$F42,'Application Inventory'!$AO$5:$AO$1004,"&lt;="&amp;$G42)</f>
        <v>3</v>
      </c>
      <c r="D42" s="17">
        <f>COUNTIFS('Application Inventory'!$AL$5:$AL$1004,"Retire + Archive",'Application Inventory'!$AO$5:$AO$1004,"&gt;="&amp;$F42,'Application Inventory'!$AO$5:$AO$1004,"&lt;="&amp;$G42)</f>
        <v>4</v>
      </c>
      <c r="E42" s="17">
        <f t="shared" si="1"/>
        <v>12</v>
      </c>
      <c r="F42" s="23">
        <v>44378</v>
      </c>
      <c r="G42" s="23">
        <v>44408</v>
      </c>
      <c r="I42" s="45" t="s">
        <v>359</v>
      </c>
      <c r="J42" s="43"/>
      <c r="K42" s="43"/>
      <c r="L42" s="43"/>
      <c r="M42" s="43"/>
      <c r="N42" s="43"/>
      <c r="O42" s="43">
        <v>9</v>
      </c>
      <c r="P42" s="43">
        <v>12</v>
      </c>
      <c r="Q42" s="43">
        <v>10</v>
      </c>
      <c r="R42" s="43">
        <v>12</v>
      </c>
      <c r="S42" s="43">
        <v>12</v>
      </c>
      <c r="T42" s="43">
        <v>10</v>
      </c>
      <c r="U42" s="43"/>
      <c r="V42" s="52">
        <v>65</v>
      </c>
    </row>
    <row r="43" spans="1:22" ht="15" customHeight="1">
      <c r="A43" s="17" t="s">
        <v>2162</v>
      </c>
      <c r="B43" s="17">
        <f>COUNTIFS('Application Inventory'!$AL$5:$AL$1004,"Migrate",'Application Inventory'!$AO$5:$AO$1004,"&gt;="&amp;$F43,'Application Inventory'!$AO$5:$AO$1004,"&lt;="&amp;$G43)</f>
        <v>4</v>
      </c>
      <c r="C43" s="17">
        <f>COUNTIFS('Application Inventory'!$AL$5:$AL$1004,"Retire",'Application Inventory'!$AO$5:$AO$1004,"&gt;="&amp;$F43,'Application Inventory'!$AO$5:$AO$1004,"&lt;="&amp;$G43)</f>
        <v>4</v>
      </c>
      <c r="D43" s="17">
        <f>COUNTIFS('Application Inventory'!$AL$5:$AL$1004,"Retire + Archive",'Application Inventory'!$AO$5:$AO$1004,"&gt;="&amp;$F43,'Application Inventory'!$AO$5:$AO$1004,"&lt;="&amp;$G43)</f>
        <v>4</v>
      </c>
      <c r="E43" s="17">
        <f t="shared" si="1"/>
        <v>12</v>
      </c>
      <c r="F43" s="23">
        <v>44409</v>
      </c>
      <c r="G43" s="23">
        <v>44439</v>
      </c>
      <c r="I43" s="45" t="s">
        <v>322</v>
      </c>
      <c r="J43" s="43"/>
      <c r="K43" s="43"/>
      <c r="L43" s="43"/>
      <c r="M43" s="43"/>
      <c r="N43" s="43">
        <v>4</v>
      </c>
      <c r="O43" s="43"/>
      <c r="P43" s="43"/>
      <c r="Q43" s="43"/>
      <c r="R43" s="43"/>
      <c r="S43" s="43"/>
      <c r="T43" s="43"/>
      <c r="U43" s="43"/>
      <c r="V43" s="52">
        <v>4</v>
      </c>
    </row>
    <row r="44" spans="1:22" ht="15" customHeight="1">
      <c r="A44" s="17" t="s">
        <v>2163</v>
      </c>
      <c r="B44" s="17">
        <f>COUNTIFS('Application Inventory'!$AL$5:$AL$1004,"Migrate",'Application Inventory'!$AO$5:$AO$1004,"&gt;="&amp;$F44,'Application Inventory'!$AO$5:$AO$1004,"&lt;="&amp;$G44)</f>
        <v>5</v>
      </c>
      <c r="C44" s="17">
        <f>COUNTIFS('Application Inventory'!$AL$5:$AL$1004,"Retire",'Application Inventory'!$AO$5:$AO$1004,"&gt;="&amp;$F44,'Application Inventory'!$AO$5:$AO$1004,"&lt;="&amp;$G44)</f>
        <v>7</v>
      </c>
      <c r="D44" s="17">
        <f>COUNTIFS('Application Inventory'!$AL$5:$AL$1004,"Retire + Archive",'Application Inventory'!$AO$5:$AO$1004,"&gt;="&amp;$F44,'Application Inventory'!$AO$5:$AO$1004,"&lt;="&amp;$G44)</f>
        <v>1</v>
      </c>
      <c r="E44" s="17">
        <f t="shared" si="1"/>
        <v>13</v>
      </c>
      <c r="F44" s="23">
        <v>44440</v>
      </c>
      <c r="G44" s="23">
        <v>44469</v>
      </c>
      <c r="I44" s="47" t="s">
        <v>2220</v>
      </c>
      <c r="J44" s="48">
        <v>8</v>
      </c>
      <c r="K44" s="48">
        <v>10</v>
      </c>
      <c r="L44" s="48">
        <v>11</v>
      </c>
      <c r="M44" s="48">
        <v>17</v>
      </c>
      <c r="N44" s="48">
        <v>16</v>
      </c>
      <c r="O44" s="48">
        <v>9</v>
      </c>
      <c r="P44" s="48">
        <v>12</v>
      </c>
      <c r="Q44" s="48">
        <v>12</v>
      </c>
      <c r="R44" s="48">
        <v>13</v>
      </c>
      <c r="S44" s="48">
        <v>14</v>
      </c>
      <c r="T44" s="48">
        <v>12</v>
      </c>
      <c r="U44" s="48">
        <v>11</v>
      </c>
      <c r="V44" s="53">
        <v>145</v>
      </c>
    </row>
    <row r="45" spans="1:22" ht="15" customHeight="1">
      <c r="A45" s="17" t="s">
        <v>2164</v>
      </c>
      <c r="B45" s="17">
        <f>COUNTIFS('Application Inventory'!$AL$5:$AL$1004,"Migrate",'Application Inventory'!$AO$5:$AO$1004,"&gt;="&amp;$F45,'Application Inventory'!$AO$5:$AO$1004,"&lt;="&amp;$G45)</f>
        <v>5</v>
      </c>
      <c r="C45" s="17">
        <f>COUNTIFS('Application Inventory'!$AL$5:$AL$1004,"Retire",'Application Inventory'!$AO$5:$AO$1004,"&gt;="&amp;$F45,'Application Inventory'!$AO$5:$AO$1004,"&lt;="&amp;$G45)</f>
        <v>6</v>
      </c>
      <c r="D45" s="17">
        <f>COUNTIFS('Application Inventory'!$AL$5:$AL$1004,"Retire + Archive",'Application Inventory'!$AO$5:$AO$1004,"&gt;="&amp;$F45,'Application Inventory'!$AO$5:$AO$1004,"&lt;="&amp;$G45)</f>
        <v>3</v>
      </c>
      <c r="E45" s="17">
        <f t="shared" si="1"/>
        <v>14</v>
      </c>
      <c r="F45" s="23">
        <v>44470</v>
      </c>
      <c r="G45" s="23">
        <v>44500</v>
      </c>
    </row>
    <row r="46" spans="1:22" ht="15" customHeight="1">
      <c r="A46" s="17" t="s">
        <v>2165</v>
      </c>
      <c r="B46" s="17">
        <f>COUNTIFS('Application Inventory'!$AL$5:$AL$1004,"Migrate",'Application Inventory'!$AO$5:$AO$1004,"&gt;="&amp;$F46,'Application Inventory'!$AO$5:$AO$1004,"&lt;="&amp;$G46)</f>
        <v>5</v>
      </c>
      <c r="C46" s="17">
        <f>COUNTIFS('Application Inventory'!$AL$5:$AL$1004,"Retire",'Application Inventory'!$AO$5:$AO$1004,"&gt;="&amp;$F46,'Application Inventory'!$AO$5:$AO$1004,"&lt;="&amp;$G46)</f>
        <v>2</v>
      </c>
      <c r="D46" s="17">
        <f>COUNTIFS('Application Inventory'!$AL$5:$AL$1004,"Retire + Archive",'Application Inventory'!$AO$5:$AO$1004,"&gt;="&amp;$F46,'Application Inventory'!$AO$5:$AO$1004,"&lt;="&amp;$G46)</f>
        <v>5</v>
      </c>
      <c r="E46" s="17">
        <f t="shared" si="1"/>
        <v>12</v>
      </c>
      <c r="F46" s="23">
        <v>44501</v>
      </c>
      <c r="G46" s="23">
        <v>44530</v>
      </c>
    </row>
    <row r="47" spans="1:22" ht="15" customHeight="1">
      <c r="A47" s="17" t="s">
        <v>2166</v>
      </c>
      <c r="B47" s="17">
        <f>COUNTIFS('Application Inventory'!$AL$5:$AL$1004,"Migrate",'Application Inventory'!$AO$5:$AO$1004,"&gt;="&amp;$F47,'Application Inventory'!$AO$5:$AO$1004,"&lt;="&amp;$G47)</f>
        <v>2</v>
      </c>
      <c r="C47" s="17">
        <f>COUNTIFS('Application Inventory'!$AL$5:$AL$1004,"Retire",'Application Inventory'!$AO$5:$AO$1004,"&gt;="&amp;$F47,'Application Inventory'!$AO$5:$AO$1004,"&lt;="&amp;$G47)</f>
        <v>3</v>
      </c>
      <c r="D47" s="17">
        <f>COUNTIFS('Application Inventory'!$AL$5:$AL$1004,"Retire + Archive",'Application Inventory'!$AO$5:$AO$1004,"&gt;="&amp;$F47,'Application Inventory'!$AO$5:$AO$1004,"&lt;="&amp;$G47)</f>
        <v>6</v>
      </c>
      <c r="E47" s="17">
        <f t="shared" si="1"/>
        <v>11</v>
      </c>
      <c r="F47" s="23">
        <v>44531</v>
      </c>
      <c r="G47" s="23">
        <v>44561</v>
      </c>
    </row>
    <row r="48" spans="1:22" ht="15" customHeight="1">
      <c r="A48" s="17" t="s">
        <v>2167</v>
      </c>
      <c r="B48" s="17">
        <f>COUNTIFS('Application Inventory'!$AL$5:$AL$1004,"Migrate",'Application Inventory'!$AO$5:$AO$1004,"&gt;="&amp;$F48,'Application Inventory'!$AO$5:$AO$1004,"&lt;="&amp;$G48)</f>
        <v>2</v>
      </c>
      <c r="C48" s="17">
        <f>COUNTIFS('Application Inventory'!$AL$5:$AL$1004,"Retire",'Application Inventory'!$AO$5:$AO$1004,"&gt;="&amp;$F48,'Application Inventory'!$AO$5:$AO$1004,"&lt;="&amp;$G48)</f>
        <v>6</v>
      </c>
      <c r="D48" s="17">
        <f>COUNTIFS('Application Inventory'!$AL$5:$AL$1004,"Retire + Archive",'Application Inventory'!$AO$5:$AO$1004,"&gt;="&amp;$F48,'Application Inventory'!$AO$5:$AO$1004,"&lt;="&amp;$G48)</f>
        <v>6</v>
      </c>
      <c r="E48" s="17">
        <f t="shared" si="1"/>
        <v>14</v>
      </c>
      <c r="F48" s="23">
        <v>44562</v>
      </c>
      <c r="G48" s="23">
        <v>44592</v>
      </c>
    </row>
    <row r="49" spans="1:10" ht="15" customHeight="1">
      <c r="A49" s="17" t="s">
        <v>2168</v>
      </c>
      <c r="B49" s="17">
        <f>COUNTIFS('Application Inventory'!$AL$5:$AL$1004,"Migrate",'Application Inventory'!$AO$5:$AO$1004,"&gt;="&amp;$F49,'Application Inventory'!$AO$5:$AO$1004,"&lt;="&amp;$G49)</f>
        <v>3</v>
      </c>
      <c r="C49" s="17">
        <f>COUNTIFS('Application Inventory'!$AL$5:$AL$1004,"Retire",'Application Inventory'!$AO$5:$AO$1004,"&gt;="&amp;$F49,'Application Inventory'!$AO$5:$AO$1004,"&lt;="&amp;$G49)</f>
        <v>5</v>
      </c>
      <c r="D49" s="17">
        <f>COUNTIFS('Application Inventory'!$AL$5:$AL$1004,"Retire + Archive",'Application Inventory'!$AO$5:$AO$1004,"&gt;="&amp;$F49,'Application Inventory'!$AO$5:$AO$1004,"&lt;="&amp;$G49)</f>
        <v>7</v>
      </c>
      <c r="E49" s="17">
        <f t="shared" si="1"/>
        <v>15</v>
      </c>
      <c r="F49" s="23">
        <v>44593</v>
      </c>
      <c r="G49" s="23">
        <v>44620</v>
      </c>
    </row>
    <row r="50" spans="1:10" ht="15" customHeight="1">
      <c r="A50" s="17" t="s">
        <v>2169</v>
      </c>
      <c r="B50" s="17">
        <f>COUNTIFS('Application Inventory'!$AL$5:$AL$1004,"Migrate",'Application Inventory'!$AO$5:$AO$1004,"&gt;="&amp;$F50,'Application Inventory'!$AO$5:$AO$1004,"&lt;="&amp;$G50)</f>
        <v>3</v>
      </c>
      <c r="C50" s="17">
        <f>COUNTIFS('Application Inventory'!$AL$5:$AL$1004,"Retire",'Application Inventory'!$AO$5:$AO$1004,"&gt;="&amp;$F50,'Application Inventory'!$AO$5:$AO$1004,"&lt;="&amp;$G50)</f>
        <v>5</v>
      </c>
      <c r="D50" s="17">
        <f>COUNTIFS('Application Inventory'!$AL$5:$AL$1004,"Retire + Archive",'Application Inventory'!$AO$5:$AO$1004,"&gt;="&amp;$F50,'Application Inventory'!$AO$5:$AO$1004,"&lt;="&amp;$G50)</f>
        <v>8</v>
      </c>
      <c r="E50" s="17">
        <f t="shared" si="1"/>
        <v>16</v>
      </c>
      <c r="F50" s="23">
        <v>44621</v>
      </c>
      <c r="G50" s="23">
        <v>44651</v>
      </c>
    </row>
    <row r="51" spans="1:10" ht="15" customHeight="1">
      <c r="A51" s="17" t="s">
        <v>2170</v>
      </c>
      <c r="B51" s="17">
        <f>COUNTIFS('Application Inventory'!$AL$5:$AL$1004,"Migrate",'Application Inventory'!$AO$5:$AO$1004,"&gt;="&amp;$F51,'Application Inventory'!$AO$5:$AO$1004,"&lt;="&amp;$G51)</f>
        <v>4</v>
      </c>
      <c r="C51" s="17">
        <f>COUNTIFS('Application Inventory'!$AL$5:$AL$1004,"Retire",'Application Inventory'!$AO$5:$AO$1004,"&gt;="&amp;$F51,'Application Inventory'!$AO$5:$AO$1004,"&lt;="&amp;$G51)</f>
        <v>3</v>
      </c>
      <c r="D51" s="17">
        <f>COUNTIFS('Application Inventory'!$AL$5:$AL$1004,"Retire + Archive",'Application Inventory'!$AO$5:$AO$1004,"&gt;="&amp;$F51,'Application Inventory'!$AO$5:$AO$1004,"&lt;="&amp;$G51)</f>
        <v>9</v>
      </c>
      <c r="E51" s="17">
        <f t="shared" si="1"/>
        <v>16</v>
      </c>
      <c r="F51" s="23">
        <v>44652</v>
      </c>
      <c r="G51" s="23">
        <v>44681</v>
      </c>
      <c r="I51" s="61" t="s">
        <v>2224</v>
      </c>
      <c r="J51" s="61" t="s">
        <v>2227</v>
      </c>
    </row>
    <row r="52" spans="1:10" ht="15" customHeight="1">
      <c r="A52" s="17" t="s">
        <v>2171</v>
      </c>
      <c r="B52" s="17">
        <f>COUNTIFS('Application Inventory'!$AL$5:$AL$1004,"Migrate",'Application Inventory'!$AO$5:$AO$1004,"&gt;="&amp;$F52,'Application Inventory'!$AO$5:$AO$1004,"&lt;="&amp;$G52)</f>
        <v>3</v>
      </c>
      <c r="C52" s="17">
        <f>COUNTIFS('Application Inventory'!$AL$5:$AL$1004,"Retire",'Application Inventory'!$AO$5:$AO$1004,"&gt;="&amp;$F52,'Application Inventory'!$AO$5:$AO$1004,"&lt;="&amp;$G52)</f>
        <v>8</v>
      </c>
      <c r="D52" s="17">
        <f>COUNTIFS('Application Inventory'!$AL$5:$AL$1004,"Retire + Archive",'Application Inventory'!$AO$5:$AO$1004,"&gt;="&amp;$F52,'Application Inventory'!$AO$5:$AO$1004,"&lt;="&amp;$G52)</f>
        <v>6</v>
      </c>
      <c r="E52" s="17">
        <f t="shared" si="1"/>
        <v>17</v>
      </c>
      <c r="F52" s="23">
        <v>44682</v>
      </c>
      <c r="G52" s="23">
        <v>44712</v>
      </c>
      <c r="I52" s="45" t="s">
        <v>196</v>
      </c>
      <c r="J52" s="43">
        <v>7647500</v>
      </c>
    </row>
    <row r="53" spans="1:10" ht="15" customHeight="1">
      <c r="A53" s="17" t="s">
        <v>2172</v>
      </c>
      <c r="B53" s="17">
        <f>COUNTIFS('Application Inventory'!$AL$5:$AL$1004,"Migrate",'Application Inventory'!$AO$5:$AO$1004,"&gt;="&amp;$F53,'Application Inventory'!$AO$5:$AO$1004,"&lt;="&amp;$G53)</f>
        <v>4</v>
      </c>
      <c r="C53" s="17">
        <f>COUNTIFS('Application Inventory'!$AL$5:$AL$1004,"Retire",'Application Inventory'!$AO$5:$AO$1004,"&gt;="&amp;$F53,'Application Inventory'!$AO$5:$AO$1004,"&lt;="&amp;$G53)</f>
        <v>1</v>
      </c>
      <c r="D53" s="17">
        <f>COUNTIFS('Application Inventory'!$AL$5:$AL$1004,"Retire + Archive",'Application Inventory'!$AO$5:$AO$1004,"&gt;="&amp;$F53,'Application Inventory'!$AO$5:$AO$1004,"&lt;="&amp;$G53)</f>
        <v>8</v>
      </c>
      <c r="E53" s="17">
        <f t="shared" si="1"/>
        <v>13</v>
      </c>
      <c r="F53" s="23">
        <v>44713</v>
      </c>
      <c r="G53" s="23">
        <v>44742</v>
      </c>
      <c r="I53" s="58">
        <v>44227</v>
      </c>
      <c r="J53" s="43">
        <v>246500</v>
      </c>
    </row>
    <row r="54" spans="1:10" ht="15" customHeight="1">
      <c r="A54" s="17" t="s">
        <v>2173</v>
      </c>
      <c r="B54" s="17">
        <f>COUNTIFS('Application Inventory'!$AL$5:$AL$1004,"Migrate",'Application Inventory'!$AO$5:$AO$1004,"&gt;="&amp;$F54,'Application Inventory'!$AO$5:$AO$1004,"&lt;="&amp;$G54)</f>
        <v>2</v>
      </c>
      <c r="C54" s="17">
        <f>COUNTIFS('Application Inventory'!$AL$5:$AL$1004,"Retire",'Application Inventory'!$AO$5:$AO$1004,"&gt;="&amp;$F54,'Application Inventory'!$AO$5:$AO$1004,"&lt;="&amp;$G54)</f>
        <v>8</v>
      </c>
      <c r="D54" s="17">
        <f>COUNTIFS('Application Inventory'!$AL$5:$AL$1004,"Retire + Archive",'Application Inventory'!$AO$5:$AO$1004,"&gt;="&amp;$F54,'Application Inventory'!$AO$5:$AO$1004,"&lt;="&amp;$G54)</f>
        <v>6</v>
      </c>
      <c r="E54" s="17">
        <f t="shared" si="1"/>
        <v>16</v>
      </c>
      <c r="F54" s="23">
        <v>44743</v>
      </c>
      <c r="G54" s="23">
        <v>44773</v>
      </c>
      <c r="I54" s="58">
        <v>44255</v>
      </c>
      <c r="J54" s="43">
        <v>545000</v>
      </c>
    </row>
    <row r="55" spans="1:10" ht="15" customHeight="1">
      <c r="A55" s="17" t="s">
        <v>2174</v>
      </c>
      <c r="B55" s="17">
        <f>COUNTIFS('Application Inventory'!$AL$5:$AL$1004,"Migrate",'Application Inventory'!$AO$5:$AO$1004,"&gt;="&amp;$F55,'Application Inventory'!$AO$5:$AO$1004,"&lt;="&amp;$G55)</f>
        <v>7</v>
      </c>
      <c r="C55" s="17">
        <f>COUNTIFS('Application Inventory'!$AL$5:$AL$1004,"Retire",'Application Inventory'!$AO$5:$AO$1004,"&gt;="&amp;$F55,'Application Inventory'!$AO$5:$AO$1004,"&lt;="&amp;$G55)</f>
        <v>4</v>
      </c>
      <c r="D55" s="17">
        <f>COUNTIFS('Application Inventory'!$AL$5:$AL$1004,"Retire + Archive",'Application Inventory'!$AO$5:$AO$1004,"&gt;="&amp;$F55,'Application Inventory'!$AO$5:$AO$1004,"&lt;="&amp;$G55)</f>
        <v>5</v>
      </c>
      <c r="E55" s="17">
        <f t="shared" si="1"/>
        <v>16</v>
      </c>
      <c r="F55" s="23">
        <v>44774</v>
      </c>
      <c r="G55" s="23">
        <v>44804</v>
      </c>
      <c r="I55" s="58">
        <v>44286</v>
      </c>
      <c r="J55" s="43">
        <v>527500</v>
      </c>
    </row>
    <row r="56" spans="1:10" ht="15" customHeight="1">
      <c r="A56" s="17" t="s">
        <v>2175</v>
      </c>
      <c r="B56" s="17">
        <f>COUNTIFS('Application Inventory'!$AL$5:$AL$1004,"Migrate",'Application Inventory'!$AO$5:$AO$1004,"&gt;="&amp;$F56,'Application Inventory'!$AO$5:$AO$1004,"&lt;="&amp;$G56)</f>
        <v>5</v>
      </c>
      <c r="C56" s="17">
        <f>COUNTIFS('Application Inventory'!$AL$5:$AL$1004,"Retire",'Application Inventory'!$AO$5:$AO$1004,"&gt;="&amp;$F56,'Application Inventory'!$AO$5:$AO$1004,"&lt;="&amp;$G56)</f>
        <v>1</v>
      </c>
      <c r="D56" s="17">
        <f>COUNTIFS('Application Inventory'!$AL$5:$AL$1004,"Retire + Archive",'Application Inventory'!$AO$5:$AO$1004,"&gt;="&amp;$F56,'Application Inventory'!$AO$5:$AO$1004,"&lt;="&amp;$G56)</f>
        <v>11</v>
      </c>
      <c r="E56" s="17">
        <f t="shared" si="1"/>
        <v>17</v>
      </c>
      <c r="F56" s="23">
        <v>44805</v>
      </c>
      <c r="G56" s="23">
        <v>44834</v>
      </c>
      <c r="I56" s="58">
        <v>44316</v>
      </c>
      <c r="J56" s="43">
        <v>967000</v>
      </c>
    </row>
    <row r="57" spans="1:10" ht="15" customHeight="1">
      <c r="A57" s="17" t="s">
        <v>2176</v>
      </c>
      <c r="B57" s="17">
        <f>COUNTIFS('Application Inventory'!$AL$5:$AL$1004,"Migrate",'Application Inventory'!$AO$5:$AO$1004,"&gt;="&amp;$F57,'Application Inventory'!$AO$5:$AO$1004,"&lt;="&amp;$G57)</f>
        <v>6</v>
      </c>
      <c r="C57" s="17">
        <f>COUNTIFS('Application Inventory'!$AL$5:$AL$1004,"Retire",'Application Inventory'!$AO$5:$AO$1004,"&gt;="&amp;$F57,'Application Inventory'!$AO$5:$AO$1004,"&lt;="&amp;$G57)</f>
        <v>7</v>
      </c>
      <c r="D57" s="17">
        <f>COUNTIFS('Application Inventory'!$AL$5:$AL$1004,"Retire + Archive",'Application Inventory'!$AO$5:$AO$1004,"&gt;="&amp;$F57,'Application Inventory'!$AO$5:$AO$1004,"&lt;="&amp;$G57)</f>
        <v>3</v>
      </c>
      <c r="E57" s="17">
        <f t="shared" si="1"/>
        <v>16</v>
      </c>
      <c r="F57" s="23">
        <v>44835</v>
      </c>
      <c r="G57" s="23">
        <v>44865</v>
      </c>
      <c r="I57" s="58">
        <v>44347</v>
      </c>
      <c r="J57" s="43">
        <v>1082500</v>
      </c>
    </row>
    <row r="58" spans="1:10" ht="15" customHeight="1">
      <c r="A58" s="17" t="s">
        <v>2177</v>
      </c>
      <c r="B58" s="17">
        <f>COUNTIFS('Application Inventory'!$AL$5:$AL$1004,"Migrate",'Application Inventory'!$AO$5:$AO$1004,"&gt;="&amp;$F58,'Application Inventory'!$AO$5:$AO$1004,"&lt;="&amp;$G58)</f>
        <v>5</v>
      </c>
      <c r="C58" s="17">
        <f>COUNTIFS('Application Inventory'!$AL$5:$AL$1004,"Retire",'Application Inventory'!$AO$5:$AO$1004,"&gt;="&amp;$F58,'Application Inventory'!$AO$5:$AO$1004,"&lt;="&amp;$G58)</f>
        <v>4</v>
      </c>
      <c r="D58" s="17">
        <f>COUNTIFS('Application Inventory'!$AL$5:$AL$1004,"Retire + Archive",'Application Inventory'!$AO$5:$AO$1004,"&gt;="&amp;$F58,'Application Inventory'!$AO$5:$AO$1004,"&lt;="&amp;$G58)</f>
        <v>6</v>
      </c>
      <c r="E58" s="17">
        <f t="shared" si="1"/>
        <v>15</v>
      </c>
      <c r="F58" s="23">
        <v>44866</v>
      </c>
      <c r="G58" s="23">
        <v>44895</v>
      </c>
      <c r="I58" s="58">
        <v>44377</v>
      </c>
      <c r="J58" s="43">
        <v>500500</v>
      </c>
    </row>
    <row r="59" spans="1:10" ht="15" customHeight="1">
      <c r="A59" s="17" t="s">
        <v>2178</v>
      </c>
      <c r="B59" s="17">
        <f>COUNTIFS('Application Inventory'!$AL$5:$AL$1004,"Migrate",'Application Inventory'!$AO$5:$AO$1004,"&gt;="&amp;$F59,'Application Inventory'!$AO$5:$AO$1004,"&lt;="&amp;$G59)</f>
        <v>6</v>
      </c>
      <c r="C59" s="17">
        <f>COUNTIFS('Application Inventory'!$AL$5:$AL$1004,"Retire",'Application Inventory'!$AO$5:$AO$1004,"&gt;="&amp;$F59,'Application Inventory'!$AO$5:$AO$1004,"&lt;="&amp;$G59)</f>
        <v>4</v>
      </c>
      <c r="D59" s="17">
        <f>COUNTIFS('Application Inventory'!$AL$5:$AL$1004,"Retire + Archive",'Application Inventory'!$AO$5:$AO$1004,"&gt;="&amp;$F59,'Application Inventory'!$AO$5:$AO$1004,"&lt;="&amp;$G59)</f>
        <v>5</v>
      </c>
      <c r="E59" s="17">
        <f t="shared" si="1"/>
        <v>15</v>
      </c>
      <c r="F59" s="23">
        <v>44896</v>
      </c>
      <c r="G59" s="23">
        <v>44926</v>
      </c>
      <c r="I59" s="58">
        <v>44408</v>
      </c>
      <c r="J59" s="43">
        <v>535500</v>
      </c>
    </row>
    <row r="60" spans="1:10" ht="15" customHeight="1">
      <c r="A60" s="17" t="s">
        <v>2179</v>
      </c>
      <c r="B60" s="17">
        <f>COUNTIFS('Application Inventory'!$AL$5:$AL$1004,"Migrate",'Application Inventory'!$AO$5:$AO$1004,"&gt;="&amp;$F60,'Application Inventory'!$AO$5:$AO$1004,"&lt;="&amp;$G60)</f>
        <v>9</v>
      </c>
      <c r="C60" s="17">
        <f>COUNTIFS('Application Inventory'!$AL$5:$AL$1004,"Retire",'Application Inventory'!$AO$5:$AO$1004,"&gt;="&amp;$F60,'Application Inventory'!$AO$5:$AO$1004,"&lt;="&amp;$G60)</f>
        <v>4</v>
      </c>
      <c r="D60" s="17">
        <f>COUNTIFS('Application Inventory'!$AL$5:$AL$1004,"Retire + Archive",'Application Inventory'!$AO$5:$AO$1004,"&gt;="&amp;$F60,'Application Inventory'!$AO$5:$AO$1004,"&lt;="&amp;$G60)</f>
        <v>2</v>
      </c>
      <c r="E60" s="17">
        <f t="shared" si="1"/>
        <v>15</v>
      </c>
      <c r="F60" s="23">
        <v>44927</v>
      </c>
      <c r="G60" s="23">
        <v>44957</v>
      </c>
      <c r="I60" s="58">
        <v>44439</v>
      </c>
      <c r="J60" s="43">
        <v>539000</v>
      </c>
    </row>
    <row r="61" spans="1:10" ht="15" customHeight="1">
      <c r="A61" s="17" t="s">
        <v>2180</v>
      </c>
      <c r="B61" s="17">
        <f>COUNTIFS('Application Inventory'!$AL$5:$AL$1004,"Migrate",'Application Inventory'!$AO$5:$AO$1004,"&gt;="&amp;$F61,'Application Inventory'!$AO$5:$AO$1004,"&lt;="&amp;$G61)</f>
        <v>5</v>
      </c>
      <c r="C61" s="17">
        <f>COUNTIFS('Application Inventory'!$AL$5:$AL$1004,"Retire",'Application Inventory'!$AO$5:$AO$1004,"&gt;="&amp;$F61,'Application Inventory'!$AO$5:$AO$1004,"&lt;="&amp;$G61)</f>
        <v>3</v>
      </c>
      <c r="D61" s="17">
        <f>COUNTIFS('Application Inventory'!$AL$5:$AL$1004,"Retire + Archive",'Application Inventory'!$AO$5:$AO$1004,"&gt;="&amp;$F61,'Application Inventory'!$AO$5:$AO$1004,"&lt;="&amp;$G61)</f>
        <v>7</v>
      </c>
      <c r="E61" s="17">
        <f t="shared" si="1"/>
        <v>15</v>
      </c>
      <c r="F61" s="23">
        <v>44958</v>
      </c>
      <c r="G61" s="23">
        <v>44985</v>
      </c>
      <c r="I61" s="58">
        <v>44469</v>
      </c>
      <c r="J61" s="43">
        <v>745500</v>
      </c>
    </row>
    <row r="62" spans="1:10" ht="15" customHeight="1">
      <c r="A62" s="17" t="s">
        <v>2181</v>
      </c>
      <c r="B62" s="17">
        <f>COUNTIFS('Application Inventory'!$AL$5:$AL$1004,"Migrate",'Application Inventory'!$AO$5:$AO$1004,"&gt;="&amp;$F62,'Application Inventory'!$AO$5:$AO$1004,"&lt;="&amp;$G62)</f>
        <v>4</v>
      </c>
      <c r="C62" s="17">
        <f>COUNTIFS('Application Inventory'!$AL$5:$AL$1004,"Retire",'Application Inventory'!$AO$5:$AO$1004,"&gt;="&amp;$F62,'Application Inventory'!$AO$5:$AO$1004,"&lt;="&amp;$G62)</f>
        <v>6</v>
      </c>
      <c r="D62" s="17">
        <f>COUNTIFS('Application Inventory'!$AL$5:$AL$1004,"Retire + Archive",'Application Inventory'!$AO$5:$AO$1004,"&gt;="&amp;$F62,'Application Inventory'!$AO$5:$AO$1004,"&lt;="&amp;$G62)</f>
        <v>6</v>
      </c>
      <c r="E62" s="17">
        <f t="shared" si="1"/>
        <v>16</v>
      </c>
      <c r="F62" s="23">
        <v>44986</v>
      </c>
      <c r="G62" s="23">
        <v>45016</v>
      </c>
      <c r="I62" s="58">
        <v>44500</v>
      </c>
      <c r="J62" s="43">
        <v>1099000</v>
      </c>
    </row>
    <row r="63" spans="1:10" ht="15" customHeight="1">
      <c r="A63" s="17" t="s">
        <v>2182</v>
      </c>
      <c r="B63" s="17">
        <f>COUNTIFS('Application Inventory'!$AL$5:$AL$1004,"Migrate",'Application Inventory'!$AO$5:$AO$1004,"&gt;="&amp;$F63,'Application Inventory'!$AO$5:$AO$1004,"&lt;="&amp;$G63)</f>
        <v>3</v>
      </c>
      <c r="C63" s="17">
        <f>COUNTIFS('Application Inventory'!$AL$5:$AL$1004,"Retire",'Application Inventory'!$AO$5:$AO$1004,"&gt;="&amp;$F63,'Application Inventory'!$AO$5:$AO$1004,"&lt;="&amp;$G63)</f>
        <v>9</v>
      </c>
      <c r="D63" s="17">
        <f>COUNTIFS('Application Inventory'!$AL$5:$AL$1004,"Retire + Archive",'Application Inventory'!$AO$5:$AO$1004,"&gt;="&amp;$F63,'Application Inventory'!$AO$5:$AO$1004,"&lt;="&amp;$G63)</f>
        <v>4</v>
      </c>
      <c r="E63" s="17">
        <f t="shared" si="1"/>
        <v>16</v>
      </c>
      <c r="F63" s="23">
        <v>45017</v>
      </c>
      <c r="G63" s="23">
        <v>45046</v>
      </c>
      <c r="I63" s="58">
        <v>44530</v>
      </c>
      <c r="J63" s="43">
        <v>423000</v>
      </c>
    </row>
    <row r="64" spans="1:10" ht="15" customHeight="1">
      <c r="A64" s="17" t="s">
        <v>2183</v>
      </c>
      <c r="B64" s="17">
        <f>COUNTIFS('Application Inventory'!$AL$5:$AL$1004,"Migrate",'Application Inventory'!$AO$5:$AO$1004,"&gt;="&amp;$F64,'Application Inventory'!$AO$5:$AO$1004,"&lt;="&amp;$G64)</f>
        <v>7</v>
      </c>
      <c r="C64" s="17">
        <f>COUNTIFS('Application Inventory'!$AL$5:$AL$1004,"Retire",'Application Inventory'!$AO$5:$AO$1004,"&gt;="&amp;$F64,'Application Inventory'!$AO$5:$AO$1004,"&lt;="&amp;$G64)</f>
        <v>4</v>
      </c>
      <c r="D64" s="17">
        <f>COUNTIFS('Application Inventory'!$AL$5:$AL$1004,"Retire + Archive",'Application Inventory'!$AO$5:$AO$1004,"&gt;="&amp;$F64,'Application Inventory'!$AO$5:$AO$1004,"&lt;="&amp;$G64)</f>
        <v>4</v>
      </c>
      <c r="E64" s="17">
        <f t="shared" si="1"/>
        <v>15</v>
      </c>
      <c r="F64" s="23">
        <v>45047</v>
      </c>
      <c r="G64" s="23">
        <v>45077</v>
      </c>
      <c r="I64" s="58">
        <v>44561</v>
      </c>
      <c r="J64" s="43">
        <v>436500</v>
      </c>
    </row>
    <row r="65" spans="1:10" ht="15" customHeight="1">
      <c r="A65" s="17" t="s">
        <v>2184</v>
      </c>
      <c r="B65" s="17">
        <f>COUNTIFS('Application Inventory'!$AL$5:$AL$1004,"Migrate",'Application Inventory'!$AO$5:$AO$1004,"&gt;="&amp;$F65,'Application Inventory'!$AO$5:$AO$1004,"&lt;="&amp;$G65)</f>
        <v>5</v>
      </c>
      <c r="C65" s="17">
        <f>COUNTIFS('Application Inventory'!$AL$5:$AL$1004,"Retire",'Application Inventory'!$AO$5:$AO$1004,"&gt;="&amp;$F65,'Application Inventory'!$AO$5:$AO$1004,"&lt;="&amp;$G65)</f>
        <v>4</v>
      </c>
      <c r="D65" s="17">
        <f>COUNTIFS('Application Inventory'!$AL$5:$AL$1004,"Retire + Archive",'Application Inventory'!$AO$5:$AO$1004,"&gt;="&amp;$F65,'Application Inventory'!$AO$5:$AO$1004,"&lt;="&amp;$G65)</f>
        <v>5</v>
      </c>
      <c r="E65" s="17">
        <f t="shared" si="1"/>
        <v>14</v>
      </c>
      <c r="F65" s="23">
        <v>45078</v>
      </c>
      <c r="G65" s="23">
        <v>45107</v>
      </c>
      <c r="I65" s="59" t="s">
        <v>97</v>
      </c>
      <c r="J65" s="43">
        <v>6919000</v>
      </c>
    </row>
    <row r="66" spans="1:10" ht="15" customHeight="1">
      <c r="A66" s="17" t="s">
        <v>2185</v>
      </c>
      <c r="B66" s="17">
        <f>COUNTIFS('Application Inventory'!$AL$5:$AL$1004,"Migrate",'Application Inventory'!$AO$5:$AO$1004,"&gt;="&amp;$F66,'Application Inventory'!$AO$5:$AO$1004,"&lt;="&amp;$G66)</f>
        <v>9</v>
      </c>
      <c r="C66" s="17">
        <f>COUNTIFS('Application Inventory'!$AL$5:$AL$1004,"Retire",'Application Inventory'!$AO$5:$AO$1004,"&gt;="&amp;$F66,'Application Inventory'!$AO$5:$AO$1004,"&lt;="&amp;$G66)</f>
        <v>2</v>
      </c>
      <c r="D66" s="17">
        <f>COUNTIFS('Application Inventory'!$AL$5:$AL$1004,"Retire + Archive",'Application Inventory'!$AO$5:$AO$1004,"&gt;="&amp;$F66,'Application Inventory'!$AO$5:$AO$1004,"&lt;="&amp;$G66)</f>
        <v>3</v>
      </c>
      <c r="E66" s="17">
        <f t="shared" si="1"/>
        <v>14</v>
      </c>
      <c r="F66" s="23">
        <v>45108</v>
      </c>
      <c r="G66" s="23">
        <v>45138</v>
      </c>
      <c r="I66" s="59" t="s">
        <v>148</v>
      </c>
      <c r="J66" s="43">
        <v>7503500</v>
      </c>
    </row>
    <row r="67" spans="1:10" ht="15" customHeight="1">
      <c r="A67" s="17" t="s">
        <v>2186</v>
      </c>
      <c r="B67" s="17">
        <f>COUNTIFS('Application Inventory'!$AL$5:$AL$1004,"Migrate",'Application Inventory'!$AO$5:$AO$1004,"&gt;="&amp;$F67,'Application Inventory'!$AO$5:$AO$1004,"&lt;="&amp;$G67)</f>
        <v>6</v>
      </c>
      <c r="C67" s="17">
        <f>COUNTIFS('Application Inventory'!$AL$5:$AL$1004,"Retire",'Application Inventory'!$AO$5:$AO$1004,"&gt;="&amp;$F67,'Application Inventory'!$AO$5:$AO$1004,"&lt;="&amp;$G67)</f>
        <v>3</v>
      </c>
      <c r="D67" s="17">
        <f>COUNTIFS('Application Inventory'!$AL$5:$AL$1004,"Retire + Archive",'Application Inventory'!$AO$5:$AO$1004,"&gt;="&amp;$F67,'Application Inventory'!$AO$5:$AO$1004,"&lt;="&amp;$G67)</f>
        <v>5</v>
      </c>
      <c r="E67" s="17">
        <f t="shared" si="1"/>
        <v>14</v>
      </c>
      <c r="F67" s="23">
        <v>45139</v>
      </c>
      <c r="G67" s="23">
        <v>45169</v>
      </c>
      <c r="I67" s="59" t="s">
        <v>2221</v>
      </c>
      <c r="J67" s="43">
        <v>9631000</v>
      </c>
    </row>
    <row r="68" spans="1:10" ht="15" customHeight="1">
      <c r="A68" s="17" t="s">
        <v>2187</v>
      </c>
      <c r="B68" s="17">
        <f>COUNTIFS('Application Inventory'!$AL$5:$AL$1004,"Migrate",'Application Inventory'!$AO$5:$AO$1004,"&gt;="&amp;$F68,'Application Inventory'!$AO$5:$AO$1004,"&lt;="&amp;$G68)</f>
        <v>4</v>
      </c>
      <c r="C68" s="17">
        <f>COUNTIFS('Application Inventory'!$AL$5:$AL$1004,"Retire",'Application Inventory'!$AO$5:$AO$1004,"&gt;="&amp;$F68,'Application Inventory'!$AO$5:$AO$1004,"&lt;="&amp;$G68)</f>
        <v>2</v>
      </c>
      <c r="D68" s="17">
        <f>COUNTIFS('Application Inventory'!$AL$5:$AL$1004,"Retire + Archive",'Application Inventory'!$AO$5:$AO$1004,"&gt;="&amp;$F68,'Application Inventory'!$AO$5:$AO$1004,"&lt;="&amp;$G68)</f>
        <v>7</v>
      </c>
      <c r="E68" s="17">
        <f t="shared" si="1"/>
        <v>13</v>
      </c>
      <c r="F68" s="23">
        <v>45170</v>
      </c>
      <c r="G68" s="23">
        <v>45199</v>
      </c>
      <c r="I68" s="60" t="s">
        <v>2220</v>
      </c>
      <c r="J68" s="48">
        <v>31701000</v>
      </c>
    </row>
    <row r="69" spans="1:10" ht="15" customHeight="1">
      <c r="A69" s="17" t="s">
        <v>2188</v>
      </c>
      <c r="B69" s="17">
        <f>COUNTIFS('Application Inventory'!$AL$5:$AL$1004,"Migrate",'Application Inventory'!$AO$5:$AO$1004,"&gt;="&amp;$F69,'Application Inventory'!$AO$5:$AO$1004,"&lt;="&amp;$G69)</f>
        <v>4</v>
      </c>
      <c r="C69" s="17">
        <f>COUNTIFS('Application Inventory'!$AL$5:$AL$1004,"Retire",'Application Inventory'!$AO$5:$AO$1004,"&gt;="&amp;$F69,'Application Inventory'!$AO$5:$AO$1004,"&lt;="&amp;$G69)</f>
        <v>2</v>
      </c>
      <c r="D69" s="17">
        <f>COUNTIFS('Application Inventory'!$AL$5:$AL$1004,"Retire + Archive",'Application Inventory'!$AO$5:$AO$1004,"&gt;="&amp;$F69,'Application Inventory'!$AO$5:$AO$1004,"&lt;="&amp;$G69)</f>
        <v>6</v>
      </c>
      <c r="E69" s="17">
        <f t="shared" si="1"/>
        <v>12</v>
      </c>
      <c r="F69" s="23">
        <v>45200</v>
      </c>
      <c r="G69" s="23">
        <v>45230</v>
      </c>
    </row>
    <row r="70" spans="1:10" ht="15" customHeight="1">
      <c r="A70" s="17" t="s">
        <v>2189</v>
      </c>
      <c r="B70" s="17">
        <f>COUNTIFS('Application Inventory'!$AL$5:$AL$1004,"Migrate",'Application Inventory'!$AO$5:$AO$1004,"&gt;="&amp;$F70,'Application Inventory'!$AO$5:$AO$1004,"&lt;="&amp;$G70)</f>
        <v>1</v>
      </c>
      <c r="C70" s="17">
        <f>COUNTIFS('Application Inventory'!$AL$5:$AL$1004,"Retire",'Application Inventory'!$AO$5:$AO$1004,"&gt;="&amp;$F70,'Application Inventory'!$AO$5:$AO$1004,"&lt;="&amp;$G70)</f>
        <v>6</v>
      </c>
      <c r="D70" s="17">
        <f>COUNTIFS('Application Inventory'!$AL$5:$AL$1004,"Retire + Archive",'Application Inventory'!$AO$5:$AO$1004,"&gt;="&amp;$F70,'Application Inventory'!$AO$5:$AO$1004,"&lt;="&amp;$G70)</f>
        <v>4</v>
      </c>
      <c r="E70" s="17">
        <f t="shared" si="1"/>
        <v>11</v>
      </c>
      <c r="F70" s="23">
        <v>45231</v>
      </c>
      <c r="G70" s="23">
        <v>45260</v>
      </c>
    </row>
    <row r="71" spans="1:10" ht="15" customHeight="1">
      <c r="A71" s="17" t="s">
        <v>2190</v>
      </c>
      <c r="B71" s="17">
        <f>COUNTIFS('Application Inventory'!$AL$5:$AL$1004,"Migrate",'Application Inventory'!$AO$5:$AO$1004,"&gt;="&amp;$F71,'Application Inventory'!$AO$5:$AO$1004,"&lt;="&amp;$G71)</f>
        <v>0</v>
      </c>
      <c r="C71" s="17">
        <f>COUNTIFS('Application Inventory'!$AL$5:$AL$1004,"Retire",'Application Inventory'!$AO$5:$AO$1004,"&gt;="&amp;$F71,'Application Inventory'!$AO$5:$AO$1004,"&lt;="&amp;$G71)</f>
        <v>5</v>
      </c>
      <c r="D71" s="17">
        <f>COUNTIFS('Application Inventory'!$AL$5:$AL$1004,"Retire + Archive",'Application Inventory'!$AO$5:$AO$1004,"&gt;="&amp;$F71,'Application Inventory'!$AO$5:$AO$1004,"&lt;="&amp;$G71)</f>
        <v>5</v>
      </c>
      <c r="E71" s="17">
        <f t="shared" si="1"/>
        <v>10</v>
      </c>
      <c r="F71" s="23">
        <v>45261</v>
      </c>
      <c r="G71" s="23">
        <v>45291</v>
      </c>
    </row>
    <row r="72" spans="1:10">
      <c r="A72" s="20" t="s">
        <v>2148</v>
      </c>
      <c r="B72" s="20">
        <f>SUM(B36:B71)</f>
        <v>151</v>
      </c>
      <c r="C72" s="20">
        <f>SUM(C36:C71)</f>
        <v>161</v>
      </c>
      <c r="D72" s="20">
        <f>SUM(D36:D71)</f>
        <v>188</v>
      </c>
      <c r="E72" s="20">
        <f>SUM(E36:E71)</f>
        <v>500</v>
      </c>
      <c r="F72" s="20"/>
      <c r="G72" s="20"/>
    </row>
  </sheetData>
  <pageMargins left="0.75" right="0.75" top="1" bottom="1" header="0.511811023622047" footer="0.51180555555555596"/>
  <pageSetup paperSize="9" orientation="portrait" horizontalDpi="300" verticalDpi="300"/>
  <headerFooter>
    <oddFooter>&amp;C&amp;"Aptos,Regular"&amp;6 &amp;K626469_x005F_x000d_# Public_x000D_&amp;1#&amp;"Aptos"&amp;6&amp;K626469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L25" sqref="L25"/>
    </sheetView>
  </sheetViews>
  <sheetFormatPr defaultColWidth="8.7109375" defaultRowHeight="15"/>
  <sheetData>
    <row r="1" spans="1:1" ht="18" customHeight="1">
      <c r="A1" s="1" t="s">
        <v>2191</v>
      </c>
    </row>
    <row r="2" spans="1:1">
      <c r="A2" s="3" t="s">
        <v>2192</v>
      </c>
    </row>
  </sheetData>
  <pageMargins left="0.75" right="0.75" top="1" bottom="1" header="0.511811023622047" footer="0.51180555555555596"/>
  <pageSetup paperSize="9" orientation="portrait" horizontalDpi="300" verticalDpi="300"/>
  <headerFooter>
    <oddFooter>&amp;C&amp;"Aptos,Regular"&amp;6 &amp;K626469_x005F_x000d_# Public_x000D_&amp;1#&amp;"Aptos"&amp;6&amp;K626469 Public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selection activeCell="C6" sqref="C6"/>
    </sheetView>
  </sheetViews>
  <sheetFormatPr defaultColWidth="8.7109375" defaultRowHeight="15"/>
  <cols>
    <col min="1" max="1" width="46" customWidth="1"/>
    <col min="2" max="2" width="14" customWidth="1"/>
    <col min="3" max="3" width="52" customWidth="1"/>
  </cols>
  <sheetData>
    <row r="1" spans="1:3" ht="18" customHeight="1">
      <c r="A1" s="1" t="s">
        <v>2193</v>
      </c>
    </row>
    <row r="2" spans="1:3">
      <c r="A2" s="3" t="s">
        <v>2194</v>
      </c>
    </row>
    <row r="3" spans="1:3">
      <c r="A3" s="24" t="s">
        <v>2195</v>
      </c>
    </row>
    <row r="4" spans="1:3">
      <c r="A4" s="2" t="s">
        <v>2196</v>
      </c>
      <c r="B4" s="25">
        <v>44317</v>
      </c>
      <c r="C4" s="26" t="s">
        <v>2197</v>
      </c>
    </row>
    <row r="5" spans="1:3">
      <c r="A5" s="2" t="s">
        <v>2198</v>
      </c>
      <c r="B5" s="9">
        <v>6</v>
      </c>
      <c r="C5" s="26" t="s">
        <v>2199</v>
      </c>
    </row>
    <row r="6" spans="1:3">
      <c r="A6" s="2" t="s">
        <v>2200</v>
      </c>
      <c r="B6" s="9">
        <v>25</v>
      </c>
      <c r="C6" s="26" t="s">
        <v>2201</v>
      </c>
    </row>
    <row r="7" spans="1:3">
      <c r="A7" s="2" t="s">
        <v>2202</v>
      </c>
      <c r="B7" s="9">
        <v>2</v>
      </c>
      <c r="C7" s="26" t="s">
        <v>2201</v>
      </c>
    </row>
    <row r="8" spans="1:3">
      <c r="A8" s="2" t="s">
        <v>2203</v>
      </c>
      <c r="B8" s="9">
        <v>12</v>
      </c>
      <c r="C8" s="26" t="s">
        <v>2204</v>
      </c>
    </row>
    <row r="9" spans="1:3">
      <c r="A9" s="2" t="s">
        <v>2205</v>
      </c>
      <c r="B9" s="9">
        <v>2</v>
      </c>
      <c r="C9" s="26" t="s">
        <v>2206</v>
      </c>
    </row>
    <row r="10" spans="1:3">
      <c r="A10" s="24" t="s">
        <v>2207</v>
      </c>
    </row>
    <row r="11" spans="1:3">
      <c r="A11" s="2" t="s">
        <v>2208</v>
      </c>
      <c r="B11" s="9">
        <v>5</v>
      </c>
      <c r="C11" s="26" t="s">
        <v>2209</v>
      </c>
    </row>
    <row r="12" spans="1:3">
      <c r="A12" s="2" t="s">
        <v>2210</v>
      </c>
      <c r="B12" s="6">
        <v>1000</v>
      </c>
      <c r="C12" s="26" t="s">
        <v>2209</v>
      </c>
    </row>
    <row r="13" spans="1:3">
      <c r="A13" s="2" t="s">
        <v>2211</v>
      </c>
      <c r="B13" s="9">
        <v>2</v>
      </c>
      <c r="C13" s="26" t="s">
        <v>2212</v>
      </c>
    </row>
    <row r="15" spans="1:3">
      <c r="A15" s="24" t="s">
        <v>2213</v>
      </c>
    </row>
    <row r="16" spans="1:3">
      <c r="A16" s="27" t="s">
        <v>2214</v>
      </c>
    </row>
    <row r="17" spans="1:1">
      <c r="A17" s="27" t="s">
        <v>2215</v>
      </c>
    </row>
    <row r="18" spans="1:1">
      <c r="A18" s="27" t="s">
        <v>2216</v>
      </c>
    </row>
  </sheetData>
  <pageMargins left="0.75" right="0.75" top="1" bottom="1" header="0.511811023622047" footer="0.51180555555555596"/>
  <pageSetup paperSize="9" orientation="portrait" horizontalDpi="300" verticalDpi="300"/>
  <headerFooter>
    <oddFooter>&amp;C&amp;"Aptos,Regular"&amp;6 &amp;K626469_x005F_x000d_# Public_x000D_&amp;1#&amp;"Aptos"&amp;6&amp;K626469 Public</oddFooter>
  </headerFooter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Use</vt:lpstr>
      <vt:lpstr>Application Inventory</vt:lpstr>
      <vt:lpstr>Summary</vt:lpstr>
      <vt:lpstr>Dashboard</vt:lpstr>
      <vt:lpstr>Scoring Settings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Kalra</cp:lastModifiedBy>
  <cp:revision>2</cp:revision>
  <dcterms:created xsi:type="dcterms:W3CDTF">2026-09-29T20:39:28Z</dcterms:created>
  <dcterms:modified xsi:type="dcterms:W3CDTF">2026-09-30T10:00:15Z</dcterms:modified>
  <dc:language>en-US</dc:language>
</cp:coreProperties>
</file>