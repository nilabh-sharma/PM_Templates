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0" tabRatio="500" activeTab="1"/>
  </bookViews>
  <sheets>
    <sheet name="How to Use" sheetId="1" r:id="rId1"/>
    <sheet name="Application Inventory" sheetId="2" r:id="rId2"/>
    <sheet name="Summary" sheetId="3" r:id="rId3"/>
    <sheet name="Dashboard" sheetId="4" r:id="rId4"/>
    <sheet name="Scoring Settings" sheetId="5" r:id="rId5"/>
  </sheets>
  <definedNames>
    <definedName name="_xlnm._FilterDatabase" localSheetId="1" hidden="1">'Application Inventory'!$A$4:$AQ$504</definedName>
  </definedNames>
  <calcPr calcId="12451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" i="3"/>
  <c r="B29"/>
  <c r="B28"/>
  <c r="B27"/>
  <c r="B26"/>
  <c r="B25"/>
  <c r="D22"/>
  <c r="C22"/>
  <c r="B22"/>
  <c r="D21"/>
  <c r="C21"/>
  <c r="B21"/>
  <c r="D20"/>
  <c r="C20"/>
  <c r="B20"/>
  <c r="D19"/>
  <c r="C19"/>
  <c r="B19"/>
  <c r="B4"/>
  <c r="AM504" i="2"/>
  <c r="AL504"/>
  <c r="AK504"/>
  <c r="AJ504"/>
  <c r="K504"/>
  <c r="AM503"/>
  <c r="AL503"/>
  <c r="AK503"/>
  <c r="AJ503"/>
  <c r="K503"/>
  <c r="AM502"/>
  <c r="AL502"/>
  <c r="AK502"/>
  <c r="AJ502"/>
  <c r="K502"/>
  <c r="AM501"/>
  <c r="AL501"/>
  <c r="AK501"/>
  <c r="AJ501"/>
  <c r="K501"/>
  <c r="AM500"/>
  <c r="AL500"/>
  <c r="AK500"/>
  <c r="AJ500"/>
  <c r="K500"/>
  <c r="AM499"/>
  <c r="AL499"/>
  <c r="AK499"/>
  <c r="AJ499"/>
  <c r="K499"/>
  <c r="AM498"/>
  <c r="AL498"/>
  <c r="AK498"/>
  <c r="AJ498"/>
  <c r="K498"/>
  <c r="AM497"/>
  <c r="AL497"/>
  <c r="AK497"/>
  <c r="AJ497"/>
  <c r="K497"/>
  <c r="AM496"/>
  <c r="AL496"/>
  <c r="AK496"/>
  <c r="AJ496"/>
  <c r="K496"/>
  <c r="AM495"/>
  <c r="AL495"/>
  <c r="AK495"/>
  <c r="AJ495"/>
  <c r="K495"/>
  <c r="AM494"/>
  <c r="AL494"/>
  <c r="AK494"/>
  <c r="AJ494"/>
  <c r="K494"/>
  <c r="AM493"/>
  <c r="AL493"/>
  <c r="AK493"/>
  <c r="AJ493"/>
  <c r="K493"/>
  <c r="AM492"/>
  <c r="AL492"/>
  <c r="AK492"/>
  <c r="AJ492"/>
  <c r="K492"/>
  <c r="AM491"/>
  <c r="AL491"/>
  <c r="AK491"/>
  <c r="AJ491"/>
  <c r="K491"/>
  <c r="AM490"/>
  <c r="AL490"/>
  <c r="AK490"/>
  <c r="AJ490"/>
  <c r="K490"/>
  <c r="AM489"/>
  <c r="AL489"/>
  <c r="AK489"/>
  <c r="AJ489"/>
  <c r="K489"/>
  <c r="AM488"/>
  <c r="AL488"/>
  <c r="AK488"/>
  <c r="AJ488"/>
  <c r="K488"/>
  <c r="AM487"/>
  <c r="AL487"/>
  <c r="AK487"/>
  <c r="AJ487"/>
  <c r="K487"/>
  <c r="AM486"/>
  <c r="AL486"/>
  <c r="AK486"/>
  <c r="AJ486"/>
  <c r="K486"/>
  <c r="AM485"/>
  <c r="AL485"/>
  <c r="AK485"/>
  <c r="AJ485"/>
  <c r="K485"/>
  <c r="AM484"/>
  <c r="AL484"/>
  <c r="AK484"/>
  <c r="AJ484"/>
  <c r="K484"/>
  <c r="AM483"/>
  <c r="AL483"/>
  <c r="AK483"/>
  <c r="AJ483"/>
  <c r="K483"/>
  <c r="AM482"/>
  <c r="AL482"/>
  <c r="AK482"/>
  <c r="AJ482"/>
  <c r="K482"/>
  <c r="AM481"/>
  <c r="AL481"/>
  <c r="AK481"/>
  <c r="AJ481"/>
  <c r="K481"/>
  <c r="AM480"/>
  <c r="AL480"/>
  <c r="AK480"/>
  <c r="AJ480"/>
  <c r="K480"/>
  <c r="AM479"/>
  <c r="AL479"/>
  <c r="AK479"/>
  <c r="AJ479"/>
  <c r="K479"/>
  <c r="AM478"/>
  <c r="AL478"/>
  <c r="AK478"/>
  <c r="AJ478"/>
  <c r="K478"/>
  <c r="AM477"/>
  <c r="AL477"/>
  <c r="AK477"/>
  <c r="AJ477"/>
  <c r="K477"/>
  <c r="AM476"/>
  <c r="AL476"/>
  <c r="AK476"/>
  <c r="AJ476"/>
  <c r="K476"/>
  <c r="AM475"/>
  <c r="AL475"/>
  <c r="AK475"/>
  <c r="AJ475"/>
  <c r="K475"/>
  <c r="AM474"/>
  <c r="AL474"/>
  <c r="AK474"/>
  <c r="AJ474"/>
  <c r="K474"/>
  <c r="AM473"/>
  <c r="AL473"/>
  <c r="AK473"/>
  <c r="AJ473"/>
  <c r="K473"/>
  <c r="AM472"/>
  <c r="AL472"/>
  <c r="AK472"/>
  <c r="AJ472"/>
  <c r="K472"/>
  <c r="AM471"/>
  <c r="AL471"/>
  <c r="AK471"/>
  <c r="AJ471"/>
  <c r="K471"/>
  <c r="AM470"/>
  <c r="AL470"/>
  <c r="AK470"/>
  <c r="AJ470"/>
  <c r="K470"/>
  <c r="AM469"/>
  <c r="AL469"/>
  <c r="AK469"/>
  <c r="AJ469"/>
  <c r="K469"/>
  <c r="AM468"/>
  <c r="AL468"/>
  <c r="AK468"/>
  <c r="AJ468"/>
  <c r="K468"/>
  <c r="AM467"/>
  <c r="AL467"/>
  <c r="AK467"/>
  <c r="AJ467"/>
  <c r="K467"/>
  <c r="AM466"/>
  <c r="AL466"/>
  <c r="AK466"/>
  <c r="AJ466"/>
  <c r="K466"/>
  <c r="AM465"/>
  <c r="AL465"/>
  <c r="AK465"/>
  <c r="AJ465"/>
  <c r="K465"/>
  <c r="AM464"/>
  <c r="AL464"/>
  <c r="AK464"/>
  <c r="AJ464"/>
  <c r="K464"/>
  <c r="AM463"/>
  <c r="AL463"/>
  <c r="AK463"/>
  <c r="AJ463"/>
  <c r="K463"/>
  <c r="AM462"/>
  <c r="AL462"/>
  <c r="AK462"/>
  <c r="AJ462"/>
  <c r="K462"/>
  <c r="AM461"/>
  <c r="AL461"/>
  <c r="AK461"/>
  <c r="AJ461"/>
  <c r="K461"/>
  <c r="AM460"/>
  <c r="AL460"/>
  <c r="AK460"/>
  <c r="AJ460"/>
  <c r="K460"/>
  <c r="AM459"/>
  <c r="AL459"/>
  <c r="AK459"/>
  <c r="AJ459"/>
  <c r="K459"/>
  <c r="AM458"/>
  <c r="AL458"/>
  <c r="AK458"/>
  <c r="AJ458"/>
  <c r="K458"/>
  <c r="AM457"/>
  <c r="AL457"/>
  <c r="AK457"/>
  <c r="AJ457"/>
  <c r="K457"/>
  <c r="AM456"/>
  <c r="AL456"/>
  <c r="AK456"/>
  <c r="AJ456"/>
  <c r="K456"/>
  <c r="AM455"/>
  <c r="AL455"/>
  <c r="AK455"/>
  <c r="AJ455"/>
  <c r="K455"/>
  <c r="AM454"/>
  <c r="AL454"/>
  <c r="AK454"/>
  <c r="AJ454"/>
  <c r="K454"/>
  <c r="AM453"/>
  <c r="AL453"/>
  <c r="AK453"/>
  <c r="AJ453"/>
  <c r="K453"/>
  <c r="AM452"/>
  <c r="AL452"/>
  <c r="AK452"/>
  <c r="AJ452"/>
  <c r="K452"/>
  <c r="AM451"/>
  <c r="AL451"/>
  <c r="AK451"/>
  <c r="AJ451"/>
  <c r="K451"/>
  <c r="AM450"/>
  <c r="AL450"/>
  <c r="AK450"/>
  <c r="AJ450"/>
  <c r="K450"/>
  <c r="AM449"/>
  <c r="AL449"/>
  <c r="AK449"/>
  <c r="AJ449"/>
  <c r="K449"/>
  <c r="AM448"/>
  <c r="AL448"/>
  <c r="AK448"/>
  <c r="AJ448"/>
  <c r="K448"/>
  <c r="AM447"/>
  <c r="AL447"/>
  <c r="AK447"/>
  <c r="AJ447"/>
  <c r="K447"/>
  <c r="AM446"/>
  <c r="AL446"/>
  <c r="AK446"/>
  <c r="AJ446"/>
  <c r="K446"/>
  <c r="AM445"/>
  <c r="AL445"/>
  <c r="AK445"/>
  <c r="AJ445"/>
  <c r="K445"/>
  <c r="AM444"/>
  <c r="AL444"/>
  <c r="AK444"/>
  <c r="AJ444"/>
  <c r="K444"/>
  <c r="AM443"/>
  <c r="AL443"/>
  <c r="AK443"/>
  <c r="AJ443"/>
  <c r="K443"/>
  <c r="AM442"/>
  <c r="AL442"/>
  <c r="AK442"/>
  <c r="AJ442"/>
  <c r="K442"/>
  <c r="AM441"/>
  <c r="AL441"/>
  <c r="AK441"/>
  <c r="AJ441"/>
  <c r="K441"/>
  <c r="AM440"/>
  <c r="AL440"/>
  <c r="AK440"/>
  <c r="AJ440"/>
  <c r="K440"/>
  <c r="AM439"/>
  <c r="AL439"/>
  <c r="AK439"/>
  <c r="AJ439"/>
  <c r="K439"/>
  <c r="AM438"/>
  <c r="AL438"/>
  <c r="AK438"/>
  <c r="AJ438"/>
  <c r="K438"/>
  <c r="AM437"/>
  <c r="AL437"/>
  <c r="AK437"/>
  <c r="AJ437"/>
  <c r="K437"/>
  <c r="AM436"/>
  <c r="AL436"/>
  <c r="AK436"/>
  <c r="AJ436"/>
  <c r="K436"/>
  <c r="AM435"/>
  <c r="AL435"/>
  <c r="AK435"/>
  <c r="AJ435"/>
  <c r="K435"/>
  <c r="AM434"/>
  <c r="AL434"/>
  <c r="AK434"/>
  <c r="AJ434"/>
  <c r="K434"/>
  <c r="AM433"/>
  <c r="AL433"/>
  <c r="AK433"/>
  <c r="AJ433"/>
  <c r="K433"/>
  <c r="AM432"/>
  <c r="AL432"/>
  <c r="AK432"/>
  <c r="AJ432"/>
  <c r="K432"/>
  <c r="AM431"/>
  <c r="AL431"/>
  <c r="AK431"/>
  <c r="AJ431"/>
  <c r="K431"/>
  <c r="AM430"/>
  <c r="AL430"/>
  <c r="AK430"/>
  <c r="AJ430"/>
  <c r="K430"/>
  <c r="AM429"/>
  <c r="AL429"/>
  <c r="AK429"/>
  <c r="AJ429"/>
  <c r="K429"/>
  <c r="AM428"/>
  <c r="AL428"/>
  <c r="AK428"/>
  <c r="AJ428"/>
  <c r="K428"/>
  <c r="AM427"/>
  <c r="AL427"/>
  <c r="AK427"/>
  <c r="AJ427"/>
  <c r="K427"/>
  <c r="AM426"/>
  <c r="AL426"/>
  <c r="AK426"/>
  <c r="AJ426"/>
  <c r="K426"/>
  <c r="AM425"/>
  <c r="AL425"/>
  <c r="AK425"/>
  <c r="AJ425"/>
  <c r="K425"/>
  <c r="AM424"/>
  <c r="AL424"/>
  <c r="AK424"/>
  <c r="AJ424"/>
  <c r="K424"/>
  <c r="AM423"/>
  <c r="AL423"/>
  <c r="AK423"/>
  <c r="AJ423"/>
  <c r="K423"/>
  <c r="AM422"/>
  <c r="AL422"/>
  <c r="AK422"/>
  <c r="AJ422"/>
  <c r="K422"/>
  <c r="AM421"/>
  <c r="AL421"/>
  <c r="AK421"/>
  <c r="AJ421"/>
  <c r="K421"/>
  <c r="AM420"/>
  <c r="AL420"/>
  <c r="AK420"/>
  <c r="AJ420"/>
  <c r="K420"/>
  <c r="AM419"/>
  <c r="AL419"/>
  <c r="AK419"/>
  <c r="AJ419"/>
  <c r="K419"/>
  <c r="AM418"/>
  <c r="AL418"/>
  <c r="AK418"/>
  <c r="AJ418"/>
  <c r="K418"/>
  <c r="AM417"/>
  <c r="AL417"/>
  <c r="AK417"/>
  <c r="AJ417"/>
  <c r="K417"/>
  <c r="AM416"/>
  <c r="AL416"/>
  <c r="AK416"/>
  <c r="AJ416"/>
  <c r="K416"/>
  <c r="AM415"/>
  <c r="AL415"/>
  <c r="AK415"/>
  <c r="AJ415"/>
  <c r="K415"/>
  <c r="AM414"/>
  <c r="AL414"/>
  <c r="AK414"/>
  <c r="AJ414"/>
  <c r="K414"/>
  <c r="AM413"/>
  <c r="AL413"/>
  <c r="AK413"/>
  <c r="AJ413"/>
  <c r="K413"/>
  <c r="AM412"/>
  <c r="AL412"/>
  <c r="AK412"/>
  <c r="AJ412"/>
  <c r="K412"/>
  <c r="AM411"/>
  <c r="AL411"/>
  <c r="AK411"/>
  <c r="AJ411"/>
  <c r="K411"/>
  <c r="AM410"/>
  <c r="AL410"/>
  <c r="AK410"/>
  <c r="AJ410"/>
  <c r="K410"/>
  <c r="AM409"/>
  <c r="AL409"/>
  <c r="AK409"/>
  <c r="AJ409"/>
  <c r="K409"/>
  <c r="AM408"/>
  <c r="AL408"/>
  <c r="AK408"/>
  <c r="AJ408"/>
  <c r="K408"/>
  <c r="AM407"/>
  <c r="AL407"/>
  <c r="AK407"/>
  <c r="AJ407"/>
  <c r="K407"/>
  <c r="AM406"/>
  <c r="AL406"/>
  <c r="AK406"/>
  <c r="AJ406"/>
  <c r="K406"/>
  <c r="AM405"/>
  <c r="AL405"/>
  <c r="AK405"/>
  <c r="AJ405"/>
  <c r="K405"/>
  <c r="AM404"/>
  <c r="AL404"/>
  <c r="AK404"/>
  <c r="AJ404"/>
  <c r="K404"/>
  <c r="AM403"/>
  <c r="AL403"/>
  <c r="AK403"/>
  <c r="AJ403"/>
  <c r="K403"/>
  <c r="AM402"/>
  <c r="AL402"/>
  <c r="AK402"/>
  <c r="AJ402"/>
  <c r="K402"/>
  <c r="AM401"/>
  <c r="AL401"/>
  <c r="AK401"/>
  <c r="AJ401"/>
  <c r="K401"/>
  <c r="AM400"/>
  <c r="AL400"/>
  <c r="AK400"/>
  <c r="AJ400"/>
  <c r="K400"/>
  <c r="AM399"/>
  <c r="AL399"/>
  <c r="AK399"/>
  <c r="AJ399"/>
  <c r="K399"/>
  <c r="AM398"/>
  <c r="AL398"/>
  <c r="AK398"/>
  <c r="AJ398"/>
  <c r="K398"/>
  <c r="AM397"/>
  <c r="AL397"/>
  <c r="AK397"/>
  <c r="AJ397"/>
  <c r="K397"/>
  <c r="AM396"/>
  <c r="AL396"/>
  <c r="AK396"/>
  <c r="AJ396"/>
  <c r="K396"/>
  <c r="AM395"/>
  <c r="AL395"/>
  <c r="AK395"/>
  <c r="AJ395"/>
  <c r="K395"/>
  <c r="AM394"/>
  <c r="AL394"/>
  <c r="AK394"/>
  <c r="AJ394"/>
  <c r="K394"/>
  <c r="AM393"/>
  <c r="AL393"/>
  <c r="AK393"/>
  <c r="AJ393"/>
  <c r="K393"/>
  <c r="AM392"/>
  <c r="AL392"/>
  <c r="AK392"/>
  <c r="AJ392"/>
  <c r="K392"/>
  <c r="AM391"/>
  <c r="AL391"/>
  <c r="AK391"/>
  <c r="AJ391"/>
  <c r="K391"/>
  <c r="AM390"/>
  <c r="AL390"/>
  <c r="AK390"/>
  <c r="AJ390"/>
  <c r="K390"/>
  <c r="AM389"/>
  <c r="AL389"/>
  <c r="AK389"/>
  <c r="AJ389"/>
  <c r="K389"/>
  <c r="AM388"/>
  <c r="AL388"/>
  <c r="AK388"/>
  <c r="AJ388"/>
  <c r="K388"/>
  <c r="AM387"/>
  <c r="AL387"/>
  <c r="AK387"/>
  <c r="AJ387"/>
  <c r="K387"/>
  <c r="AM386"/>
  <c r="AL386"/>
  <c r="AK386"/>
  <c r="AJ386"/>
  <c r="K386"/>
  <c r="AM385"/>
  <c r="AL385"/>
  <c r="AK385"/>
  <c r="AJ385"/>
  <c r="K385"/>
  <c r="AM384"/>
  <c r="AL384"/>
  <c r="AK384"/>
  <c r="AJ384"/>
  <c r="K384"/>
  <c r="AM383"/>
  <c r="AL383"/>
  <c r="AK383"/>
  <c r="AJ383"/>
  <c r="K383"/>
  <c r="AM382"/>
  <c r="AL382"/>
  <c r="AK382"/>
  <c r="AJ382"/>
  <c r="K382"/>
  <c r="AM381"/>
  <c r="AL381"/>
  <c r="AK381"/>
  <c r="AJ381"/>
  <c r="K381"/>
  <c r="AM380"/>
  <c r="AL380"/>
  <c r="AK380"/>
  <c r="AJ380"/>
  <c r="K380"/>
  <c r="AM379"/>
  <c r="AL379"/>
  <c r="AK379"/>
  <c r="AJ379"/>
  <c r="K379"/>
  <c r="AM378"/>
  <c r="AL378"/>
  <c r="AK378"/>
  <c r="AJ378"/>
  <c r="K378"/>
  <c r="AM377"/>
  <c r="AL377"/>
  <c r="AK377"/>
  <c r="AJ377"/>
  <c r="K377"/>
  <c r="AM376"/>
  <c r="AL376"/>
  <c r="AK376"/>
  <c r="AJ376"/>
  <c r="K376"/>
  <c r="AM375"/>
  <c r="AL375"/>
  <c r="AK375"/>
  <c r="AJ375"/>
  <c r="K375"/>
  <c r="AM374"/>
  <c r="AL374"/>
  <c r="AK374"/>
  <c r="AJ374"/>
  <c r="K374"/>
  <c r="AM373"/>
  <c r="AL373"/>
  <c r="AK373"/>
  <c r="AJ373"/>
  <c r="K373"/>
  <c r="AM372"/>
  <c r="AL372"/>
  <c r="AK372"/>
  <c r="AJ372"/>
  <c r="K372"/>
  <c r="AM371"/>
  <c r="AL371"/>
  <c r="AK371"/>
  <c r="AJ371"/>
  <c r="K371"/>
  <c r="AM370"/>
  <c r="AL370"/>
  <c r="AK370"/>
  <c r="AJ370"/>
  <c r="K370"/>
  <c r="AM369"/>
  <c r="AL369"/>
  <c r="AK369"/>
  <c r="AJ369"/>
  <c r="K369"/>
  <c r="AM368"/>
  <c r="AL368"/>
  <c r="AK368"/>
  <c r="AJ368"/>
  <c r="K368"/>
  <c r="AM367"/>
  <c r="AL367"/>
  <c r="AK367"/>
  <c r="AJ367"/>
  <c r="K367"/>
  <c r="AM366"/>
  <c r="AL366"/>
  <c r="AK366"/>
  <c r="AJ366"/>
  <c r="K366"/>
  <c r="AM365"/>
  <c r="AL365"/>
  <c r="AK365"/>
  <c r="AJ365"/>
  <c r="K365"/>
  <c r="AM364"/>
  <c r="AL364"/>
  <c r="AK364"/>
  <c r="AJ364"/>
  <c r="K364"/>
  <c r="AM363"/>
  <c r="AL363"/>
  <c r="AK363"/>
  <c r="AJ363"/>
  <c r="K363"/>
  <c r="AM362"/>
  <c r="AL362"/>
  <c r="AK362"/>
  <c r="AJ362"/>
  <c r="K362"/>
  <c r="AM361"/>
  <c r="AL361"/>
  <c r="AK361"/>
  <c r="AJ361"/>
  <c r="K361"/>
  <c r="AM360"/>
  <c r="AL360"/>
  <c r="AK360"/>
  <c r="AJ360"/>
  <c r="K360"/>
  <c r="AM359"/>
  <c r="AL359"/>
  <c r="AK359"/>
  <c r="AJ359"/>
  <c r="K359"/>
  <c r="AM358"/>
  <c r="AL358"/>
  <c r="AK358"/>
  <c r="AJ358"/>
  <c r="K358"/>
  <c r="AM357"/>
  <c r="AL357"/>
  <c r="AK357"/>
  <c r="AJ357"/>
  <c r="K357"/>
  <c r="AM356"/>
  <c r="AL356"/>
  <c r="AK356"/>
  <c r="AJ356"/>
  <c r="K356"/>
  <c r="AM355"/>
  <c r="AL355"/>
  <c r="AK355"/>
  <c r="AJ355"/>
  <c r="K355"/>
  <c r="AM354"/>
  <c r="AL354"/>
  <c r="AK354"/>
  <c r="AJ354"/>
  <c r="K354"/>
  <c r="AM353"/>
  <c r="AL353"/>
  <c r="AK353"/>
  <c r="AJ353"/>
  <c r="K353"/>
  <c r="AM352"/>
  <c r="AL352"/>
  <c r="AK352"/>
  <c r="AJ352"/>
  <c r="K352"/>
  <c r="AM351"/>
  <c r="AL351"/>
  <c r="AK351"/>
  <c r="AJ351"/>
  <c r="K351"/>
  <c r="AM350"/>
  <c r="AL350"/>
  <c r="AK350"/>
  <c r="AJ350"/>
  <c r="K350"/>
  <c r="AM349"/>
  <c r="AL349"/>
  <c r="AK349"/>
  <c r="AJ349"/>
  <c r="K349"/>
  <c r="AM348"/>
  <c r="AL348"/>
  <c r="AK348"/>
  <c r="AJ348"/>
  <c r="K348"/>
  <c r="AM347"/>
  <c r="AL347"/>
  <c r="AK347"/>
  <c r="AJ347"/>
  <c r="K347"/>
  <c r="AM346"/>
  <c r="AL346"/>
  <c r="AK346"/>
  <c r="AJ346"/>
  <c r="K346"/>
  <c r="AM345"/>
  <c r="AL345"/>
  <c r="AK345"/>
  <c r="AJ345"/>
  <c r="K345"/>
  <c r="AM344"/>
  <c r="AL344"/>
  <c r="AK344"/>
  <c r="AJ344"/>
  <c r="K344"/>
  <c r="AM343"/>
  <c r="AL343"/>
  <c r="AK343"/>
  <c r="AJ343"/>
  <c r="K343"/>
  <c r="AM342"/>
  <c r="AL342"/>
  <c r="AK342"/>
  <c r="AJ342"/>
  <c r="K342"/>
  <c r="AM341"/>
  <c r="AL341"/>
  <c r="AK341"/>
  <c r="AJ341"/>
  <c r="K341"/>
  <c r="AM340"/>
  <c r="AL340"/>
  <c r="AK340"/>
  <c r="AJ340"/>
  <c r="K340"/>
  <c r="AM339"/>
  <c r="AL339"/>
  <c r="AK339"/>
  <c r="AJ339"/>
  <c r="K339"/>
  <c r="AM338"/>
  <c r="AL338"/>
  <c r="AK338"/>
  <c r="AJ338"/>
  <c r="K338"/>
  <c r="AM337"/>
  <c r="AL337"/>
  <c r="AK337"/>
  <c r="AJ337"/>
  <c r="K337"/>
  <c r="AM336"/>
  <c r="AL336"/>
  <c r="AK336"/>
  <c r="AJ336"/>
  <c r="K336"/>
  <c r="AM335"/>
  <c r="AL335"/>
  <c r="AK335"/>
  <c r="AJ335"/>
  <c r="K335"/>
  <c r="AM334"/>
  <c r="AL334"/>
  <c r="AK334"/>
  <c r="AJ334"/>
  <c r="K334"/>
  <c r="AM333"/>
  <c r="AL333"/>
  <c r="AK333"/>
  <c r="AJ333"/>
  <c r="K333"/>
  <c r="AM332"/>
  <c r="AL332"/>
  <c r="AK332"/>
  <c r="AJ332"/>
  <c r="K332"/>
  <c r="AM331"/>
  <c r="AL331"/>
  <c r="AK331"/>
  <c r="AJ331"/>
  <c r="K331"/>
  <c r="AM330"/>
  <c r="AL330"/>
  <c r="AK330"/>
  <c r="AJ330"/>
  <c r="K330"/>
  <c r="AM329"/>
  <c r="AL329"/>
  <c r="AK329"/>
  <c r="AJ329"/>
  <c r="K329"/>
  <c r="AM328"/>
  <c r="AL328"/>
  <c r="AK328"/>
  <c r="AJ328"/>
  <c r="K328"/>
  <c r="AM327"/>
  <c r="AL327"/>
  <c r="AK327"/>
  <c r="AJ327"/>
  <c r="K327"/>
  <c r="AM326"/>
  <c r="AL326"/>
  <c r="AK326"/>
  <c r="AJ326"/>
  <c r="K326"/>
  <c r="AM325"/>
  <c r="AL325"/>
  <c r="AK325"/>
  <c r="AJ325"/>
  <c r="K325"/>
  <c r="AM324"/>
  <c r="AL324"/>
  <c r="AK324"/>
  <c r="AJ324"/>
  <c r="K324"/>
  <c r="AM323"/>
  <c r="AL323"/>
  <c r="AK323"/>
  <c r="AJ323"/>
  <c r="K323"/>
  <c r="AM322"/>
  <c r="AL322"/>
  <c r="AK322"/>
  <c r="AJ322"/>
  <c r="K322"/>
  <c r="AM321"/>
  <c r="AL321"/>
  <c r="AK321"/>
  <c r="AJ321"/>
  <c r="K321"/>
  <c r="AM320"/>
  <c r="AL320"/>
  <c r="AK320"/>
  <c r="AJ320"/>
  <c r="K320"/>
  <c r="AM319"/>
  <c r="AL319"/>
  <c r="AK319"/>
  <c r="AJ319"/>
  <c r="K319"/>
  <c r="AM318"/>
  <c r="AL318"/>
  <c r="AK318"/>
  <c r="AJ318"/>
  <c r="K318"/>
  <c r="AM317"/>
  <c r="AL317"/>
  <c r="AK317"/>
  <c r="AJ317"/>
  <c r="K317"/>
  <c r="AM316"/>
  <c r="AL316"/>
  <c r="AK316"/>
  <c r="AJ316"/>
  <c r="K316"/>
  <c r="AM315"/>
  <c r="AL315"/>
  <c r="AK315"/>
  <c r="AJ315"/>
  <c r="K315"/>
  <c r="AM314"/>
  <c r="AL314"/>
  <c r="AK314"/>
  <c r="AJ314"/>
  <c r="K314"/>
  <c r="AM313"/>
  <c r="AL313"/>
  <c r="AK313"/>
  <c r="AJ313"/>
  <c r="K313"/>
  <c r="AM312"/>
  <c r="AL312"/>
  <c r="AK312"/>
  <c r="AJ312"/>
  <c r="K312"/>
  <c r="AM311"/>
  <c r="AL311"/>
  <c r="AK311"/>
  <c r="AJ311"/>
  <c r="K311"/>
  <c r="AM310"/>
  <c r="AL310"/>
  <c r="AK310"/>
  <c r="AJ310"/>
  <c r="K310"/>
  <c r="AM309"/>
  <c r="AL309"/>
  <c r="AK309"/>
  <c r="AJ309"/>
  <c r="K309"/>
  <c r="AM308"/>
  <c r="AL308"/>
  <c r="AK308"/>
  <c r="AJ308"/>
  <c r="K308"/>
  <c r="AM307"/>
  <c r="AL307"/>
  <c r="AK307"/>
  <c r="AJ307"/>
  <c r="K307"/>
  <c r="AM306"/>
  <c r="AL306"/>
  <c r="AK306"/>
  <c r="AJ306"/>
  <c r="K306"/>
  <c r="AM305"/>
  <c r="AL305"/>
  <c r="AK305"/>
  <c r="AJ305"/>
  <c r="K305"/>
  <c r="AM304"/>
  <c r="AL304"/>
  <c r="AK304"/>
  <c r="AJ304"/>
  <c r="K304"/>
  <c r="AM303"/>
  <c r="AL303"/>
  <c r="AK303"/>
  <c r="AJ303"/>
  <c r="K303"/>
  <c r="AM302"/>
  <c r="AL302"/>
  <c r="AK302"/>
  <c r="AJ302"/>
  <c r="K302"/>
  <c r="AM301"/>
  <c r="AL301"/>
  <c r="AK301"/>
  <c r="AJ301"/>
  <c r="K301"/>
  <c r="AM300"/>
  <c r="AL300"/>
  <c r="AK300"/>
  <c r="AJ300"/>
  <c r="K300"/>
  <c r="AM299"/>
  <c r="AL299"/>
  <c r="AK299"/>
  <c r="AJ299"/>
  <c r="K299"/>
  <c r="AM298"/>
  <c r="AL298"/>
  <c r="AK298"/>
  <c r="AJ298"/>
  <c r="K298"/>
  <c r="AM297"/>
  <c r="AL297"/>
  <c r="AK297"/>
  <c r="AJ297"/>
  <c r="K297"/>
  <c r="AM296"/>
  <c r="AL296"/>
  <c r="AK296"/>
  <c r="AJ296"/>
  <c r="K296"/>
  <c r="AM295"/>
  <c r="AL295"/>
  <c r="AK295"/>
  <c r="AJ295"/>
  <c r="K295"/>
  <c r="AM294"/>
  <c r="AL294"/>
  <c r="AK294"/>
  <c r="AJ294"/>
  <c r="K294"/>
  <c r="AM293"/>
  <c r="AL293"/>
  <c r="AK293"/>
  <c r="AJ293"/>
  <c r="K293"/>
  <c r="AM292"/>
  <c r="AL292"/>
  <c r="AK292"/>
  <c r="AJ292"/>
  <c r="K292"/>
  <c r="AM291"/>
  <c r="AL291"/>
  <c r="AK291"/>
  <c r="AJ291"/>
  <c r="K291"/>
  <c r="AM290"/>
  <c r="AL290"/>
  <c r="AK290"/>
  <c r="AJ290"/>
  <c r="K290"/>
  <c r="AM289"/>
  <c r="AL289"/>
  <c r="AK289"/>
  <c r="AJ289"/>
  <c r="K289"/>
  <c r="AM288"/>
  <c r="AL288"/>
  <c r="AK288"/>
  <c r="AJ288"/>
  <c r="K288"/>
  <c r="AM287"/>
  <c r="AL287"/>
  <c r="AK287"/>
  <c r="AJ287"/>
  <c r="K287"/>
  <c r="AM286"/>
  <c r="AL286"/>
  <c r="AK286"/>
  <c r="AJ286"/>
  <c r="K286"/>
  <c r="AM285"/>
  <c r="AL285"/>
  <c r="AK285"/>
  <c r="AJ285"/>
  <c r="K285"/>
  <c r="AM284"/>
  <c r="AL284"/>
  <c r="AK284"/>
  <c r="AJ284"/>
  <c r="K284"/>
  <c r="AM283"/>
  <c r="AL283"/>
  <c r="AK283"/>
  <c r="AJ283"/>
  <c r="K283"/>
  <c r="AM282"/>
  <c r="AL282"/>
  <c r="AK282"/>
  <c r="AJ282"/>
  <c r="K282"/>
  <c r="AM281"/>
  <c r="AL281"/>
  <c r="AK281"/>
  <c r="AJ281"/>
  <c r="K281"/>
  <c r="AM280"/>
  <c r="AL280"/>
  <c r="AK280"/>
  <c r="AJ280"/>
  <c r="K280"/>
  <c r="AM279"/>
  <c r="AL279"/>
  <c r="AK279"/>
  <c r="AJ279"/>
  <c r="K279"/>
  <c r="AM278"/>
  <c r="AL278"/>
  <c r="AK278"/>
  <c r="AJ278"/>
  <c r="K278"/>
  <c r="AM277"/>
  <c r="AL277"/>
  <c r="AK277"/>
  <c r="AJ277"/>
  <c r="K277"/>
  <c r="AM276"/>
  <c r="AL276"/>
  <c r="AK276"/>
  <c r="AJ276"/>
  <c r="K276"/>
  <c r="AM275"/>
  <c r="AL275"/>
  <c r="AK275"/>
  <c r="AJ275"/>
  <c r="K275"/>
  <c r="AM274"/>
  <c r="AL274"/>
  <c r="AK274"/>
  <c r="AJ274"/>
  <c r="K274"/>
  <c r="AM273"/>
  <c r="AL273"/>
  <c r="AK273"/>
  <c r="AJ273"/>
  <c r="K273"/>
  <c r="AM272"/>
  <c r="AL272"/>
  <c r="AK272"/>
  <c r="AJ272"/>
  <c r="K272"/>
  <c r="AM271"/>
  <c r="AL271"/>
  <c r="AK271"/>
  <c r="AJ271"/>
  <c r="K271"/>
  <c r="AM270"/>
  <c r="AL270"/>
  <c r="AK270"/>
  <c r="AJ270"/>
  <c r="K270"/>
  <c r="AM269"/>
  <c r="AL269"/>
  <c r="AK269"/>
  <c r="AJ269"/>
  <c r="K269"/>
  <c r="AM268"/>
  <c r="AL268"/>
  <c r="AK268"/>
  <c r="AJ268"/>
  <c r="K268"/>
  <c r="AM267"/>
  <c r="AL267"/>
  <c r="AK267"/>
  <c r="AJ267"/>
  <c r="K267"/>
  <c r="AM266"/>
  <c r="AL266"/>
  <c r="AK266"/>
  <c r="AJ266"/>
  <c r="K266"/>
  <c r="AM265"/>
  <c r="AL265"/>
  <c r="AK265"/>
  <c r="AJ265"/>
  <c r="K265"/>
  <c r="AM264"/>
  <c r="AL264"/>
  <c r="AK264"/>
  <c r="AJ264"/>
  <c r="K264"/>
  <c r="AM263"/>
  <c r="AL263"/>
  <c r="AK263"/>
  <c r="AJ263"/>
  <c r="K263"/>
  <c r="AM262"/>
  <c r="AL262"/>
  <c r="AK262"/>
  <c r="AJ262"/>
  <c r="K262"/>
  <c r="AM261"/>
  <c r="AL261"/>
  <c r="AK261"/>
  <c r="AJ261"/>
  <c r="K261"/>
  <c r="AM260"/>
  <c r="AL260"/>
  <c r="AK260"/>
  <c r="AJ260"/>
  <c r="K260"/>
  <c r="AM259"/>
  <c r="AL259"/>
  <c r="AK259"/>
  <c r="AJ259"/>
  <c r="K259"/>
  <c r="AM258"/>
  <c r="AL258"/>
  <c r="AK258"/>
  <c r="AJ258"/>
  <c r="K258"/>
  <c r="AM257"/>
  <c r="AL257"/>
  <c r="AK257"/>
  <c r="AJ257"/>
  <c r="K257"/>
  <c r="AM256"/>
  <c r="AL256"/>
  <c r="AK256"/>
  <c r="AJ256"/>
  <c r="K256"/>
  <c r="AM255"/>
  <c r="AL255"/>
  <c r="AK255"/>
  <c r="AJ255"/>
  <c r="K255"/>
  <c r="AM254"/>
  <c r="AL254"/>
  <c r="AK254"/>
  <c r="AJ254"/>
  <c r="K254"/>
  <c r="AM253"/>
  <c r="AL253"/>
  <c r="AK253"/>
  <c r="AJ253"/>
  <c r="K253"/>
  <c r="AM252"/>
  <c r="AL252"/>
  <c r="AK252"/>
  <c r="AJ252"/>
  <c r="K252"/>
  <c r="AM251"/>
  <c r="AL251"/>
  <c r="AK251"/>
  <c r="AJ251"/>
  <c r="K251"/>
  <c r="AM250"/>
  <c r="AL250"/>
  <c r="AK250"/>
  <c r="AJ250"/>
  <c r="K250"/>
  <c r="AM249"/>
  <c r="AL249"/>
  <c r="AK249"/>
  <c r="AJ249"/>
  <c r="K249"/>
  <c r="AM248"/>
  <c r="AL248"/>
  <c r="AK248"/>
  <c r="AJ248"/>
  <c r="K248"/>
  <c r="AM247"/>
  <c r="AL247"/>
  <c r="AK247"/>
  <c r="AJ247"/>
  <c r="K247"/>
  <c r="AM246"/>
  <c r="AL246"/>
  <c r="AK246"/>
  <c r="AJ246"/>
  <c r="K246"/>
  <c r="AM245"/>
  <c r="AL245"/>
  <c r="AK245"/>
  <c r="AJ245"/>
  <c r="K245"/>
  <c r="AM244"/>
  <c r="AL244"/>
  <c r="AK244"/>
  <c r="AJ244"/>
  <c r="K244"/>
  <c r="AM243"/>
  <c r="AL243"/>
  <c r="AK243"/>
  <c r="AJ243"/>
  <c r="K243"/>
  <c r="AM242"/>
  <c r="AL242"/>
  <c r="AK242"/>
  <c r="AJ242"/>
  <c r="K242"/>
  <c r="AM241"/>
  <c r="AL241"/>
  <c r="AK241"/>
  <c r="AJ241"/>
  <c r="K241"/>
  <c r="AM240"/>
  <c r="AL240"/>
  <c r="AK240"/>
  <c r="AJ240"/>
  <c r="K240"/>
  <c r="AM239"/>
  <c r="AL239"/>
  <c r="AK239"/>
  <c r="AJ239"/>
  <c r="K239"/>
  <c r="AM238"/>
  <c r="AL238"/>
  <c r="AK238"/>
  <c r="AJ238"/>
  <c r="K238"/>
  <c r="AM237"/>
  <c r="AL237"/>
  <c r="AK237"/>
  <c r="AJ237"/>
  <c r="K237"/>
  <c r="AM236"/>
  <c r="AL236"/>
  <c r="AK236"/>
  <c r="AJ236"/>
  <c r="K236"/>
  <c r="AM235"/>
  <c r="AL235"/>
  <c r="AK235"/>
  <c r="AJ235"/>
  <c r="K235"/>
  <c r="AM234"/>
  <c r="AL234"/>
  <c r="AK234"/>
  <c r="AJ234"/>
  <c r="K234"/>
  <c r="AM233"/>
  <c r="AL233"/>
  <c r="AK233"/>
  <c r="AJ233"/>
  <c r="K233"/>
  <c r="AM232"/>
  <c r="AL232"/>
  <c r="AK232"/>
  <c r="AJ232"/>
  <c r="K232"/>
  <c r="AM231"/>
  <c r="AL231"/>
  <c r="AK231"/>
  <c r="AJ231"/>
  <c r="K231"/>
  <c r="AM230"/>
  <c r="AL230"/>
  <c r="AK230"/>
  <c r="AJ230"/>
  <c r="K230"/>
  <c r="AM229"/>
  <c r="AL229"/>
  <c r="AK229"/>
  <c r="AJ229"/>
  <c r="K229"/>
  <c r="AM228"/>
  <c r="AL228"/>
  <c r="AK228"/>
  <c r="AJ228"/>
  <c r="K228"/>
  <c r="AM227"/>
  <c r="AL227"/>
  <c r="AK227"/>
  <c r="AJ227"/>
  <c r="K227"/>
  <c r="AM226"/>
  <c r="AL226"/>
  <c r="AK226"/>
  <c r="AJ226"/>
  <c r="K226"/>
  <c r="AM225"/>
  <c r="AL225"/>
  <c r="AK225"/>
  <c r="AJ225"/>
  <c r="K225"/>
  <c r="AM224"/>
  <c r="AL224"/>
  <c r="AK224"/>
  <c r="AJ224"/>
  <c r="K224"/>
  <c r="AM223"/>
  <c r="AL223"/>
  <c r="AK223"/>
  <c r="AJ223"/>
  <c r="K223"/>
  <c r="AM222"/>
  <c r="AL222"/>
  <c r="AK222"/>
  <c r="AJ222"/>
  <c r="K222"/>
  <c r="AM221"/>
  <c r="AL221"/>
  <c r="AK221"/>
  <c r="AJ221"/>
  <c r="K221"/>
  <c r="AM220"/>
  <c r="AL220"/>
  <c r="AK220"/>
  <c r="AJ220"/>
  <c r="K220"/>
  <c r="AM219"/>
  <c r="AL219"/>
  <c r="AK219"/>
  <c r="AJ219"/>
  <c r="K219"/>
  <c r="AM218"/>
  <c r="AL218"/>
  <c r="AK218"/>
  <c r="AJ218"/>
  <c r="K218"/>
  <c r="AM217"/>
  <c r="AL217"/>
  <c r="AK217"/>
  <c r="AJ217"/>
  <c r="K217"/>
  <c r="AM216"/>
  <c r="AL216"/>
  <c r="AK216"/>
  <c r="AJ216"/>
  <c r="K216"/>
  <c r="AM215"/>
  <c r="AL215"/>
  <c r="AK215"/>
  <c r="AJ215"/>
  <c r="K215"/>
  <c r="AM214"/>
  <c r="AL214"/>
  <c r="AK214"/>
  <c r="AJ214"/>
  <c r="K214"/>
  <c r="AM213"/>
  <c r="AL213"/>
  <c r="AK213"/>
  <c r="AJ213"/>
  <c r="K213"/>
  <c r="AM212"/>
  <c r="AL212"/>
  <c r="AK212"/>
  <c r="AJ212"/>
  <c r="K212"/>
  <c r="AM211"/>
  <c r="AL211"/>
  <c r="AK211"/>
  <c r="AJ211"/>
  <c r="K211"/>
  <c r="AM210"/>
  <c r="AL210"/>
  <c r="AK210"/>
  <c r="AJ210"/>
  <c r="K210"/>
  <c r="AM209"/>
  <c r="AL209"/>
  <c r="AK209"/>
  <c r="AJ209"/>
  <c r="K209"/>
  <c r="AM208"/>
  <c r="AL208"/>
  <c r="AK208"/>
  <c r="AJ208"/>
  <c r="K208"/>
  <c r="AM207"/>
  <c r="AL207"/>
  <c r="AK207"/>
  <c r="AJ207"/>
  <c r="K207"/>
  <c r="AM206"/>
  <c r="AL206"/>
  <c r="AK206"/>
  <c r="AJ206"/>
  <c r="K206"/>
  <c r="AM205"/>
  <c r="AL205"/>
  <c r="AK205"/>
  <c r="AJ205"/>
  <c r="K205"/>
  <c r="AM204"/>
  <c r="AL204"/>
  <c r="AK204"/>
  <c r="AJ204"/>
  <c r="K204"/>
  <c r="AM203"/>
  <c r="AL203"/>
  <c r="AK203"/>
  <c r="AJ203"/>
  <c r="K203"/>
  <c r="AM202"/>
  <c r="AL202"/>
  <c r="AK202"/>
  <c r="AJ202"/>
  <c r="K202"/>
  <c r="AM201"/>
  <c r="AL201"/>
  <c r="AK201"/>
  <c r="AJ201"/>
  <c r="K201"/>
  <c r="AM200"/>
  <c r="AL200"/>
  <c r="AK200"/>
  <c r="AJ200"/>
  <c r="K200"/>
  <c r="AM199"/>
  <c r="AL199"/>
  <c r="AK199"/>
  <c r="AJ199"/>
  <c r="K199"/>
  <c r="AM198"/>
  <c r="AL198"/>
  <c r="AK198"/>
  <c r="AJ198"/>
  <c r="K198"/>
  <c r="AM197"/>
  <c r="AL197"/>
  <c r="AK197"/>
  <c r="AJ197"/>
  <c r="K197"/>
  <c r="AM196"/>
  <c r="AL196"/>
  <c r="AK196"/>
  <c r="AJ196"/>
  <c r="K196"/>
  <c r="AM195"/>
  <c r="AL195"/>
  <c r="AK195"/>
  <c r="AJ195"/>
  <c r="K195"/>
  <c r="AM194"/>
  <c r="AL194"/>
  <c r="AK194"/>
  <c r="AJ194"/>
  <c r="K194"/>
  <c r="AM193"/>
  <c r="AL193"/>
  <c r="AK193"/>
  <c r="AJ193"/>
  <c r="K193"/>
  <c r="AM192"/>
  <c r="AL192"/>
  <c r="AK192"/>
  <c r="AJ192"/>
  <c r="K192"/>
  <c r="AM191"/>
  <c r="AL191"/>
  <c r="AK191"/>
  <c r="AJ191"/>
  <c r="K191"/>
  <c r="AM190"/>
  <c r="AL190"/>
  <c r="AK190"/>
  <c r="AJ190"/>
  <c r="K190"/>
  <c r="AM189"/>
  <c r="AL189"/>
  <c r="AK189"/>
  <c r="AJ189"/>
  <c r="K189"/>
  <c r="AM188"/>
  <c r="AL188"/>
  <c r="AK188"/>
  <c r="AJ188"/>
  <c r="K188"/>
  <c r="AM187"/>
  <c r="AL187"/>
  <c r="AK187"/>
  <c r="AJ187"/>
  <c r="K187"/>
  <c r="AM186"/>
  <c r="AL186"/>
  <c r="AK186"/>
  <c r="AJ186"/>
  <c r="K186"/>
  <c r="AM185"/>
  <c r="AL185"/>
  <c r="AK185"/>
  <c r="AJ185"/>
  <c r="K185"/>
  <c r="AM184"/>
  <c r="AL184"/>
  <c r="AK184"/>
  <c r="AJ184"/>
  <c r="K184"/>
  <c r="AM183"/>
  <c r="AL183"/>
  <c r="AK183"/>
  <c r="AJ183"/>
  <c r="K183"/>
  <c r="AM182"/>
  <c r="AL182"/>
  <c r="AK182"/>
  <c r="AJ182"/>
  <c r="K182"/>
  <c r="AM181"/>
  <c r="AL181"/>
  <c r="AK181"/>
  <c r="AJ181"/>
  <c r="K181"/>
  <c r="AM180"/>
  <c r="AL180"/>
  <c r="AK180"/>
  <c r="AJ180"/>
  <c r="K180"/>
  <c r="AM179"/>
  <c r="AL179"/>
  <c r="AK179"/>
  <c r="AJ179"/>
  <c r="K179"/>
  <c r="AM178"/>
  <c r="AL178"/>
  <c r="AK178"/>
  <c r="AJ178"/>
  <c r="K178"/>
  <c r="AM177"/>
  <c r="AL177"/>
  <c r="AK177"/>
  <c r="AJ177"/>
  <c r="K177"/>
  <c r="AM176"/>
  <c r="AL176"/>
  <c r="AK176"/>
  <c r="AJ176"/>
  <c r="K176"/>
  <c r="AM175"/>
  <c r="AL175"/>
  <c r="AK175"/>
  <c r="AJ175"/>
  <c r="K175"/>
  <c r="AM174"/>
  <c r="AL174"/>
  <c r="AK174"/>
  <c r="AJ174"/>
  <c r="K174"/>
  <c r="AM173"/>
  <c r="AL173"/>
  <c r="AK173"/>
  <c r="AJ173"/>
  <c r="K173"/>
  <c r="AM172"/>
  <c r="AL172"/>
  <c r="AK172"/>
  <c r="AJ172"/>
  <c r="K172"/>
  <c r="AM171"/>
  <c r="AL171"/>
  <c r="AK171"/>
  <c r="AJ171"/>
  <c r="K171"/>
  <c r="AM170"/>
  <c r="AL170"/>
  <c r="AK170"/>
  <c r="AJ170"/>
  <c r="K170"/>
  <c r="AM169"/>
  <c r="AL169"/>
  <c r="AK169"/>
  <c r="AJ169"/>
  <c r="K169"/>
  <c r="AM168"/>
  <c r="AL168"/>
  <c r="AK168"/>
  <c r="AJ168"/>
  <c r="K168"/>
  <c r="AM167"/>
  <c r="AL167"/>
  <c r="AK167"/>
  <c r="AJ167"/>
  <c r="K167"/>
  <c r="AM166"/>
  <c r="AL166"/>
  <c r="AK166"/>
  <c r="AJ166"/>
  <c r="K166"/>
  <c r="AM165"/>
  <c r="AL165"/>
  <c r="AK165"/>
  <c r="AJ165"/>
  <c r="K165"/>
  <c r="AM164"/>
  <c r="AL164"/>
  <c r="AK164"/>
  <c r="AJ164"/>
  <c r="K164"/>
  <c r="AM163"/>
  <c r="AL163"/>
  <c r="AK163"/>
  <c r="AJ163"/>
  <c r="K163"/>
  <c r="AM162"/>
  <c r="AL162"/>
  <c r="AK162"/>
  <c r="AJ162"/>
  <c r="K162"/>
  <c r="AM161"/>
  <c r="AL161"/>
  <c r="AK161"/>
  <c r="AJ161"/>
  <c r="K161"/>
  <c r="AM160"/>
  <c r="AL160"/>
  <c r="AK160"/>
  <c r="AJ160"/>
  <c r="K160"/>
  <c r="AM159"/>
  <c r="AL159"/>
  <c r="AK159"/>
  <c r="AJ159"/>
  <c r="K159"/>
  <c r="AM158"/>
  <c r="AL158"/>
  <c r="AK158"/>
  <c r="AJ158"/>
  <c r="K158"/>
  <c r="AM157"/>
  <c r="AL157"/>
  <c r="AK157"/>
  <c r="AJ157"/>
  <c r="K157"/>
  <c r="AM156"/>
  <c r="AL156"/>
  <c r="AK156"/>
  <c r="AJ156"/>
  <c r="K156"/>
  <c r="AM155"/>
  <c r="AL155"/>
  <c r="AK155"/>
  <c r="AJ155"/>
  <c r="K155"/>
  <c r="AM154"/>
  <c r="AL154"/>
  <c r="AK154"/>
  <c r="AJ154"/>
  <c r="K154"/>
  <c r="AM153"/>
  <c r="AL153"/>
  <c r="AK153"/>
  <c r="AJ153"/>
  <c r="K153"/>
  <c r="AM152"/>
  <c r="AL152"/>
  <c r="AK152"/>
  <c r="AJ152"/>
  <c r="K152"/>
  <c r="AM151"/>
  <c r="AL151"/>
  <c r="AK151"/>
  <c r="AJ151"/>
  <c r="K151"/>
  <c r="AM150"/>
  <c r="AL150"/>
  <c r="AK150"/>
  <c r="AJ150"/>
  <c r="K150"/>
  <c r="AM149"/>
  <c r="AL149"/>
  <c r="AK149"/>
  <c r="AJ149"/>
  <c r="K149"/>
  <c r="AM148"/>
  <c r="AL148"/>
  <c r="AK148"/>
  <c r="AJ148"/>
  <c r="K148"/>
  <c r="AM147"/>
  <c r="AL147"/>
  <c r="AK147"/>
  <c r="AJ147"/>
  <c r="K147"/>
  <c r="AM146"/>
  <c r="AL146"/>
  <c r="AK146"/>
  <c r="AJ146"/>
  <c r="K146"/>
  <c r="AM145"/>
  <c r="AL145"/>
  <c r="AK145"/>
  <c r="AJ145"/>
  <c r="K145"/>
  <c r="AM144"/>
  <c r="AL144"/>
  <c r="AK144"/>
  <c r="AJ144"/>
  <c r="K144"/>
  <c r="AM143"/>
  <c r="AL143"/>
  <c r="AK143"/>
  <c r="AJ143"/>
  <c r="K143"/>
  <c r="AM142"/>
  <c r="AL142"/>
  <c r="AK142"/>
  <c r="AJ142"/>
  <c r="K142"/>
  <c r="AM141"/>
  <c r="AL141"/>
  <c r="AK141"/>
  <c r="AJ141"/>
  <c r="K141"/>
  <c r="AM140"/>
  <c r="AL140"/>
  <c r="AK140"/>
  <c r="AJ140"/>
  <c r="K140"/>
  <c r="AM139"/>
  <c r="AL139"/>
  <c r="AK139"/>
  <c r="AJ139"/>
  <c r="K139"/>
  <c r="AM138"/>
  <c r="AL138"/>
  <c r="AK138"/>
  <c r="AJ138"/>
  <c r="K138"/>
  <c r="AM137"/>
  <c r="AL137"/>
  <c r="AK137"/>
  <c r="AJ137"/>
  <c r="K137"/>
  <c r="AM136"/>
  <c r="AL136"/>
  <c r="AK136"/>
  <c r="AJ136"/>
  <c r="K136"/>
  <c r="AM135"/>
  <c r="AL135"/>
  <c r="AK135"/>
  <c r="AJ135"/>
  <c r="K135"/>
  <c r="AM134"/>
  <c r="AL134"/>
  <c r="AK134"/>
  <c r="AJ134"/>
  <c r="K134"/>
  <c r="AM133"/>
  <c r="AL133"/>
  <c r="AK133"/>
  <c r="AJ133"/>
  <c r="K133"/>
  <c r="AM132"/>
  <c r="AL132"/>
  <c r="AK132"/>
  <c r="AJ132"/>
  <c r="K132"/>
  <c r="AM131"/>
  <c r="AL131"/>
  <c r="AK131"/>
  <c r="AJ131"/>
  <c r="K131"/>
  <c r="AM130"/>
  <c r="AL130"/>
  <c r="AK130"/>
  <c r="AJ130"/>
  <c r="K130"/>
  <c r="AM129"/>
  <c r="AL129"/>
  <c r="AK129"/>
  <c r="AJ129"/>
  <c r="K129"/>
  <c r="AM128"/>
  <c r="AL128"/>
  <c r="AK128"/>
  <c r="AJ128"/>
  <c r="K128"/>
  <c r="AM127"/>
  <c r="AL127"/>
  <c r="AK127"/>
  <c r="AJ127"/>
  <c r="K127"/>
  <c r="AM126"/>
  <c r="AL126"/>
  <c r="AK126"/>
  <c r="AJ126"/>
  <c r="K126"/>
  <c r="AM125"/>
  <c r="AL125"/>
  <c r="AK125"/>
  <c r="AJ125"/>
  <c r="K125"/>
  <c r="AM124"/>
  <c r="AL124"/>
  <c r="AK124"/>
  <c r="AJ124"/>
  <c r="K124"/>
  <c r="AM123"/>
  <c r="AL123"/>
  <c r="AK123"/>
  <c r="AJ123"/>
  <c r="K123"/>
  <c r="AM122"/>
  <c r="AL122"/>
  <c r="AK122"/>
  <c r="AJ122"/>
  <c r="K122"/>
  <c r="AM121"/>
  <c r="AL121"/>
  <c r="AK121"/>
  <c r="AJ121"/>
  <c r="K121"/>
  <c r="AM120"/>
  <c r="AL120"/>
  <c r="AK120"/>
  <c r="AJ120"/>
  <c r="K120"/>
  <c r="AM119"/>
  <c r="AL119"/>
  <c r="AK119"/>
  <c r="AJ119"/>
  <c r="K119"/>
  <c r="AM118"/>
  <c r="AL118"/>
  <c r="AK118"/>
  <c r="AJ118"/>
  <c r="K118"/>
  <c r="AM117"/>
  <c r="AL117"/>
  <c r="AK117"/>
  <c r="AJ117"/>
  <c r="K117"/>
  <c r="AM116"/>
  <c r="AL116"/>
  <c r="AK116"/>
  <c r="AJ116"/>
  <c r="K116"/>
  <c r="AM115"/>
  <c r="AL115"/>
  <c r="AK115"/>
  <c r="AJ115"/>
  <c r="K115"/>
  <c r="AM114"/>
  <c r="AL114"/>
  <c r="AK114"/>
  <c r="AJ114"/>
  <c r="K114"/>
  <c r="AM113"/>
  <c r="AL113"/>
  <c r="AK113"/>
  <c r="AJ113"/>
  <c r="K113"/>
  <c r="AM112"/>
  <c r="AL112"/>
  <c r="AK112"/>
  <c r="AJ112"/>
  <c r="K112"/>
  <c r="AM111"/>
  <c r="AL111"/>
  <c r="AK111"/>
  <c r="AJ111"/>
  <c r="K111"/>
  <c r="AM110"/>
  <c r="AL110"/>
  <c r="AK110"/>
  <c r="AJ110"/>
  <c r="K110"/>
  <c r="AM109"/>
  <c r="AL109"/>
  <c r="AK109"/>
  <c r="AJ109"/>
  <c r="K109"/>
  <c r="AM108"/>
  <c r="AL108"/>
  <c r="AK108"/>
  <c r="AJ108"/>
  <c r="K108"/>
  <c r="AM107"/>
  <c r="AL107"/>
  <c r="AK107"/>
  <c r="AJ107"/>
  <c r="K107"/>
  <c r="AM106"/>
  <c r="AL106"/>
  <c r="AK106"/>
  <c r="AJ106"/>
  <c r="K106"/>
  <c r="AM105"/>
  <c r="AL105"/>
  <c r="AK105"/>
  <c r="AJ105"/>
  <c r="K105"/>
  <c r="AM104"/>
  <c r="AL104"/>
  <c r="AK104"/>
  <c r="AJ104"/>
  <c r="K104"/>
  <c r="AM103"/>
  <c r="AL103"/>
  <c r="AK103"/>
  <c r="AJ103"/>
  <c r="K103"/>
  <c r="AM102"/>
  <c r="AL102"/>
  <c r="AK102"/>
  <c r="AJ102"/>
  <c r="K102"/>
  <c r="AM101"/>
  <c r="AL101"/>
  <c r="AK101"/>
  <c r="AJ101"/>
  <c r="K101"/>
  <c r="AM100"/>
  <c r="AL100"/>
  <c r="AK100"/>
  <c r="AJ100"/>
  <c r="K100"/>
  <c r="AM99"/>
  <c r="AL99"/>
  <c r="AK99"/>
  <c r="AJ99"/>
  <c r="K99"/>
  <c r="AM98"/>
  <c r="AL98"/>
  <c r="AK98"/>
  <c r="AJ98"/>
  <c r="K98"/>
  <c r="AM97"/>
  <c r="AL97"/>
  <c r="AK97"/>
  <c r="AJ97"/>
  <c r="K97"/>
  <c r="AM96"/>
  <c r="AL96"/>
  <c r="AK96"/>
  <c r="AJ96"/>
  <c r="K96"/>
  <c r="AM95"/>
  <c r="AL95"/>
  <c r="AK95"/>
  <c r="AJ95"/>
  <c r="K95"/>
  <c r="AM94"/>
  <c r="AL94"/>
  <c r="AK94"/>
  <c r="AJ94"/>
  <c r="K94"/>
  <c r="AM93"/>
  <c r="AL93"/>
  <c r="AK93"/>
  <c r="AJ93"/>
  <c r="K93"/>
  <c r="AM92"/>
  <c r="AL92"/>
  <c r="AK92"/>
  <c r="AJ92"/>
  <c r="K92"/>
  <c r="AM91"/>
  <c r="AL91"/>
  <c r="AK91"/>
  <c r="AJ91"/>
  <c r="K91"/>
  <c r="AM90"/>
  <c r="AL90"/>
  <c r="AK90"/>
  <c r="AJ90"/>
  <c r="K90"/>
  <c r="AM89"/>
  <c r="AL89"/>
  <c r="AK89"/>
  <c r="AJ89"/>
  <c r="K89"/>
  <c r="AM88"/>
  <c r="AL88"/>
  <c r="AK88"/>
  <c r="AJ88"/>
  <c r="K88"/>
  <c r="AM87"/>
  <c r="AL87"/>
  <c r="AK87"/>
  <c r="AJ87"/>
  <c r="K87"/>
  <c r="AM86"/>
  <c r="AL86"/>
  <c r="AK86"/>
  <c r="AJ86"/>
  <c r="K86"/>
  <c r="AM85"/>
  <c r="AL85"/>
  <c r="AK85"/>
  <c r="AJ85"/>
  <c r="K85"/>
  <c r="AM84"/>
  <c r="AL84"/>
  <c r="AK84"/>
  <c r="AJ84"/>
  <c r="K84"/>
  <c r="AM83"/>
  <c r="AL83"/>
  <c r="AK83"/>
  <c r="AJ83"/>
  <c r="K83"/>
  <c r="AM82"/>
  <c r="AL82"/>
  <c r="AK82"/>
  <c r="AJ82"/>
  <c r="K82"/>
  <c r="AM81"/>
  <c r="AL81"/>
  <c r="AK81"/>
  <c r="AJ81"/>
  <c r="K81"/>
  <c r="AM80"/>
  <c r="AL80"/>
  <c r="AK80"/>
  <c r="AJ80"/>
  <c r="K80"/>
  <c r="AM79"/>
  <c r="AL79"/>
  <c r="AK79"/>
  <c r="AJ79"/>
  <c r="K79"/>
  <c r="AM78"/>
  <c r="AL78"/>
  <c r="AK78"/>
  <c r="AJ78"/>
  <c r="K78"/>
  <c r="AM77"/>
  <c r="AL77"/>
  <c r="AK77"/>
  <c r="AJ77"/>
  <c r="K77"/>
  <c r="AM76"/>
  <c r="AL76"/>
  <c r="AK76"/>
  <c r="AJ76"/>
  <c r="K76"/>
  <c r="AM75"/>
  <c r="AL75"/>
  <c r="AK75"/>
  <c r="AJ75"/>
  <c r="K75"/>
  <c r="AM74"/>
  <c r="AL74"/>
  <c r="AK74"/>
  <c r="AJ74"/>
  <c r="K74"/>
  <c r="AM73"/>
  <c r="AL73"/>
  <c r="AK73"/>
  <c r="AJ73"/>
  <c r="K73"/>
  <c r="AM72"/>
  <c r="AL72"/>
  <c r="AK72"/>
  <c r="AJ72"/>
  <c r="K72"/>
  <c r="AM71"/>
  <c r="AL71"/>
  <c r="AK71"/>
  <c r="AJ71"/>
  <c r="K71"/>
  <c r="AM70"/>
  <c r="AL70"/>
  <c r="AK70"/>
  <c r="AJ70"/>
  <c r="K70"/>
  <c r="AM69"/>
  <c r="AL69"/>
  <c r="AK69"/>
  <c r="AJ69"/>
  <c r="K69"/>
  <c r="AM68"/>
  <c r="AL68"/>
  <c r="AK68"/>
  <c r="AJ68"/>
  <c r="K68"/>
  <c r="AM67"/>
  <c r="AL67"/>
  <c r="AK67"/>
  <c r="AJ67"/>
  <c r="K67"/>
  <c r="AM66"/>
  <c r="AL66"/>
  <c r="AK66"/>
  <c r="AJ66"/>
  <c r="K66"/>
  <c r="AM65"/>
  <c r="AL65"/>
  <c r="AK65"/>
  <c r="AJ65"/>
  <c r="K65"/>
  <c r="AM64"/>
  <c r="AL64"/>
  <c r="AK64"/>
  <c r="AJ64"/>
  <c r="K64"/>
  <c r="AM63"/>
  <c r="AL63"/>
  <c r="AK63"/>
  <c r="AJ63"/>
  <c r="K63"/>
  <c r="AM62"/>
  <c r="AL62"/>
  <c r="AK62"/>
  <c r="AJ62"/>
  <c r="K62"/>
  <c r="AM61"/>
  <c r="AL61"/>
  <c r="AK61"/>
  <c r="AJ61"/>
  <c r="K61"/>
  <c r="AM60"/>
  <c r="AL60"/>
  <c r="AK60"/>
  <c r="AJ60"/>
  <c r="K60"/>
  <c r="AM59"/>
  <c r="AL59"/>
  <c r="AK59"/>
  <c r="AJ59"/>
  <c r="K59"/>
  <c r="AM58"/>
  <c r="AL58"/>
  <c r="AK58"/>
  <c r="AJ58"/>
  <c r="K58"/>
  <c r="AM57"/>
  <c r="AL57"/>
  <c r="AK57"/>
  <c r="AJ57"/>
  <c r="K57"/>
  <c r="AM56"/>
  <c r="AL56"/>
  <c r="AK56"/>
  <c r="AJ56"/>
  <c r="K56"/>
  <c r="AM55"/>
  <c r="AL55"/>
  <c r="AK55"/>
  <c r="AJ55"/>
  <c r="K55"/>
  <c r="AM54"/>
  <c r="AL54"/>
  <c r="AK54"/>
  <c r="AJ54"/>
  <c r="K54"/>
  <c r="AM53"/>
  <c r="AL53"/>
  <c r="AK53"/>
  <c r="AJ53"/>
  <c r="K53"/>
  <c r="AM52"/>
  <c r="AL52"/>
  <c r="AK52"/>
  <c r="AJ52"/>
  <c r="K52"/>
  <c r="AM51"/>
  <c r="AL51"/>
  <c r="AK51"/>
  <c r="AJ51"/>
  <c r="K51"/>
  <c r="AM50"/>
  <c r="AL50"/>
  <c r="AK50"/>
  <c r="AJ50"/>
  <c r="K50"/>
  <c r="AM49"/>
  <c r="AL49"/>
  <c r="AK49"/>
  <c r="AJ49"/>
  <c r="K49"/>
  <c r="AM48"/>
  <c r="AL48"/>
  <c r="AK48"/>
  <c r="AJ48"/>
  <c r="K48"/>
  <c r="AM47"/>
  <c r="AL47"/>
  <c r="AK47"/>
  <c r="AJ47"/>
  <c r="K47"/>
  <c r="AM46"/>
  <c r="AL46"/>
  <c r="AK46"/>
  <c r="AJ46"/>
  <c r="K46"/>
  <c r="AM45"/>
  <c r="AL45"/>
  <c r="AK45"/>
  <c r="AJ45"/>
  <c r="K45"/>
  <c r="AM44"/>
  <c r="AL44"/>
  <c r="AK44"/>
  <c r="AJ44"/>
  <c r="K44"/>
  <c r="AM43"/>
  <c r="AL43"/>
  <c r="AK43"/>
  <c r="AJ43"/>
  <c r="K43"/>
  <c r="AM42"/>
  <c r="AL42"/>
  <c r="AK42"/>
  <c r="AJ42"/>
  <c r="K42"/>
  <c r="AM41"/>
  <c r="AL41"/>
  <c r="AK41"/>
  <c r="AJ41"/>
  <c r="K41"/>
  <c r="AM40"/>
  <c r="AL40"/>
  <c r="AK40"/>
  <c r="AJ40"/>
  <c r="K40"/>
  <c r="AM39"/>
  <c r="AL39"/>
  <c r="AK39"/>
  <c r="AJ39"/>
  <c r="K39"/>
  <c r="AM38"/>
  <c r="AL38"/>
  <c r="AK38"/>
  <c r="AJ38"/>
  <c r="K38"/>
  <c r="AM37"/>
  <c r="AL37"/>
  <c r="AK37"/>
  <c r="AJ37"/>
  <c r="K37"/>
  <c r="AM36"/>
  <c r="AL36"/>
  <c r="AK36"/>
  <c r="AJ36"/>
  <c r="K36"/>
  <c r="AM35"/>
  <c r="AL35"/>
  <c r="AK35"/>
  <c r="AJ35"/>
  <c r="K35"/>
  <c r="AM34"/>
  <c r="AL34"/>
  <c r="AK34"/>
  <c r="AJ34"/>
  <c r="K34"/>
  <c r="AM33"/>
  <c r="AL33"/>
  <c r="AK33"/>
  <c r="AJ33"/>
  <c r="K33"/>
  <c r="AM32"/>
  <c r="AL32"/>
  <c r="AK32"/>
  <c r="AJ32"/>
  <c r="K32"/>
  <c r="AM31"/>
  <c r="AL31"/>
  <c r="AK31"/>
  <c r="AJ31"/>
  <c r="K31"/>
  <c r="AM30"/>
  <c r="AL30"/>
  <c r="AK30"/>
  <c r="AJ30"/>
  <c r="K30"/>
  <c r="AM29"/>
  <c r="AL29"/>
  <c r="AK29"/>
  <c r="AJ29"/>
  <c r="K29"/>
  <c r="AM28"/>
  <c r="AL28"/>
  <c r="AK28"/>
  <c r="AJ28"/>
  <c r="K28"/>
  <c r="AM27"/>
  <c r="AL27"/>
  <c r="AK27"/>
  <c r="AJ27"/>
  <c r="K27"/>
  <c r="AM26"/>
  <c r="AL26"/>
  <c r="AK26"/>
  <c r="AJ26"/>
  <c r="K26"/>
  <c r="AM25"/>
  <c r="AL25"/>
  <c r="AK25"/>
  <c r="AJ25"/>
  <c r="K25"/>
  <c r="AM24"/>
  <c r="AL24"/>
  <c r="AK24"/>
  <c r="AJ24"/>
  <c r="K24"/>
  <c r="AM23"/>
  <c r="AL23"/>
  <c r="AK23"/>
  <c r="AJ23"/>
  <c r="K23"/>
  <c r="AM22"/>
  <c r="AL22"/>
  <c r="AK22"/>
  <c r="AJ22"/>
  <c r="K22"/>
  <c r="AM21"/>
  <c r="AL21"/>
  <c r="AK21"/>
  <c r="AJ21"/>
  <c r="K21"/>
  <c r="AM20"/>
  <c r="AL20"/>
  <c r="AK20"/>
  <c r="AJ20"/>
  <c r="K20"/>
  <c r="AM19"/>
  <c r="AL19"/>
  <c r="AK19"/>
  <c r="AJ19"/>
  <c r="K19"/>
  <c r="AM18"/>
  <c r="AL18"/>
  <c r="AK18"/>
  <c r="AJ18"/>
  <c r="K18"/>
  <c r="AM17"/>
  <c r="AL17"/>
  <c r="AK17"/>
  <c r="AJ17"/>
  <c r="K17"/>
  <c r="AM16"/>
  <c r="AL16"/>
  <c r="AK16"/>
  <c r="AJ16"/>
  <c r="K16"/>
  <c r="AM15"/>
  <c r="AL15"/>
  <c r="AK15"/>
  <c r="AJ15"/>
  <c r="K15"/>
  <c r="AM14"/>
  <c r="AJ14"/>
  <c r="K14"/>
  <c r="AK14" s="1"/>
  <c r="AM13"/>
  <c r="AJ13"/>
  <c r="K13"/>
  <c r="AK13" s="1"/>
  <c r="AL13" s="1"/>
  <c r="AM12"/>
  <c r="AJ12"/>
  <c r="K12"/>
  <c r="AK12" s="1"/>
  <c r="AL12" s="1"/>
  <c r="AM11"/>
  <c r="AJ11"/>
  <c r="K11"/>
  <c r="AK11" s="1"/>
  <c r="AM10"/>
  <c r="AJ10"/>
  <c r="K10"/>
  <c r="AK10" s="1"/>
  <c r="AL10" s="1"/>
  <c r="AM9"/>
  <c r="AJ9"/>
  <c r="K9"/>
  <c r="AK9" s="1"/>
  <c r="AM8"/>
  <c r="AL8"/>
  <c r="AJ8"/>
  <c r="K8"/>
  <c r="AK8" s="1"/>
  <c r="AM7"/>
  <c r="AJ7"/>
  <c r="K7"/>
  <c r="AK7" s="1"/>
  <c r="AM6"/>
  <c r="AJ6"/>
  <c r="K6"/>
  <c r="AK6" s="1"/>
  <c r="AM5"/>
  <c r="AJ5"/>
  <c r="K5"/>
  <c r="AK5" s="1"/>
  <c r="AL5" s="1"/>
  <c r="AL7" l="1"/>
  <c r="B15" i="3" s="1"/>
  <c r="AL11" i="2"/>
  <c r="AL6"/>
  <c r="AL14"/>
  <c r="AL9"/>
  <c r="D15" i="3" l="1"/>
  <c r="B5"/>
  <c r="H13"/>
  <c r="F12"/>
  <c r="G15"/>
  <c r="B13"/>
  <c r="B12"/>
  <c r="I15"/>
  <c r="G13"/>
  <c r="D12"/>
  <c r="D14"/>
  <c r="B7"/>
  <c r="C15"/>
  <c r="I14"/>
  <c r="G12"/>
  <c r="F15"/>
  <c r="G14"/>
  <c r="C14"/>
  <c r="I13"/>
  <c r="B6"/>
  <c r="F14"/>
  <c r="H12"/>
  <c r="D13"/>
  <c r="C13"/>
  <c r="I12"/>
  <c r="H15"/>
  <c r="F13"/>
  <c r="F16" s="1"/>
  <c r="E15"/>
  <c r="B14"/>
  <c r="E14" s="1"/>
  <c r="C12"/>
  <c r="B8"/>
  <c r="H14"/>
  <c r="C16" l="1"/>
  <c r="H16"/>
  <c r="E13"/>
  <c r="E12"/>
  <c r="B16"/>
  <c r="G16"/>
  <c r="D16"/>
  <c r="I16"/>
  <c r="E16" l="1"/>
</calcChain>
</file>

<file path=xl/sharedStrings.xml><?xml version="1.0" encoding="utf-8"?>
<sst xmlns="http://schemas.openxmlformats.org/spreadsheetml/2006/main" count="330" uniqueCount="209">
  <si>
    <t>How to Use</t>
  </si>
  <si>
    <t>1. Fill the cream cells (blue text) on Application Inventory, one row per application. Grey cells are formulas.</t>
  </si>
  <si>
    <t>2. Usage Status: Active Users = 0 or not used for 6+ months → 'Not in use' → Priority – Not in use.</t>
  </si>
  <si>
    <t>3. Retirement drivers (0–4): low / no use · replacement named · out of support · low business value.</t>
  </si>
  <si>
    <t xml:space="preserve">     Decision: 2+ drivers → Decommission · 1 → Review · 0 → Retain.</t>
  </si>
  <si>
    <t>4. Complexity: Data Archival Required = N → Easy · else High if many interfaces, large data or critical · else Medium.</t>
  </si>
  <si>
    <t>5. Record what must remain after shutdown in Post-Retirement Requirement (archive, read-only, legal hold).</t>
  </si>
  <si>
    <t>6. To overrule a Decision, type over the cell and explain in Comments / Questions.</t>
  </si>
  <si>
    <t>7. TBD = information still to be confirmed with the owner.</t>
  </si>
  <si>
    <t>8. Thresholds and the as-of date (01-Jan-2017) are on the Scoring Settings tab.</t>
  </si>
  <si>
    <t>Application Inventory</t>
  </si>
  <si>
    <t>Cream cells = inputs (blue text). Grey cells = formulas. TBD = to be confirmed. Rules and thresholds on the 'Scoring Settings' tab.</t>
  </si>
  <si>
    <t>Identity</t>
  </si>
  <si>
    <t>Ownership</t>
  </si>
  <si>
    <t>Usage &amp; Value</t>
  </si>
  <si>
    <t>Infrastructure</t>
  </si>
  <si>
    <t>Data &amp; Archival</t>
  </si>
  <si>
    <t>Dependencies</t>
  </si>
  <si>
    <t>Documentation</t>
  </si>
  <si>
    <t>Cost &amp; Contract</t>
  </si>
  <si>
    <t>Decision</t>
  </si>
  <si>
    <t>Plan</t>
  </si>
  <si>
    <t>App ID</t>
  </si>
  <si>
    <t>App Name</t>
  </si>
  <si>
    <t>Business Capability</t>
  </si>
  <si>
    <t>Line of Business</t>
  </si>
  <si>
    <t>Exposure (Internal / External / Partner)</t>
  </si>
  <si>
    <t>Business Owner</t>
  </si>
  <si>
    <t>IT Owner</t>
  </si>
  <si>
    <t>Infra Owner</t>
  </si>
  <si>
    <t>Active Users (last 90d)</t>
  </si>
  <si>
    <t>Last Used Date</t>
  </si>
  <si>
    <t>Usage Status</t>
  </si>
  <si>
    <t>Business Value (1-5)</t>
  </si>
  <si>
    <t>Criticality Tier (1-4)</t>
  </si>
  <si>
    <t>Replacement / Target App</t>
  </si>
  <si>
    <t>Hosting</t>
  </si>
  <si>
    <t>Server Hostname(s)</t>
  </si>
  <si>
    <t># Servers</t>
  </si>
  <si>
    <t>OS / Version</t>
  </si>
  <si>
    <t>Database / Version</t>
  </si>
  <si>
    <t>Data Centre / Cloud Region</t>
  </si>
  <si>
    <t>End-of-Support Date</t>
  </si>
  <si>
    <t>Data Type</t>
  </si>
  <si>
    <t>Data Volume (GB)</t>
  </si>
  <si>
    <t>PII / Regulated (Y/N)</t>
  </si>
  <si>
    <t>Retention (yrs)</t>
  </si>
  <si>
    <t>Data Archival Required (Y/N)</t>
  </si>
  <si>
    <t>Post-Retirement Requirement</t>
  </si>
  <si>
    <t>Interfaces (#)</t>
  </si>
  <si>
    <t>User / Functional Docs</t>
  </si>
  <si>
    <t>Technical Design Docs</t>
  </si>
  <si>
    <t>Architecture Diagram</t>
  </si>
  <si>
    <t>Annual Run Cost ($)</t>
  </si>
  <si>
    <t>Contract End Date</t>
  </si>
  <si>
    <t>Est. Decom Cost ($)</t>
  </si>
  <si>
    <t>Annual Savings ($)</t>
  </si>
  <si>
    <t>Payback (months)</t>
  </si>
  <si>
    <t>Retirement Drivers (0-4)</t>
  </si>
  <si>
    <t>Complexity</t>
  </si>
  <si>
    <t>Wave</t>
  </si>
  <si>
    <t>Target Retirement Date</t>
  </si>
  <si>
    <t>Status</t>
  </si>
  <si>
    <t>Comments / Questions</t>
  </si>
  <si>
    <t>Legacy Expense Portal</t>
  </si>
  <si>
    <t>Expense Mgmt</t>
  </si>
  <si>
    <t>Finance</t>
  </si>
  <si>
    <t>Internal</t>
  </si>
  <si>
    <t>SAP Concur</t>
  </si>
  <si>
    <t>On-prem DC</t>
  </si>
  <si>
    <t>expapp01, expdb01</t>
  </si>
  <si>
    <t>Windows Server 2008 R2</t>
  </si>
  <si>
    <t>SQL Server 2005</t>
  </si>
  <si>
    <t>EU DC-1</t>
  </si>
  <si>
    <t>Structured</t>
  </si>
  <si>
    <t>Y</t>
  </si>
  <si>
    <t>Data archive</t>
  </si>
  <si>
    <t>Partial</t>
  </si>
  <si>
    <t>N</t>
  </si>
  <si>
    <t>Wave 1</t>
  </si>
  <si>
    <t>Approved</t>
  </si>
  <si>
    <t>Concur already live for 80% of entities</t>
  </si>
  <si>
    <t>Core ERP (SAP ECC)</t>
  </si>
  <si>
    <t>Enterprise Resource Planning</t>
  </si>
  <si>
    <t>Partner</t>
  </si>
  <si>
    <t>SAP S/4HANA</t>
  </si>
  <si>
    <t>ecc-app01–05, ecc-db01</t>
  </si>
  <si>
    <t>SUSE Linux 11</t>
  </si>
  <si>
    <t>Oracle 11g</t>
  </si>
  <si>
    <t>Archive + read-only</t>
  </si>
  <si>
    <t>Backlog</t>
  </si>
  <si>
    <t>TBD</t>
  </si>
  <si>
    <t>Candidate</t>
  </si>
  <si>
    <t>Blocker: S/4 programme not yet funded</t>
  </si>
  <si>
    <t>Old Intranet (SharePoint 2010)</t>
  </si>
  <si>
    <t>Collaboration</t>
  </si>
  <si>
    <t>IT</t>
  </si>
  <si>
    <t>SharePoint Online</t>
  </si>
  <si>
    <t>sp10-web01, sp10-web02, sp10-sql01</t>
  </si>
  <si>
    <t>SQL Server 2008 R2</t>
  </si>
  <si>
    <t>EU DC-2</t>
  </si>
  <si>
    <t>Unstructured</t>
  </si>
  <si>
    <t>None</t>
  </si>
  <si>
    <t>In progress</t>
  </si>
  <si>
    <t>Content migration 70% done</t>
  </si>
  <si>
    <t>Sales Forecast Tool</t>
  </si>
  <si>
    <t>Sales Planning</t>
  </si>
  <si>
    <t>Sales</t>
  </si>
  <si>
    <t>Salesforce</t>
  </si>
  <si>
    <t>fs-sales02 (file share)</t>
  </si>
  <si>
    <t>MS Access 2007</t>
  </si>
  <si>
    <t>Validated</t>
  </si>
  <si>
    <t>No logins since Mar-2016</t>
  </si>
  <si>
    <t>Warehouse Mgmt System v3</t>
  </si>
  <si>
    <t>Warehouse Mgmt</t>
  </si>
  <si>
    <t>Supply Chain</t>
  </si>
  <si>
    <t>IaaS</t>
  </si>
  <si>
    <t>wms-app01–03, wms-db01</t>
  </si>
  <si>
    <t>RHEL 6</t>
  </si>
  <si>
    <t>AWS eu-west-1</t>
  </si>
  <si>
    <t>Rejected</t>
  </si>
  <si>
    <t>Business-critical, well supported</t>
  </si>
  <si>
    <t>HR Legacy Payroll (FR)</t>
  </si>
  <si>
    <t>Payroll</t>
  </si>
  <si>
    <t>HR</t>
  </si>
  <si>
    <t>Workday Payroll</t>
  </si>
  <si>
    <t>SaaS</t>
  </si>
  <si>
    <t>N/A (SaaS)</t>
  </si>
  <si>
    <t>N/A</t>
  </si>
  <si>
    <t>Vendor cloud (EU)</t>
  </si>
  <si>
    <t>Wave 2</t>
  </si>
  <si>
    <t>Blocker: 10-yr payroll retention
Q: Can the payroll archive move to the enterprise archive, or must it stay vendor-hosted?</t>
  </si>
  <si>
    <t>Marketing Campaign DB</t>
  </si>
  <si>
    <t>Campaign Mgmt</t>
  </si>
  <si>
    <t>Marketing</t>
  </si>
  <si>
    <t>External</t>
  </si>
  <si>
    <t>Adobe Campaign</t>
  </si>
  <si>
    <t>mkt-web01, mkt-db01</t>
  </si>
  <si>
    <t>Ubuntu 12.04</t>
  </si>
  <si>
    <t>MySQL 5.5</t>
  </si>
  <si>
    <t>3 feeds to re-point; GDPR purge after migration</t>
  </si>
  <si>
    <t>Plant Maintenance Scheduler</t>
  </si>
  <si>
    <t>Asset Maintenance</t>
  </si>
  <si>
    <t>Operations</t>
  </si>
  <si>
    <t>IBM Maximo (planned)</t>
  </si>
  <si>
    <t>eam-app01, eam-db01</t>
  </si>
  <si>
    <t>SQL Server 2008</t>
  </si>
  <si>
    <t>Plant DC</t>
  </si>
  <si>
    <t>Both</t>
  </si>
  <si>
    <t>Wave 3</t>
  </si>
  <si>
    <t>Blocker: Maximo rollout dependency</t>
  </si>
  <si>
    <t>Contract Repository</t>
  </si>
  <si>
    <t>Contract Mgmt</t>
  </si>
  <si>
    <t>Icertis CLM</t>
  </si>
  <si>
    <t>dctm-app01, dctm-db01, dctm-fs01</t>
  </si>
  <si>
    <t>RHEL 5</t>
  </si>
  <si>
    <t>Legal hold</t>
  </si>
  <si>
    <t>Blocker: Legal sign-off on retention
Q: Any contracts under legal hold?</t>
  </si>
  <si>
    <t>Travel Booking Widget</t>
  </si>
  <si>
    <t>Travel</t>
  </si>
  <si>
    <t>PaaS</t>
  </si>
  <si>
    <t>Azure App Service (PaaS)</t>
  </si>
  <si>
    <t>N/A (PaaS)</t>
  </si>
  <si>
    <t>Azure SQL</t>
  </si>
  <si>
    <t>Azure West Europe</t>
  </si>
  <si>
    <t>Cheap &amp; healthy – retain</t>
  </si>
  <si>
    <t>Decommissioning Summary</t>
  </si>
  <si>
    <t>All figures formula-driven from the Application Inventory tab.</t>
  </si>
  <si>
    <t>Total applications</t>
  </si>
  <si>
    <t>Not in use – priority candidates</t>
  </si>
  <si>
    <t>Decommission candidates (incl. priority)</t>
  </si>
  <si>
    <t>…of which Easy (no archival)</t>
  </si>
  <si>
    <t>Annual savings from candidates ($)</t>
  </si>
  <si>
    <t>Easy</t>
  </si>
  <si>
    <t>Medium</t>
  </si>
  <si>
    <t>High</t>
  </si>
  <si>
    <t>Total</t>
  </si>
  <si>
    <t>Priority – Not in use</t>
  </si>
  <si>
    <t>Decommission</t>
  </si>
  <si>
    <t>Review</t>
  </si>
  <si>
    <t>Retain</t>
  </si>
  <si>
    <t># Apps</t>
  </si>
  <si>
    <t>Retired</t>
  </si>
  <si>
    <t>Decommissioning Dashboard</t>
  </si>
  <si>
    <t>Excel charts linked to Summary formulas – they update as the Application Inventory changes.</t>
  </si>
  <si>
    <t>Scoring Settings</t>
  </si>
  <si>
    <t>Values used by the Application Inventory formulas. Edit blue cells only.</t>
  </si>
  <si>
    <t>DECISION</t>
  </si>
  <si>
    <t>As-of date (assessment date)</t>
  </si>
  <si>
    <t>All date checks are measured from this date</t>
  </si>
  <si>
    <t>Not in use if last used more than (months) ago</t>
  </si>
  <si>
    <t>Or Active Users = 0 → 'Not in use' → Priority</t>
  </si>
  <si>
    <t>Low use if active users below</t>
  </si>
  <si>
    <t>Counts as a retirement driver</t>
  </si>
  <si>
    <t>Low business value if score ≤</t>
  </si>
  <si>
    <t>Out of support if EOS within (months)</t>
  </si>
  <si>
    <t>EOS already passed or due within window → driver</t>
  </si>
  <si>
    <t>Decommission if drivers ≥</t>
  </si>
  <si>
    <t>1 driver → Review; 0 → Retain</t>
  </si>
  <si>
    <t>COMPLEXITY</t>
  </si>
  <si>
    <t>High if interfaces more than</t>
  </si>
  <si>
    <t>Only applies when Data Archival Required = Y</t>
  </si>
  <si>
    <t>High if data volume (GB) more than</t>
  </si>
  <si>
    <t>High if criticality tier ≤</t>
  </si>
  <si>
    <t>Tier 1–2 = business critical</t>
  </si>
  <si>
    <t>RULES</t>
  </si>
  <si>
    <t>Retirement drivers (0–4): Low / no use · Replacement named · Out of support · Low business value</t>
  </si>
  <si>
    <t>Decision: Not in use → Priority – Not in use · drivers ≥ threshold → Decommission · 1 → Review · 0 → Retain</t>
  </si>
  <si>
    <t>Complexity: Data Archival Required = N → Easy · else any High trigger → High · else Medium</t>
  </si>
</sst>
</file>

<file path=xl/styles.xml><?xml version="1.0" encoding="utf-8"?>
<styleSheet xmlns="http://schemas.openxmlformats.org/spreadsheetml/2006/main">
  <numFmts count="7">
    <numFmt numFmtId="164" formatCode="dd\-mmm\-yy"/>
    <numFmt numFmtId="165" formatCode="\$#,##0;&quot;($&quot;#,##0\);\-"/>
    <numFmt numFmtId="166" formatCode="0.0"/>
    <numFmt numFmtId="167" formatCode="&quot;XXX&quot;"/>
    <numFmt numFmtId="168" formatCode="\$#,##0"/>
    <numFmt numFmtId="169" formatCode="#,##0;\-#,##0;\-"/>
    <numFmt numFmtId="171" formatCode="dd\-mmm\-yyyy"/>
  </numFmts>
  <fonts count="10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1"/>
      <name val="Arial"/>
      <charset val="1"/>
    </font>
    <font>
      <i/>
      <sz val="11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b/>
      <sz val="11"/>
      <color rgb="FF1F3864"/>
      <name val="Arial"/>
      <charset val="1"/>
    </font>
    <font>
      <sz val="11"/>
      <color rgb="FF595959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597"/>
        <bgColor rgb="FF1E6B6B"/>
      </patternFill>
    </fill>
    <fill>
      <patternFill patternType="solid">
        <fgColor rgb="FF385723"/>
        <bgColor rgb="FF3A3A3A"/>
      </patternFill>
    </fill>
    <fill>
      <patternFill patternType="solid">
        <fgColor rgb="FF5B2C6F"/>
        <bgColor rgb="FF3A3A3A"/>
      </patternFill>
    </fill>
    <fill>
      <patternFill patternType="solid">
        <fgColor rgb="FF7F6000"/>
        <bgColor rgb="FF843C0C"/>
      </patternFill>
    </fill>
    <fill>
      <patternFill patternType="solid">
        <fgColor rgb="FF843C0C"/>
        <bgColor rgb="FF7F6000"/>
      </patternFill>
    </fill>
    <fill>
      <patternFill patternType="solid">
        <fgColor rgb="FF1E6B6B"/>
        <bgColor rgb="FF008080"/>
      </patternFill>
    </fill>
    <fill>
      <patternFill patternType="solid">
        <fgColor rgb="FF1F3864"/>
        <bgColor rgb="FF3A3A3A"/>
      </patternFill>
    </fill>
    <fill>
      <patternFill patternType="solid">
        <fgColor rgb="FF3A3A3A"/>
        <bgColor rgb="FF1F3864"/>
      </patternFill>
    </fill>
    <fill>
      <patternFill patternType="solid">
        <fgColor rgb="FFFFF9E5"/>
        <bgColor rgb="FFFFFFFF"/>
      </patternFill>
    </fill>
    <fill>
      <patternFill patternType="solid">
        <fgColor rgb="FFEEF1F5"/>
        <bgColor rgb="FFFFF9E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9" borderId="0" xfId="0" applyFont="1" applyFill="1" applyBorder="1" applyAlignment="1">
      <alignment horizontal="center"/>
    </xf>
    <xf numFmtId="0" fontId="4" fillId="8" borderId="0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center"/>
    </xf>
    <xf numFmtId="0" fontId="4" fillId="7" borderId="0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6" borderId="0" xfId="0" applyFont="1" applyFill="1" applyAlignment="1">
      <alignment horizontal="center"/>
    </xf>
    <xf numFmtId="0" fontId="4" fillId="8" borderId="1" xfId="0" applyFont="1" applyFill="1" applyBorder="1" applyAlignment="1">
      <alignment horizontal="center" vertical="center" wrapText="1"/>
    </xf>
    <xf numFmtId="0" fontId="5" fillId="10" borderId="1" xfId="0" applyFont="1" applyFill="1" applyBorder="1"/>
    <xf numFmtId="3" fontId="5" fillId="10" borderId="1" xfId="0" applyNumberFormat="1" applyFont="1" applyFill="1" applyBorder="1"/>
    <xf numFmtId="164" fontId="5" fillId="10" borderId="1" xfId="0" applyNumberFormat="1" applyFont="1" applyFill="1" applyBorder="1"/>
    <xf numFmtId="0" fontId="6" fillId="11" borderId="1" xfId="0" applyFont="1" applyFill="1" applyBorder="1" applyAlignment="1">
      <alignment horizontal="center"/>
    </xf>
    <xf numFmtId="1" fontId="5" fillId="10" borderId="1" xfId="0" applyNumberFormat="1" applyFont="1" applyFill="1" applyBorder="1"/>
    <xf numFmtId="165" fontId="5" fillId="10" borderId="1" xfId="0" applyNumberFormat="1" applyFont="1" applyFill="1" applyBorder="1"/>
    <xf numFmtId="166" fontId="6" fillId="11" borderId="1" xfId="0" applyNumberFormat="1" applyFont="1" applyFill="1" applyBorder="1" applyAlignment="1">
      <alignment horizontal="center"/>
    </xf>
    <xf numFmtId="1" fontId="6" fillId="11" borderId="1" xfId="0" applyNumberFormat="1" applyFont="1" applyFill="1" applyBorder="1" applyAlignment="1">
      <alignment horizontal="center"/>
    </xf>
    <xf numFmtId="0" fontId="5" fillId="10" borderId="1" xfId="0" applyFont="1" applyFill="1" applyBorder="1" applyAlignment="1">
      <alignment vertical="top" wrapText="1"/>
    </xf>
    <xf numFmtId="167" fontId="5" fillId="10" borderId="1" xfId="0" applyNumberFormat="1" applyFont="1" applyFill="1" applyBorder="1"/>
    <xf numFmtId="0" fontId="7" fillId="0" borderId="0" xfId="0" applyFont="1"/>
    <xf numFmtId="1" fontId="2" fillId="0" borderId="1" xfId="0" applyNumberFormat="1" applyFont="1" applyBorder="1"/>
    <xf numFmtId="168" fontId="2" fillId="0" borderId="1" xfId="0" applyNumberFormat="1" applyFont="1" applyBorder="1"/>
    <xf numFmtId="0" fontId="4" fillId="8" borderId="1" xfId="0" applyFont="1" applyFill="1" applyBorder="1" applyAlignment="1">
      <alignment horizontal="center" wrapText="1"/>
    </xf>
    <xf numFmtId="0" fontId="2" fillId="0" borderId="1" xfId="0" applyFont="1" applyBorder="1"/>
    <xf numFmtId="165" fontId="2" fillId="0" borderId="1" xfId="0" applyNumberFormat="1" applyFont="1" applyBorder="1"/>
    <xf numFmtId="169" fontId="2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169" fontId="7" fillId="0" borderId="1" xfId="0" applyNumberFormat="1" applyFont="1" applyBorder="1"/>
    <xf numFmtId="0" fontId="8" fillId="0" borderId="0" xfId="0" applyFont="1"/>
    <xf numFmtId="171" fontId="5" fillId="10" borderId="1" xfId="0" applyNumberFormat="1" applyFont="1" applyFill="1" applyBorder="1"/>
    <xf numFmtId="0" fontId="9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E6B6B"/>
      <rgbColor rgb="FFBFBFBF"/>
      <rgbColor rgb="FF878787"/>
      <rgbColor rgb="FF5B9BD5"/>
      <rgbColor rgb="FF993366"/>
      <rgbColor rgb="FFFFF9E5"/>
      <rgbColor rgb="FFEEF1F5"/>
      <rgbColor rgb="FF5B2C6F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85723"/>
      <rgbColor rgb="FF843C0C"/>
      <rgbColor rgb="FF993366"/>
      <rgbColor rgb="FF2F5597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Applications by Decision and Complexity</a:t>
            </a:r>
          </a:p>
        </c:rich>
      </c:tx>
      <c:layout/>
      <c:spPr>
        <a:noFill/>
        <a:ln w="0">
          <a:noFill/>
        </a:ln>
      </c:spPr>
    </c:title>
    <c:plotArea>
      <c:layout/>
      <c:barChart>
        <c:barDir val="bar"/>
        <c:grouping val="stacked"/>
        <c:ser>
          <c:idx val="0"/>
          <c:order val="0"/>
          <c:tx>
            <c:strRef>
              <c:f>Summary!$B$11</c:f>
              <c:strCache>
                <c:ptCount val="1"/>
                <c:pt idx="0">
                  <c:v>Easy</c:v>
                </c:pt>
              </c:strCache>
            </c:strRef>
          </c:tx>
          <c:spPr>
            <a:solidFill>
              <a:srgbClr val="BDD7EE"/>
            </a:solidFill>
            <a:ln w="0">
              <a:solidFill>
                <a:srgbClr val="BDD7EE"/>
              </a:solidFill>
            </a:ln>
          </c:spPr>
          <c:dLbls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Val val="1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Summary!$A$12:$A$15</c:f>
              <c:strCache>
                <c:ptCount val="4"/>
                <c:pt idx="0">
                  <c:v>Priority – Not in use</c:v>
                </c:pt>
                <c:pt idx="1">
                  <c:v>Decommission</c:v>
                </c:pt>
                <c:pt idx="2">
                  <c:v>Review</c:v>
                </c:pt>
                <c:pt idx="3">
                  <c:v>Retain</c:v>
                </c:pt>
              </c:strCache>
            </c:strRef>
          </c:cat>
          <c:val>
            <c:numRef>
              <c:f>Summary!$B$12:$B$15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Summary!$C$11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rgbClr val="5B9BD5"/>
            </a:solidFill>
            <a:ln w="0">
              <a:solidFill>
                <a:srgbClr val="5B9BD5"/>
              </a:solidFill>
            </a:ln>
          </c:spPr>
          <c:dLbls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Val val="1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Summary!$A$12:$A$15</c:f>
              <c:strCache>
                <c:ptCount val="4"/>
                <c:pt idx="0">
                  <c:v>Priority – Not in use</c:v>
                </c:pt>
                <c:pt idx="1">
                  <c:v>Decommission</c:v>
                </c:pt>
                <c:pt idx="2">
                  <c:v>Review</c:v>
                </c:pt>
                <c:pt idx="3">
                  <c:v>Retain</c:v>
                </c:pt>
              </c:strCache>
            </c:strRef>
          </c:cat>
          <c:val>
            <c:numRef>
              <c:f>Summary!$C$12:$C$15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Summary!$D$11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dLbls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Val val="1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Summary!$A$12:$A$15</c:f>
              <c:strCache>
                <c:ptCount val="4"/>
                <c:pt idx="0">
                  <c:v>Priority – Not in use</c:v>
                </c:pt>
                <c:pt idx="1">
                  <c:v>Decommission</c:v>
                </c:pt>
                <c:pt idx="2">
                  <c:v>Review</c:v>
                </c:pt>
                <c:pt idx="3">
                  <c:v>Retain</c:v>
                </c:pt>
              </c:strCache>
            </c:strRef>
          </c:cat>
          <c:val>
            <c:numRef>
              <c:f>Summary!$D$12:$D$15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</c:ser>
        <c:overlap val="100"/>
        <c:axId val="145958400"/>
        <c:axId val="145959936"/>
      </c:barChart>
      <c:catAx>
        <c:axId val="145958400"/>
        <c:scaling>
          <c:orientation val="maxMin"/>
        </c:scaling>
        <c:axPos val="l"/>
        <c:numFmt formatCode="General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5959936"/>
        <c:crosses val="autoZero"/>
        <c:auto val="1"/>
        <c:lblAlgn val="ctr"/>
        <c:lblOffset val="100"/>
      </c:catAx>
      <c:valAx>
        <c:axId val="145959936"/>
        <c:scaling>
          <c:orientation val="minMax"/>
        </c:scaling>
        <c:axPos val="t"/>
        <c:numFmt formatCode="General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59584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Annual Savings vs One-off Decom Cost by Wave ($)</a:t>
            </a:r>
          </a:p>
        </c:rich>
      </c:tx>
      <c:layout/>
      <c:spPr>
        <a:noFill/>
        <a:ln w="0">
          <a:noFill/>
        </a:ln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Summary!$C$18</c:f>
              <c:strCache>
                <c:ptCount val="1"/>
                <c:pt idx="0">
                  <c:v>Annual Savings ($)</c:v>
                </c:pt>
              </c:strCache>
            </c:strRef>
          </c:tx>
          <c:spPr>
            <a:solidFill>
              <a:srgbClr val="5B9BD5"/>
            </a:solidFill>
            <a:ln w="0">
              <a:solidFill>
                <a:srgbClr val="5B9BD5"/>
              </a:solidFill>
            </a:ln>
          </c:spPr>
          <c:cat>
            <c:strRef>
              <c:f>Summary!$A$19:$A$22</c:f>
              <c:strCache>
                <c:ptCount val="4"/>
                <c:pt idx="0">
                  <c:v>Wave 1</c:v>
                </c:pt>
                <c:pt idx="1">
                  <c:v>Wave 2</c:v>
                </c:pt>
                <c:pt idx="2">
                  <c:v>Wave 3</c:v>
                </c:pt>
                <c:pt idx="3">
                  <c:v>Backlog</c:v>
                </c:pt>
              </c:strCache>
            </c:strRef>
          </c:cat>
          <c:val>
            <c:numRef>
              <c:f>Summary!$C$19:$C$22</c:f>
              <c:numCache>
                <c:formatCode>\$#,##0;"($"#,##0\);\-</c:formatCode>
                <c:ptCount val="4"/>
                <c:pt idx="0">
                  <c:v>69000</c:v>
                </c:pt>
                <c:pt idx="1">
                  <c:v>72000</c:v>
                </c:pt>
                <c:pt idx="2">
                  <c:v>55000</c:v>
                </c:pt>
                <c:pt idx="3">
                  <c:v>300000</c:v>
                </c:pt>
              </c:numCache>
            </c:numRef>
          </c:val>
        </c:ser>
        <c:ser>
          <c:idx val="1"/>
          <c:order val="1"/>
          <c:tx>
            <c:strRef>
              <c:f>Summary!$D$18</c:f>
              <c:strCache>
                <c:ptCount val="1"/>
                <c:pt idx="0">
                  <c:v>Est. Decom Cost ($)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cat>
            <c:strRef>
              <c:f>Summary!$A$19:$A$22</c:f>
              <c:strCache>
                <c:ptCount val="4"/>
                <c:pt idx="0">
                  <c:v>Wave 1</c:v>
                </c:pt>
                <c:pt idx="1">
                  <c:v>Wave 2</c:v>
                </c:pt>
                <c:pt idx="2">
                  <c:v>Wave 3</c:v>
                </c:pt>
                <c:pt idx="3">
                  <c:v>Backlog</c:v>
                </c:pt>
              </c:strCache>
            </c:strRef>
          </c:cat>
          <c:val>
            <c:numRef>
              <c:f>Summary!$D$19:$D$22</c:f>
              <c:numCache>
                <c:formatCode>\$#,##0;"($"#,##0\);\-</c:formatCode>
                <c:ptCount val="4"/>
                <c:pt idx="0">
                  <c:v>57000</c:v>
                </c:pt>
                <c:pt idx="1">
                  <c:v>100000</c:v>
                </c:pt>
                <c:pt idx="2">
                  <c:v>120000</c:v>
                </c:pt>
                <c:pt idx="3">
                  <c:v>2200000</c:v>
                </c:pt>
              </c:numCache>
            </c:numRef>
          </c:val>
        </c:ser>
        <c:axId val="145998592"/>
        <c:axId val="146000128"/>
      </c:barChart>
      <c:catAx>
        <c:axId val="145998592"/>
        <c:scaling>
          <c:orientation val="minMax"/>
        </c:scaling>
        <c:axPos val="b"/>
        <c:numFmt formatCode="General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6000128"/>
        <c:crosses val="autoZero"/>
        <c:auto val="1"/>
        <c:lblAlgn val="ctr"/>
        <c:lblOffset val="100"/>
      </c:catAx>
      <c:valAx>
        <c:axId val="146000128"/>
        <c:scaling>
          <c:orientation val="minMax"/>
        </c:scaling>
        <c:axPos val="l"/>
        <c:numFmt formatCode="\$#,##0" sourceLinked="0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59985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Decommissioning Pipeline by Status</a:t>
            </a:r>
          </a:p>
        </c:rich>
      </c:tx>
      <c:layout/>
      <c:spPr>
        <a:noFill/>
        <a:ln w="0">
          <a:noFill/>
        </a:ln>
      </c:spPr>
    </c:title>
    <c:plotArea>
      <c:layout/>
      <c:barChart>
        <c:barDir val="col"/>
        <c:grouping val="clustered"/>
        <c:ser>
          <c:idx val="0"/>
          <c:order val="0"/>
          <c:tx>
            <c:strRef>
              <c:f>Summary!$B$24</c:f>
              <c:strCache>
                <c:ptCount val="1"/>
                <c:pt idx="0">
                  <c:v># Apps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dLbls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Val val="1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Summary!$A$25:$A$30</c:f>
              <c:strCache>
                <c:ptCount val="6"/>
                <c:pt idx="0">
                  <c:v>Candidate</c:v>
                </c:pt>
                <c:pt idx="1">
                  <c:v>Validated</c:v>
                </c:pt>
                <c:pt idx="2">
                  <c:v>Approved</c:v>
                </c:pt>
                <c:pt idx="3">
                  <c:v>In progress</c:v>
                </c:pt>
                <c:pt idx="4">
                  <c:v>Retired</c:v>
                </c:pt>
                <c:pt idx="5">
                  <c:v>Rejected</c:v>
                </c:pt>
              </c:strCache>
            </c:strRef>
          </c:cat>
          <c:val>
            <c:numRef>
              <c:f>Summary!$B$25:$B$30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146020992"/>
        <c:axId val="146022784"/>
      </c:barChart>
      <c:catAx>
        <c:axId val="146020992"/>
        <c:scaling>
          <c:orientation val="minMax"/>
        </c:scaling>
        <c:axPos val="b"/>
        <c:numFmt formatCode="General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6022784"/>
        <c:crosses val="autoZero"/>
        <c:auto val="1"/>
        <c:lblAlgn val="ctr"/>
        <c:lblOffset val="100"/>
      </c:catAx>
      <c:valAx>
        <c:axId val="146022784"/>
        <c:scaling>
          <c:orientation val="minMax"/>
        </c:scaling>
        <c:axPos val="l"/>
        <c:numFmt formatCode="General" sourceLinked="1"/>
        <c:maj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60209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160920</xdr:rowOff>
    </xdr:from>
    <xdr:to>
      <xdr:col>9</xdr:col>
      <xdr:colOff>255960</xdr:colOff>
      <xdr:row>17</xdr:row>
      <xdr:rowOff>182880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160920</xdr:rowOff>
    </xdr:from>
    <xdr:to>
      <xdr:col>18</xdr:col>
      <xdr:colOff>256320</xdr:colOff>
      <xdr:row>17</xdr:row>
      <xdr:rowOff>182880</xdr:rowOff>
    </xdr:to>
    <xdr:graphicFrame macro="">
      <xdr:nvGraphicFramePr>
        <xdr:cNvPr id="0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19</xdr:row>
      <xdr:rowOff>160560</xdr:rowOff>
    </xdr:from>
    <xdr:to>
      <xdr:col>9</xdr:col>
      <xdr:colOff>255960</xdr:colOff>
      <xdr:row>34</xdr:row>
      <xdr:rowOff>182520</xdr:rowOff>
    </xdr:to>
    <xdr:graphicFrame macro=""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11"/>
  <sheetViews>
    <sheetView showGridLines="0" workbookViewId="0"/>
  </sheetViews>
  <sheetFormatPr defaultColWidth="8.7109375" defaultRowHeight="15"/>
  <cols>
    <col min="1" max="1" width="110" customWidth="1"/>
  </cols>
  <sheetData>
    <row r="1" spans="1:1" ht="18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 t="s">
        <v>3</v>
      </c>
    </row>
    <row r="6" spans="1:1">
      <c r="A6" s="10" t="s">
        <v>4</v>
      </c>
    </row>
    <row r="7" spans="1:1">
      <c r="A7" s="10" t="s">
        <v>5</v>
      </c>
    </row>
    <row r="8" spans="1:1">
      <c r="A8" s="10" t="s">
        <v>6</v>
      </c>
    </row>
    <row r="9" spans="1:1">
      <c r="A9" s="10" t="s">
        <v>7</v>
      </c>
    </row>
    <row r="10" spans="1:1">
      <c r="A10" s="10" t="s">
        <v>8</v>
      </c>
    </row>
    <row r="11" spans="1:1">
      <c r="A11" s="10" t="s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504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ColWidth="8.7109375" defaultRowHeight="15"/>
  <cols>
    <col min="1" max="1" width="9" customWidth="1"/>
    <col min="2" max="2" width="26" customWidth="1"/>
    <col min="3" max="3" width="20" customWidth="1"/>
    <col min="4" max="5" width="13" customWidth="1"/>
    <col min="6" max="8" width="15" customWidth="1"/>
    <col min="9" max="9" width="10" customWidth="1"/>
    <col min="10" max="11" width="12" customWidth="1"/>
    <col min="12" max="13" width="10" customWidth="1"/>
    <col min="14" max="14" width="22" customWidth="1"/>
    <col min="15" max="15" width="11" customWidth="1"/>
    <col min="16" max="16" width="24" customWidth="1"/>
    <col min="17" max="17" width="9" customWidth="1"/>
    <col min="18" max="18" width="20" customWidth="1"/>
    <col min="19" max="19" width="18" customWidth="1"/>
    <col min="20" max="20" width="17" customWidth="1"/>
    <col min="21" max="21" width="12" customWidth="1"/>
    <col min="22" max="22" width="13" customWidth="1"/>
    <col min="23" max="24" width="10" customWidth="1"/>
    <col min="25" max="25" width="9" customWidth="1"/>
    <col min="26" max="26" width="11" customWidth="1"/>
    <col min="27" max="27" width="19" customWidth="1"/>
    <col min="28" max="28" width="10" customWidth="1"/>
    <col min="29" max="31" width="11" customWidth="1"/>
    <col min="32" max="35" width="12" customWidth="1"/>
    <col min="36" max="37" width="10" customWidth="1"/>
    <col min="38" max="38" width="20" customWidth="1"/>
    <col min="39" max="39" width="11" customWidth="1"/>
    <col min="40" max="40" width="10" customWidth="1"/>
    <col min="41" max="42" width="12" customWidth="1"/>
    <col min="43" max="43" width="55" customWidth="1"/>
  </cols>
  <sheetData>
    <row r="1" spans="1:43" ht="18">
      <c r="A1" s="9" t="s">
        <v>10</v>
      </c>
    </row>
    <row r="2" spans="1:43">
      <c r="A2" s="11" t="s">
        <v>11</v>
      </c>
    </row>
    <row r="3" spans="1:43">
      <c r="A3" s="8" t="s">
        <v>12</v>
      </c>
      <c r="B3" s="8"/>
      <c r="C3" s="8"/>
      <c r="D3" s="8"/>
      <c r="E3" s="8"/>
      <c r="F3" s="8" t="s">
        <v>13</v>
      </c>
      <c r="G3" s="8"/>
      <c r="H3" s="8"/>
      <c r="I3" s="7" t="s">
        <v>14</v>
      </c>
      <c r="J3" s="7"/>
      <c r="K3" s="7"/>
      <c r="L3" s="7"/>
      <c r="M3" s="7"/>
      <c r="N3" s="7"/>
      <c r="O3" s="6" t="s">
        <v>15</v>
      </c>
      <c r="P3" s="6"/>
      <c r="Q3" s="6"/>
      <c r="R3" s="6"/>
      <c r="S3" s="6"/>
      <c r="T3" s="6"/>
      <c r="U3" s="6"/>
      <c r="V3" s="5" t="s">
        <v>16</v>
      </c>
      <c r="W3" s="5"/>
      <c r="X3" s="5"/>
      <c r="Y3" s="5"/>
      <c r="Z3" s="5"/>
      <c r="AA3" s="5"/>
      <c r="AB3" s="12" t="s">
        <v>17</v>
      </c>
      <c r="AC3" s="4" t="s">
        <v>18</v>
      </c>
      <c r="AD3" s="4"/>
      <c r="AE3" s="4"/>
      <c r="AF3" s="3" t="s">
        <v>19</v>
      </c>
      <c r="AG3" s="3"/>
      <c r="AH3" s="3"/>
      <c r="AI3" s="3"/>
      <c r="AJ3" s="3"/>
      <c r="AK3" s="2" t="s">
        <v>20</v>
      </c>
      <c r="AL3" s="2"/>
      <c r="AM3" s="2"/>
      <c r="AN3" s="1" t="s">
        <v>21</v>
      </c>
      <c r="AO3" s="1"/>
      <c r="AP3" s="1"/>
      <c r="AQ3" s="1"/>
    </row>
    <row r="4" spans="1:43" ht="48" customHeight="1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  <c r="J4" s="13" t="s">
        <v>31</v>
      </c>
      <c r="K4" s="13" t="s">
        <v>32</v>
      </c>
      <c r="L4" s="13" t="s">
        <v>33</v>
      </c>
      <c r="M4" s="13" t="s">
        <v>34</v>
      </c>
      <c r="N4" s="13" t="s">
        <v>35</v>
      </c>
      <c r="O4" s="13" t="s">
        <v>36</v>
      </c>
      <c r="P4" s="13" t="s">
        <v>37</v>
      </c>
      <c r="Q4" s="13" t="s">
        <v>38</v>
      </c>
      <c r="R4" s="13" t="s">
        <v>39</v>
      </c>
      <c r="S4" s="13" t="s">
        <v>40</v>
      </c>
      <c r="T4" s="13" t="s">
        <v>41</v>
      </c>
      <c r="U4" s="13" t="s">
        <v>42</v>
      </c>
      <c r="V4" s="13" t="s">
        <v>43</v>
      </c>
      <c r="W4" s="13" t="s">
        <v>44</v>
      </c>
      <c r="X4" s="13" t="s">
        <v>45</v>
      </c>
      <c r="Y4" s="13" t="s">
        <v>46</v>
      </c>
      <c r="Z4" s="13" t="s">
        <v>47</v>
      </c>
      <c r="AA4" s="13" t="s">
        <v>48</v>
      </c>
      <c r="AB4" s="13" t="s">
        <v>49</v>
      </c>
      <c r="AC4" s="13" t="s">
        <v>50</v>
      </c>
      <c r="AD4" s="13" t="s">
        <v>51</v>
      </c>
      <c r="AE4" s="13" t="s">
        <v>52</v>
      </c>
      <c r="AF4" s="13" t="s">
        <v>53</v>
      </c>
      <c r="AG4" s="13" t="s">
        <v>54</v>
      </c>
      <c r="AH4" s="13" t="s">
        <v>55</v>
      </c>
      <c r="AI4" s="13" t="s">
        <v>56</v>
      </c>
      <c r="AJ4" s="13" t="s">
        <v>57</v>
      </c>
      <c r="AK4" s="13" t="s">
        <v>58</v>
      </c>
      <c r="AL4" s="13" t="s">
        <v>20</v>
      </c>
      <c r="AM4" s="13" t="s">
        <v>59</v>
      </c>
      <c r="AN4" s="13" t="s">
        <v>60</v>
      </c>
      <c r="AO4" s="13" t="s">
        <v>61</v>
      </c>
      <c r="AP4" s="13" t="s">
        <v>62</v>
      </c>
      <c r="AQ4" s="13" t="s">
        <v>63</v>
      </c>
    </row>
    <row r="5" spans="1:43">
      <c r="A5" s="14"/>
      <c r="B5" s="14" t="s">
        <v>64</v>
      </c>
      <c r="C5" s="14" t="s">
        <v>65</v>
      </c>
      <c r="D5" s="14" t="s">
        <v>66</v>
      </c>
      <c r="E5" s="14" t="s">
        <v>67</v>
      </c>
      <c r="F5" s="14"/>
      <c r="G5" s="14"/>
      <c r="H5" s="14"/>
      <c r="I5" s="15">
        <v>12</v>
      </c>
      <c r="J5" s="16">
        <v>42724</v>
      </c>
      <c r="K5" s="17" t="str">
        <f>IF(B5="","",IF(AND(I5="",J5=""),"Unknown",IF(OR(AND(ISNUMBER(I5),I5=0),AND(ISNUMBER(J5),J5&lt;=EDATE('Scoring Settings'!$B$4,-'Scoring Settings'!$B$5))),"Not in use",IF(AND(ISNUMBER(I5),I5&lt;'Scoring Settings'!$B$6),"Low use","Active"))))</f>
        <v>Low use</v>
      </c>
      <c r="L5" s="14">
        <v>2</v>
      </c>
      <c r="M5" s="14">
        <v>3</v>
      </c>
      <c r="N5" s="14" t="s">
        <v>68</v>
      </c>
      <c r="O5" s="14" t="s">
        <v>69</v>
      </c>
      <c r="P5" s="14" t="s">
        <v>70</v>
      </c>
      <c r="Q5" s="18">
        <v>2</v>
      </c>
      <c r="R5" s="14" t="s">
        <v>71</v>
      </c>
      <c r="S5" s="14" t="s">
        <v>72</v>
      </c>
      <c r="T5" s="14" t="s">
        <v>73</v>
      </c>
      <c r="U5" s="16">
        <v>42472</v>
      </c>
      <c r="V5" s="14" t="s">
        <v>74</v>
      </c>
      <c r="W5" s="15">
        <v>150</v>
      </c>
      <c r="X5" s="14" t="s">
        <v>75</v>
      </c>
      <c r="Y5" s="18">
        <v>7</v>
      </c>
      <c r="Z5" s="14" t="s">
        <v>75</v>
      </c>
      <c r="AA5" s="14" t="s">
        <v>76</v>
      </c>
      <c r="AB5" s="18">
        <v>2</v>
      </c>
      <c r="AC5" s="14" t="s">
        <v>77</v>
      </c>
      <c r="AD5" s="14" t="s">
        <v>78</v>
      </c>
      <c r="AE5" s="14" t="s">
        <v>78</v>
      </c>
      <c r="AF5" s="19">
        <v>32000</v>
      </c>
      <c r="AG5" s="16">
        <v>42916</v>
      </c>
      <c r="AH5" s="19">
        <v>20000</v>
      </c>
      <c r="AI5" s="19">
        <v>28000</v>
      </c>
      <c r="AJ5" s="20">
        <f t="shared" ref="AJ5:AJ68" si="0">IF(AND(ISNUMBER(AH5),ISNUMBER(AI5),N(AI5)&gt;0),AH5/AI5*12,"")</f>
        <v>8.5714285714285712</v>
      </c>
      <c r="AK5" s="21">
        <f>IF(B5="","",OR(K5="Not in use",K5="Low use")+AND(N5&lt;&gt;"",N5&lt;&gt;"TBD")+AND(ISNUMBER(U5),U5&lt;=EDATE('Scoring Settings'!$B$4,'Scoring Settings'!$B$8))+AND(ISNUMBER(L5),L5&lt;='Scoring Settings'!$B$7))</f>
        <v>4</v>
      </c>
      <c r="AL5" s="17" t="str">
        <f>IF(B5="","",IF(K5="Not in use","Priority – Not in use",IF(AK5&gt;='Scoring Settings'!$B$9,"Decommission",IF(AK5=1,"Review","Retain"))))</f>
        <v>Decommission</v>
      </c>
      <c r="AM5" s="17" t="str">
        <f>IF(B5="","",IF(Z5="N","Easy",IF(OR(AND(ISNUMBER(AB5),AB5&gt;'Scoring Settings'!$B$11),AND(ISNUMBER(W5),W5&gt;'Scoring Settings'!$B$12),AND(ISNUMBER(M5),M5&lt;='Scoring Settings'!$B$13)),"High","Medium")))</f>
        <v>Medium</v>
      </c>
      <c r="AN5" s="14" t="s">
        <v>79</v>
      </c>
      <c r="AO5" s="16">
        <v>42916</v>
      </c>
      <c r="AP5" s="14" t="s">
        <v>80</v>
      </c>
      <c r="AQ5" s="22" t="s">
        <v>81</v>
      </c>
    </row>
    <row r="6" spans="1:43">
      <c r="A6" s="14"/>
      <c r="B6" s="14" t="s">
        <v>82</v>
      </c>
      <c r="C6" s="14" t="s">
        <v>83</v>
      </c>
      <c r="D6" s="14" t="s">
        <v>66</v>
      </c>
      <c r="E6" s="14" t="s">
        <v>84</v>
      </c>
      <c r="F6" s="14"/>
      <c r="G6" s="14"/>
      <c r="H6" s="14"/>
      <c r="I6" s="15">
        <v>2400</v>
      </c>
      <c r="J6" s="16">
        <v>42735</v>
      </c>
      <c r="K6" s="17" t="str">
        <f>IF(B6="","",IF(AND(I6="",J6=""),"Unknown",IF(OR(AND(ISNUMBER(I6),I6=0),AND(ISNUMBER(J6),J6&lt;=EDATE('Scoring Settings'!$B$4,-'Scoring Settings'!$B$5))),"Not in use",IF(AND(ISNUMBER(I6),I6&lt;'Scoring Settings'!$B$6),"Low use","Active"))))</f>
        <v>Active</v>
      </c>
      <c r="L6" s="14">
        <v>5</v>
      </c>
      <c r="M6" s="14">
        <v>1</v>
      </c>
      <c r="N6" s="14" t="s">
        <v>85</v>
      </c>
      <c r="O6" s="14" t="s">
        <v>69</v>
      </c>
      <c r="P6" s="14" t="s">
        <v>86</v>
      </c>
      <c r="Q6" s="18">
        <v>6</v>
      </c>
      <c r="R6" s="14" t="s">
        <v>87</v>
      </c>
      <c r="S6" s="14" t="s">
        <v>88</v>
      </c>
      <c r="T6" s="14" t="s">
        <v>73</v>
      </c>
      <c r="U6" s="16">
        <v>46022</v>
      </c>
      <c r="V6" s="14" t="s">
        <v>74</v>
      </c>
      <c r="W6" s="15">
        <v>4500</v>
      </c>
      <c r="X6" s="14" t="s">
        <v>75</v>
      </c>
      <c r="Y6" s="18">
        <v>10</v>
      </c>
      <c r="Z6" s="14" t="s">
        <v>75</v>
      </c>
      <c r="AA6" s="14" t="s">
        <v>89</v>
      </c>
      <c r="AB6" s="18">
        <v>85</v>
      </c>
      <c r="AC6" s="14" t="s">
        <v>75</v>
      </c>
      <c r="AD6" s="14" t="s">
        <v>75</v>
      </c>
      <c r="AE6" s="14" t="s">
        <v>77</v>
      </c>
      <c r="AF6" s="23">
        <v>650000</v>
      </c>
      <c r="AG6" s="16">
        <v>44196</v>
      </c>
      <c r="AH6" s="23">
        <v>2200000</v>
      </c>
      <c r="AI6" s="19">
        <v>300000</v>
      </c>
      <c r="AJ6" s="20">
        <f t="shared" si="0"/>
        <v>88</v>
      </c>
      <c r="AK6" s="21">
        <f>IF(B6="","",OR(K6="Not in use",K6="Low use")+AND(N6&lt;&gt;"",N6&lt;&gt;"TBD")+AND(ISNUMBER(U6),U6&lt;=EDATE('Scoring Settings'!$B$4,'Scoring Settings'!$B$8))+AND(ISNUMBER(L6),L6&lt;='Scoring Settings'!$B$7))</f>
        <v>1</v>
      </c>
      <c r="AL6" s="17" t="str">
        <f>IF(B6="","",IF(K6="Not in use","Priority – Not in use",IF(AK6&gt;='Scoring Settings'!$B$9,"Decommission",IF(AK6=1,"Review","Retain"))))</f>
        <v>Review</v>
      </c>
      <c r="AM6" s="17" t="str">
        <f>IF(B6="","",IF(Z6="N","Easy",IF(OR(AND(ISNUMBER(AB6),AB6&gt;'Scoring Settings'!$B$11),AND(ISNUMBER(W6),W6&gt;'Scoring Settings'!$B$12),AND(ISNUMBER(M6),M6&lt;='Scoring Settings'!$B$13)),"High","Medium")))</f>
        <v>High</v>
      </c>
      <c r="AN6" s="14" t="s">
        <v>90</v>
      </c>
      <c r="AO6" s="16" t="s">
        <v>91</v>
      </c>
      <c r="AP6" s="14" t="s">
        <v>92</v>
      </c>
      <c r="AQ6" s="22" t="s">
        <v>93</v>
      </c>
    </row>
    <row r="7" spans="1:43">
      <c r="A7" s="14"/>
      <c r="B7" s="14" t="s">
        <v>94</v>
      </c>
      <c r="C7" s="14" t="s">
        <v>95</v>
      </c>
      <c r="D7" s="14" t="s">
        <v>96</v>
      </c>
      <c r="E7" s="14" t="s">
        <v>67</v>
      </c>
      <c r="F7" s="14"/>
      <c r="G7" s="14"/>
      <c r="H7" s="14"/>
      <c r="I7" s="15">
        <v>40</v>
      </c>
      <c r="J7" s="16">
        <v>42689</v>
      </c>
      <c r="K7" s="17" t="str">
        <f>IF(B7="","",IF(AND(I7="",J7=""),"Unknown",IF(OR(AND(ISNUMBER(I7),I7=0),AND(ISNUMBER(J7),J7&lt;=EDATE('Scoring Settings'!$B$4,-'Scoring Settings'!$B$5))),"Not in use",IF(AND(ISNUMBER(I7),I7&lt;'Scoring Settings'!$B$6),"Low use","Active"))))</f>
        <v>Active</v>
      </c>
      <c r="L7" s="14">
        <v>1</v>
      </c>
      <c r="M7" s="14">
        <v>4</v>
      </c>
      <c r="N7" s="14" t="s">
        <v>97</v>
      </c>
      <c r="O7" s="14" t="s">
        <v>69</v>
      </c>
      <c r="P7" s="14" t="s">
        <v>98</v>
      </c>
      <c r="Q7" s="18">
        <v>3</v>
      </c>
      <c r="R7" s="14" t="s">
        <v>71</v>
      </c>
      <c r="S7" s="14" t="s">
        <v>99</v>
      </c>
      <c r="T7" s="14" t="s">
        <v>100</v>
      </c>
      <c r="U7" s="16">
        <v>44117</v>
      </c>
      <c r="V7" s="14" t="s">
        <v>101</v>
      </c>
      <c r="W7" s="15">
        <v>800</v>
      </c>
      <c r="X7" s="14" t="s">
        <v>78</v>
      </c>
      <c r="Y7" s="18">
        <v>3</v>
      </c>
      <c r="Z7" s="14" t="s">
        <v>78</v>
      </c>
      <c r="AA7" s="14" t="s">
        <v>102</v>
      </c>
      <c r="AB7" s="18">
        <v>1</v>
      </c>
      <c r="AC7" s="14" t="s">
        <v>75</v>
      </c>
      <c r="AD7" s="14" t="s">
        <v>77</v>
      </c>
      <c r="AE7" s="14" t="s">
        <v>75</v>
      </c>
      <c r="AF7" s="19">
        <v>18000</v>
      </c>
      <c r="AG7" s="16">
        <v>42825</v>
      </c>
      <c r="AH7" s="19">
        <v>9000</v>
      </c>
      <c r="AI7" s="19">
        <v>18000</v>
      </c>
      <c r="AJ7" s="20">
        <f t="shared" si="0"/>
        <v>6</v>
      </c>
      <c r="AK7" s="21">
        <f>IF(B7="","",OR(K7="Not in use",K7="Low use")+AND(N7&lt;&gt;"",N7&lt;&gt;"TBD")+AND(ISNUMBER(U7),U7&lt;=EDATE('Scoring Settings'!$B$4,'Scoring Settings'!$B$8))+AND(ISNUMBER(L7),L7&lt;='Scoring Settings'!$B$7))</f>
        <v>2</v>
      </c>
      <c r="AL7" s="17" t="str">
        <f>IF(B7="","",IF(K7="Not in use","Priority – Not in use",IF(AK7&gt;='Scoring Settings'!$B$9,"Decommission",IF(AK7=1,"Review","Retain"))))</f>
        <v>Decommission</v>
      </c>
      <c r="AM7" s="17" t="str">
        <f>IF(B7="","",IF(Z7="N","Easy",IF(OR(AND(ISNUMBER(AB7),AB7&gt;'Scoring Settings'!$B$11),AND(ISNUMBER(W7),W7&gt;'Scoring Settings'!$B$12),AND(ISNUMBER(M7),M7&lt;='Scoring Settings'!$B$13)),"High","Medium")))</f>
        <v>Easy</v>
      </c>
      <c r="AN7" s="14" t="s">
        <v>79</v>
      </c>
      <c r="AO7" s="16">
        <v>42825</v>
      </c>
      <c r="AP7" s="14" t="s">
        <v>103</v>
      </c>
      <c r="AQ7" s="22" t="s">
        <v>104</v>
      </c>
    </row>
    <row r="8" spans="1:43">
      <c r="A8" s="14"/>
      <c r="B8" s="14" t="s">
        <v>105</v>
      </c>
      <c r="C8" s="14" t="s">
        <v>106</v>
      </c>
      <c r="D8" s="14" t="s">
        <v>107</v>
      </c>
      <c r="E8" s="14" t="s">
        <v>67</v>
      </c>
      <c r="F8" s="14"/>
      <c r="G8" s="14"/>
      <c r="H8" s="14"/>
      <c r="I8" s="15">
        <v>0</v>
      </c>
      <c r="J8" s="16">
        <v>42460</v>
      </c>
      <c r="K8" s="17" t="str">
        <f>IF(B8="","",IF(AND(I8="",J8=""),"Unknown",IF(OR(AND(ISNUMBER(I8),I8=0),AND(ISNUMBER(J8),J8&lt;=EDATE('Scoring Settings'!$B$4,-'Scoring Settings'!$B$5))),"Not in use",IF(AND(ISNUMBER(I8),I8&lt;'Scoring Settings'!$B$6),"Low use","Active"))))</f>
        <v>Not in use</v>
      </c>
      <c r="L8" s="14">
        <v>2</v>
      </c>
      <c r="M8" s="14">
        <v>4</v>
      </c>
      <c r="N8" s="14" t="s">
        <v>108</v>
      </c>
      <c r="O8" s="14" t="s">
        <v>69</v>
      </c>
      <c r="P8" s="14" t="s">
        <v>109</v>
      </c>
      <c r="Q8" s="18">
        <v>1</v>
      </c>
      <c r="R8" s="14" t="s">
        <v>91</v>
      </c>
      <c r="S8" s="14" t="s">
        <v>110</v>
      </c>
      <c r="T8" s="14" t="s">
        <v>100</v>
      </c>
      <c r="U8" s="16">
        <v>43018</v>
      </c>
      <c r="V8" s="14" t="s">
        <v>74</v>
      </c>
      <c r="W8" s="15">
        <v>2</v>
      </c>
      <c r="X8" s="14" t="s">
        <v>78</v>
      </c>
      <c r="Y8" s="18">
        <v>2</v>
      </c>
      <c r="Z8" s="14" t="s">
        <v>78</v>
      </c>
      <c r="AA8" s="14" t="s">
        <v>102</v>
      </c>
      <c r="AB8" s="18">
        <v>0</v>
      </c>
      <c r="AC8" s="14" t="s">
        <v>78</v>
      </c>
      <c r="AD8" s="14" t="s">
        <v>78</v>
      </c>
      <c r="AE8" s="14" t="s">
        <v>78</v>
      </c>
      <c r="AF8" s="19">
        <v>3000</v>
      </c>
      <c r="AG8" s="16" t="s">
        <v>91</v>
      </c>
      <c r="AH8" s="19">
        <v>2000</v>
      </c>
      <c r="AI8" s="19">
        <v>3000</v>
      </c>
      <c r="AJ8" s="20">
        <f t="shared" si="0"/>
        <v>8</v>
      </c>
      <c r="AK8" s="21">
        <f>IF(B8="","",OR(K8="Not in use",K8="Low use")+AND(N8&lt;&gt;"",N8&lt;&gt;"TBD")+AND(ISNUMBER(U8),U8&lt;=EDATE('Scoring Settings'!$B$4,'Scoring Settings'!$B$8))+AND(ISNUMBER(L8),L8&lt;='Scoring Settings'!$B$7))</f>
        <v>4</v>
      </c>
      <c r="AL8" s="17" t="str">
        <f>IF(B8="","",IF(K8="Not in use","Priority – Not in use",IF(AK8&gt;='Scoring Settings'!$B$9,"Decommission",IF(AK8=1,"Review","Retain"))))</f>
        <v>Priority – Not in use</v>
      </c>
      <c r="AM8" s="17" t="str">
        <f>IF(B8="","",IF(Z8="N","Easy",IF(OR(AND(ISNUMBER(AB8),AB8&gt;'Scoring Settings'!$B$11),AND(ISNUMBER(W8),W8&gt;'Scoring Settings'!$B$12),AND(ISNUMBER(M8),M8&lt;='Scoring Settings'!$B$13)),"High","Medium")))</f>
        <v>Easy</v>
      </c>
      <c r="AN8" s="14" t="s">
        <v>79</v>
      </c>
      <c r="AO8" s="16">
        <v>42794</v>
      </c>
      <c r="AP8" s="14" t="s">
        <v>111</v>
      </c>
      <c r="AQ8" s="22" t="s">
        <v>112</v>
      </c>
    </row>
    <row r="9" spans="1:43">
      <c r="A9" s="14"/>
      <c r="B9" s="14" t="s">
        <v>113</v>
      </c>
      <c r="C9" s="14" t="s">
        <v>114</v>
      </c>
      <c r="D9" s="14" t="s">
        <v>115</v>
      </c>
      <c r="E9" s="14" t="s">
        <v>84</v>
      </c>
      <c r="F9" s="14"/>
      <c r="G9" s="14"/>
      <c r="H9" s="14"/>
      <c r="I9" s="15">
        <v>650</v>
      </c>
      <c r="J9" s="16">
        <v>42735</v>
      </c>
      <c r="K9" s="17" t="str">
        <f>IF(B9="","",IF(AND(I9="",J9=""),"Unknown",IF(OR(AND(ISNUMBER(I9),I9=0),AND(ISNUMBER(J9),J9&lt;=EDATE('Scoring Settings'!$B$4,-'Scoring Settings'!$B$5))),"Not in use",IF(AND(ISNUMBER(I9),I9&lt;'Scoring Settings'!$B$6),"Low use","Active"))))</f>
        <v>Active</v>
      </c>
      <c r="L9" s="14">
        <v>4</v>
      </c>
      <c r="M9" s="14">
        <v>1</v>
      </c>
      <c r="N9" s="14" t="s">
        <v>91</v>
      </c>
      <c r="O9" s="14" t="s">
        <v>116</v>
      </c>
      <c r="P9" s="14" t="s">
        <v>117</v>
      </c>
      <c r="Q9" s="18">
        <v>4</v>
      </c>
      <c r="R9" s="14" t="s">
        <v>118</v>
      </c>
      <c r="S9" s="14" t="s">
        <v>88</v>
      </c>
      <c r="T9" s="14" t="s">
        <v>119</v>
      </c>
      <c r="U9" s="16">
        <v>44165</v>
      </c>
      <c r="V9" s="14" t="s">
        <v>74</v>
      </c>
      <c r="W9" s="15">
        <v>1200</v>
      </c>
      <c r="X9" s="14" t="s">
        <v>78</v>
      </c>
      <c r="Y9" s="18">
        <v>5</v>
      </c>
      <c r="Z9" s="14" t="s">
        <v>75</v>
      </c>
      <c r="AA9" s="14"/>
      <c r="AB9" s="18">
        <v>22</v>
      </c>
      <c r="AC9" s="14" t="s">
        <v>75</v>
      </c>
      <c r="AD9" s="14" t="s">
        <v>75</v>
      </c>
      <c r="AE9" s="14" t="s">
        <v>75</v>
      </c>
      <c r="AF9" s="23">
        <v>140000</v>
      </c>
      <c r="AG9" s="16">
        <v>43646</v>
      </c>
      <c r="AH9" s="19"/>
      <c r="AI9" s="19"/>
      <c r="AJ9" s="20" t="str">
        <f t="shared" si="0"/>
        <v/>
      </c>
      <c r="AK9" s="21">
        <f>IF(B9="","",OR(K9="Not in use",K9="Low use")+AND(N9&lt;&gt;"",N9&lt;&gt;"TBD")+AND(ISNUMBER(U9),U9&lt;=EDATE('Scoring Settings'!$B$4,'Scoring Settings'!$B$8))+AND(ISNUMBER(L9),L9&lt;='Scoring Settings'!$B$7))</f>
        <v>0</v>
      </c>
      <c r="AL9" s="17" t="str">
        <f>IF(B9="","",IF(K9="Not in use","Priority – Not in use",IF(AK9&gt;='Scoring Settings'!$B$9,"Decommission",IF(AK9=1,"Review","Retain"))))</f>
        <v>Retain</v>
      </c>
      <c r="AM9" s="17" t="str">
        <f>IF(B9="","",IF(Z9="N","Easy",IF(OR(AND(ISNUMBER(AB9),AB9&gt;'Scoring Settings'!$B$11),AND(ISNUMBER(W9),W9&gt;'Scoring Settings'!$B$12),AND(ISNUMBER(M9),M9&lt;='Scoring Settings'!$B$13)),"High","Medium")))</f>
        <v>High</v>
      </c>
      <c r="AN9" s="14"/>
      <c r="AO9" s="16"/>
      <c r="AP9" s="14" t="s">
        <v>120</v>
      </c>
      <c r="AQ9" s="22" t="s">
        <v>121</v>
      </c>
    </row>
    <row r="10" spans="1:43" ht="42.75">
      <c r="A10" s="14"/>
      <c r="B10" s="14" t="s">
        <v>122</v>
      </c>
      <c r="C10" s="14" t="s">
        <v>123</v>
      </c>
      <c r="D10" s="14" t="s">
        <v>124</v>
      </c>
      <c r="E10" s="14" t="s">
        <v>67</v>
      </c>
      <c r="F10" s="14"/>
      <c r="G10" s="14"/>
      <c r="H10" s="14"/>
      <c r="I10" s="15">
        <v>5</v>
      </c>
      <c r="J10" s="16">
        <v>42719</v>
      </c>
      <c r="K10" s="17" t="str">
        <f>IF(B10="","",IF(AND(I10="",J10=""),"Unknown",IF(OR(AND(ISNUMBER(I10),I10=0),AND(ISNUMBER(J10),J10&lt;=EDATE('Scoring Settings'!$B$4,-'Scoring Settings'!$B$5))),"Not in use",IF(AND(ISNUMBER(I10),I10&lt;'Scoring Settings'!$B$6),"Low use","Active"))))</f>
        <v>Low use</v>
      </c>
      <c r="L10" s="14">
        <v>1</v>
      </c>
      <c r="M10" s="14">
        <v>2</v>
      </c>
      <c r="N10" s="14" t="s">
        <v>125</v>
      </c>
      <c r="O10" s="14" t="s">
        <v>126</v>
      </c>
      <c r="P10" s="14" t="s">
        <v>127</v>
      </c>
      <c r="Q10" s="18">
        <v>0</v>
      </c>
      <c r="R10" s="14" t="s">
        <v>128</v>
      </c>
      <c r="S10" s="14" t="s">
        <v>128</v>
      </c>
      <c r="T10" s="14" t="s">
        <v>129</v>
      </c>
      <c r="U10" s="16">
        <v>43100</v>
      </c>
      <c r="V10" s="14" t="s">
        <v>74</v>
      </c>
      <c r="W10" s="15">
        <v>300</v>
      </c>
      <c r="X10" s="14" t="s">
        <v>75</v>
      </c>
      <c r="Y10" s="18">
        <v>10</v>
      </c>
      <c r="Z10" s="14" t="s">
        <v>75</v>
      </c>
      <c r="AA10" s="14" t="s">
        <v>89</v>
      </c>
      <c r="AB10" s="18">
        <v>4</v>
      </c>
      <c r="AC10" s="14" t="s">
        <v>75</v>
      </c>
      <c r="AD10" s="14" t="s">
        <v>78</v>
      </c>
      <c r="AE10" s="14" t="s">
        <v>77</v>
      </c>
      <c r="AF10" s="19">
        <v>45000</v>
      </c>
      <c r="AG10" s="16">
        <v>42825</v>
      </c>
      <c r="AH10" s="19">
        <v>55000</v>
      </c>
      <c r="AI10" s="23">
        <v>40000</v>
      </c>
      <c r="AJ10" s="20">
        <f t="shared" si="0"/>
        <v>16.5</v>
      </c>
      <c r="AK10" s="21">
        <f>IF(B10="","",OR(K10="Not in use",K10="Low use")+AND(N10&lt;&gt;"",N10&lt;&gt;"TBD")+AND(ISNUMBER(U10),U10&lt;=EDATE('Scoring Settings'!$B$4,'Scoring Settings'!$B$8))+AND(ISNUMBER(L10),L10&lt;='Scoring Settings'!$B$7))</f>
        <v>4</v>
      </c>
      <c r="AL10" s="17" t="str">
        <f>IF(B10="","",IF(K10="Not in use","Priority – Not in use",IF(AK10&gt;='Scoring Settings'!$B$9,"Decommission",IF(AK10=1,"Review","Retain"))))</f>
        <v>Decommission</v>
      </c>
      <c r="AM10" s="17" t="str">
        <f>IF(B10="","",IF(Z10="N","Easy",IF(OR(AND(ISNUMBER(AB10),AB10&gt;'Scoring Settings'!$B$11),AND(ISNUMBER(W10),W10&gt;'Scoring Settings'!$B$12),AND(ISNUMBER(M10),M10&lt;='Scoring Settings'!$B$13)),"High","Medium")))</f>
        <v>High</v>
      </c>
      <c r="AN10" s="14" t="s">
        <v>130</v>
      </c>
      <c r="AO10" s="16">
        <v>43008</v>
      </c>
      <c r="AP10" s="14" t="s">
        <v>80</v>
      </c>
      <c r="AQ10" s="22" t="s">
        <v>131</v>
      </c>
    </row>
    <row r="11" spans="1:43">
      <c r="A11" s="14"/>
      <c r="B11" s="14" t="s">
        <v>132</v>
      </c>
      <c r="C11" s="14" t="s">
        <v>133</v>
      </c>
      <c r="D11" s="14" t="s">
        <v>134</v>
      </c>
      <c r="E11" s="14" t="s">
        <v>135</v>
      </c>
      <c r="F11" s="14"/>
      <c r="G11" s="14"/>
      <c r="H11" s="14"/>
      <c r="I11" s="15">
        <v>8</v>
      </c>
      <c r="J11" s="16">
        <v>42705</v>
      </c>
      <c r="K11" s="17" t="str">
        <f>IF(B11="","",IF(AND(I11="",J11=""),"Unknown",IF(OR(AND(ISNUMBER(I11),I11=0),AND(ISNUMBER(J11),J11&lt;=EDATE('Scoring Settings'!$B$4,-'Scoring Settings'!$B$5))),"Not in use",IF(AND(ISNUMBER(I11),I11&lt;'Scoring Settings'!$B$6),"Low use","Active"))))</f>
        <v>Low use</v>
      </c>
      <c r="L11" s="14">
        <v>2</v>
      </c>
      <c r="M11" s="14">
        <v>3</v>
      </c>
      <c r="N11" s="14" t="s">
        <v>136</v>
      </c>
      <c r="O11" s="14" t="s">
        <v>116</v>
      </c>
      <c r="P11" s="14" t="s">
        <v>137</v>
      </c>
      <c r="Q11" s="18">
        <v>2</v>
      </c>
      <c r="R11" s="14" t="s">
        <v>138</v>
      </c>
      <c r="S11" s="14" t="s">
        <v>139</v>
      </c>
      <c r="T11" s="14" t="s">
        <v>119</v>
      </c>
      <c r="U11" s="16">
        <v>42853</v>
      </c>
      <c r="V11" s="14" t="s">
        <v>74</v>
      </c>
      <c r="W11" s="15">
        <v>90</v>
      </c>
      <c r="X11" s="14" t="s">
        <v>75</v>
      </c>
      <c r="Y11" s="18">
        <v>3</v>
      </c>
      <c r="Z11" s="14" t="s">
        <v>78</v>
      </c>
      <c r="AA11" s="14" t="s">
        <v>102</v>
      </c>
      <c r="AB11" s="18">
        <v>3</v>
      </c>
      <c r="AC11" s="14" t="s">
        <v>77</v>
      </c>
      <c r="AD11" s="14" t="s">
        <v>78</v>
      </c>
      <c r="AE11" s="14" t="s">
        <v>78</v>
      </c>
      <c r="AF11" s="19">
        <v>22000</v>
      </c>
      <c r="AG11" s="16">
        <v>42916</v>
      </c>
      <c r="AH11" s="19">
        <v>26000</v>
      </c>
      <c r="AI11" s="19">
        <v>20000</v>
      </c>
      <c r="AJ11" s="20">
        <f t="shared" si="0"/>
        <v>15.600000000000001</v>
      </c>
      <c r="AK11" s="21">
        <f>IF(B11="","",OR(K11="Not in use",K11="Low use")+AND(N11&lt;&gt;"",N11&lt;&gt;"TBD")+AND(ISNUMBER(U11),U11&lt;=EDATE('Scoring Settings'!$B$4,'Scoring Settings'!$B$8))+AND(ISNUMBER(L11),L11&lt;='Scoring Settings'!$B$7))</f>
        <v>4</v>
      </c>
      <c r="AL11" s="17" t="str">
        <f>IF(B11="","",IF(K11="Not in use","Priority – Not in use",IF(AK11&gt;='Scoring Settings'!$B$9,"Decommission",IF(AK11=1,"Review","Retain"))))</f>
        <v>Decommission</v>
      </c>
      <c r="AM11" s="17" t="str">
        <f>IF(B11="","",IF(Z11="N","Easy",IF(OR(AND(ISNUMBER(AB11),AB11&gt;'Scoring Settings'!$B$11),AND(ISNUMBER(W11),W11&gt;'Scoring Settings'!$B$12),AND(ISNUMBER(M11),M11&lt;='Scoring Settings'!$B$13)),"High","Medium")))</f>
        <v>Easy</v>
      </c>
      <c r="AN11" s="14" t="s">
        <v>79</v>
      </c>
      <c r="AO11" s="16">
        <v>42916</v>
      </c>
      <c r="AP11" s="14" t="s">
        <v>111</v>
      </c>
      <c r="AQ11" s="22" t="s">
        <v>140</v>
      </c>
    </row>
    <row r="12" spans="1:43">
      <c r="A12" s="14"/>
      <c r="B12" s="14" t="s">
        <v>141</v>
      </c>
      <c r="C12" s="14" t="s">
        <v>142</v>
      </c>
      <c r="D12" s="14" t="s">
        <v>143</v>
      </c>
      <c r="E12" s="14" t="s">
        <v>67</v>
      </c>
      <c r="F12" s="14"/>
      <c r="G12" s="14"/>
      <c r="H12" s="14"/>
      <c r="I12" s="15">
        <v>180</v>
      </c>
      <c r="J12" s="16">
        <v>42734</v>
      </c>
      <c r="K12" s="17" t="str">
        <f>IF(B12="","",IF(AND(I12="",J12=""),"Unknown",IF(OR(AND(ISNUMBER(I12),I12=0),AND(ISNUMBER(J12),J12&lt;=EDATE('Scoring Settings'!$B$4,-'Scoring Settings'!$B$5))),"Not in use",IF(AND(ISNUMBER(I12),I12&lt;'Scoring Settings'!$B$6),"Low use","Active"))))</f>
        <v>Active</v>
      </c>
      <c r="L12" s="14">
        <v>3</v>
      </c>
      <c r="M12" s="14">
        <v>2</v>
      </c>
      <c r="N12" s="14" t="s">
        <v>144</v>
      </c>
      <c r="O12" s="14" t="s">
        <v>69</v>
      </c>
      <c r="P12" s="14" t="s">
        <v>145</v>
      </c>
      <c r="Q12" s="18">
        <v>2</v>
      </c>
      <c r="R12" s="14" t="s">
        <v>71</v>
      </c>
      <c r="S12" s="14" t="s">
        <v>146</v>
      </c>
      <c r="T12" s="14" t="s">
        <v>147</v>
      </c>
      <c r="U12" s="16">
        <v>43655</v>
      </c>
      <c r="V12" s="14" t="s">
        <v>148</v>
      </c>
      <c r="W12" s="15">
        <v>250</v>
      </c>
      <c r="X12" s="14" t="s">
        <v>78</v>
      </c>
      <c r="Y12" s="18">
        <v>7</v>
      </c>
      <c r="Z12" s="14" t="s">
        <v>75</v>
      </c>
      <c r="AA12" s="14" t="s">
        <v>76</v>
      </c>
      <c r="AB12" s="18">
        <v>12</v>
      </c>
      <c r="AC12" s="14" t="s">
        <v>75</v>
      </c>
      <c r="AD12" s="14" t="s">
        <v>77</v>
      </c>
      <c r="AE12" s="14" t="s">
        <v>77</v>
      </c>
      <c r="AF12" s="19">
        <v>75000</v>
      </c>
      <c r="AG12" s="16">
        <v>43373</v>
      </c>
      <c r="AH12" s="19">
        <v>120000</v>
      </c>
      <c r="AI12" s="19">
        <v>55000</v>
      </c>
      <c r="AJ12" s="20">
        <f t="shared" si="0"/>
        <v>26.18181818181818</v>
      </c>
      <c r="AK12" s="21">
        <f>IF(B12="","",OR(K12="Not in use",K12="Low use")+AND(N12&lt;&gt;"",N12&lt;&gt;"TBD")+AND(ISNUMBER(U12),U12&lt;=EDATE('Scoring Settings'!$B$4,'Scoring Settings'!$B$8))+AND(ISNUMBER(L12),L12&lt;='Scoring Settings'!$B$7))</f>
        <v>1</v>
      </c>
      <c r="AL12" s="17" t="str">
        <f>IF(B12="","",IF(K12="Not in use","Priority – Not in use",IF(AK12&gt;='Scoring Settings'!$B$9,"Decommission",IF(AK12=1,"Review","Retain"))))</f>
        <v>Review</v>
      </c>
      <c r="AM12" s="17" t="str">
        <f>IF(B12="","",IF(Z12="N","Easy",IF(OR(AND(ISNUMBER(AB12),AB12&gt;'Scoring Settings'!$B$11),AND(ISNUMBER(W12),W12&gt;'Scoring Settings'!$B$12),AND(ISNUMBER(M12),M12&lt;='Scoring Settings'!$B$13)),"High","Medium")))</f>
        <v>High</v>
      </c>
      <c r="AN12" s="14" t="s">
        <v>149</v>
      </c>
      <c r="AO12" s="16" t="s">
        <v>91</v>
      </c>
      <c r="AP12" s="14" t="s">
        <v>92</v>
      </c>
      <c r="AQ12" s="22" t="s">
        <v>150</v>
      </c>
    </row>
    <row r="13" spans="1:43" ht="28.5">
      <c r="A13" s="14"/>
      <c r="B13" s="14" t="s">
        <v>151</v>
      </c>
      <c r="C13" s="14" t="s">
        <v>152</v>
      </c>
      <c r="D13" s="14" t="s">
        <v>66</v>
      </c>
      <c r="E13" s="14" t="s">
        <v>67</v>
      </c>
      <c r="F13" s="14"/>
      <c r="G13" s="14"/>
      <c r="H13" s="14"/>
      <c r="I13" s="15">
        <v>15</v>
      </c>
      <c r="J13" s="16">
        <v>42704</v>
      </c>
      <c r="K13" s="17" t="str">
        <f>IF(B13="","",IF(AND(I13="",J13=""),"Unknown",IF(OR(AND(ISNUMBER(I13),I13=0),AND(ISNUMBER(J13),J13&lt;=EDATE('Scoring Settings'!$B$4,-'Scoring Settings'!$B$5))),"Not in use",IF(AND(ISNUMBER(I13),I13&lt;'Scoring Settings'!$B$6),"Low use","Active"))))</f>
        <v>Low use</v>
      </c>
      <c r="L13" s="14">
        <v>2</v>
      </c>
      <c r="M13" s="14">
        <v>3</v>
      </c>
      <c r="N13" s="14" t="s">
        <v>153</v>
      </c>
      <c r="O13" s="14" t="s">
        <v>69</v>
      </c>
      <c r="P13" s="14" t="s">
        <v>154</v>
      </c>
      <c r="Q13" s="18">
        <v>3</v>
      </c>
      <c r="R13" s="14" t="s">
        <v>155</v>
      </c>
      <c r="S13" s="14" t="s">
        <v>88</v>
      </c>
      <c r="T13" s="14" t="s">
        <v>91</v>
      </c>
      <c r="U13" s="16">
        <v>42825</v>
      </c>
      <c r="V13" s="14" t="s">
        <v>101</v>
      </c>
      <c r="W13" s="15">
        <v>2000</v>
      </c>
      <c r="X13" s="14" t="s">
        <v>75</v>
      </c>
      <c r="Y13" s="18">
        <v>10</v>
      </c>
      <c r="Z13" s="14" t="s">
        <v>75</v>
      </c>
      <c r="AA13" s="14" t="s">
        <v>156</v>
      </c>
      <c r="AB13" s="18">
        <v>2</v>
      </c>
      <c r="AC13" s="14" t="s">
        <v>77</v>
      </c>
      <c r="AD13" s="14" t="s">
        <v>77</v>
      </c>
      <c r="AE13" s="14" t="s">
        <v>78</v>
      </c>
      <c r="AF13" s="19">
        <v>35000</v>
      </c>
      <c r="AG13" s="16">
        <v>43281</v>
      </c>
      <c r="AH13" s="23">
        <v>45000</v>
      </c>
      <c r="AI13" s="19">
        <v>32000</v>
      </c>
      <c r="AJ13" s="20">
        <f t="shared" si="0"/>
        <v>16.875</v>
      </c>
      <c r="AK13" s="21">
        <f>IF(B13="","",OR(K13="Not in use",K13="Low use")+AND(N13&lt;&gt;"",N13&lt;&gt;"TBD")+AND(ISNUMBER(U13),U13&lt;=EDATE('Scoring Settings'!$B$4,'Scoring Settings'!$B$8))+AND(ISNUMBER(L13),L13&lt;='Scoring Settings'!$B$7))</f>
        <v>4</v>
      </c>
      <c r="AL13" s="17" t="str">
        <f>IF(B13="","",IF(K13="Not in use","Priority – Not in use",IF(AK13&gt;='Scoring Settings'!$B$9,"Decommission",IF(AK13=1,"Review","Retain"))))</f>
        <v>Decommission</v>
      </c>
      <c r="AM13" s="17" t="str">
        <f>IF(B13="","",IF(Z13="N","Easy",IF(OR(AND(ISNUMBER(AB13),AB13&gt;'Scoring Settings'!$B$11),AND(ISNUMBER(W13),W13&gt;'Scoring Settings'!$B$12),AND(ISNUMBER(M13),M13&lt;='Scoring Settings'!$B$13)),"High","Medium")))</f>
        <v>High</v>
      </c>
      <c r="AN13" s="14" t="s">
        <v>130</v>
      </c>
      <c r="AO13" s="16">
        <v>43100</v>
      </c>
      <c r="AP13" s="14" t="s">
        <v>111</v>
      </c>
      <c r="AQ13" s="22" t="s">
        <v>157</v>
      </c>
    </row>
    <row r="14" spans="1:43">
      <c r="A14" s="14"/>
      <c r="B14" s="14" t="s">
        <v>158</v>
      </c>
      <c r="C14" s="14" t="s">
        <v>159</v>
      </c>
      <c r="D14" s="14" t="s">
        <v>124</v>
      </c>
      <c r="E14" s="14" t="s">
        <v>67</v>
      </c>
      <c r="F14" s="14"/>
      <c r="G14" s="14"/>
      <c r="H14" s="14"/>
      <c r="I14" s="15">
        <v>90</v>
      </c>
      <c r="J14" s="16">
        <v>42733</v>
      </c>
      <c r="K14" s="17" t="str">
        <f>IF(B14="","",IF(AND(I14="",J14=""),"Unknown",IF(OR(AND(ISNUMBER(I14),I14=0),AND(ISNUMBER(J14),J14&lt;=EDATE('Scoring Settings'!$B$4,-'Scoring Settings'!$B$5))),"Not in use",IF(AND(ISNUMBER(I14),I14&lt;'Scoring Settings'!$B$6),"Low use","Active"))))</f>
        <v>Active</v>
      </c>
      <c r="L14" s="14">
        <v>3</v>
      </c>
      <c r="M14" s="14">
        <v>4</v>
      </c>
      <c r="N14" s="14"/>
      <c r="O14" s="14" t="s">
        <v>160</v>
      </c>
      <c r="P14" s="14" t="s">
        <v>161</v>
      </c>
      <c r="Q14" s="18">
        <v>0</v>
      </c>
      <c r="R14" s="14" t="s">
        <v>162</v>
      </c>
      <c r="S14" s="14" t="s">
        <v>163</v>
      </c>
      <c r="T14" s="14" t="s">
        <v>164</v>
      </c>
      <c r="U14" s="16"/>
      <c r="V14" s="14" t="s">
        <v>74</v>
      </c>
      <c r="W14" s="15">
        <v>5</v>
      </c>
      <c r="X14" s="14" t="s">
        <v>78</v>
      </c>
      <c r="Y14" s="18">
        <v>2</v>
      </c>
      <c r="Z14" s="14" t="s">
        <v>78</v>
      </c>
      <c r="AA14" s="14" t="s">
        <v>102</v>
      </c>
      <c r="AB14" s="18">
        <v>1</v>
      </c>
      <c r="AC14" s="14" t="s">
        <v>75</v>
      </c>
      <c r="AD14" s="14" t="s">
        <v>75</v>
      </c>
      <c r="AE14" s="14" t="s">
        <v>75</v>
      </c>
      <c r="AF14" s="19">
        <v>2500</v>
      </c>
      <c r="AG14" s="16" t="s">
        <v>91</v>
      </c>
      <c r="AH14" s="19">
        <v>1500</v>
      </c>
      <c r="AI14" s="19">
        <v>2500</v>
      </c>
      <c r="AJ14" s="20">
        <f t="shared" si="0"/>
        <v>7.1999999999999993</v>
      </c>
      <c r="AK14" s="21">
        <f>IF(B14="","",OR(K14="Not in use",K14="Low use")+AND(N14&lt;&gt;"",N14&lt;&gt;"TBD")+AND(ISNUMBER(U14),U14&lt;=EDATE('Scoring Settings'!$B$4,'Scoring Settings'!$B$8))+AND(ISNUMBER(L14),L14&lt;='Scoring Settings'!$B$7))</f>
        <v>0</v>
      </c>
      <c r="AL14" s="17" t="str">
        <f>IF(B14="","",IF(K14="Not in use","Priority – Not in use",IF(AK14&gt;='Scoring Settings'!$B$9,"Decommission",IF(AK14=1,"Review","Retain"))))</f>
        <v>Retain</v>
      </c>
      <c r="AM14" s="17" t="str">
        <f>IF(B14="","",IF(Z14="N","Easy",IF(OR(AND(ISNUMBER(AB14),AB14&gt;'Scoring Settings'!$B$11),AND(ISNUMBER(W14),W14&gt;'Scoring Settings'!$B$12),AND(ISNUMBER(M14),M14&lt;='Scoring Settings'!$B$13)),"High","Medium")))</f>
        <v>Easy</v>
      </c>
      <c r="AN14" s="14"/>
      <c r="AO14" s="16"/>
      <c r="AP14" s="14" t="s">
        <v>120</v>
      </c>
      <c r="AQ14" s="22" t="s">
        <v>165</v>
      </c>
    </row>
    <row r="15" spans="1:43">
      <c r="A15" s="14"/>
      <c r="B15" s="14"/>
      <c r="C15" s="14"/>
      <c r="D15" s="14"/>
      <c r="E15" s="14"/>
      <c r="F15" s="14"/>
      <c r="G15" s="14"/>
      <c r="H15" s="14"/>
      <c r="I15" s="15"/>
      <c r="J15" s="16"/>
      <c r="K15" s="17" t="str">
        <f>IF(B15="","",IF(AND(I15="",J15=""),"Unknown",IF(OR(AND(ISNUMBER(I15),I15=0),AND(ISNUMBER(J15),J15&lt;=EDATE('Scoring Settings'!$B$4,-'Scoring Settings'!$B$5))),"Not in use",IF(AND(ISNUMBER(I15),I15&lt;'Scoring Settings'!$B$6),"Low use","Active"))))</f>
        <v/>
      </c>
      <c r="L15" s="14"/>
      <c r="M15" s="14"/>
      <c r="N15" s="14"/>
      <c r="O15" s="14"/>
      <c r="P15" s="14"/>
      <c r="Q15" s="18"/>
      <c r="R15" s="14"/>
      <c r="S15" s="14"/>
      <c r="T15" s="14"/>
      <c r="U15" s="16"/>
      <c r="V15" s="14"/>
      <c r="W15" s="15"/>
      <c r="X15" s="14"/>
      <c r="Y15" s="18"/>
      <c r="Z15" s="14"/>
      <c r="AA15" s="14"/>
      <c r="AB15" s="18"/>
      <c r="AC15" s="14"/>
      <c r="AD15" s="14"/>
      <c r="AE15" s="14"/>
      <c r="AF15" s="19"/>
      <c r="AG15" s="16"/>
      <c r="AH15" s="19"/>
      <c r="AI15" s="19"/>
      <c r="AJ15" s="20" t="str">
        <f t="shared" si="0"/>
        <v/>
      </c>
      <c r="AK15" s="21" t="str">
        <f>IF(B15="","",OR(K15="Not in use",K15="Low use")+AND(N15&lt;&gt;"",N15&lt;&gt;"TBD")+AND(ISNUMBER(U15),U15&lt;=EDATE('Scoring Settings'!$B$4,'Scoring Settings'!$B$8))+AND(ISNUMBER(L15),L15&lt;='Scoring Settings'!$B$7))</f>
        <v/>
      </c>
      <c r="AL15" s="17" t="str">
        <f>IF(B15="","",IF(K15="Not in use","Priority – Not in use",IF(AK15&gt;='Scoring Settings'!$B$9,"Decommission",IF(AK15=1,"Review","Retain"))))</f>
        <v/>
      </c>
      <c r="AM15" s="17" t="str">
        <f>IF(B15="","",IF(Z15="N","Easy",IF(OR(AND(ISNUMBER(AB15),AB15&gt;'Scoring Settings'!$B$11),AND(ISNUMBER(W15),W15&gt;'Scoring Settings'!$B$12),AND(ISNUMBER(M15),M15&lt;='Scoring Settings'!$B$13)),"High","Medium")))</f>
        <v/>
      </c>
      <c r="AN15" s="14"/>
      <c r="AO15" s="16"/>
      <c r="AP15" s="14"/>
      <c r="AQ15" s="22"/>
    </row>
    <row r="16" spans="1:43">
      <c r="A16" s="14"/>
      <c r="B16" s="14"/>
      <c r="C16" s="14"/>
      <c r="D16" s="14"/>
      <c r="E16" s="14"/>
      <c r="F16" s="14"/>
      <c r="G16" s="14"/>
      <c r="H16" s="14"/>
      <c r="I16" s="15"/>
      <c r="J16" s="16"/>
      <c r="K16" s="17" t="str">
        <f>IF(B16="","",IF(AND(I16="",J16=""),"Unknown",IF(OR(AND(ISNUMBER(I16),I16=0),AND(ISNUMBER(J16),J16&lt;=EDATE('Scoring Settings'!$B$4,-'Scoring Settings'!$B$5))),"Not in use",IF(AND(ISNUMBER(I16),I16&lt;'Scoring Settings'!$B$6),"Low use","Active"))))</f>
        <v/>
      </c>
      <c r="L16" s="14"/>
      <c r="M16" s="14"/>
      <c r="N16" s="14"/>
      <c r="O16" s="14"/>
      <c r="P16" s="14"/>
      <c r="Q16" s="18"/>
      <c r="R16" s="14"/>
      <c r="S16" s="14"/>
      <c r="T16" s="14"/>
      <c r="U16" s="16"/>
      <c r="V16" s="14"/>
      <c r="W16" s="15"/>
      <c r="X16" s="14"/>
      <c r="Y16" s="18"/>
      <c r="Z16" s="14"/>
      <c r="AA16" s="14"/>
      <c r="AB16" s="18"/>
      <c r="AC16" s="14"/>
      <c r="AD16" s="14"/>
      <c r="AE16" s="14"/>
      <c r="AF16" s="19"/>
      <c r="AG16" s="16"/>
      <c r="AH16" s="19"/>
      <c r="AI16" s="19"/>
      <c r="AJ16" s="20" t="str">
        <f t="shared" si="0"/>
        <v/>
      </c>
      <c r="AK16" s="21" t="str">
        <f>IF(B16="","",OR(K16="Not in use",K16="Low use")+AND(N16&lt;&gt;"",N16&lt;&gt;"TBD")+AND(ISNUMBER(U16),U16&lt;=EDATE('Scoring Settings'!$B$4,'Scoring Settings'!$B$8))+AND(ISNUMBER(L16),L16&lt;='Scoring Settings'!$B$7))</f>
        <v/>
      </c>
      <c r="AL16" s="17" t="str">
        <f>IF(B16="","",IF(K16="Not in use","Priority – Not in use",IF(AK16&gt;='Scoring Settings'!$B$9,"Decommission",IF(AK16=1,"Review","Retain"))))</f>
        <v/>
      </c>
      <c r="AM16" s="17" t="str">
        <f>IF(B16="","",IF(Z16="N","Easy",IF(OR(AND(ISNUMBER(AB16),AB16&gt;'Scoring Settings'!$B$11),AND(ISNUMBER(W16),W16&gt;'Scoring Settings'!$B$12),AND(ISNUMBER(M16),M16&lt;='Scoring Settings'!$B$13)),"High","Medium")))</f>
        <v/>
      </c>
      <c r="AN16" s="14"/>
      <c r="AO16" s="16"/>
      <c r="AP16" s="14"/>
      <c r="AQ16" s="22"/>
    </row>
    <row r="17" spans="1:43">
      <c r="A17" s="14"/>
      <c r="B17" s="14"/>
      <c r="C17" s="14"/>
      <c r="D17" s="14"/>
      <c r="E17" s="14"/>
      <c r="F17" s="14"/>
      <c r="G17" s="14"/>
      <c r="H17" s="14"/>
      <c r="I17" s="15"/>
      <c r="J17" s="16"/>
      <c r="K17" s="17" t="str">
        <f>IF(B17="","",IF(AND(I17="",J17=""),"Unknown",IF(OR(AND(ISNUMBER(I17),I17=0),AND(ISNUMBER(J17),J17&lt;=EDATE('Scoring Settings'!$B$4,-'Scoring Settings'!$B$5))),"Not in use",IF(AND(ISNUMBER(I17),I17&lt;'Scoring Settings'!$B$6),"Low use","Active"))))</f>
        <v/>
      </c>
      <c r="L17" s="14"/>
      <c r="M17" s="14"/>
      <c r="N17" s="14"/>
      <c r="O17" s="14"/>
      <c r="P17" s="14"/>
      <c r="Q17" s="18"/>
      <c r="R17" s="14"/>
      <c r="S17" s="14"/>
      <c r="T17" s="14"/>
      <c r="U17" s="16"/>
      <c r="V17" s="14"/>
      <c r="W17" s="15"/>
      <c r="X17" s="14"/>
      <c r="Y17" s="18"/>
      <c r="Z17" s="14"/>
      <c r="AA17" s="14"/>
      <c r="AB17" s="18"/>
      <c r="AC17" s="14"/>
      <c r="AD17" s="14"/>
      <c r="AE17" s="14"/>
      <c r="AF17" s="19"/>
      <c r="AG17" s="16"/>
      <c r="AH17" s="19"/>
      <c r="AI17" s="19"/>
      <c r="AJ17" s="20" t="str">
        <f t="shared" si="0"/>
        <v/>
      </c>
      <c r="AK17" s="21" t="str">
        <f>IF(B17="","",OR(K17="Not in use",K17="Low use")+AND(N17&lt;&gt;"",N17&lt;&gt;"TBD")+AND(ISNUMBER(U17),U17&lt;=EDATE('Scoring Settings'!$B$4,'Scoring Settings'!$B$8))+AND(ISNUMBER(L17),L17&lt;='Scoring Settings'!$B$7))</f>
        <v/>
      </c>
      <c r="AL17" s="17" t="str">
        <f>IF(B17="","",IF(K17="Not in use","Priority – Not in use",IF(AK17&gt;='Scoring Settings'!$B$9,"Decommission",IF(AK17=1,"Review","Retain"))))</f>
        <v/>
      </c>
      <c r="AM17" s="17" t="str">
        <f>IF(B17="","",IF(Z17="N","Easy",IF(OR(AND(ISNUMBER(AB17),AB17&gt;'Scoring Settings'!$B$11),AND(ISNUMBER(W17),W17&gt;'Scoring Settings'!$B$12),AND(ISNUMBER(M17),M17&lt;='Scoring Settings'!$B$13)),"High","Medium")))</f>
        <v/>
      </c>
      <c r="AN17" s="14"/>
      <c r="AO17" s="16"/>
      <c r="AP17" s="14"/>
      <c r="AQ17" s="22"/>
    </row>
    <row r="18" spans="1:43">
      <c r="A18" s="14"/>
      <c r="B18" s="14"/>
      <c r="C18" s="14"/>
      <c r="D18" s="14"/>
      <c r="E18" s="14"/>
      <c r="F18" s="14"/>
      <c r="G18" s="14"/>
      <c r="H18" s="14"/>
      <c r="I18" s="15"/>
      <c r="J18" s="16"/>
      <c r="K18" s="17" t="str">
        <f>IF(B18="","",IF(AND(I18="",J18=""),"Unknown",IF(OR(AND(ISNUMBER(I18),I18=0),AND(ISNUMBER(J18),J18&lt;=EDATE('Scoring Settings'!$B$4,-'Scoring Settings'!$B$5))),"Not in use",IF(AND(ISNUMBER(I18),I18&lt;'Scoring Settings'!$B$6),"Low use","Active"))))</f>
        <v/>
      </c>
      <c r="L18" s="14"/>
      <c r="M18" s="14"/>
      <c r="N18" s="14"/>
      <c r="O18" s="14"/>
      <c r="P18" s="14"/>
      <c r="Q18" s="18"/>
      <c r="R18" s="14"/>
      <c r="S18" s="14"/>
      <c r="T18" s="14"/>
      <c r="U18" s="16"/>
      <c r="V18" s="14"/>
      <c r="W18" s="15"/>
      <c r="X18" s="14"/>
      <c r="Y18" s="18"/>
      <c r="Z18" s="14"/>
      <c r="AA18" s="14"/>
      <c r="AB18" s="18"/>
      <c r="AC18" s="14"/>
      <c r="AD18" s="14"/>
      <c r="AE18" s="14"/>
      <c r="AF18" s="19"/>
      <c r="AG18" s="16"/>
      <c r="AH18" s="19"/>
      <c r="AI18" s="19"/>
      <c r="AJ18" s="20" t="str">
        <f t="shared" si="0"/>
        <v/>
      </c>
      <c r="AK18" s="21" t="str">
        <f>IF(B18="","",OR(K18="Not in use",K18="Low use")+AND(N18&lt;&gt;"",N18&lt;&gt;"TBD")+AND(ISNUMBER(U18),U18&lt;=EDATE('Scoring Settings'!$B$4,'Scoring Settings'!$B$8))+AND(ISNUMBER(L18),L18&lt;='Scoring Settings'!$B$7))</f>
        <v/>
      </c>
      <c r="AL18" s="17" t="str">
        <f>IF(B18="","",IF(K18="Not in use","Priority – Not in use",IF(AK18&gt;='Scoring Settings'!$B$9,"Decommission",IF(AK18=1,"Review","Retain"))))</f>
        <v/>
      </c>
      <c r="AM18" s="17" t="str">
        <f>IF(B18="","",IF(Z18="N","Easy",IF(OR(AND(ISNUMBER(AB18),AB18&gt;'Scoring Settings'!$B$11),AND(ISNUMBER(W18),W18&gt;'Scoring Settings'!$B$12),AND(ISNUMBER(M18),M18&lt;='Scoring Settings'!$B$13)),"High","Medium")))</f>
        <v/>
      </c>
      <c r="AN18" s="14"/>
      <c r="AO18" s="16"/>
      <c r="AP18" s="14"/>
      <c r="AQ18" s="22"/>
    </row>
    <row r="19" spans="1:43">
      <c r="A19" s="14"/>
      <c r="B19" s="14"/>
      <c r="C19" s="14"/>
      <c r="D19" s="14"/>
      <c r="E19" s="14"/>
      <c r="F19" s="14"/>
      <c r="G19" s="14"/>
      <c r="H19" s="14"/>
      <c r="I19" s="15"/>
      <c r="J19" s="16"/>
      <c r="K19" s="17" t="str">
        <f>IF(B19="","",IF(AND(I19="",J19=""),"Unknown",IF(OR(AND(ISNUMBER(I19),I19=0),AND(ISNUMBER(J19),J19&lt;=EDATE('Scoring Settings'!$B$4,-'Scoring Settings'!$B$5))),"Not in use",IF(AND(ISNUMBER(I19),I19&lt;'Scoring Settings'!$B$6),"Low use","Active"))))</f>
        <v/>
      </c>
      <c r="L19" s="14"/>
      <c r="M19" s="14"/>
      <c r="N19" s="14"/>
      <c r="O19" s="14"/>
      <c r="P19" s="14"/>
      <c r="Q19" s="18"/>
      <c r="R19" s="14"/>
      <c r="S19" s="14"/>
      <c r="T19" s="14"/>
      <c r="U19" s="16"/>
      <c r="V19" s="14"/>
      <c r="W19" s="15"/>
      <c r="X19" s="14"/>
      <c r="Y19" s="18"/>
      <c r="Z19" s="14"/>
      <c r="AA19" s="14"/>
      <c r="AB19" s="18"/>
      <c r="AC19" s="14"/>
      <c r="AD19" s="14"/>
      <c r="AE19" s="14"/>
      <c r="AF19" s="19"/>
      <c r="AG19" s="16"/>
      <c r="AH19" s="19"/>
      <c r="AI19" s="19"/>
      <c r="AJ19" s="20" t="str">
        <f t="shared" si="0"/>
        <v/>
      </c>
      <c r="AK19" s="21" t="str">
        <f>IF(B19="","",OR(K19="Not in use",K19="Low use")+AND(N19&lt;&gt;"",N19&lt;&gt;"TBD")+AND(ISNUMBER(U19),U19&lt;=EDATE('Scoring Settings'!$B$4,'Scoring Settings'!$B$8))+AND(ISNUMBER(L19),L19&lt;='Scoring Settings'!$B$7))</f>
        <v/>
      </c>
      <c r="AL19" s="17" t="str">
        <f>IF(B19="","",IF(K19="Not in use","Priority – Not in use",IF(AK19&gt;='Scoring Settings'!$B$9,"Decommission",IF(AK19=1,"Review","Retain"))))</f>
        <v/>
      </c>
      <c r="AM19" s="17" t="str">
        <f>IF(B19="","",IF(Z19="N","Easy",IF(OR(AND(ISNUMBER(AB19),AB19&gt;'Scoring Settings'!$B$11),AND(ISNUMBER(W19),W19&gt;'Scoring Settings'!$B$12),AND(ISNUMBER(M19),M19&lt;='Scoring Settings'!$B$13)),"High","Medium")))</f>
        <v/>
      </c>
      <c r="AN19" s="14"/>
      <c r="AO19" s="16"/>
      <c r="AP19" s="14"/>
      <c r="AQ19" s="22"/>
    </row>
    <row r="20" spans="1:43">
      <c r="A20" s="14"/>
      <c r="B20" s="14"/>
      <c r="C20" s="14"/>
      <c r="D20" s="14"/>
      <c r="E20" s="14"/>
      <c r="F20" s="14"/>
      <c r="G20" s="14"/>
      <c r="H20" s="14"/>
      <c r="I20" s="15"/>
      <c r="J20" s="16"/>
      <c r="K20" s="17" t="str">
        <f>IF(B20="","",IF(AND(I20="",J20=""),"Unknown",IF(OR(AND(ISNUMBER(I20),I20=0),AND(ISNUMBER(J20),J20&lt;=EDATE('Scoring Settings'!$B$4,-'Scoring Settings'!$B$5))),"Not in use",IF(AND(ISNUMBER(I20),I20&lt;'Scoring Settings'!$B$6),"Low use","Active"))))</f>
        <v/>
      </c>
      <c r="L20" s="14"/>
      <c r="M20" s="14"/>
      <c r="N20" s="14"/>
      <c r="O20" s="14"/>
      <c r="P20" s="14"/>
      <c r="Q20" s="18"/>
      <c r="R20" s="14"/>
      <c r="S20" s="14"/>
      <c r="T20" s="14"/>
      <c r="U20" s="16"/>
      <c r="V20" s="14"/>
      <c r="W20" s="15"/>
      <c r="X20" s="14"/>
      <c r="Y20" s="18"/>
      <c r="Z20" s="14"/>
      <c r="AA20" s="14"/>
      <c r="AB20" s="18"/>
      <c r="AC20" s="14"/>
      <c r="AD20" s="14"/>
      <c r="AE20" s="14"/>
      <c r="AF20" s="19"/>
      <c r="AG20" s="16"/>
      <c r="AH20" s="19"/>
      <c r="AI20" s="19"/>
      <c r="AJ20" s="20" t="str">
        <f t="shared" si="0"/>
        <v/>
      </c>
      <c r="AK20" s="21" t="str">
        <f>IF(B20="","",OR(K20="Not in use",K20="Low use")+AND(N20&lt;&gt;"",N20&lt;&gt;"TBD")+AND(ISNUMBER(U20),U20&lt;=EDATE('Scoring Settings'!$B$4,'Scoring Settings'!$B$8))+AND(ISNUMBER(L20),L20&lt;='Scoring Settings'!$B$7))</f>
        <v/>
      </c>
      <c r="AL20" s="17" t="str">
        <f>IF(B20="","",IF(K20="Not in use","Priority – Not in use",IF(AK20&gt;='Scoring Settings'!$B$9,"Decommission",IF(AK20=1,"Review","Retain"))))</f>
        <v/>
      </c>
      <c r="AM20" s="17" t="str">
        <f>IF(B20="","",IF(Z20="N","Easy",IF(OR(AND(ISNUMBER(AB20),AB20&gt;'Scoring Settings'!$B$11),AND(ISNUMBER(W20),W20&gt;'Scoring Settings'!$B$12),AND(ISNUMBER(M20),M20&lt;='Scoring Settings'!$B$13)),"High","Medium")))</f>
        <v/>
      </c>
      <c r="AN20" s="14"/>
      <c r="AO20" s="16"/>
      <c r="AP20" s="14"/>
      <c r="AQ20" s="22"/>
    </row>
    <row r="21" spans="1:43">
      <c r="A21" s="14"/>
      <c r="B21" s="14"/>
      <c r="C21" s="14"/>
      <c r="D21" s="14"/>
      <c r="E21" s="14"/>
      <c r="F21" s="14"/>
      <c r="G21" s="14"/>
      <c r="H21" s="14"/>
      <c r="I21" s="15"/>
      <c r="J21" s="16"/>
      <c r="K21" s="17" t="str">
        <f>IF(B21="","",IF(AND(I21="",J21=""),"Unknown",IF(OR(AND(ISNUMBER(I21),I21=0),AND(ISNUMBER(J21),J21&lt;=EDATE('Scoring Settings'!$B$4,-'Scoring Settings'!$B$5))),"Not in use",IF(AND(ISNUMBER(I21),I21&lt;'Scoring Settings'!$B$6),"Low use","Active"))))</f>
        <v/>
      </c>
      <c r="L21" s="14"/>
      <c r="M21" s="14"/>
      <c r="N21" s="14"/>
      <c r="O21" s="14"/>
      <c r="P21" s="14"/>
      <c r="Q21" s="18"/>
      <c r="R21" s="14"/>
      <c r="S21" s="14"/>
      <c r="T21" s="14"/>
      <c r="U21" s="16"/>
      <c r="V21" s="14"/>
      <c r="W21" s="15"/>
      <c r="X21" s="14"/>
      <c r="Y21" s="18"/>
      <c r="Z21" s="14"/>
      <c r="AA21" s="14"/>
      <c r="AB21" s="18"/>
      <c r="AC21" s="14"/>
      <c r="AD21" s="14"/>
      <c r="AE21" s="14"/>
      <c r="AF21" s="19"/>
      <c r="AG21" s="16"/>
      <c r="AH21" s="19"/>
      <c r="AI21" s="19"/>
      <c r="AJ21" s="20" t="str">
        <f t="shared" si="0"/>
        <v/>
      </c>
      <c r="AK21" s="21" t="str">
        <f>IF(B21="","",OR(K21="Not in use",K21="Low use")+AND(N21&lt;&gt;"",N21&lt;&gt;"TBD")+AND(ISNUMBER(U21),U21&lt;=EDATE('Scoring Settings'!$B$4,'Scoring Settings'!$B$8))+AND(ISNUMBER(L21),L21&lt;='Scoring Settings'!$B$7))</f>
        <v/>
      </c>
      <c r="AL21" s="17" t="str">
        <f>IF(B21="","",IF(K21="Not in use","Priority – Not in use",IF(AK21&gt;='Scoring Settings'!$B$9,"Decommission",IF(AK21=1,"Review","Retain"))))</f>
        <v/>
      </c>
      <c r="AM21" s="17" t="str">
        <f>IF(B21="","",IF(Z21="N","Easy",IF(OR(AND(ISNUMBER(AB21),AB21&gt;'Scoring Settings'!$B$11),AND(ISNUMBER(W21),W21&gt;'Scoring Settings'!$B$12),AND(ISNUMBER(M21),M21&lt;='Scoring Settings'!$B$13)),"High","Medium")))</f>
        <v/>
      </c>
      <c r="AN21" s="14"/>
      <c r="AO21" s="16"/>
      <c r="AP21" s="14"/>
      <c r="AQ21" s="22"/>
    </row>
    <row r="22" spans="1:43">
      <c r="A22" s="14"/>
      <c r="B22" s="14"/>
      <c r="C22" s="14"/>
      <c r="D22" s="14"/>
      <c r="E22" s="14"/>
      <c r="F22" s="14"/>
      <c r="G22" s="14"/>
      <c r="H22" s="14"/>
      <c r="I22" s="15"/>
      <c r="J22" s="16"/>
      <c r="K22" s="17" t="str">
        <f>IF(B22="","",IF(AND(I22="",J22=""),"Unknown",IF(OR(AND(ISNUMBER(I22),I22=0),AND(ISNUMBER(J22),J22&lt;=EDATE('Scoring Settings'!$B$4,-'Scoring Settings'!$B$5))),"Not in use",IF(AND(ISNUMBER(I22),I22&lt;'Scoring Settings'!$B$6),"Low use","Active"))))</f>
        <v/>
      </c>
      <c r="L22" s="14"/>
      <c r="M22" s="14"/>
      <c r="N22" s="14"/>
      <c r="O22" s="14"/>
      <c r="P22" s="14"/>
      <c r="Q22" s="18"/>
      <c r="R22" s="14"/>
      <c r="S22" s="14"/>
      <c r="T22" s="14"/>
      <c r="U22" s="16"/>
      <c r="V22" s="14"/>
      <c r="W22" s="15"/>
      <c r="X22" s="14"/>
      <c r="Y22" s="18"/>
      <c r="Z22" s="14"/>
      <c r="AA22" s="14"/>
      <c r="AB22" s="18"/>
      <c r="AC22" s="14"/>
      <c r="AD22" s="14"/>
      <c r="AE22" s="14"/>
      <c r="AF22" s="19"/>
      <c r="AG22" s="16"/>
      <c r="AH22" s="19"/>
      <c r="AI22" s="19"/>
      <c r="AJ22" s="20" t="str">
        <f t="shared" si="0"/>
        <v/>
      </c>
      <c r="AK22" s="21" t="str">
        <f>IF(B22="","",OR(K22="Not in use",K22="Low use")+AND(N22&lt;&gt;"",N22&lt;&gt;"TBD")+AND(ISNUMBER(U22),U22&lt;=EDATE('Scoring Settings'!$B$4,'Scoring Settings'!$B$8))+AND(ISNUMBER(L22),L22&lt;='Scoring Settings'!$B$7))</f>
        <v/>
      </c>
      <c r="AL22" s="17" t="str">
        <f>IF(B22="","",IF(K22="Not in use","Priority – Not in use",IF(AK22&gt;='Scoring Settings'!$B$9,"Decommission",IF(AK22=1,"Review","Retain"))))</f>
        <v/>
      </c>
      <c r="AM22" s="17" t="str">
        <f>IF(B22="","",IF(Z22="N","Easy",IF(OR(AND(ISNUMBER(AB22),AB22&gt;'Scoring Settings'!$B$11),AND(ISNUMBER(W22),W22&gt;'Scoring Settings'!$B$12),AND(ISNUMBER(M22),M22&lt;='Scoring Settings'!$B$13)),"High","Medium")))</f>
        <v/>
      </c>
      <c r="AN22" s="14"/>
      <c r="AO22" s="16"/>
      <c r="AP22" s="14"/>
      <c r="AQ22" s="22"/>
    </row>
    <row r="23" spans="1:43">
      <c r="A23" s="14"/>
      <c r="B23" s="14"/>
      <c r="C23" s="14"/>
      <c r="D23" s="14"/>
      <c r="E23" s="14"/>
      <c r="F23" s="14"/>
      <c r="G23" s="14"/>
      <c r="H23" s="14"/>
      <c r="I23" s="15"/>
      <c r="J23" s="16"/>
      <c r="K23" s="17" t="str">
        <f>IF(B23="","",IF(AND(I23="",J23=""),"Unknown",IF(OR(AND(ISNUMBER(I23),I23=0),AND(ISNUMBER(J23),J23&lt;=EDATE('Scoring Settings'!$B$4,-'Scoring Settings'!$B$5))),"Not in use",IF(AND(ISNUMBER(I23),I23&lt;'Scoring Settings'!$B$6),"Low use","Active"))))</f>
        <v/>
      </c>
      <c r="L23" s="14"/>
      <c r="M23" s="14"/>
      <c r="N23" s="14"/>
      <c r="O23" s="14"/>
      <c r="P23" s="14"/>
      <c r="Q23" s="18"/>
      <c r="R23" s="14"/>
      <c r="S23" s="14"/>
      <c r="T23" s="14"/>
      <c r="U23" s="16"/>
      <c r="V23" s="14"/>
      <c r="W23" s="15"/>
      <c r="X23" s="14"/>
      <c r="Y23" s="18"/>
      <c r="Z23" s="14"/>
      <c r="AA23" s="14"/>
      <c r="AB23" s="18"/>
      <c r="AC23" s="14"/>
      <c r="AD23" s="14"/>
      <c r="AE23" s="14"/>
      <c r="AF23" s="19"/>
      <c r="AG23" s="16"/>
      <c r="AH23" s="19"/>
      <c r="AI23" s="19"/>
      <c r="AJ23" s="20" t="str">
        <f t="shared" si="0"/>
        <v/>
      </c>
      <c r="AK23" s="21" t="str">
        <f>IF(B23="","",OR(K23="Not in use",K23="Low use")+AND(N23&lt;&gt;"",N23&lt;&gt;"TBD")+AND(ISNUMBER(U23),U23&lt;=EDATE('Scoring Settings'!$B$4,'Scoring Settings'!$B$8))+AND(ISNUMBER(L23),L23&lt;='Scoring Settings'!$B$7))</f>
        <v/>
      </c>
      <c r="AL23" s="17" t="str">
        <f>IF(B23="","",IF(K23="Not in use","Priority – Not in use",IF(AK23&gt;='Scoring Settings'!$B$9,"Decommission",IF(AK23=1,"Review","Retain"))))</f>
        <v/>
      </c>
      <c r="AM23" s="17" t="str">
        <f>IF(B23="","",IF(Z23="N","Easy",IF(OR(AND(ISNUMBER(AB23),AB23&gt;'Scoring Settings'!$B$11),AND(ISNUMBER(W23),W23&gt;'Scoring Settings'!$B$12),AND(ISNUMBER(M23),M23&lt;='Scoring Settings'!$B$13)),"High","Medium")))</f>
        <v/>
      </c>
      <c r="AN23" s="14"/>
      <c r="AO23" s="16"/>
      <c r="AP23" s="14"/>
      <c r="AQ23" s="22"/>
    </row>
    <row r="24" spans="1:43">
      <c r="A24" s="14"/>
      <c r="B24" s="14"/>
      <c r="C24" s="14"/>
      <c r="D24" s="14"/>
      <c r="E24" s="14"/>
      <c r="F24" s="14"/>
      <c r="G24" s="14"/>
      <c r="H24" s="14"/>
      <c r="I24" s="15"/>
      <c r="J24" s="16"/>
      <c r="K24" s="17" t="str">
        <f>IF(B24="","",IF(AND(I24="",J24=""),"Unknown",IF(OR(AND(ISNUMBER(I24),I24=0),AND(ISNUMBER(J24),J24&lt;=EDATE('Scoring Settings'!$B$4,-'Scoring Settings'!$B$5))),"Not in use",IF(AND(ISNUMBER(I24),I24&lt;'Scoring Settings'!$B$6),"Low use","Active"))))</f>
        <v/>
      </c>
      <c r="L24" s="14"/>
      <c r="M24" s="14"/>
      <c r="N24" s="14"/>
      <c r="O24" s="14"/>
      <c r="P24" s="14"/>
      <c r="Q24" s="18"/>
      <c r="R24" s="14"/>
      <c r="S24" s="14"/>
      <c r="T24" s="14"/>
      <c r="U24" s="16"/>
      <c r="V24" s="14"/>
      <c r="W24" s="15"/>
      <c r="X24" s="14"/>
      <c r="Y24" s="18"/>
      <c r="Z24" s="14"/>
      <c r="AA24" s="14"/>
      <c r="AB24" s="18"/>
      <c r="AC24" s="14"/>
      <c r="AD24" s="14"/>
      <c r="AE24" s="14"/>
      <c r="AF24" s="19"/>
      <c r="AG24" s="16"/>
      <c r="AH24" s="19"/>
      <c r="AI24" s="19"/>
      <c r="AJ24" s="20" t="str">
        <f t="shared" si="0"/>
        <v/>
      </c>
      <c r="AK24" s="21" t="str">
        <f>IF(B24="","",OR(K24="Not in use",K24="Low use")+AND(N24&lt;&gt;"",N24&lt;&gt;"TBD")+AND(ISNUMBER(U24),U24&lt;=EDATE('Scoring Settings'!$B$4,'Scoring Settings'!$B$8))+AND(ISNUMBER(L24),L24&lt;='Scoring Settings'!$B$7))</f>
        <v/>
      </c>
      <c r="AL24" s="17" t="str">
        <f>IF(B24="","",IF(K24="Not in use","Priority – Not in use",IF(AK24&gt;='Scoring Settings'!$B$9,"Decommission",IF(AK24=1,"Review","Retain"))))</f>
        <v/>
      </c>
      <c r="AM24" s="17" t="str">
        <f>IF(B24="","",IF(Z24="N","Easy",IF(OR(AND(ISNUMBER(AB24),AB24&gt;'Scoring Settings'!$B$11),AND(ISNUMBER(W24),W24&gt;'Scoring Settings'!$B$12),AND(ISNUMBER(M24),M24&lt;='Scoring Settings'!$B$13)),"High","Medium")))</f>
        <v/>
      </c>
      <c r="AN24" s="14"/>
      <c r="AO24" s="16"/>
      <c r="AP24" s="14"/>
      <c r="AQ24" s="22"/>
    </row>
    <row r="25" spans="1:43">
      <c r="A25" s="14"/>
      <c r="B25" s="14"/>
      <c r="C25" s="14"/>
      <c r="D25" s="14"/>
      <c r="E25" s="14"/>
      <c r="F25" s="14"/>
      <c r="G25" s="14"/>
      <c r="H25" s="14"/>
      <c r="I25" s="15"/>
      <c r="J25" s="16"/>
      <c r="K25" s="17" t="str">
        <f>IF(B25="","",IF(AND(I25="",J25=""),"Unknown",IF(OR(AND(ISNUMBER(I25),I25=0),AND(ISNUMBER(J25),J25&lt;=EDATE('Scoring Settings'!$B$4,-'Scoring Settings'!$B$5))),"Not in use",IF(AND(ISNUMBER(I25),I25&lt;'Scoring Settings'!$B$6),"Low use","Active"))))</f>
        <v/>
      </c>
      <c r="L25" s="14"/>
      <c r="M25" s="14"/>
      <c r="N25" s="14"/>
      <c r="O25" s="14"/>
      <c r="P25" s="14"/>
      <c r="Q25" s="18"/>
      <c r="R25" s="14"/>
      <c r="S25" s="14"/>
      <c r="T25" s="14"/>
      <c r="U25" s="16"/>
      <c r="V25" s="14"/>
      <c r="W25" s="15"/>
      <c r="X25" s="14"/>
      <c r="Y25" s="18"/>
      <c r="Z25" s="14"/>
      <c r="AA25" s="14"/>
      <c r="AB25" s="18"/>
      <c r="AC25" s="14"/>
      <c r="AD25" s="14"/>
      <c r="AE25" s="14"/>
      <c r="AF25" s="19"/>
      <c r="AG25" s="16"/>
      <c r="AH25" s="19"/>
      <c r="AI25" s="19"/>
      <c r="AJ25" s="20" t="str">
        <f t="shared" si="0"/>
        <v/>
      </c>
      <c r="AK25" s="21" t="str">
        <f>IF(B25="","",OR(K25="Not in use",K25="Low use")+AND(N25&lt;&gt;"",N25&lt;&gt;"TBD")+AND(ISNUMBER(U25),U25&lt;=EDATE('Scoring Settings'!$B$4,'Scoring Settings'!$B$8))+AND(ISNUMBER(L25),L25&lt;='Scoring Settings'!$B$7))</f>
        <v/>
      </c>
      <c r="AL25" s="17" t="str">
        <f>IF(B25="","",IF(K25="Not in use","Priority – Not in use",IF(AK25&gt;='Scoring Settings'!$B$9,"Decommission",IF(AK25=1,"Review","Retain"))))</f>
        <v/>
      </c>
      <c r="AM25" s="17" t="str">
        <f>IF(B25="","",IF(Z25="N","Easy",IF(OR(AND(ISNUMBER(AB25),AB25&gt;'Scoring Settings'!$B$11),AND(ISNUMBER(W25),W25&gt;'Scoring Settings'!$B$12),AND(ISNUMBER(M25),M25&lt;='Scoring Settings'!$B$13)),"High","Medium")))</f>
        <v/>
      </c>
      <c r="AN25" s="14"/>
      <c r="AO25" s="16"/>
      <c r="AP25" s="14"/>
      <c r="AQ25" s="22"/>
    </row>
    <row r="26" spans="1:43">
      <c r="A26" s="14"/>
      <c r="B26" s="14"/>
      <c r="C26" s="14"/>
      <c r="D26" s="14"/>
      <c r="E26" s="14"/>
      <c r="F26" s="14"/>
      <c r="G26" s="14"/>
      <c r="H26" s="14"/>
      <c r="I26" s="15"/>
      <c r="J26" s="16"/>
      <c r="K26" s="17" t="str">
        <f>IF(B26="","",IF(AND(I26="",J26=""),"Unknown",IF(OR(AND(ISNUMBER(I26),I26=0),AND(ISNUMBER(J26),J26&lt;=EDATE('Scoring Settings'!$B$4,-'Scoring Settings'!$B$5))),"Not in use",IF(AND(ISNUMBER(I26),I26&lt;'Scoring Settings'!$B$6),"Low use","Active"))))</f>
        <v/>
      </c>
      <c r="L26" s="14"/>
      <c r="M26" s="14"/>
      <c r="N26" s="14"/>
      <c r="O26" s="14"/>
      <c r="P26" s="14"/>
      <c r="Q26" s="18"/>
      <c r="R26" s="14"/>
      <c r="S26" s="14"/>
      <c r="T26" s="14"/>
      <c r="U26" s="16"/>
      <c r="V26" s="14"/>
      <c r="W26" s="15"/>
      <c r="X26" s="14"/>
      <c r="Y26" s="18"/>
      <c r="Z26" s="14"/>
      <c r="AA26" s="14"/>
      <c r="AB26" s="18"/>
      <c r="AC26" s="14"/>
      <c r="AD26" s="14"/>
      <c r="AE26" s="14"/>
      <c r="AF26" s="19"/>
      <c r="AG26" s="16"/>
      <c r="AH26" s="19"/>
      <c r="AI26" s="19"/>
      <c r="AJ26" s="20" t="str">
        <f t="shared" si="0"/>
        <v/>
      </c>
      <c r="AK26" s="21" t="str">
        <f>IF(B26="","",OR(K26="Not in use",K26="Low use")+AND(N26&lt;&gt;"",N26&lt;&gt;"TBD")+AND(ISNUMBER(U26),U26&lt;=EDATE('Scoring Settings'!$B$4,'Scoring Settings'!$B$8))+AND(ISNUMBER(L26),L26&lt;='Scoring Settings'!$B$7))</f>
        <v/>
      </c>
      <c r="AL26" s="17" t="str">
        <f>IF(B26="","",IF(K26="Not in use","Priority – Not in use",IF(AK26&gt;='Scoring Settings'!$B$9,"Decommission",IF(AK26=1,"Review","Retain"))))</f>
        <v/>
      </c>
      <c r="AM26" s="17" t="str">
        <f>IF(B26="","",IF(Z26="N","Easy",IF(OR(AND(ISNUMBER(AB26),AB26&gt;'Scoring Settings'!$B$11),AND(ISNUMBER(W26),W26&gt;'Scoring Settings'!$B$12),AND(ISNUMBER(M26),M26&lt;='Scoring Settings'!$B$13)),"High","Medium")))</f>
        <v/>
      </c>
      <c r="AN26" s="14"/>
      <c r="AO26" s="16"/>
      <c r="AP26" s="14"/>
      <c r="AQ26" s="22"/>
    </row>
    <row r="27" spans="1:43">
      <c r="A27" s="14"/>
      <c r="B27" s="14"/>
      <c r="C27" s="14"/>
      <c r="D27" s="14"/>
      <c r="E27" s="14"/>
      <c r="F27" s="14"/>
      <c r="G27" s="14"/>
      <c r="H27" s="14"/>
      <c r="I27" s="15"/>
      <c r="J27" s="16"/>
      <c r="K27" s="17" t="str">
        <f>IF(B27="","",IF(AND(I27="",J27=""),"Unknown",IF(OR(AND(ISNUMBER(I27),I27=0),AND(ISNUMBER(J27),J27&lt;=EDATE('Scoring Settings'!$B$4,-'Scoring Settings'!$B$5))),"Not in use",IF(AND(ISNUMBER(I27),I27&lt;'Scoring Settings'!$B$6),"Low use","Active"))))</f>
        <v/>
      </c>
      <c r="L27" s="14"/>
      <c r="M27" s="14"/>
      <c r="N27" s="14"/>
      <c r="O27" s="14"/>
      <c r="P27" s="14"/>
      <c r="Q27" s="18"/>
      <c r="R27" s="14"/>
      <c r="S27" s="14"/>
      <c r="T27" s="14"/>
      <c r="U27" s="16"/>
      <c r="V27" s="14"/>
      <c r="W27" s="15"/>
      <c r="X27" s="14"/>
      <c r="Y27" s="18"/>
      <c r="Z27" s="14"/>
      <c r="AA27" s="14"/>
      <c r="AB27" s="18"/>
      <c r="AC27" s="14"/>
      <c r="AD27" s="14"/>
      <c r="AE27" s="14"/>
      <c r="AF27" s="19"/>
      <c r="AG27" s="16"/>
      <c r="AH27" s="19"/>
      <c r="AI27" s="19"/>
      <c r="AJ27" s="20" t="str">
        <f t="shared" si="0"/>
        <v/>
      </c>
      <c r="AK27" s="21" t="str">
        <f>IF(B27="","",OR(K27="Not in use",K27="Low use")+AND(N27&lt;&gt;"",N27&lt;&gt;"TBD")+AND(ISNUMBER(U27),U27&lt;=EDATE('Scoring Settings'!$B$4,'Scoring Settings'!$B$8))+AND(ISNUMBER(L27),L27&lt;='Scoring Settings'!$B$7))</f>
        <v/>
      </c>
      <c r="AL27" s="17" t="str">
        <f>IF(B27="","",IF(K27="Not in use","Priority – Not in use",IF(AK27&gt;='Scoring Settings'!$B$9,"Decommission",IF(AK27=1,"Review","Retain"))))</f>
        <v/>
      </c>
      <c r="AM27" s="17" t="str">
        <f>IF(B27="","",IF(Z27="N","Easy",IF(OR(AND(ISNUMBER(AB27),AB27&gt;'Scoring Settings'!$B$11),AND(ISNUMBER(W27),W27&gt;'Scoring Settings'!$B$12),AND(ISNUMBER(M27),M27&lt;='Scoring Settings'!$B$13)),"High","Medium")))</f>
        <v/>
      </c>
      <c r="AN27" s="14"/>
      <c r="AO27" s="16"/>
      <c r="AP27" s="14"/>
      <c r="AQ27" s="22"/>
    </row>
    <row r="28" spans="1:43">
      <c r="A28" s="14"/>
      <c r="B28" s="14"/>
      <c r="C28" s="14"/>
      <c r="D28" s="14"/>
      <c r="E28" s="14"/>
      <c r="F28" s="14"/>
      <c r="G28" s="14"/>
      <c r="H28" s="14"/>
      <c r="I28" s="15"/>
      <c r="J28" s="16"/>
      <c r="K28" s="17" t="str">
        <f>IF(B28="","",IF(AND(I28="",J28=""),"Unknown",IF(OR(AND(ISNUMBER(I28),I28=0),AND(ISNUMBER(J28),J28&lt;=EDATE('Scoring Settings'!$B$4,-'Scoring Settings'!$B$5))),"Not in use",IF(AND(ISNUMBER(I28),I28&lt;'Scoring Settings'!$B$6),"Low use","Active"))))</f>
        <v/>
      </c>
      <c r="L28" s="14"/>
      <c r="M28" s="14"/>
      <c r="N28" s="14"/>
      <c r="O28" s="14"/>
      <c r="P28" s="14"/>
      <c r="Q28" s="18"/>
      <c r="R28" s="14"/>
      <c r="S28" s="14"/>
      <c r="T28" s="14"/>
      <c r="U28" s="16"/>
      <c r="V28" s="14"/>
      <c r="W28" s="15"/>
      <c r="X28" s="14"/>
      <c r="Y28" s="18"/>
      <c r="Z28" s="14"/>
      <c r="AA28" s="14"/>
      <c r="AB28" s="18"/>
      <c r="AC28" s="14"/>
      <c r="AD28" s="14"/>
      <c r="AE28" s="14"/>
      <c r="AF28" s="19"/>
      <c r="AG28" s="16"/>
      <c r="AH28" s="19"/>
      <c r="AI28" s="19"/>
      <c r="AJ28" s="20" t="str">
        <f t="shared" si="0"/>
        <v/>
      </c>
      <c r="AK28" s="21" t="str">
        <f>IF(B28="","",OR(K28="Not in use",K28="Low use")+AND(N28&lt;&gt;"",N28&lt;&gt;"TBD")+AND(ISNUMBER(U28),U28&lt;=EDATE('Scoring Settings'!$B$4,'Scoring Settings'!$B$8))+AND(ISNUMBER(L28),L28&lt;='Scoring Settings'!$B$7))</f>
        <v/>
      </c>
      <c r="AL28" s="17" t="str">
        <f>IF(B28="","",IF(K28="Not in use","Priority – Not in use",IF(AK28&gt;='Scoring Settings'!$B$9,"Decommission",IF(AK28=1,"Review","Retain"))))</f>
        <v/>
      </c>
      <c r="AM28" s="17" t="str">
        <f>IF(B28="","",IF(Z28="N","Easy",IF(OR(AND(ISNUMBER(AB28),AB28&gt;'Scoring Settings'!$B$11),AND(ISNUMBER(W28),W28&gt;'Scoring Settings'!$B$12),AND(ISNUMBER(M28),M28&lt;='Scoring Settings'!$B$13)),"High","Medium")))</f>
        <v/>
      </c>
      <c r="AN28" s="14"/>
      <c r="AO28" s="16"/>
      <c r="AP28" s="14"/>
      <c r="AQ28" s="22"/>
    </row>
    <row r="29" spans="1:43">
      <c r="A29" s="14"/>
      <c r="B29" s="14"/>
      <c r="C29" s="14"/>
      <c r="D29" s="14"/>
      <c r="E29" s="14"/>
      <c r="F29" s="14"/>
      <c r="G29" s="14"/>
      <c r="H29" s="14"/>
      <c r="I29" s="15"/>
      <c r="J29" s="16"/>
      <c r="K29" s="17" t="str">
        <f>IF(B29="","",IF(AND(I29="",J29=""),"Unknown",IF(OR(AND(ISNUMBER(I29),I29=0),AND(ISNUMBER(J29),J29&lt;=EDATE('Scoring Settings'!$B$4,-'Scoring Settings'!$B$5))),"Not in use",IF(AND(ISNUMBER(I29),I29&lt;'Scoring Settings'!$B$6),"Low use","Active"))))</f>
        <v/>
      </c>
      <c r="L29" s="14"/>
      <c r="M29" s="14"/>
      <c r="N29" s="14"/>
      <c r="O29" s="14"/>
      <c r="P29" s="14"/>
      <c r="Q29" s="18"/>
      <c r="R29" s="14"/>
      <c r="S29" s="14"/>
      <c r="T29" s="14"/>
      <c r="U29" s="16"/>
      <c r="V29" s="14"/>
      <c r="W29" s="15"/>
      <c r="X29" s="14"/>
      <c r="Y29" s="18"/>
      <c r="Z29" s="14"/>
      <c r="AA29" s="14"/>
      <c r="AB29" s="18"/>
      <c r="AC29" s="14"/>
      <c r="AD29" s="14"/>
      <c r="AE29" s="14"/>
      <c r="AF29" s="19"/>
      <c r="AG29" s="16"/>
      <c r="AH29" s="19"/>
      <c r="AI29" s="19"/>
      <c r="AJ29" s="20" t="str">
        <f t="shared" si="0"/>
        <v/>
      </c>
      <c r="AK29" s="21" t="str">
        <f>IF(B29="","",OR(K29="Not in use",K29="Low use")+AND(N29&lt;&gt;"",N29&lt;&gt;"TBD")+AND(ISNUMBER(U29),U29&lt;=EDATE('Scoring Settings'!$B$4,'Scoring Settings'!$B$8))+AND(ISNUMBER(L29),L29&lt;='Scoring Settings'!$B$7))</f>
        <v/>
      </c>
      <c r="AL29" s="17" t="str">
        <f>IF(B29="","",IF(K29="Not in use","Priority – Not in use",IF(AK29&gt;='Scoring Settings'!$B$9,"Decommission",IF(AK29=1,"Review","Retain"))))</f>
        <v/>
      </c>
      <c r="AM29" s="17" t="str">
        <f>IF(B29="","",IF(Z29="N","Easy",IF(OR(AND(ISNUMBER(AB29),AB29&gt;'Scoring Settings'!$B$11),AND(ISNUMBER(W29),W29&gt;'Scoring Settings'!$B$12),AND(ISNUMBER(M29),M29&lt;='Scoring Settings'!$B$13)),"High","Medium")))</f>
        <v/>
      </c>
      <c r="AN29" s="14"/>
      <c r="AO29" s="16"/>
      <c r="AP29" s="14"/>
      <c r="AQ29" s="22"/>
    </row>
    <row r="30" spans="1:43">
      <c r="A30" s="14"/>
      <c r="B30" s="14"/>
      <c r="C30" s="14"/>
      <c r="D30" s="14"/>
      <c r="E30" s="14"/>
      <c r="F30" s="14"/>
      <c r="G30" s="14"/>
      <c r="H30" s="14"/>
      <c r="I30" s="15"/>
      <c r="J30" s="16"/>
      <c r="K30" s="17" t="str">
        <f>IF(B30="","",IF(AND(I30="",J30=""),"Unknown",IF(OR(AND(ISNUMBER(I30),I30=0),AND(ISNUMBER(J30),J30&lt;=EDATE('Scoring Settings'!$B$4,-'Scoring Settings'!$B$5))),"Not in use",IF(AND(ISNUMBER(I30),I30&lt;'Scoring Settings'!$B$6),"Low use","Active"))))</f>
        <v/>
      </c>
      <c r="L30" s="14"/>
      <c r="M30" s="14"/>
      <c r="N30" s="14"/>
      <c r="O30" s="14"/>
      <c r="P30" s="14"/>
      <c r="Q30" s="18"/>
      <c r="R30" s="14"/>
      <c r="S30" s="14"/>
      <c r="T30" s="14"/>
      <c r="U30" s="16"/>
      <c r="V30" s="14"/>
      <c r="W30" s="15"/>
      <c r="X30" s="14"/>
      <c r="Y30" s="18"/>
      <c r="Z30" s="14"/>
      <c r="AA30" s="14"/>
      <c r="AB30" s="18"/>
      <c r="AC30" s="14"/>
      <c r="AD30" s="14"/>
      <c r="AE30" s="14"/>
      <c r="AF30" s="19"/>
      <c r="AG30" s="16"/>
      <c r="AH30" s="19"/>
      <c r="AI30" s="19"/>
      <c r="AJ30" s="20" t="str">
        <f t="shared" si="0"/>
        <v/>
      </c>
      <c r="AK30" s="21" t="str">
        <f>IF(B30="","",OR(K30="Not in use",K30="Low use")+AND(N30&lt;&gt;"",N30&lt;&gt;"TBD")+AND(ISNUMBER(U30),U30&lt;=EDATE('Scoring Settings'!$B$4,'Scoring Settings'!$B$8))+AND(ISNUMBER(L30),L30&lt;='Scoring Settings'!$B$7))</f>
        <v/>
      </c>
      <c r="AL30" s="17" t="str">
        <f>IF(B30="","",IF(K30="Not in use","Priority – Not in use",IF(AK30&gt;='Scoring Settings'!$B$9,"Decommission",IF(AK30=1,"Review","Retain"))))</f>
        <v/>
      </c>
      <c r="AM30" s="17" t="str">
        <f>IF(B30="","",IF(Z30="N","Easy",IF(OR(AND(ISNUMBER(AB30),AB30&gt;'Scoring Settings'!$B$11),AND(ISNUMBER(W30),W30&gt;'Scoring Settings'!$B$12),AND(ISNUMBER(M30),M30&lt;='Scoring Settings'!$B$13)),"High","Medium")))</f>
        <v/>
      </c>
      <c r="AN30" s="14"/>
      <c r="AO30" s="16"/>
      <c r="AP30" s="14"/>
      <c r="AQ30" s="22"/>
    </row>
    <row r="31" spans="1:43">
      <c r="A31" s="14"/>
      <c r="B31" s="14"/>
      <c r="C31" s="14"/>
      <c r="D31" s="14"/>
      <c r="E31" s="14"/>
      <c r="F31" s="14"/>
      <c r="G31" s="14"/>
      <c r="H31" s="14"/>
      <c r="I31" s="15"/>
      <c r="J31" s="16"/>
      <c r="K31" s="17" t="str">
        <f>IF(B31="","",IF(AND(I31="",J31=""),"Unknown",IF(OR(AND(ISNUMBER(I31),I31=0),AND(ISNUMBER(J31),J31&lt;=EDATE('Scoring Settings'!$B$4,-'Scoring Settings'!$B$5))),"Not in use",IF(AND(ISNUMBER(I31),I31&lt;'Scoring Settings'!$B$6),"Low use","Active"))))</f>
        <v/>
      </c>
      <c r="L31" s="14"/>
      <c r="M31" s="14"/>
      <c r="N31" s="14"/>
      <c r="O31" s="14"/>
      <c r="P31" s="14"/>
      <c r="Q31" s="18"/>
      <c r="R31" s="14"/>
      <c r="S31" s="14"/>
      <c r="T31" s="14"/>
      <c r="U31" s="16"/>
      <c r="V31" s="14"/>
      <c r="W31" s="15"/>
      <c r="X31" s="14"/>
      <c r="Y31" s="18"/>
      <c r="Z31" s="14"/>
      <c r="AA31" s="14"/>
      <c r="AB31" s="18"/>
      <c r="AC31" s="14"/>
      <c r="AD31" s="14"/>
      <c r="AE31" s="14"/>
      <c r="AF31" s="19"/>
      <c r="AG31" s="16"/>
      <c r="AH31" s="19"/>
      <c r="AI31" s="19"/>
      <c r="AJ31" s="20" t="str">
        <f t="shared" si="0"/>
        <v/>
      </c>
      <c r="AK31" s="21" t="str">
        <f>IF(B31="","",OR(K31="Not in use",K31="Low use")+AND(N31&lt;&gt;"",N31&lt;&gt;"TBD")+AND(ISNUMBER(U31),U31&lt;=EDATE('Scoring Settings'!$B$4,'Scoring Settings'!$B$8))+AND(ISNUMBER(L31),L31&lt;='Scoring Settings'!$B$7))</f>
        <v/>
      </c>
      <c r="AL31" s="17" t="str">
        <f>IF(B31="","",IF(K31="Not in use","Priority – Not in use",IF(AK31&gt;='Scoring Settings'!$B$9,"Decommission",IF(AK31=1,"Review","Retain"))))</f>
        <v/>
      </c>
      <c r="AM31" s="17" t="str">
        <f>IF(B31="","",IF(Z31="N","Easy",IF(OR(AND(ISNUMBER(AB31),AB31&gt;'Scoring Settings'!$B$11),AND(ISNUMBER(W31),W31&gt;'Scoring Settings'!$B$12),AND(ISNUMBER(M31),M31&lt;='Scoring Settings'!$B$13)),"High","Medium")))</f>
        <v/>
      </c>
      <c r="AN31" s="14"/>
      <c r="AO31" s="16"/>
      <c r="AP31" s="14"/>
      <c r="AQ31" s="22"/>
    </row>
    <row r="32" spans="1:43">
      <c r="A32" s="14"/>
      <c r="B32" s="14"/>
      <c r="C32" s="14"/>
      <c r="D32" s="14"/>
      <c r="E32" s="14"/>
      <c r="F32" s="14"/>
      <c r="G32" s="14"/>
      <c r="H32" s="14"/>
      <c r="I32" s="15"/>
      <c r="J32" s="16"/>
      <c r="K32" s="17" t="str">
        <f>IF(B32="","",IF(AND(I32="",J32=""),"Unknown",IF(OR(AND(ISNUMBER(I32),I32=0),AND(ISNUMBER(J32),J32&lt;=EDATE('Scoring Settings'!$B$4,-'Scoring Settings'!$B$5))),"Not in use",IF(AND(ISNUMBER(I32),I32&lt;'Scoring Settings'!$B$6),"Low use","Active"))))</f>
        <v/>
      </c>
      <c r="L32" s="14"/>
      <c r="M32" s="14"/>
      <c r="N32" s="14"/>
      <c r="O32" s="14"/>
      <c r="P32" s="14"/>
      <c r="Q32" s="18"/>
      <c r="R32" s="14"/>
      <c r="S32" s="14"/>
      <c r="T32" s="14"/>
      <c r="U32" s="16"/>
      <c r="V32" s="14"/>
      <c r="W32" s="15"/>
      <c r="X32" s="14"/>
      <c r="Y32" s="18"/>
      <c r="Z32" s="14"/>
      <c r="AA32" s="14"/>
      <c r="AB32" s="18"/>
      <c r="AC32" s="14"/>
      <c r="AD32" s="14"/>
      <c r="AE32" s="14"/>
      <c r="AF32" s="19"/>
      <c r="AG32" s="16"/>
      <c r="AH32" s="19"/>
      <c r="AI32" s="19"/>
      <c r="AJ32" s="20" t="str">
        <f t="shared" si="0"/>
        <v/>
      </c>
      <c r="AK32" s="21" t="str">
        <f>IF(B32="","",OR(K32="Not in use",K32="Low use")+AND(N32&lt;&gt;"",N32&lt;&gt;"TBD")+AND(ISNUMBER(U32),U32&lt;=EDATE('Scoring Settings'!$B$4,'Scoring Settings'!$B$8))+AND(ISNUMBER(L32),L32&lt;='Scoring Settings'!$B$7))</f>
        <v/>
      </c>
      <c r="AL32" s="17" t="str">
        <f>IF(B32="","",IF(K32="Not in use","Priority – Not in use",IF(AK32&gt;='Scoring Settings'!$B$9,"Decommission",IF(AK32=1,"Review","Retain"))))</f>
        <v/>
      </c>
      <c r="AM32" s="17" t="str">
        <f>IF(B32="","",IF(Z32="N","Easy",IF(OR(AND(ISNUMBER(AB32),AB32&gt;'Scoring Settings'!$B$11),AND(ISNUMBER(W32),W32&gt;'Scoring Settings'!$B$12),AND(ISNUMBER(M32),M32&lt;='Scoring Settings'!$B$13)),"High","Medium")))</f>
        <v/>
      </c>
      <c r="AN32" s="14"/>
      <c r="AO32" s="16"/>
      <c r="AP32" s="14"/>
      <c r="AQ32" s="22"/>
    </row>
    <row r="33" spans="1:43">
      <c r="A33" s="14"/>
      <c r="B33" s="14"/>
      <c r="C33" s="14"/>
      <c r="D33" s="14"/>
      <c r="E33" s="14"/>
      <c r="F33" s="14"/>
      <c r="G33" s="14"/>
      <c r="H33" s="14"/>
      <c r="I33" s="15"/>
      <c r="J33" s="16"/>
      <c r="K33" s="17" t="str">
        <f>IF(B33="","",IF(AND(I33="",J33=""),"Unknown",IF(OR(AND(ISNUMBER(I33),I33=0),AND(ISNUMBER(J33),J33&lt;=EDATE('Scoring Settings'!$B$4,-'Scoring Settings'!$B$5))),"Not in use",IF(AND(ISNUMBER(I33),I33&lt;'Scoring Settings'!$B$6),"Low use","Active"))))</f>
        <v/>
      </c>
      <c r="L33" s="14"/>
      <c r="M33" s="14"/>
      <c r="N33" s="14"/>
      <c r="O33" s="14"/>
      <c r="P33" s="14"/>
      <c r="Q33" s="18"/>
      <c r="R33" s="14"/>
      <c r="S33" s="14"/>
      <c r="T33" s="14"/>
      <c r="U33" s="16"/>
      <c r="V33" s="14"/>
      <c r="W33" s="15"/>
      <c r="X33" s="14"/>
      <c r="Y33" s="18"/>
      <c r="Z33" s="14"/>
      <c r="AA33" s="14"/>
      <c r="AB33" s="18"/>
      <c r="AC33" s="14"/>
      <c r="AD33" s="14"/>
      <c r="AE33" s="14"/>
      <c r="AF33" s="19"/>
      <c r="AG33" s="16"/>
      <c r="AH33" s="19"/>
      <c r="AI33" s="19"/>
      <c r="AJ33" s="20" t="str">
        <f t="shared" si="0"/>
        <v/>
      </c>
      <c r="AK33" s="21" t="str">
        <f>IF(B33="","",OR(K33="Not in use",K33="Low use")+AND(N33&lt;&gt;"",N33&lt;&gt;"TBD")+AND(ISNUMBER(U33),U33&lt;=EDATE('Scoring Settings'!$B$4,'Scoring Settings'!$B$8))+AND(ISNUMBER(L33),L33&lt;='Scoring Settings'!$B$7))</f>
        <v/>
      </c>
      <c r="AL33" s="17" t="str">
        <f>IF(B33="","",IF(K33="Not in use","Priority – Not in use",IF(AK33&gt;='Scoring Settings'!$B$9,"Decommission",IF(AK33=1,"Review","Retain"))))</f>
        <v/>
      </c>
      <c r="AM33" s="17" t="str">
        <f>IF(B33="","",IF(Z33="N","Easy",IF(OR(AND(ISNUMBER(AB33),AB33&gt;'Scoring Settings'!$B$11),AND(ISNUMBER(W33),W33&gt;'Scoring Settings'!$B$12),AND(ISNUMBER(M33),M33&lt;='Scoring Settings'!$B$13)),"High","Medium")))</f>
        <v/>
      </c>
      <c r="AN33" s="14"/>
      <c r="AO33" s="16"/>
      <c r="AP33" s="14"/>
      <c r="AQ33" s="22"/>
    </row>
    <row r="34" spans="1:43">
      <c r="A34" s="14"/>
      <c r="B34" s="14"/>
      <c r="C34" s="14"/>
      <c r="D34" s="14"/>
      <c r="E34" s="14"/>
      <c r="F34" s="14"/>
      <c r="G34" s="14"/>
      <c r="H34" s="14"/>
      <c r="I34" s="15"/>
      <c r="J34" s="16"/>
      <c r="K34" s="17" t="str">
        <f>IF(B34="","",IF(AND(I34="",J34=""),"Unknown",IF(OR(AND(ISNUMBER(I34),I34=0),AND(ISNUMBER(J34),J34&lt;=EDATE('Scoring Settings'!$B$4,-'Scoring Settings'!$B$5))),"Not in use",IF(AND(ISNUMBER(I34),I34&lt;'Scoring Settings'!$B$6),"Low use","Active"))))</f>
        <v/>
      </c>
      <c r="L34" s="14"/>
      <c r="M34" s="14"/>
      <c r="N34" s="14"/>
      <c r="O34" s="14"/>
      <c r="P34" s="14"/>
      <c r="Q34" s="18"/>
      <c r="R34" s="14"/>
      <c r="S34" s="14"/>
      <c r="T34" s="14"/>
      <c r="U34" s="16"/>
      <c r="V34" s="14"/>
      <c r="W34" s="15"/>
      <c r="X34" s="14"/>
      <c r="Y34" s="18"/>
      <c r="Z34" s="14"/>
      <c r="AA34" s="14"/>
      <c r="AB34" s="18"/>
      <c r="AC34" s="14"/>
      <c r="AD34" s="14"/>
      <c r="AE34" s="14"/>
      <c r="AF34" s="19"/>
      <c r="AG34" s="16"/>
      <c r="AH34" s="19"/>
      <c r="AI34" s="19"/>
      <c r="AJ34" s="20" t="str">
        <f t="shared" si="0"/>
        <v/>
      </c>
      <c r="AK34" s="21" t="str">
        <f>IF(B34="","",OR(K34="Not in use",K34="Low use")+AND(N34&lt;&gt;"",N34&lt;&gt;"TBD")+AND(ISNUMBER(U34),U34&lt;=EDATE('Scoring Settings'!$B$4,'Scoring Settings'!$B$8))+AND(ISNUMBER(L34),L34&lt;='Scoring Settings'!$B$7))</f>
        <v/>
      </c>
      <c r="AL34" s="17" t="str">
        <f>IF(B34="","",IF(K34="Not in use","Priority – Not in use",IF(AK34&gt;='Scoring Settings'!$B$9,"Decommission",IF(AK34=1,"Review","Retain"))))</f>
        <v/>
      </c>
      <c r="AM34" s="17" t="str">
        <f>IF(B34="","",IF(Z34="N","Easy",IF(OR(AND(ISNUMBER(AB34),AB34&gt;'Scoring Settings'!$B$11),AND(ISNUMBER(W34),W34&gt;'Scoring Settings'!$B$12),AND(ISNUMBER(M34),M34&lt;='Scoring Settings'!$B$13)),"High","Medium")))</f>
        <v/>
      </c>
      <c r="AN34" s="14"/>
      <c r="AO34" s="16"/>
      <c r="AP34" s="14"/>
      <c r="AQ34" s="22"/>
    </row>
    <row r="35" spans="1:43">
      <c r="A35" s="14"/>
      <c r="B35" s="14"/>
      <c r="C35" s="14"/>
      <c r="D35" s="14"/>
      <c r="E35" s="14"/>
      <c r="F35" s="14"/>
      <c r="G35" s="14"/>
      <c r="H35" s="14"/>
      <c r="I35" s="15"/>
      <c r="J35" s="16"/>
      <c r="K35" s="17" t="str">
        <f>IF(B35="","",IF(AND(I35="",J35=""),"Unknown",IF(OR(AND(ISNUMBER(I35),I35=0),AND(ISNUMBER(J35),J35&lt;=EDATE('Scoring Settings'!$B$4,-'Scoring Settings'!$B$5))),"Not in use",IF(AND(ISNUMBER(I35),I35&lt;'Scoring Settings'!$B$6),"Low use","Active"))))</f>
        <v/>
      </c>
      <c r="L35" s="14"/>
      <c r="M35" s="14"/>
      <c r="N35" s="14"/>
      <c r="O35" s="14"/>
      <c r="P35" s="14"/>
      <c r="Q35" s="18"/>
      <c r="R35" s="14"/>
      <c r="S35" s="14"/>
      <c r="T35" s="14"/>
      <c r="U35" s="16"/>
      <c r="V35" s="14"/>
      <c r="W35" s="15"/>
      <c r="X35" s="14"/>
      <c r="Y35" s="18"/>
      <c r="Z35" s="14"/>
      <c r="AA35" s="14"/>
      <c r="AB35" s="18"/>
      <c r="AC35" s="14"/>
      <c r="AD35" s="14"/>
      <c r="AE35" s="14"/>
      <c r="AF35" s="19"/>
      <c r="AG35" s="16"/>
      <c r="AH35" s="19"/>
      <c r="AI35" s="19"/>
      <c r="AJ35" s="20" t="str">
        <f t="shared" si="0"/>
        <v/>
      </c>
      <c r="AK35" s="21" t="str">
        <f>IF(B35="","",OR(K35="Not in use",K35="Low use")+AND(N35&lt;&gt;"",N35&lt;&gt;"TBD")+AND(ISNUMBER(U35),U35&lt;=EDATE('Scoring Settings'!$B$4,'Scoring Settings'!$B$8))+AND(ISNUMBER(L35),L35&lt;='Scoring Settings'!$B$7))</f>
        <v/>
      </c>
      <c r="AL35" s="17" t="str">
        <f>IF(B35="","",IF(K35="Not in use","Priority – Not in use",IF(AK35&gt;='Scoring Settings'!$B$9,"Decommission",IF(AK35=1,"Review","Retain"))))</f>
        <v/>
      </c>
      <c r="AM35" s="17" t="str">
        <f>IF(B35="","",IF(Z35="N","Easy",IF(OR(AND(ISNUMBER(AB35),AB35&gt;'Scoring Settings'!$B$11),AND(ISNUMBER(W35),W35&gt;'Scoring Settings'!$B$12),AND(ISNUMBER(M35),M35&lt;='Scoring Settings'!$B$13)),"High","Medium")))</f>
        <v/>
      </c>
      <c r="AN35" s="14"/>
      <c r="AO35" s="16"/>
      <c r="AP35" s="14"/>
      <c r="AQ35" s="22"/>
    </row>
    <row r="36" spans="1:43">
      <c r="A36" s="14"/>
      <c r="B36" s="14"/>
      <c r="C36" s="14"/>
      <c r="D36" s="14"/>
      <c r="E36" s="14"/>
      <c r="F36" s="14"/>
      <c r="G36" s="14"/>
      <c r="H36" s="14"/>
      <c r="I36" s="15"/>
      <c r="J36" s="16"/>
      <c r="K36" s="17" t="str">
        <f>IF(B36="","",IF(AND(I36="",J36=""),"Unknown",IF(OR(AND(ISNUMBER(I36),I36=0),AND(ISNUMBER(J36),J36&lt;=EDATE('Scoring Settings'!$B$4,-'Scoring Settings'!$B$5))),"Not in use",IF(AND(ISNUMBER(I36),I36&lt;'Scoring Settings'!$B$6),"Low use","Active"))))</f>
        <v/>
      </c>
      <c r="L36" s="14"/>
      <c r="M36" s="14"/>
      <c r="N36" s="14"/>
      <c r="O36" s="14"/>
      <c r="P36" s="14"/>
      <c r="Q36" s="18"/>
      <c r="R36" s="14"/>
      <c r="S36" s="14"/>
      <c r="T36" s="14"/>
      <c r="U36" s="16"/>
      <c r="V36" s="14"/>
      <c r="W36" s="15"/>
      <c r="X36" s="14"/>
      <c r="Y36" s="18"/>
      <c r="Z36" s="14"/>
      <c r="AA36" s="14"/>
      <c r="AB36" s="18"/>
      <c r="AC36" s="14"/>
      <c r="AD36" s="14"/>
      <c r="AE36" s="14"/>
      <c r="AF36" s="19"/>
      <c r="AG36" s="16"/>
      <c r="AH36" s="19"/>
      <c r="AI36" s="19"/>
      <c r="AJ36" s="20" t="str">
        <f t="shared" si="0"/>
        <v/>
      </c>
      <c r="AK36" s="21" t="str">
        <f>IF(B36="","",OR(K36="Not in use",K36="Low use")+AND(N36&lt;&gt;"",N36&lt;&gt;"TBD")+AND(ISNUMBER(U36),U36&lt;=EDATE('Scoring Settings'!$B$4,'Scoring Settings'!$B$8))+AND(ISNUMBER(L36),L36&lt;='Scoring Settings'!$B$7))</f>
        <v/>
      </c>
      <c r="AL36" s="17" t="str">
        <f>IF(B36="","",IF(K36="Not in use","Priority – Not in use",IF(AK36&gt;='Scoring Settings'!$B$9,"Decommission",IF(AK36=1,"Review","Retain"))))</f>
        <v/>
      </c>
      <c r="AM36" s="17" t="str">
        <f>IF(B36="","",IF(Z36="N","Easy",IF(OR(AND(ISNUMBER(AB36),AB36&gt;'Scoring Settings'!$B$11),AND(ISNUMBER(W36),W36&gt;'Scoring Settings'!$B$12),AND(ISNUMBER(M36),M36&lt;='Scoring Settings'!$B$13)),"High","Medium")))</f>
        <v/>
      </c>
      <c r="AN36" s="14"/>
      <c r="AO36" s="16"/>
      <c r="AP36" s="14"/>
      <c r="AQ36" s="22"/>
    </row>
    <row r="37" spans="1:43">
      <c r="A37" s="14"/>
      <c r="B37" s="14"/>
      <c r="C37" s="14"/>
      <c r="D37" s="14"/>
      <c r="E37" s="14"/>
      <c r="F37" s="14"/>
      <c r="G37" s="14"/>
      <c r="H37" s="14"/>
      <c r="I37" s="15"/>
      <c r="J37" s="16"/>
      <c r="K37" s="17" t="str">
        <f>IF(B37="","",IF(AND(I37="",J37=""),"Unknown",IF(OR(AND(ISNUMBER(I37),I37=0),AND(ISNUMBER(J37),J37&lt;=EDATE('Scoring Settings'!$B$4,-'Scoring Settings'!$B$5))),"Not in use",IF(AND(ISNUMBER(I37),I37&lt;'Scoring Settings'!$B$6),"Low use","Active"))))</f>
        <v/>
      </c>
      <c r="L37" s="14"/>
      <c r="M37" s="14"/>
      <c r="N37" s="14"/>
      <c r="O37" s="14"/>
      <c r="P37" s="14"/>
      <c r="Q37" s="18"/>
      <c r="R37" s="14"/>
      <c r="S37" s="14"/>
      <c r="T37" s="14"/>
      <c r="U37" s="16"/>
      <c r="V37" s="14"/>
      <c r="W37" s="15"/>
      <c r="X37" s="14"/>
      <c r="Y37" s="18"/>
      <c r="Z37" s="14"/>
      <c r="AA37" s="14"/>
      <c r="AB37" s="18"/>
      <c r="AC37" s="14"/>
      <c r="AD37" s="14"/>
      <c r="AE37" s="14"/>
      <c r="AF37" s="19"/>
      <c r="AG37" s="16"/>
      <c r="AH37" s="19"/>
      <c r="AI37" s="19"/>
      <c r="AJ37" s="20" t="str">
        <f t="shared" si="0"/>
        <v/>
      </c>
      <c r="AK37" s="21" t="str">
        <f>IF(B37="","",OR(K37="Not in use",K37="Low use")+AND(N37&lt;&gt;"",N37&lt;&gt;"TBD")+AND(ISNUMBER(U37),U37&lt;=EDATE('Scoring Settings'!$B$4,'Scoring Settings'!$B$8))+AND(ISNUMBER(L37),L37&lt;='Scoring Settings'!$B$7))</f>
        <v/>
      </c>
      <c r="AL37" s="17" t="str">
        <f>IF(B37="","",IF(K37="Not in use","Priority – Not in use",IF(AK37&gt;='Scoring Settings'!$B$9,"Decommission",IF(AK37=1,"Review","Retain"))))</f>
        <v/>
      </c>
      <c r="AM37" s="17" t="str">
        <f>IF(B37="","",IF(Z37="N","Easy",IF(OR(AND(ISNUMBER(AB37),AB37&gt;'Scoring Settings'!$B$11),AND(ISNUMBER(W37),W37&gt;'Scoring Settings'!$B$12),AND(ISNUMBER(M37),M37&lt;='Scoring Settings'!$B$13)),"High","Medium")))</f>
        <v/>
      </c>
      <c r="AN37" s="14"/>
      <c r="AO37" s="16"/>
      <c r="AP37" s="14"/>
      <c r="AQ37" s="22"/>
    </row>
    <row r="38" spans="1:43">
      <c r="A38" s="14"/>
      <c r="B38" s="14"/>
      <c r="C38" s="14"/>
      <c r="D38" s="14"/>
      <c r="E38" s="14"/>
      <c r="F38" s="14"/>
      <c r="G38" s="14"/>
      <c r="H38" s="14"/>
      <c r="I38" s="15"/>
      <c r="J38" s="16"/>
      <c r="K38" s="17" t="str">
        <f>IF(B38="","",IF(AND(I38="",J38=""),"Unknown",IF(OR(AND(ISNUMBER(I38),I38=0),AND(ISNUMBER(J38),J38&lt;=EDATE('Scoring Settings'!$B$4,-'Scoring Settings'!$B$5))),"Not in use",IF(AND(ISNUMBER(I38),I38&lt;'Scoring Settings'!$B$6),"Low use","Active"))))</f>
        <v/>
      </c>
      <c r="L38" s="14"/>
      <c r="M38" s="14"/>
      <c r="N38" s="14"/>
      <c r="O38" s="14"/>
      <c r="P38" s="14"/>
      <c r="Q38" s="18"/>
      <c r="R38" s="14"/>
      <c r="S38" s="14"/>
      <c r="T38" s="14"/>
      <c r="U38" s="16"/>
      <c r="V38" s="14"/>
      <c r="W38" s="15"/>
      <c r="X38" s="14"/>
      <c r="Y38" s="18"/>
      <c r="Z38" s="14"/>
      <c r="AA38" s="14"/>
      <c r="AB38" s="18"/>
      <c r="AC38" s="14"/>
      <c r="AD38" s="14"/>
      <c r="AE38" s="14"/>
      <c r="AF38" s="19"/>
      <c r="AG38" s="16"/>
      <c r="AH38" s="19"/>
      <c r="AI38" s="19"/>
      <c r="AJ38" s="20" t="str">
        <f t="shared" si="0"/>
        <v/>
      </c>
      <c r="AK38" s="21" t="str">
        <f>IF(B38="","",OR(K38="Not in use",K38="Low use")+AND(N38&lt;&gt;"",N38&lt;&gt;"TBD")+AND(ISNUMBER(U38),U38&lt;=EDATE('Scoring Settings'!$B$4,'Scoring Settings'!$B$8))+AND(ISNUMBER(L38),L38&lt;='Scoring Settings'!$B$7))</f>
        <v/>
      </c>
      <c r="AL38" s="17" t="str">
        <f>IF(B38="","",IF(K38="Not in use","Priority – Not in use",IF(AK38&gt;='Scoring Settings'!$B$9,"Decommission",IF(AK38=1,"Review","Retain"))))</f>
        <v/>
      </c>
      <c r="AM38" s="17" t="str">
        <f>IF(B38="","",IF(Z38="N","Easy",IF(OR(AND(ISNUMBER(AB38),AB38&gt;'Scoring Settings'!$B$11),AND(ISNUMBER(W38),W38&gt;'Scoring Settings'!$B$12),AND(ISNUMBER(M38),M38&lt;='Scoring Settings'!$B$13)),"High","Medium")))</f>
        <v/>
      </c>
      <c r="AN38" s="14"/>
      <c r="AO38" s="16"/>
      <c r="AP38" s="14"/>
      <c r="AQ38" s="22"/>
    </row>
    <row r="39" spans="1:43">
      <c r="A39" s="14"/>
      <c r="B39" s="14"/>
      <c r="C39" s="14"/>
      <c r="D39" s="14"/>
      <c r="E39" s="14"/>
      <c r="F39" s="14"/>
      <c r="G39" s="14"/>
      <c r="H39" s="14"/>
      <c r="I39" s="15"/>
      <c r="J39" s="16"/>
      <c r="K39" s="17" t="str">
        <f>IF(B39="","",IF(AND(I39="",J39=""),"Unknown",IF(OR(AND(ISNUMBER(I39),I39=0),AND(ISNUMBER(J39),J39&lt;=EDATE('Scoring Settings'!$B$4,-'Scoring Settings'!$B$5))),"Not in use",IF(AND(ISNUMBER(I39),I39&lt;'Scoring Settings'!$B$6),"Low use","Active"))))</f>
        <v/>
      </c>
      <c r="L39" s="14"/>
      <c r="M39" s="14"/>
      <c r="N39" s="14"/>
      <c r="O39" s="14"/>
      <c r="P39" s="14"/>
      <c r="Q39" s="18"/>
      <c r="R39" s="14"/>
      <c r="S39" s="14"/>
      <c r="T39" s="14"/>
      <c r="U39" s="16"/>
      <c r="V39" s="14"/>
      <c r="W39" s="15"/>
      <c r="X39" s="14"/>
      <c r="Y39" s="18"/>
      <c r="Z39" s="14"/>
      <c r="AA39" s="14"/>
      <c r="AB39" s="18"/>
      <c r="AC39" s="14"/>
      <c r="AD39" s="14"/>
      <c r="AE39" s="14"/>
      <c r="AF39" s="19"/>
      <c r="AG39" s="16"/>
      <c r="AH39" s="19"/>
      <c r="AI39" s="19"/>
      <c r="AJ39" s="20" t="str">
        <f t="shared" si="0"/>
        <v/>
      </c>
      <c r="AK39" s="21" t="str">
        <f>IF(B39="","",OR(K39="Not in use",K39="Low use")+AND(N39&lt;&gt;"",N39&lt;&gt;"TBD")+AND(ISNUMBER(U39),U39&lt;=EDATE('Scoring Settings'!$B$4,'Scoring Settings'!$B$8))+AND(ISNUMBER(L39),L39&lt;='Scoring Settings'!$B$7))</f>
        <v/>
      </c>
      <c r="AL39" s="17" t="str">
        <f>IF(B39="","",IF(K39="Not in use","Priority – Not in use",IF(AK39&gt;='Scoring Settings'!$B$9,"Decommission",IF(AK39=1,"Review","Retain"))))</f>
        <v/>
      </c>
      <c r="AM39" s="17" t="str">
        <f>IF(B39="","",IF(Z39="N","Easy",IF(OR(AND(ISNUMBER(AB39),AB39&gt;'Scoring Settings'!$B$11),AND(ISNUMBER(W39),W39&gt;'Scoring Settings'!$B$12),AND(ISNUMBER(M39),M39&lt;='Scoring Settings'!$B$13)),"High","Medium")))</f>
        <v/>
      </c>
      <c r="AN39" s="14"/>
      <c r="AO39" s="16"/>
      <c r="AP39" s="14"/>
      <c r="AQ39" s="22"/>
    </row>
    <row r="40" spans="1:43">
      <c r="A40" s="14"/>
      <c r="B40" s="14"/>
      <c r="C40" s="14"/>
      <c r="D40" s="14"/>
      <c r="E40" s="14"/>
      <c r="F40" s="14"/>
      <c r="G40" s="14"/>
      <c r="H40" s="14"/>
      <c r="I40" s="15"/>
      <c r="J40" s="16"/>
      <c r="K40" s="17" t="str">
        <f>IF(B40="","",IF(AND(I40="",J40=""),"Unknown",IF(OR(AND(ISNUMBER(I40),I40=0),AND(ISNUMBER(J40),J40&lt;=EDATE('Scoring Settings'!$B$4,-'Scoring Settings'!$B$5))),"Not in use",IF(AND(ISNUMBER(I40),I40&lt;'Scoring Settings'!$B$6),"Low use","Active"))))</f>
        <v/>
      </c>
      <c r="L40" s="14"/>
      <c r="M40" s="14"/>
      <c r="N40" s="14"/>
      <c r="O40" s="14"/>
      <c r="P40" s="14"/>
      <c r="Q40" s="18"/>
      <c r="R40" s="14"/>
      <c r="S40" s="14"/>
      <c r="T40" s="14"/>
      <c r="U40" s="16"/>
      <c r="V40" s="14"/>
      <c r="W40" s="15"/>
      <c r="X40" s="14"/>
      <c r="Y40" s="18"/>
      <c r="Z40" s="14"/>
      <c r="AA40" s="14"/>
      <c r="AB40" s="18"/>
      <c r="AC40" s="14"/>
      <c r="AD40" s="14"/>
      <c r="AE40" s="14"/>
      <c r="AF40" s="19"/>
      <c r="AG40" s="16"/>
      <c r="AH40" s="19"/>
      <c r="AI40" s="19"/>
      <c r="AJ40" s="20" t="str">
        <f t="shared" si="0"/>
        <v/>
      </c>
      <c r="AK40" s="21" t="str">
        <f>IF(B40="","",OR(K40="Not in use",K40="Low use")+AND(N40&lt;&gt;"",N40&lt;&gt;"TBD")+AND(ISNUMBER(U40),U40&lt;=EDATE('Scoring Settings'!$B$4,'Scoring Settings'!$B$8))+AND(ISNUMBER(L40),L40&lt;='Scoring Settings'!$B$7))</f>
        <v/>
      </c>
      <c r="AL40" s="17" t="str">
        <f>IF(B40="","",IF(K40="Not in use","Priority – Not in use",IF(AK40&gt;='Scoring Settings'!$B$9,"Decommission",IF(AK40=1,"Review","Retain"))))</f>
        <v/>
      </c>
      <c r="AM40" s="17" t="str">
        <f>IF(B40="","",IF(Z40="N","Easy",IF(OR(AND(ISNUMBER(AB40),AB40&gt;'Scoring Settings'!$B$11),AND(ISNUMBER(W40),W40&gt;'Scoring Settings'!$B$12),AND(ISNUMBER(M40),M40&lt;='Scoring Settings'!$B$13)),"High","Medium")))</f>
        <v/>
      </c>
      <c r="AN40" s="14"/>
      <c r="AO40" s="16"/>
      <c r="AP40" s="14"/>
      <c r="AQ40" s="22"/>
    </row>
    <row r="41" spans="1:43">
      <c r="A41" s="14"/>
      <c r="B41" s="14"/>
      <c r="C41" s="14"/>
      <c r="D41" s="14"/>
      <c r="E41" s="14"/>
      <c r="F41" s="14"/>
      <c r="G41" s="14"/>
      <c r="H41" s="14"/>
      <c r="I41" s="15"/>
      <c r="J41" s="16"/>
      <c r="K41" s="17" t="str">
        <f>IF(B41="","",IF(AND(I41="",J41=""),"Unknown",IF(OR(AND(ISNUMBER(I41),I41=0),AND(ISNUMBER(J41),J41&lt;=EDATE('Scoring Settings'!$B$4,-'Scoring Settings'!$B$5))),"Not in use",IF(AND(ISNUMBER(I41),I41&lt;'Scoring Settings'!$B$6),"Low use","Active"))))</f>
        <v/>
      </c>
      <c r="L41" s="14"/>
      <c r="M41" s="14"/>
      <c r="N41" s="14"/>
      <c r="O41" s="14"/>
      <c r="P41" s="14"/>
      <c r="Q41" s="18"/>
      <c r="R41" s="14"/>
      <c r="S41" s="14"/>
      <c r="T41" s="14"/>
      <c r="U41" s="16"/>
      <c r="V41" s="14"/>
      <c r="W41" s="15"/>
      <c r="X41" s="14"/>
      <c r="Y41" s="18"/>
      <c r="Z41" s="14"/>
      <c r="AA41" s="14"/>
      <c r="AB41" s="18"/>
      <c r="AC41" s="14"/>
      <c r="AD41" s="14"/>
      <c r="AE41" s="14"/>
      <c r="AF41" s="19"/>
      <c r="AG41" s="16"/>
      <c r="AH41" s="19"/>
      <c r="AI41" s="19"/>
      <c r="AJ41" s="20" t="str">
        <f t="shared" si="0"/>
        <v/>
      </c>
      <c r="AK41" s="21" t="str">
        <f>IF(B41="","",OR(K41="Not in use",K41="Low use")+AND(N41&lt;&gt;"",N41&lt;&gt;"TBD")+AND(ISNUMBER(U41),U41&lt;=EDATE('Scoring Settings'!$B$4,'Scoring Settings'!$B$8))+AND(ISNUMBER(L41),L41&lt;='Scoring Settings'!$B$7))</f>
        <v/>
      </c>
      <c r="AL41" s="17" t="str">
        <f>IF(B41="","",IF(K41="Not in use","Priority – Not in use",IF(AK41&gt;='Scoring Settings'!$B$9,"Decommission",IF(AK41=1,"Review","Retain"))))</f>
        <v/>
      </c>
      <c r="AM41" s="17" t="str">
        <f>IF(B41="","",IF(Z41="N","Easy",IF(OR(AND(ISNUMBER(AB41),AB41&gt;'Scoring Settings'!$B$11),AND(ISNUMBER(W41),W41&gt;'Scoring Settings'!$B$12),AND(ISNUMBER(M41),M41&lt;='Scoring Settings'!$B$13)),"High","Medium")))</f>
        <v/>
      </c>
      <c r="AN41" s="14"/>
      <c r="AO41" s="16"/>
      <c r="AP41" s="14"/>
      <c r="AQ41" s="22"/>
    </row>
    <row r="42" spans="1:43">
      <c r="A42" s="14"/>
      <c r="B42" s="14"/>
      <c r="C42" s="14"/>
      <c r="D42" s="14"/>
      <c r="E42" s="14"/>
      <c r="F42" s="14"/>
      <c r="G42" s="14"/>
      <c r="H42" s="14"/>
      <c r="I42" s="15"/>
      <c r="J42" s="16"/>
      <c r="K42" s="17" t="str">
        <f>IF(B42="","",IF(AND(I42="",J42=""),"Unknown",IF(OR(AND(ISNUMBER(I42),I42=0),AND(ISNUMBER(J42),J42&lt;=EDATE('Scoring Settings'!$B$4,-'Scoring Settings'!$B$5))),"Not in use",IF(AND(ISNUMBER(I42),I42&lt;'Scoring Settings'!$B$6),"Low use","Active"))))</f>
        <v/>
      </c>
      <c r="L42" s="14"/>
      <c r="M42" s="14"/>
      <c r="N42" s="14"/>
      <c r="O42" s="14"/>
      <c r="P42" s="14"/>
      <c r="Q42" s="18"/>
      <c r="R42" s="14"/>
      <c r="S42" s="14"/>
      <c r="T42" s="14"/>
      <c r="U42" s="16"/>
      <c r="V42" s="14"/>
      <c r="W42" s="15"/>
      <c r="X42" s="14"/>
      <c r="Y42" s="18"/>
      <c r="Z42" s="14"/>
      <c r="AA42" s="14"/>
      <c r="AB42" s="18"/>
      <c r="AC42" s="14"/>
      <c r="AD42" s="14"/>
      <c r="AE42" s="14"/>
      <c r="AF42" s="19"/>
      <c r="AG42" s="16"/>
      <c r="AH42" s="19"/>
      <c r="AI42" s="19"/>
      <c r="AJ42" s="20" t="str">
        <f t="shared" si="0"/>
        <v/>
      </c>
      <c r="AK42" s="21" t="str">
        <f>IF(B42="","",OR(K42="Not in use",K42="Low use")+AND(N42&lt;&gt;"",N42&lt;&gt;"TBD")+AND(ISNUMBER(U42),U42&lt;=EDATE('Scoring Settings'!$B$4,'Scoring Settings'!$B$8))+AND(ISNUMBER(L42),L42&lt;='Scoring Settings'!$B$7))</f>
        <v/>
      </c>
      <c r="AL42" s="17" t="str">
        <f>IF(B42="","",IF(K42="Not in use","Priority – Not in use",IF(AK42&gt;='Scoring Settings'!$B$9,"Decommission",IF(AK42=1,"Review","Retain"))))</f>
        <v/>
      </c>
      <c r="AM42" s="17" t="str">
        <f>IF(B42="","",IF(Z42="N","Easy",IF(OR(AND(ISNUMBER(AB42),AB42&gt;'Scoring Settings'!$B$11),AND(ISNUMBER(W42),W42&gt;'Scoring Settings'!$B$12),AND(ISNUMBER(M42),M42&lt;='Scoring Settings'!$B$13)),"High","Medium")))</f>
        <v/>
      </c>
      <c r="AN42" s="14"/>
      <c r="AO42" s="16"/>
      <c r="AP42" s="14"/>
      <c r="AQ42" s="22"/>
    </row>
    <row r="43" spans="1:43">
      <c r="A43" s="14"/>
      <c r="B43" s="14"/>
      <c r="C43" s="14"/>
      <c r="D43" s="14"/>
      <c r="E43" s="14"/>
      <c r="F43" s="14"/>
      <c r="G43" s="14"/>
      <c r="H43" s="14"/>
      <c r="I43" s="15"/>
      <c r="J43" s="16"/>
      <c r="K43" s="17" t="str">
        <f>IF(B43="","",IF(AND(I43="",J43=""),"Unknown",IF(OR(AND(ISNUMBER(I43),I43=0),AND(ISNUMBER(J43),J43&lt;=EDATE('Scoring Settings'!$B$4,-'Scoring Settings'!$B$5))),"Not in use",IF(AND(ISNUMBER(I43),I43&lt;'Scoring Settings'!$B$6),"Low use","Active"))))</f>
        <v/>
      </c>
      <c r="L43" s="14"/>
      <c r="M43" s="14"/>
      <c r="N43" s="14"/>
      <c r="O43" s="14"/>
      <c r="P43" s="14"/>
      <c r="Q43" s="18"/>
      <c r="R43" s="14"/>
      <c r="S43" s="14"/>
      <c r="T43" s="14"/>
      <c r="U43" s="16"/>
      <c r="V43" s="14"/>
      <c r="W43" s="15"/>
      <c r="X43" s="14"/>
      <c r="Y43" s="18"/>
      <c r="Z43" s="14"/>
      <c r="AA43" s="14"/>
      <c r="AB43" s="18"/>
      <c r="AC43" s="14"/>
      <c r="AD43" s="14"/>
      <c r="AE43" s="14"/>
      <c r="AF43" s="19"/>
      <c r="AG43" s="16"/>
      <c r="AH43" s="19"/>
      <c r="AI43" s="19"/>
      <c r="AJ43" s="20" t="str">
        <f t="shared" si="0"/>
        <v/>
      </c>
      <c r="AK43" s="21" t="str">
        <f>IF(B43="","",OR(K43="Not in use",K43="Low use")+AND(N43&lt;&gt;"",N43&lt;&gt;"TBD")+AND(ISNUMBER(U43),U43&lt;=EDATE('Scoring Settings'!$B$4,'Scoring Settings'!$B$8))+AND(ISNUMBER(L43),L43&lt;='Scoring Settings'!$B$7))</f>
        <v/>
      </c>
      <c r="AL43" s="17" t="str">
        <f>IF(B43="","",IF(K43="Not in use","Priority – Not in use",IF(AK43&gt;='Scoring Settings'!$B$9,"Decommission",IF(AK43=1,"Review","Retain"))))</f>
        <v/>
      </c>
      <c r="AM43" s="17" t="str">
        <f>IF(B43="","",IF(Z43="N","Easy",IF(OR(AND(ISNUMBER(AB43),AB43&gt;'Scoring Settings'!$B$11),AND(ISNUMBER(W43),W43&gt;'Scoring Settings'!$B$12),AND(ISNUMBER(M43),M43&lt;='Scoring Settings'!$B$13)),"High","Medium")))</f>
        <v/>
      </c>
      <c r="AN43" s="14"/>
      <c r="AO43" s="16"/>
      <c r="AP43" s="14"/>
      <c r="AQ43" s="22"/>
    </row>
    <row r="44" spans="1:43">
      <c r="A44" s="14"/>
      <c r="B44" s="14"/>
      <c r="C44" s="14"/>
      <c r="D44" s="14"/>
      <c r="E44" s="14"/>
      <c r="F44" s="14"/>
      <c r="G44" s="14"/>
      <c r="H44" s="14"/>
      <c r="I44" s="15"/>
      <c r="J44" s="16"/>
      <c r="K44" s="17" t="str">
        <f>IF(B44="","",IF(AND(I44="",J44=""),"Unknown",IF(OR(AND(ISNUMBER(I44),I44=0),AND(ISNUMBER(J44),J44&lt;=EDATE('Scoring Settings'!$B$4,-'Scoring Settings'!$B$5))),"Not in use",IF(AND(ISNUMBER(I44),I44&lt;'Scoring Settings'!$B$6),"Low use","Active"))))</f>
        <v/>
      </c>
      <c r="L44" s="14"/>
      <c r="M44" s="14"/>
      <c r="N44" s="14"/>
      <c r="O44" s="14"/>
      <c r="P44" s="14"/>
      <c r="Q44" s="18"/>
      <c r="R44" s="14"/>
      <c r="S44" s="14"/>
      <c r="T44" s="14"/>
      <c r="U44" s="16"/>
      <c r="V44" s="14"/>
      <c r="W44" s="15"/>
      <c r="X44" s="14"/>
      <c r="Y44" s="18"/>
      <c r="Z44" s="14"/>
      <c r="AA44" s="14"/>
      <c r="AB44" s="18"/>
      <c r="AC44" s="14"/>
      <c r="AD44" s="14"/>
      <c r="AE44" s="14"/>
      <c r="AF44" s="19"/>
      <c r="AG44" s="16"/>
      <c r="AH44" s="19"/>
      <c r="AI44" s="19"/>
      <c r="AJ44" s="20" t="str">
        <f t="shared" si="0"/>
        <v/>
      </c>
      <c r="AK44" s="21" t="str">
        <f>IF(B44="","",OR(K44="Not in use",K44="Low use")+AND(N44&lt;&gt;"",N44&lt;&gt;"TBD")+AND(ISNUMBER(U44),U44&lt;=EDATE('Scoring Settings'!$B$4,'Scoring Settings'!$B$8))+AND(ISNUMBER(L44),L44&lt;='Scoring Settings'!$B$7))</f>
        <v/>
      </c>
      <c r="AL44" s="17" t="str">
        <f>IF(B44="","",IF(K44="Not in use","Priority – Not in use",IF(AK44&gt;='Scoring Settings'!$B$9,"Decommission",IF(AK44=1,"Review","Retain"))))</f>
        <v/>
      </c>
      <c r="AM44" s="17" t="str">
        <f>IF(B44="","",IF(Z44="N","Easy",IF(OR(AND(ISNUMBER(AB44),AB44&gt;'Scoring Settings'!$B$11),AND(ISNUMBER(W44),W44&gt;'Scoring Settings'!$B$12),AND(ISNUMBER(M44),M44&lt;='Scoring Settings'!$B$13)),"High","Medium")))</f>
        <v/>
      </c>
      <c r="AN44" s="14"/>
      <c r="AO44" s="16"/>
      <c r="AP44" s="14"/>
      <c r="AQ44" s="22"/>
    </row>
    <row r="45" spans="1:43">
      <c r="A45" s="14"/>
      <c r="B45" s="14"/>
      <c r="C45" s="14"/>
      <c r="D45" s="14"/>
      <c r="E45" s="14"/>
      <c r="F45" s="14"/>
      <c r="G45" s="14"/>
      <c r="H45" s="14"/>
      <c r="I45" s="15"/>
      <c r="J45" s="16"/>
      <c r="K45" s="17" t="str">
        <f>IF(B45="","",IF(AND(I45="",J45=""),"Unknown",IF(OR(AND(ISNUMBER(I45),I45=0),AND(ISNUMBER(J45),J45&lt;=EDATE('Scoring Settings'!$B$4,-'Scoring Settings'!$B$5))),"Not in use",IF(AND(ISNUMBER(I45),I45&lt;'Scoring Settings'!$B$6),"Low use","Active"))))</f>
        <v/>
      </c>
      <c r="L45" s="14"/>
      <c r="M45" s="14"/>
      <c r="N45" s="14"/>
      <c r="O45" s="14"/>
      <c r="P45" s="14"/>
      <c r="Q45" s="18"/>
      <c r="R45" s="14"/>
      <c r="S45" s="14"/>
      <c r="T45" s="14"/>
      <c r="U45" s="16"/>
      <c r="V45" s="14"/>
      <c r="W45" s="15"/>
      <c r="X45" s="14"/>
      <c r="Y45" s="18"/>
      <c r="Z45" s="14"/>
      <c r="AA45" s="14"/>
      <c r="AB45" s="18"/>
      <c r="AC45" s="14"/>
      <c r="AD45" s="14"/>
      <c r="AE45" s="14"/>
      <c r="AF45" s="19"/>
      <c r="AG45" s="16"/>
      <c r="AH45" s="19"/>
      <c r="AI45" s="19"/>
      <c r="AJ45" s="20" t="str">
        <f t="shared" si="0"/>
        <v/>
      </c>
      <c r="AK45" s="21" t="str">
        <f>IF(B45="","",OR(K45="Not in use",K45="Low use")+AND(N45&lt;&gt;"",N45&lt;&gt;"TBD")+AND(ISNUMBER(U45),U45&lt;=EDATE('Scoring Settings'!$B$4,'Scoring Settings'!$B$8))+AND(ISNUMBER(L45),L45&lt;='Scoring Settings'!$B$7))</f>
        <v/>
      </c>
      <c r="AL45" s="17" t="str">
        <f>IF(B45="","",IF(K45="Not in use","Priority – Not in use",IF(AK45&gt;='Scoring Settings'!$B$9,"Decommission",IF(AK45=1,"Review","Retain"))))</f>
        <v/>
      </c>
      <c r="AM45" s="17" t="str">
        <f>IF(B45="","",IF(Z45="N","Easy",IF(OR(AND(ISNUMBER(AB45),AB45&gt;'Scoring Settings'!$B$11),AND(ISNUMBER(W45),W45&gt;'Scoring Settings'!$B$12),AND(ISNUMBER(M45),M45&lt;='Scoring Settings'!$B$13)),"High","Medium")))</f>
        <v/>
      </c>
      <c r="AN45" s="14"/>
      <c r="AO45" s="16"/>
      <c r="AP45" s="14"/>
      <c r="AQ45" s="22"/>
    </row>
    <row r="46" spans="1:43">
      <c r="A46" s="14"/>
      <c r="B46" s="14"/>
      <c r="C46" s="14"/>
      <c r="D46" s="14"/>
      <c r="E46" s="14"/>
      <c r="F46" s="14"/>
      <c r="G46" s="14"/>
      <c r="H46" s="14"/>
      <c r="I46" s="15"/>
      <c r="J46" s="16"/>
      <c r="K46" s="17" t="str">
        <f>IF(B46="","",IF(AND(I46="",J46=""),"Unknown",IF(OR(AND(ISNUMBER(I46),I46=0),AND(ISNUMBER(J46),J46&lt;=EDATE('Scoring Settings'!$B$4,-'Scoring Settings'!$B$5))),"Not in use",IF(AND(ISNUMBER(I46),I46&lt;'Scoring Settings'!$B$6),"Low use","Active"))))</f>
        <v/>
      </c>
      <c r="L46" s="14"/>
      <c r="M46" s="14"/>
      <c r="N46" s="14"/>
      <c r="O46" s="14"/>
      <c r="P46" s="14"/>
      <c r="Q46" s="18"/>
      <c r="R46" s="14"/>
      <c r="S46" s="14"/>
      <c r="T46" s="14"/>
      <c r="U46" s="16"/>
      <c r="V46" s="14"/>
      <c r="W46" s="15"/>
      <c r="X46" s="14"/>
      <c r="Y46" s="18"/>
      <c r="Z46" s="14"/>
      <c r="AA46" s="14"/>
      <c r="AB46" s="18"/>
      <c r="AC46" s="14"/>
      <c r="AD46" s="14"/>
      <c r="AE46" s="14"/>
      <c r="AF46" s="19"/>
      <c r="AG46" s="16"/>
      <c r="AH46" s="19"/>
      <c r="AI46" s="19"/>
      <c r="AJ46" s="20" t="str">
        <f t="shared" si="0"/>
        <v/>
      </c>
      <c r="AK46" s="21" t="str">
        <f>IF(B46="","",OR(K46="Not in use",K46="Low use")+AND(N46&lt;&gt;"",N46&lt;&gt;"TBD")+AND(ISNUMBER(U46),U46&lt;=EDATE('Scoring Settings'!$B$4,'Scoring Settings'!$B$8))+AND(ISNUMBER(L46),L46&lt;='Scoring Settings'!$B$7))</f>
        <v/>
      </c>
      <c r="AL46" s="17" t="str">
        <f>IF(B46="","",IF(K46="Not in use","Priority – Not in use",IF(AK46&gt;='Scoring Settings'!$B$9,"Decommission",IF(AK46=1,"Review","Retain"))))</f>
        <v/>
      </c>
      <c r="AM46" s="17" t="str">
        <f>IF(B46="","",IF(Z46="N","Easy",IF(OR(AND(ISNUMBER(AB46),AB46&gt;'Scoring Settings'!$B$11),AND(ISNUMBER(W46),W46&gt;'Scoring Settings'!$B$12),AND(ISNUMBER(M46),M46&lt;='Scoring Settings'!$B$13)),"High","Medium")))</f>
        <v/>
      </c>
      <c r="AN46" s="14"/>
      <c r="AO46" s="16"/>
      <c r="AP46" s="14"/>
      <c r="AQ46" s="22"/>
    </row>
    <row r="47" spans="1:43">
      <c r="A47" s="14"/>
      <c r="B47" s="14"/>
      <c r="C47" s="14"/>
      <c r="D47" s="14"/>
      <c r="E47" s="14"/>
      <c r="F47" s="14"/>
      <c r="G47" s="14"/>
      <c r="H47" s="14"/>
      <c r="I47" s="15"/>
      <c r="J47" s="16"/>
      <c r="K47" s="17" t="str">
        <f>IF(B47="","",IF(AND(I47="",J47=""),"Unknown",IF(OR(AND(ISNUMBER(I47),I47=0),AND(ISNUMBER(J47),J47&lt;=EDATE('Scoring Settings'!$B$4,-'Scoring Settings'!$B$5))),"Not in use",IF(AND(ISNUMBER(I47),I47&lt;'Scoring Settings'!$B$6),"Low use","Active"))))</f>
        <v/>
      </c>
      <c r="L47" s="14"/>
      <c r="M47" s="14"/>
      <c r="N47" s="14"/>
      <c r="O47" s="14"/>
      <c r="P47" s="14"/>
      <c r="Q47" s="18"/>
      <c r="R47" s="14"/>
      <c r="S47" s="14"/>
      <c r="T47" s="14"/>
      <c r="U47" s="16"/>
      <c r="V47" s="14"/>
      <c r="W47" s="15"/>
      <c r="X47" s="14"/>
      <c r="Y47" s="18"/>
      <c r="Z47" s="14"/>
      <c r="AA47" s="14"/>
      <c r="AB47" s="18"/>
      <c r="AC47" s="14"/>
      <c r="AD47" s="14"/>
      <c r="AE47" s="14"/>
      <c r="AF47" s="19"/>
      <c r="AG47" s="16"/>
      <c r="AH47" s="19"/>
      <c r="AI47" s="19"/>
      <c r="AJ47" s="20" t="str">
        <f t="shared" si="0"/>
        <v/>
      </c>
      <c r="AK47" s="21" t="str">
        <f>IF(B47="","",OR(K47="Not in use",K47="Low use")+AND(N47&lt;&gt;"",N47&lt;&gt;"TBD")+AND(ISNUMBER(U47),U47&lt;=EDATE('Scoring Settings'!$B$4,'Scoring Settings'!$B$8))+AND(ISNUMBER(L47),L47&lt;='Scoring Settings'!$B$7))</f>
        <v/>
      </c>
      <c r="AL47" s="17" t="str">
        <f>IF(B47="","",IF(K47="Not in use","Priority – Not in use",IF(AK47&gt;='Scoring Settings'!$B$9,"Decommission",IF(AK47=1,"Review","Retain"))))</f>
        <v/>
      </c>
      <c r="AM47" s="17" t="str">
        <f>IF(B47="","",IF(Z47="N","Easy",IF(OR(AND(ISNUMBER(AB47),AB47&gt;'Scoring Settings'!$B$11),AND(ISNUMBER(W47),W47&gt;'Scoring Settings'!$B$12),AND(ISNUMBER(M47),M47&lt;='Scoring Settings'!$B$13)),"High","Medium")))</f>
        <v/>
      </c>
      <c r="AN47" s="14"/>
      <c r="AO47" s="16"/>
      <c r="AP47" s="14"/>
      <c r="AQ47" s="22"/>
    </row>
    <row r="48" spans="1:43">
      <c r="A48" s="14"/>
      <c r="B48" s="14"/>
      <c r="C48" s="14"/>
      <c r="D48" s="14"/>
      <c r="E48" s="14"/>
      <c r="F48" s="14"/>
      <c r="G48" s="14"/>
      <c r="H48" s="14"/>
      <c r="I48" s="15"/>
      <c r="J48" s="16"/>
      <c r="K48" s="17" t="str">
        <f>IF(B48="","",IF(AND(I48="",J48=""),"Unknown",IF(OR(AND(ISNUMBER(I48),I48=0),AND(ISNUMBER(J48),J48&lt;=EDATE('Scoring Settings'!$B$4,-'Scoring Settings'!$B$5))),"Not in use",IF(AND(ISNUMBER(I48),I48&lt;'Scoring Settings'!$B$6),"Low use","Active"))))</f>
        <v/>
      </c>
      <c r="L48" s="14"/>
      <c r="M48" s="14"/>
      <c r="N48" s="14"/>
      <c r="O48" s="14"/>
      <c r="P48" s="14"/>
      <c r="Q48" s="18"/>
      <c r="R48" s="14"/>
      <c r="S48" s="14"/>
      <c r="T48" s="14"/>
      <c r="U48" s="16"/>
      <c r="V48" s="14"/>
      <c r="W48" s="15"/>
      <c r="X48" s="14"/>
      <c r="Y48" s="18"/>
      <c r="Z48" s="14"/>
      <c r="AA48" s="14"/>
      <c r="AB48" s="18"/>
      <c r="AC48" s="14"/>
      <c r="AD48" s="14"/>
      <c r="AE48" s="14"/>
      <c r="AF48" s="19"/>
      <c r="AG48" s="16"/>
      <c r="AH48" s="19"/>
      <c r="AI48" s="19"/>
      <c r="AJ48" s="20" t="str">
        <f t="shared" si="0"/>
        <v/>
      </c>
      <c r="AK48" s="21" t="str">
        <f>IF(B48="","",OR(K48="Not in use",K48="Low use")+AND(N48&lt;&gt;"",N48&lt;&gt;"TBD")+AND(ISNUMBER(U48),U48&lt;=EDATE('Scoring Settings'!$B$4,'Scoring Settings'!$B$8))+AND(ISNUMBER(L48),L48&lt;='Scoring Settings'!$B$7))</f>
        <v/>
      </c>
      <c r="AL48" s="17" t="str">
        <f>IF(B48="","",IF(K48="Not in use","Priority – Not in use",IF(AK48&gt;='Scoring Settings'!$B$9,"Decommission",IF(AK48=1,"Review","Retain"))))</f>
        <v/>
      </c>
      <c r="AM48" s="17" t="str">
        <f>IF(B48="","",IF(Z48="N","Easy",IF(OR(AND(ISNUMBER(AB48),AB48&gt;'Scoring Settings'!$B$11),AND(ISNUMBER(W48),W48&gt;'Scoring Settings'!$B$12),AND(ISNUMBER(M48),M48&lt;='Scoring Settings'!$B$13)),"High","Medium")))</f>
        <v/>
      </c>
      <c r="AN48" s="14"/>
      <c r="AO48" s="16"/>
      <c r="AP48" s="14"/>
      <c r="AQ48" s="22"/>
    </row>
    <row r="49" spans="1:43">
      <c r="A49" s="14"/>
      <c r="B49" s="14"/>
      <c r="C49" s="14"/>
      <c r="D49" s="14"/>
      <c r="E49" s="14"/>
      <c r="F49" s="14"/>
      <c r="G49" s="14"/>
      <c r="H49" s="14"/>
      <c r="I49" s="15"/>
      <c r="J49" s="16"/>
      <c r="K49" s="17" t="str">
        <f>IF(B49="","",IF(AND(I49="",J49=""),"Unknown",IF(OR(AND(ISNUMBER(I49),I49=0),AND(ISNUMBER(J49),J49&lt;=EDATE('Scoring Settings'!$B$4,-'Scoring Settings'!$B$5))),"Not in use",IF(AND(ISNUMBER(I49),I49&lt;'Scoring Settings'!$B$6),"Low use","Active"))))</f>
        <v/>
      </c>
      <c r="L49" s="14"/>
      <c r="M49" s="14"/>
      <c r="N49" s="14"/>
      <c r="O49" s="14"/>
      <c r="P49" s="14"/>
      <c r="Q49" s="18"/>
      <c r="R49" s="14"/>
      <c r="S49" s="14"/>
      <c r="T49" s="14"/>
      <c r="U49" s="16"/>
      <c r="V49" s="14"/>
      <c r="W49" s="15"/>
      <c r="X49" s="14"/>
      <c r="Y49" s="18"/>
      <c r="Z49" s="14"/>
      <c r="AA49" s="14"/>
      <c r="AB49" s="18"/>
      <c r="AC49" s="14"/>
      <c r="AD49" s="14"/>
      <c r="AE49" s="14"/>
      <c r="AF49" s="19"/>
      <c r="AG49" s="16"/>
      <c r="AH49" s="19"/>
      <c r="AI49" s="19"/>
      <c r="AJ49" s="20" t="str">
        <f t="shared" si="0"/>
        <v/>
      </c>
      <c r="AK49" s="21" t="str">
        <f>IF(B49="","",OR(K49="Not in use",K49="Low use")+AND(N49&lt;&gt;"",N49&lt;&gt;"TBD")+AND(ISNUMBER(U49),U49&lt;=EDATE('Scoring Settings'!$B$4,'Scoring Settings'!$B$8))+AND(ISNUMBER(L49),L49&lt;='Scoring Settings'!$B$7))</f>
        <v/>
      </c>
      <c r="AL49" s="17" t="str">
        <f>IF(B49="","",IF(K49="Not in use","Priority – Not in use",IF(AK49&gt;='Scoring Settings'!$B$9,"Decommission",IF(AK49=1,"Review","Retain"))))</f>
        <v/>
      </c>
      <c r="AM49" s="17" t="str">
        <f>IF(B49="","",IF(Z49="N","Easy",IF(OR(AND(ISNUMBER(AB49),AB49&gt;'Scoring Settings'!$B$11),AND(ISNUMBER(W49),W49&gt;'Scoring Settings'!$B$12),AND(ISNUMBER(M49),M49&lt;='Scoring Settings'!$B$13)),"High","Medium")))</f>
        <v/>
      </c>
      <c r="AN49" s="14"/>
      <c r="AO49" s="16"/>
      <c r="AP49" s="14"/>
      <c r="AQ49" s="22"/>
    </row>
    <row r="50" spans="1:43">
      <c r="A50" s="14"/>
      <c r="B50" s="14"/>
      <c r="C50" s="14"/>
      <c r="D50" s="14"/>
      <c r="E50" s="14"/>
      <c r="F50" s="14"/>
      <c r="G50" s="14"/>
      <c r="H50" s="14"/>
      <c r="I50" s="15"/>
      <c r="J50" s="16"/>
      <c r="K50" s="17" t="str">
        <f>IF(B50="","",IF(AND(I50="",J50=""),"Unknown",IF(OR(AND(ISNUMBER(I50),I50=0),AND(ISNUMBER(J50),J50&lt;=EDATE('Scoring Settings'!$B$4,-'Scoring Settings'!$B$5))),"Not in use",IF(AND(ISNUMBER(I50),I50&lt;'Scoring Settings'!$B$6),"Low use","Active"))))</f>
        <v/>
      </c>
      <c r="L50" s="14"/>
      <c r="M50" s="14"/>
      <c r="N50" s="14"/>
      <c r="O50" s="14"/>
      <c r="P50" s="14"/>
      <c r="Q50" s="18"/>
      <c r="R50" s="14"/>
      <c r="S50" s="14"/>
      <c r="T50" s="14"/>
      <c r="U50" s="16"/>
      <c r="V50" s="14"/>
      <c r="W50" s="15"/>
      <c r="X50" s="14"/>
      <c r="Y50" s="18"/>
      <c r="Z50" s="14"/>
      <c r="AA50" s="14"/>
      <c r="AB50" s="18"/>
      <c r="AC50" s="14"/>
      <c r="AD50" s="14"/>
      <c r="AE50" s="14"/>
      <c r="AF50" s="19"/>
      <c r="AG50" s="16"/>
      <c r="AH50" s="19"/>
      <c r="AI50" s="19"/>
      <c r="AJ50" s="20" t="str">
        <f t="shared" si="0"/>
        <v/>
      </c>
      <c r="AK50" s="21" t="str">
        <f>IF(B50="","",OR(K50="Not in use",K50="Low use")+AND(N50&lt;&gt;"",N50&lt;&gt;"TBD")+AND(ISNUMBER(U50),U50&lt;=EDATE('Scoring Settings'!$B$4,'Scoring Settings'!$B$8))+AND(ISNUMBER(L50),L50&lt;='Scoring Settings'!$B$7))</f>
        <v/>
      </c>
      <c r="AL50" s="17" t="str">
        <f>IF(B50="","",IF(K50="Not in use","Priority – Not in use",IF(AK50&gt;='Scoring Settings'!$B$9,"Decommission",IF(AK50=1,"Review","Retain"))))</f>
        <v/>
      </c>
      <c r="AM50" s="17" t="str">
        <f>IF(B50="","",IF(Z50="N","Easy",IF(OR(AND(ISNUMBER(AB50),AB50&gt;'Scoring Settings'!$B$11),AND(ISNUMBER(W50),W50&gt;'Scoring Settings'!$B$12),AND(ISNUMBER(M50),M50&lt;='Scoring Settings'!$B$13)),"High","Medium")))</f>
        <v/>
      </c>
      <c r="AN50" s="14"/>
      <c r="AO50" s="16"/>
      <c r="AP50" s="14"/>
      <c r="AQ50" s="22"/>
    </row>
    <row r="51" spans="1:43">
      <c r="A51" s="14"/>
      <c r="B51" s="14"/>
      <c r="C51" s="14"/>
      <c r="D51" s="14"/>
      <c r="E51" s="14"/>
      <c r="F51" s="14"/>
      <c r="G51" s="14"/>
      <c r="H51" s="14"/>
      <c r="I51" s="15"/>
      <c r="J51" s="16"/>
      <c r="K51" s="17" t="str">
        <f>IF(B51="","",IF(AND(I51="",J51=""),"Unknown",IF(OR(AND(ISNUMBER(I51),I51=0),AND(ISNUMBER(J51),J51&lt;=EDATE('Scoring Settings'!$B$4,-'Scoring Settings'!$B$5))),"Not in use",IF(AND(ISNUMBER(I51),I51&lt;'Scoring Settings'!$B$6),"Low use","Active"))))</f>
        <v/>
      </c>
      <c r="L51" s="14"/>
      <c r="M51" s="14"/>
      <c r="N51" s="14"/>
      <c r="O51" s="14"/>
      <c r="P51" s="14"/>
      <c r="Q51" s="18"/>
      <c r="R51" s="14"/>
      <c r="S51" s="14"/>
      <c r="T51" s="14"/>
      <c r="U51" s="16"/>
      <c r="V51" s="14"/>
      <c r="W51" s="15"/>
      <c r="X51" s="14"/>
      <c r="Y51" s="18"/>
      <c r="Z51" s="14"/>
      <c r="AA51" s="14"/>
      <c r="AB51" s="18"/>
      <c r="AC51" s="14"/>
      <c r="AD51" s="14"/>
      <c r="AE51" s="14"/>
      <c r="AF51" s="19"/>
      <c r="AG51" s="16"/>
      <c r="AH51" s="19"/>
      <c r="AI51" s="19"/>
      <c r="AJ51" s="20" t="str">
        <f t="shared" si="0"/>
        <v/>
      </c>
      <c r="AK51" s="21" t="str">
        <f>IF(B51="","",OR(K51="Not in use",K51="Low use")+AND(N51&lt;&gt;"",N51&lt;&gt;"TBD")+AND(ISNUMBER(U51),U51&lt;=EDATE('Scoring Settings'!$B$4,'Scoring Settings'!$B$8))+AND(ISNUMBER(L51),L51&lt;='Scoring Settings'!$B$7))</f>
        <v/>
      </c>
      <c r="AL51" s="17" t="str">
        <f>IF(B51="","",IF(K51="Not in use","Priority – Not in use",IF(AK51&gt;='Scoring Settings'!$B$9,"Decommission",IF(AK51=1,"Review","Retain"))))</f>
        <v/>
      </c>
      <c r="AM51" s="17" t="str">
        <f>IF(B51="","",IF(Z51="N","Easy",IF(OR(AND(ISNUMBER(AB51),AB51&gt;'Scoring Settings'!$B$11),AND(ISNUMBER(W51),W51&gt;'Scoring Settings'!$B$12),AND(ISNUMBER(M51),M51&lt;='Scoring Settings'!$B$13)),"High","Medium")))</f>
        <v/>
      </c>
      <c r="AN51" s="14"/>
      <c r="AO51" s="16"/>
      <c r="AP51" s="14"/>
      <c r="AQ51" s="22"/>
    </row>
    <row r="52" spans="1:43">
      <c r="A52" s="14"/>
      <c r="B52" s="14"/>
      <c r="C52" s="14"/>
      <c r="D52" s="14"/>
      <c r="E52" s="14"/>
      <c r="F52" s="14"/>
      <c r="G52" s="14"/>
      <c r="H52" s="14"/>
      <c r="I52" s="15"/>
      <c r="J52" s="16"/>
      <c r="K52" s="17" t="str">
        <f>IF(B52="","",IF(AND(I52="",J52=""),"Unknown",IF(OR(AND(ISNUMBER(I52),I52=0),AND(ISNUMBER(J52),J52&lt;=EDATE('Scoring Settings'!$B$4,-'Scoring Settings'!$B$5))),"Not in use",IF(AND(ISNUMBER(I52),I52&lt;'Scoring Settings'!$B$6),"Low use","Active"))))</f>
        <v/>
      </c>
      <c r="L52" s="14"/>
      <c r="M52" s="14"/>
      <c r="N52" s="14"/>
      <c r="O52" s="14"/>
      <c r="P52" s="14"/>
      <c r="Q52" s="18"/>
      <c r="R52" s="14"/>
      <c r="S52" s="14"/>
      <c r="T52" s="14"/>
      <c r="U52" s="16"/>
      <c r="V52" s="14"/>
      <c r="W52" s="15"/>
      <c r="X52" s="14"/>
      <c r="Y52" s="18"/>
      <c r="Z52" s="14"/>
      <c r="AA52" s="14"/>
      <c r="AB52" s="18"/>
      <c r="AC52" s="14"/>
      <c r="AD52" s="14"/>
      <c r="AE52" s="14"/>
      <c r="AF52" s="19"/>
      <c r="AG52" s="16"/>
      <c r="AH52" s="19"/>
      <c r="AI52" s="19"/>
      <c r="AJ52" s="20" t="str">
        <f t="shared" si="0"/>
        <v/>
      </c>
      <c r="AK52" s="21" t="str">
        <f>IF(B52="","",OR(K52="Not in use",K52="Low use")+AND(N52&lt;&gt;"",N52&lt;&gt;"TBD")+AND(ISNUMBER(U52),U52&lt;=EDATE('Scoring Settings'!$B$4,'Scoring Settings'!$B$8))+AND(ISNUMBER(L52),L52&lt;='Scoring Settings'!$B$7))</f>
        <v/>
      </c>
      <c r="AL52" s="17" t="str">
        <f>IF(B52="","",IF(K52="Not in use","Priority – Not in use",IF(AK52&gt;='Scoring Settings'!$B$9,"Decommission",IF(AK52=1,"Review","Retain"))))</f>
        <v/>
      </c>
      <c r="AM52" s="17" t="str">
        <f>IF(B52="","",IF(Z52="N","Easy",IF(OR(AND(ISNUMBER(AB52),AB52&gt;'Scoring Settings'!$B$11),AND(ISNUMBER(W52),W52&gt;'Scoring Settings'!$B$12),AND(ISNUMBER(M52),M52&lt;='Scoring Settings'!$B$13)),"High","Medium")))</f>
        <v/>
      </c>
      <c r="AN52" s="14"/>
      <c r="AO52" s="16"/>
      <c r="AP52" s="14"/>
      <c r="AQ52" s="22"/>
    </row>
    <row r="53" spans="1:43">
      <c r="A53" s="14"/>
      <c r="B53" s="14"/>
      <c r="C53" s="14"/>
      <c r="D53" s="14"/>
      <c r="E53" s="14"/>
      <c r="F53" s="14"/>
      <c r="G53" s="14"/>
      <c r="H53" s="14"/>
      <c r="I53" s="15"/>
      <c r="J53" s="16"/>
      <c r="K53" s="17" t="str">
        <f>IF(B53="","",IF(AND(I53="",J53=""),"Unknown",IF(OR(AND(ISNUMBER(I53),I53=0),AND(ISNUMBER(J53),J53&lt;=EDATE('Scoring Settings'!$B$4,-'Scoring Settings'!$B$5))),"Not in use",IF(AND(ISNUMBER(I53),I53&lt;'Scoring Settings'!$B$6),"Low use","Active"))))</f>
        <v/>
      </c>
      <c r="L53" s="14"/>
      <c r="M53" s="14"/>
      <c r="N53" s="14"/>
      <c r="O53" s="14"/>
      <c r="P53" s="14"/>
      <c r="Q53" s="18"/>
      <c r="R53" s="14"/>
      <c r="S53" s="14"/>
      <c r="T53" s="14"/>
      <c r="U53" s="16"/>
      <c r="V53" s="14"/>
      <c r="W53" s="15"/>
      <c r="X53" s="14"/>
      <c r="Y53" s="18"/>
      <c r="Z53" s="14"/>
      <c r="AA53" s="14"/>
      <c r="AB53" s="18"/>
      <c r="AC53" s="14"/>
      <c r="AD53" s="14"/>
      <c r="AE53" s="14"/>
      <c r="AF53" s="19"/>
      <c r="AG53" s="16"/>
      <c r="AH53" s="19"/>
      <c r="AI53" s="19"/>
      <c r="AJ53" s="20" t="str">
        <f t="shared" si="0"/>
        <v/>
      </c>
      <c r="AK53" s="21" t="str">
        <f>IF(B53="","",OR(K53="Not in use",K53="Low use")+AND(N53&lt;&gt;"",N53&lt;&gt;"TBD")+AND(ISNUMBER(U53),U53&lt;=EDATE('Scoring Settings'!$B$4,'Scoring Settings'!$B$8))+AND(ISNUMBER(L53),L53&lt;='Scoring Settings'!$B$7))</f>
        <v/>
      </c>
      <c r="AL53" s="17" t="str">
        <f>IF(B53="","",IF(K53="Not in use","Priority – Not in use",IF(AK53&gt;='Scoring Settings'!$B$9,"Decommission",IF(AK53=1,"Review","Retain"))))</f>
        <v/>
      </c>
      <c r="AM53" s="17" t="str">
        <f>IF(B53="","",IF(Z53="N","Easy",IF(OR(AND(ISNUMBER(AB53),AB53&gt;'Scoring Settings'!$B$11),AND(ISNUMBER(W53),W53&gt;'Scoring Settings'!$B$12),AND(ISNUMBER(M53),M53&lt;='Scoring Settings'!$B$13)),"High","Medium")))</f>
        <v/>
      </c>
      <c r="AN53" s="14"/>
      <c r="AO53" s="16"/>
      <c r="AP53" s="14"/>
      <c r="AQ53" s="22"/>
    </row>
    <row r="54" spans="1:43">
      <c r="A54" s="14"/>
      <c r="B54" s="14"/>
      <c r="C54" s="14"/>
      <c r="D54" s="14"/>
      <c r="E54" s="14"/>
      <c r="F54" s="14"/>
      <c r="G54" s="14"/>
      <c r="H54" s="14"/>
      <c r="I54" s="15"/>
      <c r="J54" s="16"/>
      <c r="K54" s="17" t="str">
        <f>IF(B54="","",IF(AND(I54="",J54=""),"Unknown",IF(OR(AND(ISNUMBER(I54),I54=0),AND(ISNUMBER(J54),J54&lt;=EDATE('Scoring Settings'!$B$4,-'Scoring Settings'!$B$5))),"Not in use",IF(AND(ISNUMBER(I54),I54&lt;'Scoring Settings'!$B$6),"Low use","Active"))))</f>
        <v/>
      </c>
      <c r="L54" s="14"/>
      <c r="M54" s="14"/>
      <c r="N54" s="14"/>
      <c r="O54" s="14"/>
      <c r="P54" s="14"/>
      <c r="Q54" s="18"/>
      <c r="R54" s="14"/>
      <c r="S54" s="14"/>
      <c r="T54" s="14"/>
      <c r="U54" s="16"/>
      <c r="V54" s="14"/>
      <c r="W54" s="15"/>
      <c r="X54" s="14"/>
      <c r="Y54" s="18"/>
      <c r="Z54" s="14"/>
      <c r="AA54" s="14"/>
      <c r="AB54" s="18"/>
      <c r="AC54" s="14"/>
      <c r="AD54" s="14"/>
      <c r="AE54" s="14"/>
      <c r="AF54" s="19"/>
      <c r="AG54" s="16"/>
      <c r="AH54" s="19"/>
      <c r="AI54" s="19"/>
      <c r="AJ54" s="20" t="str">
        <f t="shared" si="0"/>
        <v/>
      </c>
      <c r="AK54" s="21" t="str">
        <f>IF(B54="","",OR(K54="Not in use",K54="Low use")+AND(N54&lt;&gt;"",N54&lt;&gt;"TBD")+AND(ISNUMBER(U54),U54&lt;=EDATE('Scoring Settings'!$B$4,'Scoring Settings'!$B$8))+AND(ISNUMBER(L54),L54&lt;='Scoring Settings'!$B$7))</f>
        <v/>
      </c>
      <c r="AL54" s="17" t="str">
        <f>IF(B54="","",IF(K54="Not in use","Priority – Not in use",IF(AK54&gt;='Scoring Settings'!$B$9,"Decommission",IF(AK54=1,"Review","Retain"))))</f>
        <v/>
      </c>
      <c r="AM54" s="17" t="str">
        <f>IF(B54="","",IF(Z54="N","Easy",IF(OR(AND(ISNUMBER(AB54),AB54&gt;'Scoring Settings'!$B$11),AND(ISNUMBER(W54),W54&gt;'Scoring Settings'!$B$12),AND(ISNUMBER(M54),M54&lt;='Scoring Settings'!$B$13)),"High","Medium")))</f>
        <v/>
      </c>
      <c r="AN54" s="14"/>
      <c r="AO54" s="16"/>
      <c r="AP54" s="14"/>
      <c r="AQ54" s="22"/>
    </row>
    <row r="55" spans="1:43">
      <c r="A55" s="14"/>
      <c r="B55" s="14"/>
      <c r="C55" s="14"/>
      <c r="D55" s="14"/>
      <c r="E55" s="14"/>
      <c r="F55" s="14"/>
      <c r="G55" s="14"/>
      <c r="H55" s="14"/>
      <c r="I55" s="15"/>
      <c r="J55" s="16"/>
      <c r="K55" s="17" t="str">
        <f>IF(B55="","",IF(AND(I55="",J55=""),"Unknown",IF(OR(AND(ISNUMBER(I55),I55=0),AND(ISNUMBER(J55),J55&lt;=EDATE('Scoring Settings'!$B$4,-'Scoring Settings'!$B$5))),"Not in use",IF(AND(ISNUMBER(I55),I55&lt;'Scoring Settings'!$B$6),"Low use","Active"))))</f>
        <v/>
      </c>
      <c r="L55" s="14"/>
      <c r="M55" s="14"/>
      <c r="N55" s="14"/>
      <c r="O55" s="14"/>
      <c r="P55" s="14"/>
      <c r="Q55" s="18"/>
      <c r="R55" s="14"/>
      <c r="S55" s="14"/>
      <c r="T55" s="14"/>
      <c r="U55" s="16"/>
      <c r="V55" s="14"/>
      <c r="W55" s="15"/>
      <c r="X55" s="14"/>
      <c r="Y55" s="18"/>
      <c r="Z55" s="14"/>
      <c r="AA55" s="14"/>
      <c r="AB55" s="18"/>
      <c r="AC55" s="14"/>
      <c r="AD55" s="14"/>
      <c r="AE55" s="14"/>
      <c r="AF55" s="19"/>
      <c r="AG55" s="16"/>
      <c r="AH55" s="19"/>
      <c r="AI55" s="19"/>
      <c r="AJ55" s="20" t="str">
        <f t="shared" si="0"/>
        <v/>
      </c>
      <c r="AK55" s="21" t="str">
        <f>IF(B55="","",OR(K55="Not in use",K55="Low use")+AND(N55&lt;&gt;"",N55&lt;&gt;"TBD")+AND(ISNUMBER(U55),U55&lt;=EDATE('Scoring Settings'!$B$4,'Scoring Settings'!$B$8))+AND(ISNUMBER(L55),L55&lt;='Scoring Settings'!$B$7))</f>
        <v/>
      </c>
      <c r="AL55" s="17" t="str">
        <f>IF(B55="","",IF(K55="Not in use","Priority – Not in use",IF(AK55&gt;='Scoring Settings'!$B$9,"Decommission",IF(AK55=1,"Review","Retain"))))</f>
        <v/>
      </c>
      <c r="AM55" s="17" t="str">
        <f>IF(B55="","",IF(Z55="N","Easy",IF(OR(AND(ISNUMBER(AB55),AB55&gt;'Scoring Settings'!$B$11),AND(ISNUMBER(W55),W55&gt;'Scoring Settings'!$B$12),AND(ISNUMBER(M55),M55&lt;='Scoring Settings'!$B$13)),"High","Medium")))</f>
        <v/>
      </c>
      <c r="AN55" s="14"/>
      <c r="AO55" s="16"/>
      <c r="AP55" s="14"/>
      <c r="AQ55" s="22"/>
    </row>
    <row r="56" spans="1:43">
      <c r="A56" s="14"/>
      <c r="B56" s="14"/>
      <c r="C56" s="14"/>
      <c r="D56" s="14"/>
      <c r="E56" s="14"/>
      <c r="F56" s="14"/>
      <c r="G56" s="14"/>
      <c r="H56" s="14"/>
      <c r="I56" s="15"/>
      <c r="J56" s="16"/>
      <c r="K56" s="17" t="str">
        <f>IF(B56="","",IF(AND(I56="",J56=""),"Unknown",IF(OR(AND(ISNUMBER(I56),I56=0),AND(ISNUMBER(J56),J56&lt;=EDATE('Scoring Settings'!$B$4,-'Scoring Settings'!$B$5))),"Not in use",IF(AND(ISNUMBER(I56),I56&lt;'Scoring Settings'!$B$6),"Low use","Active"))))</f>
        <v/>
      </c>
      <c r="L56" s="14"/>
      <c r="M56" s="14"/>
      <c r="N56" s="14"/>
      <c r="O56" s="14"/>
      <c r="P56" s="14"/>
      <c r="Q56" s="18"/>
      <c r="R56" s="14"/>
      <c r="S56" s="14"/>
      <c r="T56" s="14"/>
      <c r="U56" s="16"/>
      <c r="V56" s="14"/>
      <c r="W56" s="15"/>
      <c r="X56" s="14"/>
      <c r="Y56" s="18"/>
      <c r="Z56" s="14"/>
      <c r="AA56" s="14"/>
      <c r="AB56" s="18"/>
      <c r="AC56" s="14"/>
      <c r="AD56" s="14"/>
      <c r="AE56" s="14"/>
      <c r="AF56" s="19"/>
      <c r="AG56" s="16"/>
      <c r="AH56" s="19"/>
      <c r="AI56" s="19"/>
      <c r="AJ56" s="20" t="str">
        <f t="shared" si="0"/>
        <v/>
      </c>
      <c r="AK56" s="21" t="str">
        <f>IF(B56="","",OR(K56="Not in use",K56="Low use")+AND(N56&lt;&gt;"",N56&lt;&gt;"TBD")+AND(ISNUMBER(U56),U56&lt;=EDATE('Scoring Settings'!$B$4,'Scoring Settings'!$B$8))+AND(ISNUMBER(L56),L56&lt;='Scoring Settings'!$B$7))</f>
        <v/>
      </c>
      <c r="AL56" s="17" t="str">
        <f>IF(B56="","",IF(K56="Not in use","Priority – Not in use",IF(AK56&gt;='Scoring Settings'!$B$9,"Decommission",IF(AK56=1,"Review","Retain"))))</f>
        <v/>
      </c>
      <c r="AM56" s="17" t="str">
        <f>IF(B56="","",IF(Z56="N","Easy",IF(OR(AND(ISNUMBER(AB56),AB56&gt;'Scoring Settings'!$B$11),AND(ISNUMBER(W56),W56&gt;'Scoring Settings'!$B$12),AND(ISNUMBER(M56),M56&lt;='Scoring Settings'!$B$13)),"High","Medium")))</f>
        <v/>
      </c>
      <c r="AN56" s="14"/>
      <c r="AO56" s="16"/>
      <c r="AP56" s="14"/>
      <c r="AQ56" s="22"/>
    </row>
    <row r="57" spans="1:43">
      <c r="A57" s="14"/>
      <c r="B57" s="14"/>
      <c r="C57" s="14"/>
      <c r="D57" s="14"/>
      <c r="E57" s="14"/>
      <c r="F57" s="14"/>
      <c r="G57" s="14"/>
      <c r="H57" s="14"/>
      <c r="I57" s="15"/>
      <c r="J57" s="16"/>
      <c r="K57" s="17" t="str">
        <f>IF(B57="","",IF(AND(I57="",J57=""),"Unknown",IF(OR(AND(ISNUMBER(I57),I57=0),AND(ISNUMBER(J57),J57&lt;=EDATE('Scoring Settings'!$B$4,-'Scoring Settings'!$B$5))),"Not in use",IF(AND(ISNUMBER(I57),I57&lt;'Scoring Settings'!$B$6),"Low use","Active"))))</f>
        <v/>
      </c>
      <c r="L57" s="14"/>
      <c r="M57" s="14"/>
      <c r="N57" s="14"/>
      <c r="O57" s="14"/>
      <c r="P57" s="14"/>
      <c r="Q57" s="18"/>
      <c r="R57" s="14"/>
      <c r="S57" s="14"/>
      <c r="T57" s="14"/>
      <c r="U57" s="16"/>
      <c r="V57" s="14"/>
      <c r="W57" s="15"/>
      <c r="X57" s="14"/>
      <c r="Y57" s="18"/>
      <c r="Z57" s="14"/>
      <c r="AA57" s="14"/>
      <c r="AB57" s="18"/>
      <c r="AC57" s="14"/>
      <c r="AD57" s="14"/>
      <c r="AE57" s="14"/>
      <c r="AF57" s="19"/>
      <c r="AG57" s="16"/>
      <c r="AH57" s="19"/>
      <c r="AI57" s="19"/>
      <c r="AJ57" s="20" t="str">
        <f t="shared" si="0"/>
        <v/>
      </c>
      <c r="AK57" s="21" t="str">
        <f>IF(B57="","",OR(K57="Not in use",K57="Low use")+AND(N57&lt;&gt;"",N57&lt;&gt;"TBD")+AND(ISNUMBER(U57),U57&lt;=EDATE('Scoring Settings'!$B$4,'Scoring Settings'!$B$8))+AND(ISNUMBER(L57),L57&lt;='Scoring Settings'!$B$7))</f>
        <v/>
      </c>
      <c r="AL57" s="17" t="str">
        <f>IF(B57="","",IF(K57="Not in use","Priority – Not in use",IF(AK57&gt;='Scoring Settings'!$B$9,"Decommission",IF(AK57=1,"Review","Retain"))))</f>
        <v/>
      </c>
      <c r="AM57" s="17" t="str">
        <f>IF(B57="","",IF(Z57="N","Easy",IF(OR(AND(ISNUMBER(AB57),AB57&gt;'Scoring Settings'!$B$11),AND(ISNUMBER(W57),W57&gt;'Scoring Settings'!$B$12),AND(ISNUMBER(M57),M57&lt;='Scoring Settings'!$B$13)),"High","Medium")))</f>
        <v/>
      </c>
      <c r="AN57" s="14"/>
      <c r="AO57" s="16"/>
      <c r="AP57" s="14"/>
      <c r="AQ57" s="22"/>
    </row>
    <row r="58" spans="1:43">
      <c r="A58" s="14"/>
      <c r="B58" s="14"/>
      <c r="C58" s="14"/>
      <c r="D58" s="14"/>
      <c r="E58" s="14"/>
      <c r="F58" s="14"/>
      <c r="G58" s="14"/>
      <c r="H58" s="14"/>
      <c r="I58" s="15"/>
      <c r="J58" s="16"/>
      <c r="K58" s="17" t="str">
        <f>IF(B58="","",IF(AND(I58="",J58=""),"Unknown",IF(OR(AND(ISNUMBER(I58),I58=0),AND(ISNUMBER(J58),J58&lt;=EDATE('Scoring Settings'!$B$4,-'Scoring Settings'!$B$5))),"Not in use",IF(AND(ISNUMBER(I58),I58&lt;'Scoring Settings'!$B$6),"Low use","Active"))))</f>
        <v/>
      </c>
      <c r="L58" s="14"/>
      <c r="M58" s="14"/>
      <c r="N58" s="14"/>
      <c r="O58" s="14"/>
      <c r="P58" s="14"/>
      <c r="Q58" s="18"/>
      <c r="R58" s="14"/>
      <c r="S58" s="14"/>
      <c r="T58" s="14"/>
      <c r="U58" s="16"/>
      <c r="V58" s="14"/>
      <c r="W58" s="15"/>
      <c r="X58" s="14"/>
      <c r="Y58" s="18"/>
      <c r="Z58" s="14"/>
      <c r="AA58" s="14"/>
      <c r="AB58" s="18"/>
      <c r="AC58" s="14"/>
      <c r="AD58" s="14"/>
      <c r="AE58" s="14"/>
      <c r="AF58" s="19"/>
      <c r="AG58" s="16"/>
      <c r="AH58" s="19"/>
      <c r="AI58" s="19"/>
      <c r="AJ58" s="20" t="str">
        <f t="shared" si="0"/>
        <v/>
      </c>
      <c r="AK58" s="21" t="str">
        <f>IF(B58="","",OR(K58="Not in use",K58="Low use")+AND(N58&lt;&gt;"",N58&lt;&gt;"TBD")+AND(ISNUMBER(U58),U58&lt;=EDATE('Scoring Settings'!$B$4,'Scoring Settings'!$B$8))+AND(ISNUMBER(L58),L58&lt;='Scoring Settings'!$B$7))</f>
        <v/>
      </c>
      <c r="AL58" s="17" t="str">
        <f>IF(B58="","",IF(K58="Not in use","Priority – Not in use",IF(AK58&gt;='Scoring Settings'!$B$9,"Decommission",IF(AK58=1,"Review","Retain"))))</f>
        <v/>
      </c>
      <c r="AM58" s="17" t="str">
        <f>IF(B58="","",IF(Z58="N","Easy",IF(OR(AND(ISNUMBER(AB58),AB58&gt;'Scoring Settings'!$B$11),AND(ISNUMBER(W58),W58&gt;'Scoring Settings'!$B$12),AND(ISNUMBER(M58),M58&lt;='Scoring Settings'!$B$13)),"High","Medium")))</f>
        <v/>
      </c>
      <c r="AN58" s="14"/>
      <c r="AO58" s="16"/>
      <c r="AP58" s="14"/>
      <c r="AQ58" s="22"/>
    </row>
    <row r="59" spans="1:43">
      <c r="A59" s="14"/>
      <c r="B59" s="14"/>
      <c r="C59" s="14"/>
      <c r="D59" s="14"/>
      <c r="E59" s="14"/>
      <c r="F59" s="14"/>
      <c r="G59" s="14"/>
      <c r="H59" s="14"/>
      <c r="I59" s="15"/>
      <c r="J59" s="16"/>
      <c r="K59" s="17" t="str">
        <f>IF(B59="","",IF(AND(I59="",J59=""),"Unknown",IF(OR(AND(ISNUMBER(I59),I59=0),AND(ISNUMBER(J59),J59&lt;=EDATE('Scoring Settings'!$B$4,-'Scoring Settings'!$B$5))),"Not in use",IF(AND(ISNUMBER(I59),I59&lt;'Scoring Settings'!$B$6),"Low use","Active"))))</f>
        <v/>
      </c>
      <c r="L59" s="14"/>
      <c r="M59" s="14"/>
      <c r="N59" s="14"/>
      <c r="O59" s="14"/>
      <c r="P59" s="14"/>
      <c r="Q59" s="18"/>
      <c r="R59" s="14"/>
      <c r="S59" s="14"/>
      <c r="T59" s="14"/>
      <c r="U59" s="16"/>
      <c r="V59" s="14"/>
      <c r="W59" s="15"/>
      <c r="X59" s="14"/>
      <c r="Y59" s="18"/>
      <c r="Z59" s="14"/>
      <c r="AA59" s="14"/>
      <c r="AB59" s="18"/>
      <c r="AC59" s="14"/>
      <c r="AD59" s="14"/>
      <c r="AE59" s="14"/>
      <c r="AF59" s="19"/>
      <c r="AG59" s="16"/>
      <c r="AH59" s="19"/>
      <c r="AI59" s="19"/>
      <c r="AJ59" s="20" t="str">
        <f t="shared" si="0"/>
        <v/>
      </c>
      <c r="AK59" s="21" t="str">
        <f>IF(B59="","",OR(K59="Not in use",K59="Low use")+AND(N59&lt;&gt;"",N59&lt;&gt;"TBD")+AND(ISNUMBER(U59),U59&lt;=EDATE('Scoring Settings'!$B$4,'Scoring Settings'!$B$8))+AND(ISNUMBER(L59),L59&lt;='Scoring Settings'!$B$7))</f>
        <v/>
      </c>
      <c r="AL59" s="17" t="str">
        <f>IF(B59="","",IF(K59="Not in use","Priority – Not in use",IF(AK59&gt;='Scoring Settings'!$B$9,"Decommission",IF(AK59=1,"Review","Retain"))))</f>
        <v/>
      </c>
      <c r="AM59" s="17" t="str">
        <f>IF(B59="","",IF(Z59="N","Easy",IF(OR(AND(ISNUMBER(AB59),AB59&gt;'Scoring Settings'!$B$11),AND(ISNUMBER(W59),W59&gt;'Scoring Settings'!$B$12),AND(ISNUMBER(M59),M59&lt;='Scoring Settings'!$B$13)),"High","Medium")))</f>
        <v/>
      </c>
      <c r="AN59" s="14"/>
      <c r="AO59" s="16"/>
      <c r="AP59" s="14"/>
      <c r="AQ59" s="22"/>
    </row>
    <row r="60" spans="1:43">
      <c r="A60" s="14"/>
      <c r="B60" s="14"/>
      <c r="C60" s="14"/>
      <c r="D60" s="14"/>
      <c r="E60" s="14"/>
      <c r="F60" s="14"/>
      <c r="G60" s="14"/>
      <c r="H60" s="14"/>
      <c r="I60" s="15"/>
      <c r="J60" s="16"/>
      <c r="K60" s="17" t="str">
        <f>IF(B60="","",IF(AND(I60="",J60=""),"Unknown",IF(OR(AND(ISNUMBER(I60),I60=0),AND(ISNUMBER(J60),J60&lt;=EDATE('Scoring Settings'!$B$4,-'Scoring Settings'!$B$5))),"Not in use",IF(AND(ISNUMBER(I60),I60&lt;'Scoring Settings'!$B$6),"Low use","Active"))))</f>
        <v/>
      </c>
      <c r="L60" s="14"/>
      <c r="M60" s="14"/>
      <c r="N60" s="14"/>
      <c r="O60" s="14"/>
      <c r="P60" s="14"/>
      <c r="Q60" s="18"/>
      <c r="R60" s="14"/>
      <c r="S60" s="14"/>
      <c r="T60" s="14"/>
      <c r="U60" s="16"/>
      <c r="V60" s="14"/>
      <c r="W60" s="15"/>
      <c r="X60" s="14"/>
      <c r="Y60" s="18"/>
      <c r="Z60" s="14"/>
      <c r="AA60" s="14"/>
      <c r="AB60" s="18"/>
      <c r="AC60" s="14"/>
      <c r="AD60" s="14"/>
      <c r="AE60" s="14"/>
      <c r="AF60" s="19"/>
      <c r="AG60" s="16"/>
      <c r="AH60" s="19"/>
      <c r="AI60" s="19"/>
      <c r="AJ60" s="20" t="str">
        <f t="shared" si="0"/>
        <v/>
      </c>
      <c r="AK60" s="21" t="str">
        <f>IF(B60="","",OR(K60="Not in use",K60="Low use")+AND(N60&lt;&gt;"",N60&lt;&gt;"TBD")+AND(ISNUMBER(U60),U60&lt;=EDATE('Scoring Settings'!$B$4,'Scoring Settings'!$B$8))+AND(ISNUMBER(L60),L60&lt;='Scoring Settings'!$B$7))</f>
        <v/>
      </c>
      <c r="AL60" s="17" t="str">
        <f>IF(B60="","",IF(K60="Not in use","Priority – Not in use",IF(AK60&gt;='Scoring Settings'!$B$9,"Decommission",IF(AK60=1,"Review","Retain"))))</f>
        <v/>
      </c>
      <c r="AM60" s="17" t="str">
        <f>IF(B60="","",IF(Z60="N","Easy",IF(OR(AND(ISNUMBER(AB60),AB60&gt;'Scoring Settings'!$B$11),AND(ISNUMBER(W60),W60&gt;'Scoring Settings'!$B$12),AND(ISNUMBER(M60),M60&lt;='Scoring Settings'!$B$13)),"High","Medium")))</f>
        <v/>
      </c>
      <c r="AN60" s="14"/>
      <c r="AO60" s="16"/>
      <c r="AP60" s="14"/>
      <c r="AQ60" s="22"/>
    </row>
    <row r="61" spans="1:43">
      <c r="A61" s="14"/>
      <c r="B61" s="14"/>
      <c r="C61" s="14"/>
      <c r="D61" s="14"/>
      <c r="E61" s="14"/>
      <c r="F61" s="14"/>
      <c r="G61" s="14"/>
      <c r="H61" s="14"/>
      <c r="I61" s="15"/>
      <c r="J61" s="16"/>
      <c r="K61" s="17" t="str">
        <f>IF(B61="","",IF(AND(I61="",J61=""),"Unknown",IF(OR(AND(ISNUMBER(I61),I61=0),AND(ISNUMBER(J61),J61&lt;=EDATE('Scoring Settings'!$B$4,-'Scoring Settings'!$B$5))),"Not in use",IF(AND(ISNUMBER(I61),I61&lt;'Scoring Settings'!$B$6),"Low use","Active"))))</f>
        <v/>
      </c>
      <c r="L61" s="14"/>
      <c r="M61" s="14"/>
      <c r="N61" s="14"/>
      <c r="O61" s="14"/>
      <c r="P61" s="14"/>
      <c r="Q61" s="18"/>
      <c r="R61" s="14"/>
      <c r="S61" s="14"/>
      <c r="T61" s="14"/>
      <c r="U61" s="16"/>
      <c r="V61" s="14"/>
      <c r="W61" s="15"/>
      <c r="X61" s="14"/>
      <c r="Y61" s="18"/>
      <c r="Z61" s="14"/>
      <c r="AA61" s="14"/>
      <c r="AB61" s="18"/>
      <c r="AC61" s="14"/>
      <c r="AD61" s="14"/>
      <c r="AE61" s="14"/>
      <c r="AF61" s="19"/>
      <c r="AG61" s="16"/>
      <c r="AH61" s="19"/>
      <c r="AI61" s="19"/>
      <c r="AJ61" s="20" t="str">
        <f t="shared" si="0"/>
        <v/>
      </c>
      <c r="AK61" s="21" t="str">
        <f>IF(B61="","",OR(K61="Not in use",K61="Low use")+AND(N61&lt;&gt;"",N61&lt;&gt;"TBD")+AND(ISNUMBER(U61),U61&lt;=EDATE('Scoring Settings'!$B$4,'Scoring Settings'!$B$8))+AND(ISNUMBER(L61),L61&lt;='Scoring Settings'!$B$7))</f>
        <v/>
      </c>
      <c r="AL61" s="17" t="str">
        <f>IF(B61="","",IF(K61="Not in use","Priority – Not in use",IF(AK61&gt;='Scoring Settings'!$B$9,"Decommission",IF(AK61=1,"Review","Retain"))))</f>
        <v/>
      </c>
      <c r="AM61" s="17" t="str">
        <f>IF(B61="","",IF(Z61="N","Easy",IF(OR(AND(ISNUMBER(AB61),AB61&gt;'Scoring Settings'!$B$11),AND(ISNUMBER(W61),W61&gt;'Scoring Settings'!$B$12),AND(ISNUMBER(M61),M61&lt;='Scoring Settings'!$B$13)),"High","Medium")))</f>
        <v/>
      </c>
      <c r="AN61" s="14"/>
      <c r="AO61" s="16"/>
      <c r="AP61" s="14"/>
      <c r="AQ61" s="22"/>
    </row>
    <row r="62" spans="1:43">
      <c r="A62" s="14"/>
      <c r="B62" s="14"/>
      <c r="C62" s="14"/>
      <c r="D62" s="14"/>
      <c r="E62" s="14"/>
      <c r="F62" s="14"/>
      <c r="G62" s="14"/>
      <c r="H62" s="14"/>
      <c r="I62" s="15"/>
      <c r="J62" s="16"/>
      <c r="K62" s="17" t="str">
        <f>IF(B62="","",IF(AND(I62="",J62=""),"Unknown",IF(OR(AND(ISNUMBER(I62),I62=0),AND(ISNUMBER(J62),J62&lt;=EDATE('Scoring Settings'!$B$4,-'Scoring Settings'!$B$5))),"Not in use",IF(AND(ISNUMBER(I62),I62&lt;'Scoring Settings'!$B$6),"Low use","Active"))))</f>
        <v/>
      </c>
      <c r="L62" s="14"/>
      <c r="M62" s="14"/>
      <c r="N62" s="14"/>
      <c r="O62" s="14"/>
      <c r="P62" s="14"/>
      <c r="Q62" s="18"/>
      <c r="R62" s="14"/>
      <c r="S62" s="14"/>
      <c r="T62" s="14"/>
      <c r="U62" s="16"/>
      <c r="V62" s="14"/>
      <c r="W62" s="15"/>
      <c r="X62" s="14"/>
      <c r="Y62" s="18"/>
      <c r="Z62" s="14"/>
      <c r="AA62" s="14"/>
      <c r="AB62" s="18"/>
      <c r="AC62" s="14"/>
      <c r="AD62" s="14"/>
      <c r="AE62" s="14"/>
      <c r="AF62" s="19"/>
      <c r="AG62" s="16"/>
      <c r="AH62" s="19"/>
      <c r="AI62" s="19"/>
      <c r="AJ62" s="20" t="str">
        <f t="shared" si="0"/>
        <v/>
      </c>
      <c r="AK62" s="21" t="str">
        <f>IF(B62="","",OR(K62="Not in use",K62="Low use")+AND(N62&lt;&gt;"",N62&lt;&gt;"TBD")+AND(ISNUMBER(U62),U62&lt;=EDATE('Scoring Settings'!$B$4,'Scoring Settings'!$B$8))+AND(ISNUMBER(L62),L62&lt;='Scoring Settings'!$B$7))</f>
        <v/>
      </c>
      <c r="AL62" s="17" t="str">
        <f>IF(B62="","",IF(K62="Not in use","Priority – Not in use",IF(AK62&gt;='Scoring Settings'!$B$9,"Decommission",IF(AK62=1,"Review","Retain"))))</f>
        <v/>
      </c>
      <c r="AM62" s="17" t="str">
        <f>IF(B62="","",IF(Z62="N","Easy",IF(OR(AND(ISNUMBER(AB62),AB62&gt;'Scoring Settings'!$B$11),AND(ISNUMBER(W62),W62&gt;'Scoring Settings'!$B$12),AND(ISNUMBER(M62),M62&lt;='Scoring Settings'!$B$13)),"High","Medium")))</f>
        <v/>
      </c>
      <c r="AN62" s="14"/>
      <c r="AO62" s="16"/>
      <c r="AP62" s="14"/>
      <c r="AQ62" s="22"/>
    </row>
    <row r="63" spans="1:43">
      <c r="A63" s="14"/>
      <c r="B63" s="14"/>
      <c r="C63" s="14"/>
      <c r="D63" s="14"/>
      <c r="E63" s="14"/>
      <c r="F63" s="14"/>
      <c r="G63" s="14"/>
      <c r="H63" s="14"/>
      <c r="I63" s="15"/>
      <c r="J63" s="16"/>
      <c r="K63" s="17" t="str">
        <f>IF(B63="","",IF(AND(I63="",J63=""),"Unknown",IF(OR(AND(ISNUMBER(I63),I63=0),AND(ISNUMBER(J63),J63&lt;=EDATE('Scoring Settings'!$B$4,-'Scoring Settings'!$B$5))),"Not in use",IF(AND(ISNUMBER(I63),I63&lt;'Scoring Settings'!$B$6),"Low use","Active"))))</f>
        <v/>
      </c>
      <c r="L63" s="14"/>
      <c r="M63" s="14"/>
      <c r="N63" s="14"/>
      <c r="O63" s="14"/>
      <c r="P63" s="14"/>
      <c r="Q63" s="18"/>
      <c r="R63" s="14"/>
      <c r="S63" s="14"/>
      <c r="T63" s="14"/>
      <c r="U63" s="16"/>
      <c r="V63" s="14"/>
      <c r="W63" s="15"/>
      <c r="X63" s="14"/>
      <c r="Y63" s="18"/>
      <c r="Z63" s="14"/>
      <c r="AA63" s="14"/>
      <c r="AB63" s="18"/>
      <c r="AC63" s="14"/>
      <c r="AD63" s="14"/>
      <c r="AE63" s="14"/>
      <c r="AF63" s="19"/>
      <c r="AG63" s="16"/>
      <c r="AH63" s="19"/>
      <c r="AI63" s="19"/>
      <c r="AJ63" s="20" t="str">
        <f t="shared" si="0"/>
        <v/>
      </c>
      <c r="AK63" s="21" t="str">
        <f>IF(B63="","",OR(K63="Not in use",K63="Low use")+AND(N63&lt;&gt;"",N63&lt;&gt;"TBD")+AND(ISNUMBER(U63),U63&lt;=EDATE('Scoring Settings'!$B$4,'Scoring Settings'!$B$8))+AND(ISNUMBER(L63),L63&lt;='Scoring Settings'!$B$7))</f>
        <v/>
      </c>
      <c r="AL63" s="17" t="str">
        <f>IF(B63="","",IF(K63="Not in use","Priority – Not in use",IF(AK63&gt;='Scoring Settings'!$B$9,"Decommission",IF(AK63=1,"Review","Retain"))))</f>
        <v/>
      </c>
      <c r="AM63" s="17" t="str">
        <f>IF(B63="","",IF(Z63="N","Easy",IF(OR(AND(ISNUMBER(AB63),AB63&gt;'Scoring Settings'!$B$11),AND(ISNUMBER(W63),W63&gt;'Scoring Settings'!$B$12),AND(ISNUMBER(M63),M63&lt;='Scoring Settings'!$B$13)),"High","Medium")))</f>
        <v/>
      </c>
      <c r="AN63" s="14"/>
      <c r="AO63" s="16"/>
      <c r="AP63" s="14"/>
      <c r="AQ63" s="22"/>
    </row>
    <row r="64" spans="1:43">
      <c r="A64" s="14"/>
      <c r="B64" s="14"/>
      <c r="C64" s="14"/>
      <c r="D64" s="14"/>
      <c r="E64" s="14"/>
      <c r="F64" s="14"/>
      <c r="G64" s="14"/>
      <c r="H64" s="14"/>
      <c r="I64" s="15"/>
      <c r="J64" s="16"/>
      <c r="K64" s="17" t="str">
        <f>IF(B64="","",IF(AND(I64="",J64=""),"Unknown",IF(OR(AND(ISNUMBER(I64),I64=0),AND(ISNUMBER(J64),J64&lt;=EDATE('Scoring Settings'!$B$4,-'Scoring Settings'!$B$5))),"Not in use",IF(AND(ISNUMBER(I64),I64&lt;'Scoring Settings'!$B$6),"Low use","Active"))))</f>
        <v/>
      </c>
      <c r="L64" s="14"/>
      <c r="M64" s="14"/>
      <c r="N64" s="14"/>
      <c r="O64" s="14"/>
      <c r="P64" s="14"/>
      <c r="Q64" s="18"/>
      <c r="R64" s="14"/>
      <c r="S64" s="14"/>
      <c r="T64" s="14"/>
      <c r="U64" s="16"/>
      <c r="V64" s="14"/>
      <c r="W64" s="15"/>
      <c r="X64" s="14"/>
      <c r="Y64" s="18"/>
      <c r="Z64" s="14"/>
      <c r="AA64" s="14"/>
      <c r="AB64" s="18"/>
      <c r="AC64" s="14"/>
      <c r="AD64" s="14"/>
      <c r="AE64" s="14"/>
      <c r="AF64" s="19"/>
      <c r="AG64" s="16"/>
      <c r="AH64" s="19"/>
      <c r="AI64" s="19"/>
      <c r="AJ64" s="20" t="str">
        <f t="shared" si="0"/>
        <v/>
      </c>
      <c r="AK64" s="21" t="str">
        <f>IF(B64="","",OR(K64="Not in use",K64="Low use")+AND(N64&lt;&gt;"",N64&lt;&gt;"TBD")+AND(ISNUMBER(U64),U64&lt;=EDATE('Scoring Settings'!$B$4,'Scoring Settings'!$B$8))+AND(ISNUMBER(L64),L64&lt;='Scoring Settings'!$B$7))</f>
        <v/>
      </c>
      <c r="AL64" s="17" t="str">
        <f>IF(B64="","",IF(K64="Not in use","Priority – Not in use",IF(AK64&gt;='Scoring Settings'!$B$9,"Decommission",IF(AK64=1,"Review","Retain"))))</f>
        <v/>
      </c>
      <c r="AM64" s="17" t="str">
        <f>IF(B64="","",IF(Z64="N","Easy",IF(OR(AND(ISNUMBER(AB64),AB64&gt;'Scoring Settings'!$B$11),AND(ISNUMBER(W64),W64&gt;'Scoring Settings'!$B$12),AND(ISNUMBER(M64),M64&lt;='Scoring Settings'!$B$13)),"High","Medium")))</f>
        <v/>
      </c>
      <c r="AN64" s="14"/>
      <c r="AO64" s="16"/>
      <c r="AP64" s="14"/>
      <c r="AQ64" s="22"/>
    </row>
    <row r="65" spans="1:43">
      <c r="A65" s="14"/>
      <c r="B65" s="14"/>
      <c r="C65" s="14"/>
      <c r="D65" s="14"/>
      <c r="E65" s="14"/>
      <c r="F65" s="14"/>
      <c r="G65" s="14"/>
      <c r="H65" s="14"/>
      <c r="I65" s="15"/>
      <c r="J65" s="16"/>
      <c r="K65" s="17" t="str">
        <f>IF(B65="","",IF(AND(I65="",J65=""),"Unknown",IF(OR(AND(ISNUMBER(I65),I65=0),AND(ISNUMBER(J65),J65&lt;=EDATE('Scoring Settings'!$B$4,-'Scoring Settings'!$B$5))),"Not in use",IF(AND(ISNUMBER(I65),I65&lt;'Scoring Settings'!$B$6),"Low use","Active"))))</f>
        <v/>
      </c>
      <c r="L65" s="14"/>
      <c r="M65" s="14"/>
      <c r="N65" s="14"/>
      <c r="O65" s="14"/>
      <c r="P65" s="14"/>
      <c r="Q65" s="18"/>
      <c r="R65" s="14"/>
      <c r="S65" s="14"/>
      <c r="T65" s="14"/>
      <c r="U65" s="16"/>
      <c r="V65" s="14"/>
      <c r="W65" s="15"/>
      <c r="X65" s="14"/>
      <c r="Y65" s="18"/>
      <c r="Z65" s="14"/>
      <c r="AA65" s="14"/>
      <c r="AB65" s="18"/>
      <c r="AC65" s="14"/>
      <c r="AD65" s="14"/>
      <c r="AE65" s="14"/>
      <c r="AF65" s="19"/>
      <c r="AG65" s="16"/>
      <c r="AH65" s="19"/>
      <c r="AI65" s="19"/>
      <c r="AJ65" s="20" t="str">
        <f t="shared" si="0"/>
        <v/>
      </c>
      <c r="AK65" s="21" t="str">
        <f>IF(B65="","",OR(K65="Not in use",K65="Low use")+AND(N65&lt;&gt;"",N65&lt;&gt;"TBD")+AND(ISNUMBER(U65),U65&lt;=EDATE('Scoring Settings'!$B$4,'Scoring Settings'!$B$8))+AND(ISNUMBER(L65),L65&lt;='Scoring Settings'!$B$7))</f>
        <v/>
      </c>
      <c r="AL65" s="17" t="str">
        <f>IF(B65="","",IF(K65="Not in use","Priority – Not in use",IF(AK65&gt;='Scoring Settings'!$B$9,"Decommission",IF(AK65=1,"Review","Retain"))))</f>
        <v/>
      </c>
      <c r="AM65" s="17" t="str">
        <f>IF(B65="","",IF(Z65="N","Easy",IF(OR(AND(ISNUMBER(AB65),AB65&gt;'Scoring Settings'!$B$11),AND(ISNUMBER(W65),W65&gt;'Scoring Settings'!$B$12),AND(ISNUMBER(M65),M65&lt;='Scoring Settings'!$B$13)),"High","Medium")))</f>
        <v/>
      </c>
      <c r="AN65" s="14"/>
      <c r="AO65" s="16"/>
      <c r="AP65" s="14"/>
      <c r="AQ65" s="22"/>
    </row>
    <row r="66" spans="1:43">
      <c r="A66" s="14"/>
      <c r="B66" s="14"/>
      <c r="C66" s="14"/>
      <c r="D66" s="14"/>
      <c r="E66" s="14"/>
      <c r="F66" s="14"/>
      <c r="G66" s="14"/>
      <c r="H66" s="14"/>
      <c r="I66" s="15"/>
      <c r="J66" s="16"/>
      <c r="K66" s="17" t="str">
        <f>IF(B66="","",IF(AND(I66="",J66=""),"Unknown",IF(OR(AND(ISNUMBER(I66),I66=0),AND(ISNUMBER(J66),J66&lt;=EDATE('Scoring Settings'!$B$4,-'Scoring Settings'!$B$5))),"Not in use",IF(AND(ISNUMBER(I66),I66&lt;'Scoring Settings'!$B$6),"Low use","Active"))))</f>
        <v/>
      </c>
      <c r="L66" s="14"/>
      <c r="M66" s="14"/>
      <c r="N66" s="14"/>
      <c r="O66" s="14"/>
      <c r="P66" s="14"/>
      <c r="Q66" s="18"/>
      <c r="R66" s="14"/>
      <c r="S66" s="14"/>
      <c r="T66" s="14"/>
      <c r="U66" s="16"/>
      <c r="V66" s="14"/>
      <c r="W66" s="15"/>
      <c r="X66" s="14"/>
      <c r="Y66" s="18"/>
      <c r="Z66" s="14"/>
      <c r="AA66" s="14"/>
      <c r="AB66" s="18"/>
      <c r="AC66" s="14"/>
      <c r="AD66" s="14"/>
      <c r="AE66" s="14"/>
      <c r="AF66" s="19"/>
      <c r="AG66" s="16"/>
      <c r="AH66" s="19"/>
      <c r="AI66" s="19"/>
      <c r="AJ66" s="20" t="str">
        <f t="shared" si="0"/>
        <v/>
      </c>
      <c r="AK66" s="21" t="str">
        <f>IF(B66="","",OR(K66="Not in use",K66="Low use")+AND(N66&lt;&gt;"",N66&lt;&gt;"TBD")+AND(ISNUMBER(U66),U66&lt;=EDATE('Scoring Settings'!$B$4,'Scoring Settings'!$B$8))+AND(ISNUMBER(L66),L66&lt;='Scoring Settings'!$B$7))</f>
        <v/>
      </c>
      <c r="AL66" s="17" t="str">
        <f>IF(B66="","",IF(K66="Not in use","Priority – Not in use",IF(AK66&gt;='Scoring Settings'!$B$9,"Decommission",IF(AK66=1,"Review","Retain"))))</f>
        <v/>
      </c>
      <c r="AM66" s="17" t="str">
        <f>IF(B66="","",IF(Z66="N","Easy",IF(OR(AND(ISNUMBER(AB66),AB66&gt;'Scoring Settings'!$B$11),AND(ISNUMBER(W66),W66&gt;'Scoring Settings'!$B$12),AND(ISNUMBER(M66),M66&lt;='Scoring Settings'!$B$13)),"High","Medium")))</f>
        <v/>
      </c>
      <c r="AN66" s="14"/>
      <c r="AO66" s="16"/>
      <c r="AP66" s="14"/>
      <c r="AQ66" s="22"/>
    </row>
    <row r="67" spans="1:43">
      <c r="A67" s="14"/>
      <c r="B67" s="14"/>
      <c r="C67" s="14"/>
      <c r="D67" s="14"/>
      <c r="E67" s="14"/>
      <c r="F67" s="14"/>
      <c r="G67" s="14"/>
      <c r="H67" s="14"/>
      <c r="I67" s="15"/>
      <c r="J67" s="16"/>
      <c r="K67" s="17" t="str">
        <f>IF(B67="","",IF(AND(I67="",J67=""),"Unknown",IF(OR(AND(ISNUMBER(I67),I67=0),AND(ISNUMBER(J67),J67&lt;=EDATE('Scoring Settings'!$B$4,-'Scoring Settings'!$B$5))),"Not in use",IF(AND(ISNUMBER(I67),I67&lt;'Scoring Settings'!$B$6),"Low use","Active"))))</f>
        <v/>
      </c>
      <c r="L67" s="14"/>
      <c r="M67" s="14"/>
      <c r="N67" s="14"/>
      <c r="O67" s="14"/>
      <c r="P67" s="14"/>
      <c r="Q67" s="18"/>
      <c r="R67" s="14"/>
      <c r="S67" s="14"/>
      <c r="T67" s="14"/>
      <c r="U67" s="16"/>
      <c r="V67" s="14"/>
      <c r="W67" s="15"/>
      <c r="X67" s="14"/>
      <c r="Y67" s="18"/>
      <c r="Z67" s="14"/>
      <c r="AA67" s="14"/>
      <c r="AB67" s="18"/>
      <c r="AC67" s="14"/>
      <c r="AD67" s="14"/>
      <c r="AE67" s="14"/>
      <c r="AF67" s="19"/>
      <c r="AG67" s="16"/>
      <c r="AH67" s="19"/>
      <c r="AI67" s="19"/>
      <c r="AJ67" s="20" t="str">
        <f t="shared" si="0"/>
        <v/>
      </c>
      <c r="AK67" s="21" t="str">
        <f>IF(B67="","",OR(K67="Not in use",K67="Low use")+AND(N67&lt;&gt;"",N67&lt;&gt;"TBD")+AND(ISNUMBER(U67),U67&lt;=EDATE('Scoring Settings'!$B$4,'Scoring Settings'!$B$8))+AND(ISNUMBER(L67),L67&lt;='Scoring Settings'!$B$7))</f>
        <v/>
      </c>
      <c r="AL67" s="17" t="str">
        <f>IF(B67="","",IF(K67="Not in use","Priority – Not in use",IF(AK67&gt;='Scoring Settings'!$B$9,"Decommission",IF(AK67=1,"Review","Retain"))))</f>
        <v/>
      </c>
      <c r="AM67" s="17" t="str">
        <f>IF(B67="","",IF(Z67="N","Easy",IF(OR(AND(ISNUMBER(AB67),AB67&gt;'Scoring Settings'!$B$11),AND(ISNUMBER(W67),W67&gt;'Scoring Settings'!$B$12),AND(ISNUMBER(M67),M67&lt;='Scoring Settings'!$B$13)),"High","Medium")))</f>
        <v/>
      </c>
      <c r="AN67" s="14"/>
      <c r="AO67" s="16"/>
      <c r="AP67" s="14"/>
      <c r="AQ67" s="22"/>
    </row>
    <row r="68" spans="1:43">
      <c r="A68" s="14"/>
      <c r="B68" s="14"/>
      <c r="C68" s="14"/>
      <c r="D68" s="14"/>
      <c r="E68" s="14"/>
      <c r="F68" s="14"/>
      <c r="G68" s="14"/>
      <c r="H68" s="14"/>
      <c r="I68" s="15"/>
      <c r="J68" s="16"/>
      <c r="K68" s="17" t="str">
        <f>IF(B68="","",IF(AND(I68="",J68=""),"Unknown",IF(OR(AND(ISNUMBER(I68),I68=0),AND(ISNUMBER(J68),J68&lt;=EDATE('Scoring Settings'!$B$4,-'Scoring Settings'!$B$5))),"Not in use",IF(AND(ISNUMBER(I68),I68&lt;'Scoring Settings'!$B$6),"Low use","Active"))))</f>
        <v/>
      </c>
      <c r="L68" s="14"/>
      <c r="M68" s="14"/>
      <c r="N68" s="14"/>
      <c r="O68" s="14"/>
      <c r="P68" s="14"/>
      <c r="Q68" s="18"/>
      <c r="R68" s="14"/>
      <c r="S68" s="14"/>
      <c r="T68" s="14"/>
      <c r="U68" s="16"/>
      <c r="V68" s="14"/>
      <c r="W68" s="15"/>
      <c r="X68" s="14"/>
      <c r="Y68" s="18"/>
      <c r="Z68" s="14"/>
      <c r="AA68" s="14"/>
      <c r="AB68" s="18"/>
      <c r="AC68" s="14"/>
      <c r="AD68" s="14"/>
      <c r="AE68" s="14"/>
      <c r="AF68" s="19"/>
      <c r="AG68" s="16"/>
      <c r="AH68" s="19"/>
      <c r="AI68" s="19"/>
      <c r="AJ68" s="20" t="str">
        <f t="shared" si="0"/>
        <v/>
      </c>
      <c r="AK68" s="21" t="str">
        <f>IF(B68="","",OR(K68="Not in use",K68="Low use")+AND(N68&lt;&gt;"",N68&lt;&gt;"TBD")+AND(ISNUMBER(U68),U68&lt;=EDATE('Scoring Settings'!$B$4,'Scoring Settings'!$B$8))+AND(ISNUMBER(L68),L68&lt;='Scoring Settings'!$B$7))</f>
        <v/>
      </c>
      <c r="AL68" s="17" t="str">
        <f>IF(B68="","",IF(K68="Not in use","Priority – Not in use",IF(AK68&gt;='Scoring Settings'!$B$9,"Decommission",IF(AK68=1,"Review","Retain"))))</f>
        <v/>
      </c>
      <c r="AM68" s="17" t="str">
        <f>IF(B68="","",IF(Z68="N","Easy",IF(OR(AND(ISNUMBER(AB68),AB68&gt;'Scoring Settings'!$B$11),AND(ISNUMBER(W68),W68&gt;'Scoring Settings'!$B$12),AND(ISNUMBER(M68),M68&lt;='Scoring Settings'!$B$13)),"High","Medium")))</f>
        <v/>
      </c>
      <c r="AN68" s="14"/>
      <c r="AO68" s="16"/>
      <c r="AP68" s="14"/>
      <c r="AQ68" s="22"/>
    </row>
    <row r="69" spans="1:43">
      <c r="A69" s="14"/>
      <c r="B69" s="14"/>
      <c r="C69" s="14"/>
      <c r="D69" s="14"/>
      <c r="E69" s="14"/>
      <c r="F69" s="14"/>
      <c r="G69" s="14"/>
      <c r="H69" s="14"/>
      <c r="I69" s="15"/>
      <c r="J69" s="16"/>
      <c r="K69" s="17" t="str">
        <f>IF(B69="","",IF(AND(I69="",J69=""),"Unknown",IF(OR(AND(ISNUMBER(I69),I69=0),AND(ISNUMBER(J69),J69&lt;=EDATE('Scoring Settings'!$B$4,-'Scoring Settings'!$B$5))),"Not in use",IF(AND(ISNUMBER(I69),I69&lt;'Scoring Settings'!$B$6),"Low use","Active"))))</f>
        <v/>
      </c>
      <c r="L69" s="14"/>
      <c r="M69" s="14"/>
      <c r="N69" s="14"/>
      <c r="O69" s="14"/>
      <c r="P69" s="14"/>
      <c r="Q69" s="18"/>
      <c r="R69" s="14"/>
      <c r="S69" s="14"/>
      <c r="T69" s="14"/>
      <c r="U69" s="16"/>
      <c r="V69" s="14"/>
      <c r="W69" s="15"/>
      <c r="X69" s="14"/>
      <c r="Y69" s="18"/>
      <c r="Z69" s="14"/>
      <c r="AA69" s="14"/>
      <c r="AB69" s="18"/>
      <c r="AC69" s="14"/>
      <c r="AD69" s="14"/>
      <c r="AE69" s="14"/>
      <c r="AF69" s="19"/>
      <c r="AG69" s="16"/>
      <c r="AH69" s="19"/>
      <c r="AI69" s="19"/>
      <c r="AJ69" s="20" t="str">
        <f t="shared" ref="AJ69:AJ132" si="1">IF(AND(ISNUMBER(AH69),ISNUMBER(AI69),N(AI69)&gt;0),AH69/AI69*12,"")</f>
        <v/>
      </c>
      <c r="AK69" s="21" t="str">
        <f>IF(B69="","",OR(K69="Not in use",K69="Low use")+AND(N69&lt;&gt;"",N69&lt;&gt;"TBD")+AND(ISNUMBER(U69),U69&lt;=EDATE('Scoring Settings'!$B$4,'Scoring Settings'!$B$8))+AND(ISNUMBER(L69),L69&lt;='Scoring Settings'!$B$7))</f>
        <v/>
      </c>
      <c r="AL69" s="17" t="str">
        <f>IF(B69="","",IF(K69="Not in use","Priority – Not in use",IF(AK69&gt;='Scoring Settings'!$B$9,"Decommission",IF(AK69=1,"Review","Retain"))))</f>
        <v/>
      </c>
      <c r="AM69" s="17" t="str">
        <f>IF(B69="","",IF(Z69="N","Easy",IF(OR(AND(ISNUMBER(AB69),AB69&gt;'Scoring Settings'!$B$11),AND(ISNUMBER(W69),W69&gt;'Scoring Settings'!$B$12),AND(ISNUMBER(M69),M69&lt;='Scoring Settings'!$B$13)),"High","Medium")))</f>
        <v/>
      </c>
      <c r="AN69" s="14"/>
      <c r="AO69" s="16"/>
      <c r="AP69" s="14"/>
      <c r="AQ69" s="22"/>
    </row>
    <row r="70" spans="1:43">
      <c r="A70" s="14"/>
      <c r="B70" s="14"/>
      <c r="C70" s="14"/>
      <c r="D70" s="14"/>
      <c r="E70" s="14"/>
      <c r="F70" s="14"/>
      <c r="G70" s="14"/>
      <c r="H70" s="14"/>
      <c r="I70" s="15"/>
      <c r="J70" s="16"/>
      <c r="K70" s="17" t="str">
        <f>IF(B70="","",IF(AND(I70="",J70=""),"Unknown",IF(OR(AND(ISNUMBER(I70),I70=0),AND(ISNUMBER(J70),J70&lt;=EDATE('Scoring Settings'!$B$4,-'Scoring Settings'!$B$5))),"Not in use",IF(AND(ISNUMBER(I70),I70&lt;'Scoring Settings'!$B$6),"Low use","Active"))))</f>
        <v/>
      </c>
      <c r="L70" s="14"/>
      <c r="M70" s="14"/>
      <c r="N70" s="14"/>
      <c r="O70" s="14"/>
      <c r="P70" s="14"/>
      <c r="Q70" s="18"/>
      <c r="R70" s="14"/>
      <c r="S70" s="14"/>
      <c r="T70" s="14"/>
      <c r="U70" s="16"/>
      <c r="V70" s="14"/>
      <c r="W70" s="15"/>
      <c r="X70" s="14"/>
      <c r="Y70" s="18"/>
      <c r="Z70" s="14"/>
      <c r="AA70" s="14"/>
      <c r="AB70" s="18"/>
      <c r="AC70" s="14"/>
      <c r="AD70" s="14"/>
      <c r="AE70" s="14"/>
      <c r="AF70" s="19"/>
      <c r="AG70" s="16"/>
      <c r="AH70" s="19"/>
      <c r="AI70" s="19"/>
      <c r="AJ70" s="20" t="str">
        <f t="shared" si="1"/>
        <v/>
      </c>
      <c r="AK70" s="21" t="str">
        <f>IF(B70="","",OR(K70="Not in use",K70="Low use")+AND(N70&lt;&gt;"",N70&lt;&gt;"TBD")+AND(ISNUMBER(U70),U70&lt;=EDATE('Scoring Settings'!$B$4,'Scoring Settings'!$B$8))+AND(ISNUMBER(L70),L70&lt;='Scoring Settings'!$B$7))</f>
        <v/>
      </c>
      <c r="AL70" s="17" t="str">
        <f>IF(B70="","",IF(K70="Not in use","Priority – Not in use",IF(AK70&gt;='Scoring Settings'!$B$9,"Decommission",IF(AK70=1,"Review","Retain"))))</f>
        <v/>
      </c>
      <c r="AM70" s="17" t="str">
        <f>IF(B70="","",IF(Z70="N","Easy",IF(OR(AND(ISNUMBER(AB70),AB70&gt;'Scoring Settings'!$B$11),AND(ISNUMBER(W70),W70&gt;'Scoring Settings'!$B$12),AND(ISNUMBER(M70),M70&lt;='Scoring Settings'!$B$13)),"High","Medium")))</f>
        <v/>
      </c>
      <c r="AN70" s="14"/>
      <c r="AO70" s="16"/>
      <c r="AP70" s="14"/>
      <c r="AQ70" s="22"/>
    </row>
    <row r="71" spans="1:43">
      <c r="A71" s="14"/>
      <c r="B71" s="14"/>
      <c r="C71" s="14"/>
      <c r="D71" s="14"/>
      <c r="E71" s="14"/>
      <c r="F71" s="14"/>
      <c r="G71" s="14"/>
      <c r="H71" s="14"/>
      <c r="I71" s="15"/>
      <c r="J71" s="16"/>
      <c r="K71" s="17" t="str">
        <f>IF(B71="","",IF(AND(I71="",J71=""),"Unknown",IF(OR(AND(ISNUMBER(I71),I71=0),AND(ISNUMBER(J71),J71&lt;=EDATE('Scoring Settings'!$B$4,-'Scoring Settings'!$B$5))),"Not in use",IF(AND(ISNUMBER(I71),I71&lt;'Scoring Settings'!$B$6),"Low use","Active"))))</f>
        <v/>
      </c>
      <c r="L71" s="14"/>
      <c r="M71" s="14"/>
      <c r="N71" s="14"/>
      <c r="O71" s="14"/>
      <c r="P71" s="14"/>
      <c r="Q71" s="18"/>
      <c r="R71" s="14"/>
      <c r="S71" s="14"/>
      <c r="T71" s="14"/>
      <c r="U71" s="16"/>
      <c r="V71" s="14"/>
      <c r="W71" s="15"/>
      <c r="X71" s="14"/>
      <c r="Y71" s="18"/>
      <c r="Z71" s="14"/>
      <c r="AA71" s="14"/>
      <c r="AB71" s="18"/>
      <c r="AC71" s="14"/>
      <c r="AD71" s="14"/>
      <c r="AE71" s="14"/>
      <c r="AF71" s="19"/>
      <c r="AG71" s="16"/>
      <c r="AH71" s="19"/>
      <c r="AI71" s="19"/>
      <c r="AJ71" s="20" t="str">
        <f t="shared" si="1"/>
        <v/>
      </c>
      <c r="AK71" s="21" t="str">
        <f>IF(B71="","",OR(K71="Not in use",K71="Low use")+AND(N71&lt;&gt;"",N71&lt;&gt;"TBD")+AND(ISNUMBER(U71),U71&lt;=EDATE('Scoring Settings'!$B$4,'Scoring Settings'!$B$8))+AND(ISNUMBER(L71),L71&lt;='Scoring Settings'!$B$7))</f>
        <v/>
      </c>
      <c r="AL71" s="17" t="str">
        <f>IF(B71="","",IF(K71="Not in use","Priority – Not in use",IF(AK71&gt;='Scoring Settings'!$B$9,"Decommission",IF(AK71=1,"Review","Retain"))))</f>
        <v/>
      </c>
      <c r="AM71" s="17" t="str">
        <f>IF(B71="","",IF(Z71="N","Easy",IF(OR(AND(ISNUMBER(AB71),AB71&gt;'Scoring Settings'!$B$11),AND(ISNUMBER(W71),W71&gt;'Scoring Settings'!$B$12),AND(ISNUMBER(M71),M71&lt;='Scoring Settings'!$B$13)),"High","Medium")))</f>
        <v/>
      </c>
      <c r="AN71" s="14"/>
      <c r="AO71" s="16"/>
      <c r="AP71" s="14"/>
      <c r="AQ71" s="22"/>
    </row>
    <row r="72" spans="1:43">
      <c r="A72" s="14"/>
      <c r="B72" s="14"/>
      <c r="C72" s="14"/>
      <c r="D72" s="14"/>
      <c r="E72" s="14"/>
      <c r="F72" s="14"/>
      <c r="G72" s="14"/>
      <c r="H72" s="14"/>
      <c r="I72" s="15"/>
      <c r="J72" s="16"/>
      <c r="K72" s="17" t="str">
        <f>IF(B72="","",IF(AND(I72="",J72=""),"Unknown",IF(OR(AND(ISNUMBER(I72),I72=0),AND(ISNUMBER(J72),J72&lt;=EDATE('Scoring Settings'!$B$4,-'Scoring Settings'!$B$5))),"Not in use",IF(AND(ISNUMBER(I72),I72&lt;'Scoring Settings'!$B$6),"Low use","Active"))))</f>
        <v/>
      </c>
      <c r="L72" s="14"/>
      <c r="M72" s="14"/>
      <c r="N72" s="14"/>
      <c r="O72" s="14"/>
      <c r="P72" s="14"/>
      <c r="Q72" s="18"/>
      <c r="R72" s="14"/>
      <c r="S72" s="14"/>
      <c r="T72" s="14"/>
      <c r="U72" s="16"/>
      <c r="V72" s="14"/>
      <c r="W72" s="15"/>
      <c r="X72" s="14"/>
      <c r="Y72" s="18"/>
      <c r="Z72" s="14"/>
      <c r="AA72" s="14"/>
      <c r="AB72" s="18"/>
      <c r="AC72" s="14"/>
      <c r="AD72" s="14"/>
      <c r="AE72" s="14"/>
      <c r="AF72" s="19"/>
      <c r="AG72" s="16"/>
      <c r="AH72" s="19"/>
      <c r="AI72" s="19"/>
      <c r="AJ72" s="20" t="str">
        <f t="shared" si="1"/>
        <v/>
      </c>
      <c r="AK72" s="21" t="str">
        <f>IF(B72="","",OR(K72="Not in use",K72="Low use")+AND(N72&lt;&gt;"",N72&lt;&gt;"TBD")+AND(ISNUMBER(U72),U72&lt;=EDATE('Scoring Settings'!$B$4,'Scoring Settings'!$B$8))+AND(ISNUMBER(L72),L72&lt;='Scoring Settings'!$B$7))</f>
        <v/>
      </c>
      <c r="AL72" s="17" t="str">
        <f>IF(B72="","",IF(K72="Not in use","Priority – Not in use",IF(AK72&gt;='Scoring Settings'!$B$9,"Decommission",IF(AK72=1,"Review","Retain"))))</f>
        <v/>
      </c>
      <c r="AM72" s="17" t="str">
        <f>IF(B72="","",IF(Z72="N","Easy",IF(OR(AND(ISNUMBER(AB72),AB72&gt;'Scoring Settings'!$B$11),AND(ISNUMBER(W72),W72&gt;'Scoring Settings'!$B$12),AND(ISNUMBER(M72),M72&lt;='Scoring Settings'!$B$13)),"High","Medium")))</f>
        <v/>
      </c>
      <c r="AN72" s="14"/>
      <c r="AO72" s="16"/>
      <c r="AP72" s="14"/>
      <c r="AQ72" s="22"/>
    </row>
    <row r="73" spans="1:43">
      <c r="A73" s="14"/>
      <c r="B73" s="14"/>
      <c r="C73" s="14"/>
      <c r="D73" s="14"/>
      <c r="E73" s="14"/>
      <c r="F73" s="14"/>
      <c r="G73" s="14"/>
      <c r="H73" s="14"/>
      <c r="I73" s="15"/>
      <c r="J73" s="16"/>
      <c r="K73" s="17" t="str">
        <f>IF(B73="","",IF(AND(I73="",J73=""),"Unknown",IF(OR(AND(ISNUMBER(I73),I73=0),AND(ISNUMBER(J73),J73&lt;=EDATE('Scoring Settings'!$B$4,-'Scoring Settings'!$B$5))),"Not in use",IF(AND(ISNUMBER(I73),I73&lt;'Scoring Settings'!$B$6),"Low use","Active"))))</f>
        <v/>
      </c>
      <c r="L73" s="14"/>
      <c r="M73" s="14"/>
      <c r="N73" s="14"/>
      <c r="O73" s="14"/>
      <c r="P73" s="14"/>
      <c r="Q73" s="18"/>
      <c r="R73" s="14"/>
      <c r="S73" s="14"/>
      <c r="T73" s="14"/>
      <c r="U73" s="16"/>
      <c r="V73" s="14"/>
      <c r="W73" s="15"/>
      <c r="X73" s="14"/>
      <c r="Y73" s="18"/>
      <c r="Z73" s="14"/>
      <c r="AA73" s="14"/>
      <c r="AB73" s="18"/>
      <c r="AC73" s="14"/>
      <c r="AD73" s="14"/>
      <c r="AE73" s="14"/>
      <c r="AF73" s="19"/>
      <c r="AG73" s="16"/>
      <c r="AH73" s="19"/>
      <c r="AI73" s="19"/>
      <c r="AJ73" s="20" t="str">
        <f t="shared" si="1"/>
        <v/>
      </c>
      <c r="AK73" s="21" t="str">
        <f>IF(B73="","",OR(K73="Not in use",K73="Low use")+AND(N73&lt;&gt;"",N73&lt;&gt;"TBD")+AND(ISNUMBER(U73),U73&lt;=EDATE('Scoring Settings'!$B$4,'Scoring Settings'!$B$8))+AND(ISNUMBER(L73),L73&lt;='Scoring Settings'!$B$7))</f>
        <v/>
      </c>
      <c r="AL73" s="17" t="str">
        <f>IF(B73="","",IF(K73="Not in use","Priority – Not in use",IF(AK73&gt;='Scoring Settings'!$B$9,"Decommission",IF(AK73=1,"Review","Retain"))))</f>
        <v/>
      </c>
      <c r="AM73" s="17" t="str">
        <f>IF(B73="","",IF(Z73="N","Easy",IF(OR(AND(ISNUMBER(AB73),AB73&gt;'Scoring Settings'!$B$11),AND(ISNUMBER(W73),W73&gt;'Scoring Settings'!$B$12),AND(ISNUMBER(M73),M73&lt;='Scoring Settings'!$B$13)),"High","Medium")))</f>
        <v/>
      </c>
      <c r="AN73" s="14"/>
      <c r="AO73" s="16"/>
      <c r="AP73" s="14"/>
      <c r="AQ73" s="22"/>
    </row>
    <row r="74" spans="1:43">
      <c r="A74" s="14"/>
      <c r="B74" s="14"/>
      <c r="C74" s="14"/>
      <c r="D74" s="14"/>
      <c r="E74" s="14"/>
      <c r="F74" s="14"/>
      <c r="G74" s="14"/>
      <c r="H74" s="14"/>
      <c r="I74" s="15"/>
      <c r="J74" s="16"/>
      <c r="K74" s="17" t="str">
        <f>IF(B74="","",IF(AND(I74="",J74=""),"Unknown",IF(OR(AND(ISNUMBER(I74),I74=0),AND(ISNUMBER(J74),J74&lt;=EDATE('Scoring Settings'!$B$4,-'Scoring Settings'!$B$5))),"Not in use",IF(AND(ISNUMBER(I74),I74&lt;'Scoring Settings'!$B$6),"Low use","Active"))))</f>
        <v/>
      </c>
      <c r="L74" s="14"/>
      <c r="M74" s="14"/>
      <c r="N74" s="14"/>
      <c r="O74" s="14"/>
      <c r="P74" s="14"/>
      <c r="Q74" s="18"/>
      <c r="R74" s="14"/>
      <c r="S74" s="14"/>
      <c r="T74" s="14"/>
      <c r="U74" s="16"/>
      <c r="V74" s="14"/>
      <c r="W74" s="15"/>
      <c r="X74" s="14"/>
      <c r="Y74" s="18"/>
      <c r="Z74" s="14"/>
      <c r="AA74" s="14"/>
      <c r="AB74" s="18"/>
      <c r="AC74" s="14"/>
      <c r="AD74" s="14"/>
      <c r="AE74" s="14"/>
      <c r="AF74" s="19"/>
      <c r="AG74" s="16"/>
      <c r="AH74" s="19"/>
      <c r="AI74" s="19"/>
      <c r="AJ74" s="20" t="str">
        <f t="shared" si="1"/>
        <v/>
      </c>
      <c r="AK74" s="21" t="str">
        <f>IF(B74="","",OR(K74="Not in use",K74="Low use")+AND(N74&lt;&gt;"",N74&lt;&gt;"TBD")+AND(ISNUMBER(U74),U74&lt;=EDATE('Scoring Settings'!$B$4,'Scoring Settings'!$B$8))+AND(ISNUMBER(L74),L74&lt;='Scoring Settings'!$B$7))</f>
        <v/>
      </c>
      <c r="AL74" s="17" t="str">
        <f>IF(B74="","",IF(K74="Not in use","Priority – Not in use",IF(AK74&gt;='Scoring Settings'!$B$9,"Decommission",IF(AK74=1,"Review","Retain"))))</f>
        <v/>
      </c>
      <c r="AM74" s="17" t="str">
        <f>IF(B74="","",IF(Z74="N","Easy",IF(OR(AND(ISNUMBER(AB74),AB74&gt;'Scoring Settings'!$B$11),AND(ISNUMBER(W74),W74&gt;'Scoring Settings'!$B$12),AND(ISNUMBER(M74),M74&lt;='Scoring Settings'!$B$13)),"High","Medium")))</f>
        <v/>
      </c>
      <c r="AN74" s="14"/>
      <c r="AO74" s="16"/>
      <c r="AP74" s="14"/>
      <c r="AQ74" s="22"/>
    </row>
    <row r="75" spans="1:43">
      <c r="A75" s="14"/>
      <c r="B75" s="14"/>
      <c r="C75" s="14"/>
      <c r="D75" s="14"/>
      <c r="E75" s="14"/>
      <c r="F75" s="14"/>
      <c r="G75" s="14"/>
      <c r="H75" s="14"/>
      <c r="I75" s="15"/>
      <c r="J75" s="16"/>
      <c r="K75" s="17" t="str">
        <f>IF(B75="","",IF(AND(I75="",J75=""),"Unknown",IF(OR(AND(ISNUMBER(I75),I75=0),AND(ISNUMBER(J75),J75&lt;=EDATE('Scoring Settings'!$B$4,-'Scoring Settings'!$B$5))),"Not in use",IF(AND(ISNUMBER(I75),I75&lt;'Scoring Settings'!$B$6),"Low use","Active"))))</f>
        <v/>
      </c>
      <c r="L75" s="14"/>
      <c r="M75" s="14"/>
      <c r="N75" s="14"/>
      <c r="O75" s="14"/>
      <c r="P75" s="14"/>
      <c r="Q75" s="18"/>
      <c r="R75" s="14"/>
      <c r="S75" s="14"/>
      <c r="T75" s="14"/>
      <c r="U75" s="16"/>
      <c r="V75" s="14"/>
      <c r="W75" s="15"/>
      <c r="X75" s="14"/>
      <c r="Y75" s="18"/>
      <c r="Z75" s="14"/>
      <c r="AA75" s="14"/>
      <c r="AB75" s="18"/>
      <c r="AC75" s="14"/>
      <c r="AD75" s="14"/>
      <c r="AE75" s="14"/>
      <c r="AF75" s="19"/>
      <c r="AG75" s="16"/>
      <c r="AH75" s="19"/>
      <c r="AI75" s="19"/>
      <c r="AJ75" s="20" t="str">
        <f t="shared" si="1"/>
        <v/>
      </c>
      <c r="AK75" s="21" t="str">
        <f>IF(B75="","",OR(K75="Not in use",K75="Low use")+AND(N75&lt;&gt;"",N75&lt;&gt;"TBD")+AND(ISNUMBER(U75),U75&lt;=EDATE('Scoring Settings'!$B$4,'Scoring Settings'!$B$8))+AND(ISNUMBER(L75),L75&lt;='Scoring Settings'!$B$7))</f>
        <v/>
      </c>
      <c r="AL75" s="17" t="str">
        <f>IF(B75="","",IF(K75="Not in use","Priority – Not in use",IF(AK75&gt;='Scoring Settings'!$B$9,"Decommission",IF(AK75=1,"Review","Retain"))))</f>
        <v/>
      </c>
      <c r="AM75" s="17" t="str">
        <f>IF(B75="","",IF(Z75="N","Easy",IF(OR(AND(ISNUMBER(AB75),AB75&gt;'Scoring Settings'!$B$11),AND(ISNUMBER(W75),W75&gt;'Scoring Settings'!$B$12),AND(ISNUMBER(M75),M75&lt;='Scoring Settings'!$B$13)),"High","Medium")))</f>
        <v/>
      </c>
      <c r="AN75" s="14"/>
      <c r="AO75" s="16"/>
      <c r="AP75" s="14"/>
      <c r="AQ75" s="22"/>
    </row>
    <row r="76" spans="1:43">
      <c r="A76" s="14"/>
      <c r="B76" s="14"/>
      <c r="C76" s="14"/>
      <c r="D76" s="14"/>
      <c r="E76" s="14"/>
      <c r="F76" s="14"/>
      <c r="G76" s="14"/>
      <c r="H76" s="14"/>
      <c r="I76" s="15"/>
      <c r="J76" s="16"/>
      <c r="K76" s="17" t="str">
        <f>IF(B76="","",IF(AND(I76="",J76=""),"Unknown",IF(OR(AND(ISNUMBER(I76),I76=0),AND(ISNUMBER(J76),J76&lt;=EDATE('Scoring Settings'!$B$4,-'Scoring Settings'!$B$5))),"Not in use",IF(AND(ISNUMBER(I76),I76&lt;'Scoring Settings'!$B$6),"Low use","Active"))))</f>
        <v/>
      </c>
      <c r="L76" s="14"/>
      <c r="M76" s="14"/>
      <c r="N76" s="14"/>
      <c r="O76" s="14"/>
      <c r="P76" s="14"/>
      <c r="Q76" s="18"/>
      <c r="R76" s="14"/>
      <c r="S76" s="14"/>
      <c r="T76" s="14"/>
      <c r="U76" s="16"/>
      <c r="V76" s="14"/>
      <c r="W76" s="15"/>
      <c r="X76" s="14"/>
      <c r="Y76" s="18"/>
      <c r="Z76" s="14"/>
      <c r="AA76" s="14"/>
      <c r="AB76" s="18"/>
      <c r="AC76" s="14"/>
      <c r="AD76" s="14"/>
      <c r="AE76" s="14"/>
      <c r="AF76" s="19"/>
      <c r="AG76" s="16"/>
      <c r="AH76" s="19"/>
      <c r="AI76" s="19"/>
      <c r="AJ76" s="20" t="str">
        <f t="shared" si="1"/>
        <v/>
      </c>
      <c r="AK76" s="21" t="str">
        <f>IF(B76="","",OR(K76="Not in use",K76="Low use")+AND(N76&lt;&gt;"",N76&lt;&gt;"TBD")+AND(ISNUMBER(U76),U76&lt;=EDATE('Scoring Settings'!$B$4,'Scoring Settings'!$B$8))+AND(ISNUMBER(L76),L76&lt;='Scoring Settings'!$B$7))</f>
        <v/>
      </c>
      <c r="AL76" s="17" t="str">
        <f>IF(B76="","",IF(K76="Not in use","Priority – Not in use",IF(AK76&gt;='Scoring Settings'!$B$9,"Decommission",IF(AK76=1,"Review","Retain"))))</f>
        <v/>
      </c>
      <c r="AM76" s="17" t="str">
        <f>IF(B76="","",IF(Z76="N","Easy",IF(OR(AND(ISNUMBER(AB76),AB76&gt;'Scoring Settings'!$B$11),AND(ISNUMBER(W76),W76&gt;'Scoring Settings'!$B$12),AND(ISNUMBER(M76),M76&lt;='Scoring Settings'!$B$13)),"High","Medium")))</f>
        <v/>
      </c>
      <c r="AN76" s="14"/>
      <c r="AO76" s="16"/>
      <c r="AP76" s="14"/>
      <c r="AQ76" s="22"/>
    </row>
    <row r="77" spans="1:43">
      <c r="A77" s="14"/>
      <c r="B77" s="14"/>
      <c r="C77" s="14"/>
      <c r="D77" s="14"/>
      <c r="E77" s="14"/>
      <c r="F77" s="14"/>
      <c r="G77" s="14"/>
      <c r="H77" s="14"/>
      <c r="I77" s="15"/>
      <c r="J77" s="16"/>
      <c r="K77" s="17" t="str">
        <f>IF(B77="","",IF(AND(I77="",J77=""),"Unknown",IF(OR(AND(ISNUMBER(I77),I77=0),AND(ISNUMBER(J77),J77&lt;=EDATE('Scoring Settings'!$B$4,-'Scoring Settings'!$B$5))),"Not in use",IF(AND(ISNUMBER(I77),I77&lt;'Scoring Settings'!$B$6),"Low use","Active"))))</f>
        <v/>
      </c>
      <c r="L77" s="14"/>
      <c r="M77" s="14"/>
      <c r="N77" s="14"/>
      <c r="O77" s="14"/>
      <c r="P77" s="14"/>
      <c r="Q77" s="18"/>
      <c r="R77" s="14"/>
      <c r="S77" s="14"/>
      <c r="T77" s="14"/>
      <c r="U77" s="16"/>
      <c r="V77" s="14"/>
      <c r="W77" s="15"/>
      <c r="X77" s="14"/>
      <c r="Y77" s="18"/>
      <c r="Z77" s="14"/>
      <c r="AA77" s="14"/>
      <c r="AB77" s="18"/>
      <c r="AC77" s="14"/>
      <c r="AD77" s="14"/>
      <c r="AE77" s="14"/>
      <c r="AF77" s="19"/>
      <c r="AG77" s="16"/>
      <c r="AH77" s="19"/>
      <c r="AI77" s="19"/>
      <c r="AJ77" s="20" t="str">
        <f t="shared" si="1"/>
        <v/>
      </c>
      <c r="AK77" s="21" t="str">
        <f>IF(B77="","",OR(K77="Not in use",K77="Low use")+AND(N77&lt;&gt;"",N77&lt;&gt;"TBD")+AND(ISNUMBER(U77),U77&lt;=EDATE('Scoring Settings'!$B$4,'Scoring Settings'!$B$8))+AND(ISNUMBER(L77),L77&lt;='Scoring Settings'!$B$7))</f>
        <v/>
      </c>
      <c r="AL77" s="17" t="str">
        <f>IF(B77="","",IF(K77="Not in use","Priority – Not in use",IF(AK77&gt;='Scoring Settings'!$B$9,"Decommission",IF(AK77=1,"Review","Retain"))))</f>
        <v/>
      </c>
      <c r="AM77" s="17" t="str">
        <f>IF(B77="","",IF(Z77="N","Easy",IF(OR(AND(ISNUMBER(AB77),AB77&gt;'Scoring Settings'!$B$11),AND(ISNUMBER(W77),W77&gt;'Scoring Settings'!$B$12),AND(ISNUMBER(M77),M77&lt;='Scoring Settings'!$B$13)),"High","Medium")))</f>
        <v/>
      </c>
      <c r="AN77" s="14"/>
      <c r="AO77" s="16"/>
      <c r="AP77" s="14"/>
      <c r="AQ77" s="22"/>
    </row>
    <row r="78" spans="1:43">
      <c r="A78" s="14"/>
      <c r="B78" s="14"/>
      <c r="C78" s="14"/>
      <c r="D78" s="14"/>
      <c r="E78" s="14"/>
      <c r="F78" s="14"/>
      <c r="G78" s="14"/>
      <c r="H78" s="14"/>
      <c r="I78" s="15"/>
      <c r="J78" s="16"/>
      <c r="K78" s="17" t="str">
        <f>IF(B78="","",IF(AND(I78="",J78=""),"Unknown",IF(OR(AND(ISNUMBER(I78),I78=0),AND(ISNUMBER(J78),J78&lt;=EDATE('Scoring Settings'!$B$4,-'Scoring Settings'!$B$5))),"Not in use",IF(AND(ISNUMBER(I78),I78&lt;'Scoring Settings'!$B$6),"Low use","Active"))))</f>
        <v/>
      </c>
      <c r="L78" s="14"/>
      <c r="M78" s="14"/>
      <c r="N78" s="14"/>
      <c r="O78" s="14"/>
      <c r="P78" s="14"/>
      <c r="Q78" s="18"/>
      <c r="R78" s="14"/>
      <c r="S78" s="14"/>
      <c r="T78" s="14"/>
      <c r="U78" s="16"/>
      <c r="V78" s="14"/>
      <c r="W78" s="15"/>
      <c r="X78" s="14"/>
      <c r="Y78" s="18"/>
      <c r="Z78" s="14"/>
      <c r="AA78" s="14"/>
      <c r="AB78" s="18"/>
      <c r="AC78" s="14"/>
      <c r="AD78" s="14"/>
      <c r="AE78" s="14"/>
      <c r="AF78" s="19"/>
      <c r="AG78" s="16"/>
      <c r="AH78" s="19"/>
      <c r="AI78" s="19"/>
      <c r="AJ78" s="20" t="str">
        <f t="shared" si="1"/>
        <v/>
      </c>
      <c r="AK78" s="21" t="str">
        <f>IF(B78="","",OR(K78="Not in use",K78="Low use")+AND(N78&lt;&gt;"",N78&lt;&gt;"TBD")+AND(ISNUMBER(U78),U78&lt;=EDATE('Scoring Settings'!$B$4,'Scoring Settings'!$B$8))+AND(ISNUMBER(L78),L78&lt;='Scoring Settings'!$B$7))</f>
        <v/>
      </c>
      <c r="AL78" s="17" t="str">
        <f>IF(B78="","",IF(K78="Not in use","Priority – Not in use",IF(AK78&gt;='Scoring Settings'!$B$9,"Decommission",IF(AK78=1,"Review","Retain"))))</f>
        <v/>
      </c>
      <c r="AM78" s="17" t="str">
        <f>IF(B78="","",IF(Z78="N","Easy",IF(OR(AND(ISNUMBER(AB78),AB78&gt;'Scoring Settings'!$B$11),AND(ISNUMBER(W78),W78&gt;'Scoring Settings'!$B$12),AND(ISNUMBER(M78),M78&lt;='Scoring Settings'!$B$13)),"High","Medium")))</f>
        <v/>
      </c>
      <c r="AN78" s="14"/>
      <c r="AO78" s="16"/>
      <c r="AP78" s="14"/>
      <c r="AQ78" s="22"/>
    </row>
    <row r="79" spans="1:43">
      <c r="A79" s="14"/>
      <c r="B79" s="14"/>
      <c r="C79" s="14"/>
      <c r="D79" s="14"/>
      <c r="E79" s="14"/>
      <c r="F79" s="14"/>
      <c r="G79" s="14"/>
      <c r="H79" s="14"/>
      <c r="I79" s="15"/>
      <c r="J79" s="16"/>
      <c r="K79" s="17" t="str">
        <f>IF(B79="","",IF(AND(I79="",J79=""),"Unknown",IF(OR(AND(ISNUMBER(I79),I79=0),AND(ISNUMBER(J79),J79&lt;=EDATE('Scoring Settings'!$B$4,-'Scoring Settings'!$B$5))),"Not in use",IF(AND(ISNUMBER(I79),I79&lt;'Scoring Settings'!$B$6),"Low use","Active"))))</f>
        <v/>
      </c>
      <c r="L79" s="14"/>
      <c r="M79" s="14"/>
      <c r="N79" s="14"/>
      <c r="O79" s="14"/>
      <c r="P79" s="14"/>
      <c r="Q79" s="18"/>
      <c r="R79" s="14"/>
      <c r="S79" s="14"/>
      <c r="T79" s="14"/>
      <c r="U79" s="16"/>
      <c r="V79" s="14"/>
      <c r="W79" s="15"/>
      <c r="X79" s="14"/>
      <c r="Y79" s="18"/>
      <c r="Z79" s="14"/>
      <c r="AA79" s="14"/>
      <c r="AB79" s="18"/>
      <c r="AC79" s="14"/>
      <c r="AD79" s="14"/>
      <c r="AE79" s="14"/>
      <c r="AF79" s="19"/>
      <c r="AG79" s="16"/>
      <c r="AH79" s="19"/>
      <c r="AI79" s="19"/>
      <c r="AJ79" s="20" t="str">
        <f t="shared" si="1"/>
        <v/>
      </c>
      <c r="AK79" s="21" t="str">
        <f>IF(B79="","",OR(K79="Not in use",K79="Low use")+AND(N79&lt;&gt;"",N79&lt;&gt;"TBD")+AND(ISNUMBER(U79),U79&lt;=EDATE('Scoring Settings'!$B$4,'Scoring Settings'!$B$8))+AND(ISNUMBER(L79),L79&lt;='Scoring Settings'!$B$7))</f>
        <v/>
      </c>
      <c r="AL79" s="17" t="str">
        <f>IF(B79="","",IF(K79="Not in use","Priority – Not in use",IF(AK79&gt;='Scoring Settings'!$B$9,"Decommission",IF(AK79=1,"Review","Retain"))))</f>
        <v/>
      </c>
      <c r="AM79" s="17" t="str">
        <f>IF(B79="","",IF(Z79="N","Easy",IF(OR(AND(ISNUMBER(AB79),AB79&gt;'Scoring Settings'!$B$11),AND(ISNUMBER(W79),W79&gt;'Scoring Settings'!$B$12),AND(ISNUMBER(M79),M79&lt;='Scoring Settings'!$B$13)),"High","Medium")))</f>
        <v/>
      </c>
      <c r="AN79" s="14"/>
      <c r="AO79" s="16"/>
      <c r="AP79" s="14"/>
      <c r="AQ79" s="22"/>
    </row>
    <row r="80" spans="1:43">
      <c r="A80" s="14"/>
      <c r="B80" s="14"/>
      <c r="C80" s="14"/>
      <c r="D80" s="14"/>
      <c r="E80" s="14"/>
      <c r="F80" s="14"/>
      <c r="G80" s="14"/>
      <c r="H80" s="14"/>
      <c r="I80" s="15"/>
      <c r="J80" s="16"/>
      <c r="K80" s="17" t="str">
        <f>IF(B80="","",IF(AND(I80="",J80=""),"Unknown",IF(OR(AND(ISNUMBER(I80),I80=0),AND(ISNUMBER(J80),J80&lt;=EDATE('Scoring Settings'!$B$4,-'Scoring Settings'!$B$5))),"Not in use",IF(AND(ISNUMBER(I80),I80&lt;'Scoring Settings'!$B$6),"Low use","Active"))))</f>
        <v/>
      </c>
      <c r="L80" s="14"/>
      <c r="M80" s="14"/>
      <c r="N80" s="14"/>
      <c r="O80" s="14"/>
      <c r="P80" s="14"/>
      <c r="Q80" s="18"/>
      <c r="R80" s="14"/>
      <c r="S80" s="14"/>
      <c r="T80" s="14"/>
      <c r="U80" s="16"/>
      <c r="V80" s="14"/>
      <c r="W80" s="15"/>
      <c r="X80" s="14"/>
      <c r="Y80" s="18"/>
      <c r="Z80" s="14"/>
      <c r="AA80" s="14"/>
      <c r="AB80" s="18"/>
      <c r="AC80" s="14"/>
      <c r="AD80" s="14"/>
      <c r="AE80" s="14"/>
      <c r="AF80" s="19"/>
      <c r="AG80" s="16"/>
      <c r="AH80" s="19"/>
      <c r="AI80" s="19"/>
      <c r="AJ80" s="20" t="str">
        <f t="shared" si="1"/>
        <v/>
      </c>
      <c r="AK80" s="21" t="str">
        <f>IF(B80="","",OR(K80="Not in use",K80="Low use")+AND(N80&lt;&gt;"",N80&lt;&gt;"TBD")+AND(ISNUMBER(U80),U80&lt;=EDATE('Scoring Settings'!$B$4,'Scoring Settings'!$B$8))+AND(ISNUMBER(L80),L80&lt;='Scoring Settings'!$B$7))</f>
        <v/>
      </c>
      <c r="AL80" s="17" t="str">
        <f>IF(B80="","",IF(K80="Not in use","Priority – Not in use",IF(AK80&gt;='Scoring Settings'!$B$9,"Decommission",IF(AK80=1,"Review","Retain"))))</f>
        <v/>
      </c>
      <c r="AM80" s="17" t="str">
        <f>IF(B80="","",IF(Z80="N","Easy",IF(OR(AND(ISNUMBER(AB80),AB80&gt;'Scoring Settings'!$B$11),AND(ISNUMBER(W80),W80&gt;'Scoring Settings'!$B$12),AND(ISNUMBER(M80),M80&lt;='Scoring Settings'!$B$13)),"High","Medium")))</f>
        <v/>
      </c>
      <c r="AN80" s="14"/>
      <c r="AO80" s="16"/>
      <c r="AP80" s="14"/>
      <c r="AQ80" s="22"/>
    </row>
    <row r="81" spans="1:43">
      <c r="A81" s="14"/>
      <c r="B81" s="14"/>
      <c r="C81" s="14"/>
      <c r="D81" s="14"/>
      <c r="E81" s="14"/>
      <c r="F81" s="14"/>
      <c r="G81" s="14"/>
      <c r="H81" s="14"/>
      <c r="I81" s="15"/>
      <c r="J81" s="16"/>
      <c r="K81" s="17" t="str">
        <f>IF(B81="","",IF(AND(I81="",J81=""),"Unknown",IF(OR(AND(ISNUMBER(I81),I81=0),AND(ISNUMBER(J81),J81&lt;=EDATE('Scoring Settings'!$B$4,-'Scoring Settings'!$B$5))),"Not in use",IF(AND(ISNUMBER(I81),I81&lt;'Scoring Settings'!$B$6),"Low use","Active"))))</f>
        <v/>
      </c>
      <c r="L81" s="14"/>
      <c r="M81" s="14"/>
      <c r="N81" s="14"/>
      <c r="O81" s="14"/>
      <c r="P81" s="14"/>
      <c r="Q81" s="18"/>
      <c r="R81" s="14"/>
      <c r="S81" s="14"/>
      <c r="T81" s="14"/>
      <c r="U81" s="16"/>
      <c r="V81" s="14"/>
      <c r="W81" s="15"/>
      <c r="X81" s="14"/>
      <c r="Y81" s="18"/>
      <c r="Z81" s="14"/>
      <c r="AA81" s="14"/>
      <c r="AB81" s="18"/>
      <c r="AC81" s="14"/>
      <c r="AD81" s="14"/>
      <c r="AE81" s="14"/>
      <c r="AF81" s="19"/>
      <c r="AG81" s="16"/>
      <c r="AH81" s="19"/>
      <c r="AI81" s="19"/>
      <c r="AJ81" s="20" t="str">
        <f t="shared" si="1"/>
        <v/>
      </c>
      <c r="AK81" s="21" t="str">
        <f>IF(B81="","",OR(K81="Not in use",K81="Low use")+AND(N81&lt;&gt;"",N81&lt;&gt;"TBD")+AND(ISNUMBER(U81),U81&lt;=EDATE('Scoring Settings'!$B$4,'Scoring Settings'!$B$8))+AND(ISNUMBER(L81),L81&lt;='Scoring Settings'!$B$7))</f>
        <v/>
      </c>
      <c r="AL81" s="17" t="str">
        <f>IF(B81="","",IF(K81="Not in use","Priority – Not in use",IF(AK81&gt;='Scoring Settings'!$B$9,"Decommission",IF(AK81=1,"Review","Retain"))))</f>
        <v/>
      </c>
      <c r="AM81" s="17" t="str">
        <f>IF(B81="","",IF(Z81="N","Easy",IF(OR(AND(ISNUMBER(AB81),AB81&gt;'Scoring Settings'!$B$11),AND(ISNUMBER(W81),W81&gt;'Scoring Settings'!$B$12),AND(ISNUMBER(M81),M81&lt;='Scoring Settings'!$B$13)),"High","Medium")))</f>
        <v/>
      </c>
      <c r="AN81" s="14"/>
      <c r="AO81" s="16"/>
      <c r="AP81" s="14"/>
      <c r="AQ81" s="22"/>
    </row>
    <row r="82" spans="1:43">
      <c r="A82" s="14"/>
      <c r="B82" s="14"/>
      <c r="C82" s="14"/>
      <c r="D82" s="14"/>
      <c r="E82" s="14"/>
      <c r="F82" s="14"/>
      <c r="G82" s="14"/>
      <c r="H82" s="14"/>
      <c r="I82" s="15"/>
      <c r="J82" s="16"/>
      <c r="K82" s="17" t="str">
        <f>IF(B82="","",IF(AND(I82="",J82=""),"Unknown",IF(OR(AND(ISNUMBER(I82),I82=0),AND(ISNUMBER(J82),J82&lt;=EDATE('Scoring Settings'!$B$4,-'Scoring Settings'!$B$5))),"Not in use",IF(AND(ISNUMBER(I82),I82&lt;'Scoring Settings'!$B$6),"Low use","Active"))))</f>
        <v/>
      </c>
      <c r="L82" s="14"/>
      <c r="M82" s="14"/>
      <c r="N82" s="14"/>
      <c r="O82" s="14"/>
      <c r="P82" s="14"/>
      <c r="Q82" s="18"/>
      <c r="R82" s="14"/>
      <c r="S82" s="14"/>
      <c r="T82" s="14"/>
      <c r="U82" s="16"/>
      <c r="V82" s="14"/>
      <c r="W82" s="15"/>
      <c r="X82" s="14"/>
      <c r="Y82" s="18"/>
      <c r="Z82" s="14"/>
      <c r="AA82" s="14"/>
      <c r="AB82" s="18"/>
      <c r="AC82" s="14"/>
      <c r="AD82" s="14"/>
      <c r="AE82" s="14"/>
      <c r="AF82" s="19"/>
      <c r="AG82" s="16"/>
      <c r="AH82" s="19"/>
      <c r="AI82" s="19"/>
      <c r="AJ82" s="20" t="str">
        <f t="shared" si="1"/>
        <v/>
      </c>
      <c r="AK82" s="21" t="str">
        <f>IF(B82="","",OR(K82="Not in use",K82="Low use")+AND(N82&lt;&gt;"",N82&lt;&gt;"TBD")+AND(ISNUMBER(U82),U82&lt;=EDATE('Scoring Settings'!$B$4,'Scoring Settings'!$B$8))+AND(ISNUMBER(L82),L82&lt;='Scoring Settings'!$B$7))</f>
        <v/>
      </c>
      <c r="AL82" s="17" t="str">
        <f>IF(B82="","",IF(K82="Not in use","Priority – Not in use",IF(AK82&gt;='Scoring Settings'!$B$9,"Decommission",IF(AK82=1,"Review","Retain"))))</f>
        <v/>
      </c>
      <c r="AM82" s="17" t="str">
        <f>IF(B82="","",IF(Z82="N","Easy",IF(OR(AND(ISNUMBER(AB82),AB82&gt;'Scoring Settings'!$B$11),AND(ISNUMBER(W82),W82&gt;'Scoring Settings'!$B$12),AND(ISNUMBER(M82),M82&lt;='Scoring Settings'!$B$13)),"High","Medium")))</f>
        <v/>
      </c>
      <c r="AN82" s="14"/>
      <c r="AO82" s="16"/>
      <c r="AP82" s="14"/>
      <c r="AQ82" s="22"/>
    </row>
    <row r="83" spans="1:43">
      <c r="A83" s="14"/>
      <c r="B83" s="14"/>
      <c r="C83" s="14"/>
      <c r="D83" s="14"/>
      <c r="E83" s="14"/>
      <c r="F83" s="14"/>
      <c r="G83" s="14"/>
      <c r="H83" s="14"/>
      <c r="I83" s="15"/>
      <c r="J83" s="16"/>
      <c r="K83" s="17" t="str">
        <f>IF(B83="","",IF(AND(I83="",J83=""),"Unknown",IF(OR(AND(ISNUMBER(I83),I83=0),AND(ISNUMBER(J83),J83&lt;=EDATE('Scoring Settings'!$B$4,-'Scoring Settings'!$B$5))),"Not in use",IF(AND(ISNUMBER(I83),I83&lt;'Scoring Settings'!$B$6),"Low use","Active"))))</f>
        <v/>
      </c>
      <c r="L83" s="14"/>
      <c r="M83" s="14"/>
      <c r="N83" s="14"/>
      <c r="O83" s="14"/>
      <c r="P83" s="14"/>
      <c r="Q83" s="18"/>
      <c r="R83" s="14"/>
      <c r="S83" s="14"/>
      <c r="T83" s="14"/>
      <c r="U83" s="16"/>
      <c r="V83" s="14"/>
      <c r="W83" s="15"/>
      <c r="X83" s="14"/>
      <c r="Y83" s="18"/>
      <c r="Z83" s="14"/>
      <c r="AA83" s="14"/>
      <c r="AB83" s="18"/>
      <c r="AC83" s="14"/>
      <c r="AD83" s="14"/>
      <c r="AE83" s="14"/>
      <c r="AF83" s="19"/>
      <c r="AG83" s="16"/>
      <c r="AH83" s="19"/>
      <c r="AI83" s="19"/>
      <c r="AJ83" s="20" t="str">
        <f t="shared" si="1"/>
        <v/>
      </c>
      <c r="AK83" s="21" t="str">
        <f>IF(B83="","",OR(K83="Not in use",K83="Low use")+AND(N83&lt;&gt;"",N83&lt;&gt;"TBD")+AND(ISNUMBER(U83),U83&lt;=EDATE('Scoring Settings'!$B$4,'Scoring Settings'!$B$8))+AND(ISNUMBER(L83),L83&lt;='Scoring Settings'!$B$7))</f>
        <v/>
      </c>
      <c r="AL83" s="17" t="str">
        <f>IF(B83="","",IF(K83="Not in use","Priority – Not in use",IF(AK83&gt;='Scoring Settings'!$B$9,"Decommission",IF(AK83=1,"Review","Retain"))))</f>
        <v/>
      </c>
      <c r="AM83" s="17" t="str">
        <f>IF(B83="","",IF(Z83="N","Easy",IF(OR(AND(ISNUMBER(AB83),AB83&gt;'Scoring Settings'!$B$11),AND(ISNUMBER(W83),W83&gt;'Scoring Settings'!$B$12),AND(ISNUMBER(M83),M83&lt;='Scoring Settings'!$B$13)),"High","Medium")))</f>
        <v/>
      </c>
      <c r="AN83" s="14"/>
      <c r="AO83" s="16"/>
      <c r="AP83" s="14"/>
      <c r="AQ83" s="22"/>
    </row>
    <row r="84" spans="1:43">
      <c r="A84" s="14"/>
      <c r="B84" s="14"/>
      <c r="C84" s="14"/>
      <c r="D84" s="14"/>
      <c r="E84" s="14"/>
      <c r="F84" s="14"/>
      <c r="G84" s="14"/>
      <c r="H84" s="14"/>
      <c r="I84" s="15"/>
      <c r="J84" s="16"/>
      <c r="K84" s="17" t="str">
        <f>IF(B84="","",IF(AND(I84="",J84=""),"Unknown",IF(OR(AND(ISNUMBER(I84),I84=0),AND(ISNUMBER(J84),J84&lt;=EDATE('Scoring Settings'!$B$4,-'Scoring Settings'!$B$5))),"Not in use",IF(AND(ISNUMBER(I84),I84&lt;'Scoring Settings'!$B$6),"Low use","Active"))))</f>
        <v/>
      </c>
      <c r="L84" s="14"/>
      <c r="M84" s="14"/>
      <c r="N84" s="14"/>
      <c r="O84" s="14"/>
      <c r="P84" s="14"/>
      <c r="Q84" s="18"/>
      <c r="R84" s="14"/>
      <c r="S84" s="14"/>
      <c r="T84" s="14"/>
      <c r="U84" s="16"/>
      <c r="V84" s="14"/>
      <c r="W84" s="15"/>
      <c r="X84" s="14"/>
      <c r="Y84" s="18"/>
      <c r="Z84" s="14"/>
      <c r="AA84" s="14"/>
      <c r="AB84" s="18"/>
      <c r="AC84" s="14"/>
      <c r="AD84" s="14"/>
      <c r="AE84" s="14"/>
      <c r="AF84" s="19"/>
      <c r="AG84" s="16"/>
      <c r="AH84" s="19"/>
      <c r="AI84" s="19"/>
      <c r="AJ84" s="20" t="str">
        <f t="shared" si="1"/>
        <v/>
      </c>
      <c r="AK84" s="21" t="str">
        <f>IF(B84="","",OR(K84="Not in use",K84="Low use")+AND(N84&lt;&gt;"",N84&lt;&gt;"TBD")+AND(ISNUMBER(U84),U84&lt;=EDATE('Scoring Settings'!$B$4,'Scoring Settings'!$B$8))+AND(ISNUMBER(L84),L84&lt;='Scoring Settings'!$B$7))</f>
        <v/>
      </c>
      <c r="AL84" s="17" t="str">
        <f>IF(B84="","",IF(K84="Not in use","Priority – Not in use",IF(AK84&gt;='Scoring Settings'!$B$9,"Decommission",IF(AK84=1,"Review","Retain"))))</f>
        <v/>
      </c>
      <c r="AM84" s="17" t="str">
        <f>IF(B84="","",IF(Z84="N","Easy",IF(OR(AND(ISNUMBER(AB84),AB84&gt;'Scoring Settings'!$B$11),AND(ISNUMBER(W84),W84&gt;'Scoring Settings'!$B$12),AND(ISNUMBER(M84),M84&lt;='Scoring Settings'!$B$13)),"High","Medium")))</f>
        <v/>
      </c>
      <c r="AN84" s="14"/>
      <c r="AO84" s="16"/>
      <c r="AP84" s="14"/>
      <c r="AQ84" s="22"/>
    </row>
    <row r="85" spans="1:43">
      <c r="A85" s="14"/>
      <c r="B85" s="14"/>
      <c r="C85" s="14"/>
      <c r="D85" s="14"/>
      <c r="E85" s="14"/>
      <c r="F85" s="14"/>
      <c r="G85" s="14"/>
      <c r="H85" s="14"/>
      <c r="I85" s="15"/>
      <c r="J85" s="16"/>
      <c r="K85" s="17" t="str">
        <f>IF(B85="","",IF(AND(I85="",J85=""),"Unknown",IF(OR(AND(ISNUMBER(I85),I85=0),AND(ISNUMBER(J85),J85&lt;=EDATE('Scoring Settings'!$B$4,-'Scoring Settings'!$B$5))),"Not in use",IF(AND(ISNUMBER(I85),I85&lt;'Scoring Settings'!$B$6),"Low use","Active"))))</f>
        <v/>
      </c>
      <c r="L85" s="14"/>
      <c r="M85" s="14"/>
      <c r="N85" s="14"/>
      <c r="O85" s="14"/>
      <c r="P85" s="14"/>
      <c r="Q85" s="18"/>
      <c r="R85" s="14"/>
      <c r="S85" s="14"/>
      <c r="T85" s="14"/>
      <c r="U85" s="16"/>
      <c r="V85" s="14"/>
      <c r="W85" s="15"/>
      <c r="X85" s="14"/>
      <c r="Y85" s="18"/>
      <c r="Z85" s="14"/>
      <c r="AA85" s="14"/>
      <c r="AB85" s="18"/>
      <c r="AC85" s="14"/>
      <c r="AD85" s="14"/>
      <c r="AE85" s="14"/>
      <c r="AF85" s="19"/>
      <c r="AG85" s="16"/>
      <c r="AH85" s="19"/>
      <c r="AI85" s="19"/>
      <c r="AJ85" s="20" t="str">
        <f t="shared" si="1"/>
        <v/>
      </c>
      <c r="AK85" s="21" t="str">
        <f>IF(B85="","",OR(K85="Not in use",K85="Low use")+AND(N85&lt;&gt;"",N85&lt;&gt;"TBD")+AND(ISNUMBER(U85),U85&lt;=EDATE('Scoring Settings'!$B$4,'Scoring Settings'!$B$8))+AND(ISNUMBER(L85),L85&lt;='Scoring Settings'!$B$7))</f>
        <v/>
      </c>
      <c r="AL85" s="17" t="str">
        <f>IF(B85="","",IF(K85="Not in use","Priority – Not in use",IF(AK85&gt;='Scoring Settings'!$B$9,"Decommission",IF(AK85=1,"Review","Retain"))))</f>
        <v/>
      </c>
      <c r="AM85" s="17" t="str">
        <f>IF(B85="","",IF(Z85="N","Easy",IF(OR(AND(ISNUMBER(AB85),AB85&gt;'Scoring Settings'!$B$11),AND(ISNUMBER(W85),W85&gt;'Scoring Settings'!$B$12),AND(ISNUMBER(M85),M85&lt;='Scoring Settings'!$B$13)),"High","Medium")))</f>
        <v/>
      </c>
      <c r="AN85" s="14"/>
      <c r="AO85" s="16"/>
      <c r="AP85" s="14"/>
      <c r="AQ85" s="22"/>
    </row>
    <row r="86" spans="1:43">
      <c r="A86" s="14"/>
      <c r="B86" s="14"/>
      <c r="C86" s="14"/>
      <c r="D86" s="14"/>
      <c r="E86" s="14"/>
      <c r="F86" s="14"/>
      <c r="G86" s="14"/>
      <c r="H86" s="14"/>
      <c r="I86" s="15"/>
      <c r="J86" s="16"/>
      <c r="K86" s="17" t="str">
        <f>IF(B86="","",IF(AND(I86="",J86=""),"Unknown",IF(OR(AND(ISNUMBER(I86),I86=0),AND(ISNUMBER(J86),J86&lt;=EDATE('Scoring Settings'!$B$4,-'Scoring Settings'!$B$5))),"Not in use",IF(AND(ISNUMBER(I86),I86&lt;'Scoring Settings'!$B$6),"Low use","Active"))))</f>
        <v/>
      </c>
      <c r="L86" s="14"/>
      <c r="M86" s="14"/>
      <c r="N86" s="14"/>
      <c r="O86" s="14"/>
      <c r="P86" s="14"/>
      <c r="Q86" s="18"/>
      <c r="R86" s="14"/>
      <c r="S86" s="14"/>
      <c r="T86" s="14"/>
      <c r="U86" s="16"/>
      <c r="V86" s="14"/>
      <c r="W86" s="15"/>
      <c r="X86" s="14"/>
      <c r="Y86" s="18"/>
      <c r="Z86" s="14"/>
      <c r="AA86" s="14"/>
      <c r="AB86" s="18"/>
      <c r="AC86" s="14"/>
      <c r="AD86" s="14"/>
      <c r="AE86" s="14"/>
      <c r="AF86" s="19"/>
      <c r="AG86" s="16"/>
      <c r="AH86" s="19"/>
      <c r="AI86" s="19"/>
      <c r="AJ86" s="20" t="str">
        <f t="shared" si="1"/>
        <v/>
      </c>
      <c r="AK86" s="21" t="str">
        <f>IF(B86="","",OR(K86="Not in use",K86="Low use")+AND(N86&lt;&gt;"",N86&lt;&gt;"TBD")+AND(ISNUMBER(U86),U86&lt;=EDATE('Scoring Settings'!$B$4,'Scoring Settings'!$B$8))+AND(ISNUMBER(L86),L86&lt;='Scoring Settings'!$B$7))</f>
        <v/>
      </c>
      <c r="AL86" s="17" t="str">
        <f>IF(B86="","",IF(K86="Not in use","Priority – Not in use",IF(AK86&gt;='Scoring Settings'!$B$9,"Decommission",IF(AK86=1,"Review","Retain"))))</f>
        <v/>
      </c>
      <c r="AM86" s="17" t="str">
        <f>IF(B86="","",IF(Z86="N","Easy",IF(OR(AND(ISNUMBER(AB86),AB86&gt;'Scoring Settings'!$B$11),AND(ISNUMBER(W86),W86&gt;'Scoring Settings'!$B$12),AND(ISNUMBER(M86),M86&lt;='Scoring Settings'!$B$13)),"High","Medium")))</f>
        <v/>
      </c>
      <c r="AN86" s="14"/>
      <c r="AO86" s="16"/>
      <c r="AP86" s="14"/>
      <c r="AQ86" s="22"/>
    </row>
    <row r="87" spans="1:43">
      <c r="A87" s="14"/>
      <c r="B87" s="14"/>
      <c r="C87" s="14"/>
      <c r="D87" s="14"/>
      <c r="E87" s="14"/>
      <c r="F87" s="14"/>
      <c r="G87" s="14"/>
      <c r="H87" s="14"/>
      <c r="I87" s="15"/>
      <c r="J87" s="16"/>
      <c r="K87" s="17" t="str">
        <f>IF(B87="","",IF(AND(I87="",J87=""),"Unknown",IF(OR(AND(ISNUMBER(I87),I87=0),AND(ISNUMBER(J87),J87&lt;=EDATE('Scoring Settings'!$B$4,-'Scoring Settings'!$B$5))),"Not in use",IF(AND(ISNUMBER(I87),I87&lt;'Scoring Settings'!$B$6),"Low use","Active"))))</f>
        <v/>
      </c>
      <c r="L87" s="14"/>
      <c r="M87" s="14"/>
      <c r="N87" s="14"/>
      <c r="O87" s="14"/>
      <c r="P87" s="14"/>
      <c r="Q87" s="18"/>
      <c r="R87" s="14"/>
      <c r="S87" s="14"/>
      <c r="T87" s="14"/>
      <c r="U87" s="16"/>
      <c r="V87" s="14"/>
      <c r="W87" s="15"/>
      <c r="X87" s="14"/>
      <c r="Y87" s="18"/>
      <c r="Z87" s="14"/>
      <c r="AA87" s="14"/>
      <c r="AB87" s="18"/>
      <c r="AC87" s="14"/>
      <c r="AD87" s="14"/>
      <c r="AE87" s="14"/>
      <c r="AF87" s="19"/>
      <c r="AG87" s="16"/>
      <c r="AH87" s="19"/>
      <c r="AI87" s="19"/>
      <c r="AJ87" s="20" t="str">
        <f t="shared" si="1"/>
        <v/>
      </c>
      <c r="AK87" s="21" t="str">
        <f>IF(B87="","",OR(K87="Not in use",K87="Low use")+AND(N87&lt;&gt;"",N87&lt;&gt;"TBD")+AND(ISNUMBER(U87),U87&lt;=EDATE('Scoring Settings'!$B$4,'Scoring Settings'!$B$8))+AND(ISNUMBER(L87),L87&lt;='Scoring Settings'!$B$7))</f>
        <v/>
      </c>
      <c r="AL87" s="17" t="str">
        <f>IF(B87="","",IF(K87="Not in use","Priority – Not in use",IF(AK87&gt;='Scoring Settings'!$B$9,"Decommission",IF(AK87=1,"Review","Retain"))))</f>
        <v/>
      </c>
      <c r="AM87" s="17" t="str">
        <f>IF(B87="","",IF(Z87="N","Easy",IF(OR(AND(ISNUMBER(AB87),AB87&gt;'Scoring Settings'!$B$11),AND(ISNUMBER(W87),W87&gt;'Scoring Settings'!$B$12),AND(ISNUMBER(M87),M87&lt;='Scoring Settings'!$B$13)),"High","Medium")))</f>
        <v/>
      </c>
      <c r="AN87" s="14"/>
      <c r="AO87" s="16"/>
      <c r="AP87" s="14"/>
      <c r="AQ87" s="22"/>
    </row>
    <row r="88" spans="1:43">
      <c r="A88" s="14"/>
      <c r="B88" s="14"/>
      <c r="C88" s="14"/>
      <c r="D88" s="14"/>
      <c r="E88" s="14"/>
      <c r="F88" s="14"/>
      <c r="G88" s="14"/>
      <c r="H88" s="14"/>
      <c r="I88" s="15"/>
      <c r="J88" s="16"/>
      <c r="K88" s="17" t="str">
        <f>IF(B88="","",IF(AND(I88="",J88=""),"Unknown",IF(OR(AND(ISNUMBER(I88),I88=0),AND(ISNUMBER(J88),J88&lt;=EDATE('Scoring Settings'!$B$4,-'Scoring Settings'!$B$5))),"Not in use",IF(AND(ISNUMBER(I88),I88&lt;'Scoring Settings'!$B$6),"Low use","Active"))))</f>
        <v/>
      </c>
      <c r="L88" s="14"/>
      <c r="M88" s="14"/>
      <c r="N88" s="14"/>
      <c r="O88" s="14"/>
      <c r="P88" s="14"/>
      <c r="Q88" s="18"/>
      <c r="R88" s="14"/>
      <c r="S88" s="14"/>
      <c r="T88" s="14"/>
      <c r="U88" s="16"/>
      <c r="V88" s="14"/>
      <c r="W88" s="15"/>
      <c r="X88" s="14"/>
      <c r="Y88" s="18"/>
      <c r="Z88" s="14"/>
      <c r="AA88" s="14"/>
      <c r="AB88" s="18"/>
      <c r="AC88" s="14"/>
      <c r="AD88" s="14"/>
      <c r="AE88" s="14"/>
      <c r="AF88" s="19"/>
      <c r="AG88" s="16"/>
      <c r="AH88" s="19"/>
      <c r="AI88" s="19"/>
      <c r="AJ88" s="20" t="str">
        <f t="shared" si="1"/>
        <v/>
      </c>
      <c r="AK88" s="21" t="str">
        <f>IF(B88="","",OR(K88="Not in use",K88="Low use")+AND(N88&lt;&gt;"",N88&lt;&gt;"TBD")+AND(ISNUMBER(U88),U88&lt;=EDATE('Scoring Settings'!$B$4,'Scoring Settings'!$B$8))+AND(ISNUMBER(L88),L88&lt;='Scoring Settings'!$B$7))</f>
        <v/>
      </c>
      <c r="AL88" s="17" t="str">
        <f>IF(B88="","",IF(K88="Not in use","Priority – Not in use",IF(AK88&gt;='Scoring Settings'!$B$9,"Decommission",IF(AK88=1,"Review","Retain"))))</f>
        <v/>
      </c>
      <c r="AM88" s="17" t="str">
        <f>IF(B88="","",IF(Z88="N","Easy",IF(OR(AND(ISNUMBER(AB88),AB88&gt;'Scoring Settings'!$B$11),AND(ISNUMBER(W88),W88&gt;'Scoring Settings'!$B$12),AND(ISNUMBER(M88),M88&lt;='Scoring Settings'!$B$13)),"High","Medium")))</f>
        <v/>
      </c>
      <c r="AN88" s="14"/>
      <c r="AO88" s="16"/>
      <c r="AP88" s="14"/>
      <c r="AQ88" s="22"/>
    </row>
    <row r="89" spans="1:43">
      <c r="A89" s="14"/>
      <c r="B89" s="14"/>
      <c r="C89" s="14"/>
      <c r="D89" s="14"/>
      <c r="E89" s="14"/>
      <c r="F89" s="14"/>
      <c r="G89" s="14"/>
      <c r="H89" s="14"/>
      <c r="I89" s="15"/>
      <c r="J89" s="16"/>
      <c r="K89" s="17" t="str">
        <f>IF(B89="","",IF(AND(I89="",J89=""),"Unknown",IF(OR(AND(ISNUMBER(I89),I89=0),AND(ISNUMBER(J89),J89&lt;=EDATE('Scoring Settings'!$B$4,-'Scoring Settings'!$B$5))),"Not in use",IF(AND(ISNUMBER(I89),I89&lt;'Scoring Settings'!$B$6),"Low use","Active"))))</f>
        <v/>
      </c>
      <c r="L89" s="14"/>
      <c r="M89" s="14"/>
      <c r="N89" s="14"/>
      <c r="O89" s="14"/>
      <c r="P89" s="14"/>
      <c r="Q89" s="18"/>
      <c r="R89" s="14"/>
      <c r="S89" s="14"/>
      <c r="T89" s="14"/>
      <c r="U89" s="16"/>
      <c r="V89" s="14"/>
      <c r="W89" s="15"/>
      <c r="X89" s="14"/>
      <c r="Y89" s="18"/>
      <c r="Z89" s="14"/>
      <c r="AA89" s="14"/>
      <c r="AB89" s="18"/>
      <c r="AC89" s="14"/>
      <c r="AD89" s="14"/>
      <c r="AE89" s="14"/>
      <c r="AF89" s="19"/>
      <c r="AG89" s="16"/>
      <c r="AH89" s="19"/>
      <c r="AI89" s="19"/>
      <c r="AJ89" s="20" t="str">
        <f t="shared" si="1"/>
        <v/>
      </c>
      <c r="AK89" s="21" t="str">
        <f>IF(B89="","",OR(K89="Not in use",K89="Low use")+AND(N89&lt;&gt;"",N89&lt;&gt;"TBD")+AND(ISNUMBER(U89),U89&lt;=EDATE('Scoring Settings'!$B$4,'Scoring Settings'!$B$8))+AND(ISNUMBER(L89),L89&lt;='Scoring Settings'!$B$7))</f>
        <v/>
      </c>
      <c r="AL89" s="17" t="str">
        <f>IF(B89="","",IF(K89="Not in use","Priority – Not in use",IF(AK89&gt;='Scoring Settings'!$B$9,"Decommission",IF(AK89=1,"Review","Retain"))))</f>
        <v/>
      </c>
      <c r="AM89" s="17" t="str">
        <f>IF(B89="","",IF(Z89="N","Easy",IF(OR(AND(ISNUMBER(AB89),AB89&gt;'Scoring Settings'!$B$11),AND(ISNUMBER(W89),W89&gt;'Scoring Settings'!$B$12),AND(ISNUMBER(M89),M89&lt;='Scoring Settings'!$B$13)),"High","Medium")))</f>
        <v/>
      </c>
      <c r="AN89" s="14"/>
      <c r="AO89" s="16"/>
      <c r="AP89" s="14"/>
      <c r="AQ89" s="22"/>
    </row>
    <row r="90" spans="1:43">
      <c r="A90" s="14"/>
      <c r="B90" s="14"/>
      <c r="C90" s="14"/>
      <c r="D90" s="14"/>
      <c r="E90" s="14"/>
      <c r="F90" s="14"/>
      <c r="G90" s="14"/>
      <c r="H90" s="14"/>
      <c r="I90" s="15"/>
      <c r="J90" s="16"/>
      <c r="K90" s="17" t="str">
        <f>IF(B90="","",IF(AND(I90="",J90=""),"Unknown",IF(OR(AND(ISNUMBER(I90),I90=0),AND(ISNUMBER(J90),J90&lt;=EDATE('Scoring Settings'!$B$4,-'Scoring Settings'!$B$5))),"Not in use",IF(AND(ISNUMBER(I90),I90&lt;'Scoring Settings'!$B$6),"Low use","Active"))))</f>
        <v/>
      </c>
      <c r="L90" s="14"/>
      <c r="M90" s="14"/>
      <c r="N90" s="14"/>
      <c r="O90" s="14"/>
      <c r="P90" s="14"/>
      <c r="Q90" s="18"/>
      <c r="R90" s="14"/>
      <c r="S90" s="14"/>
      <c r="T90" s="14"/>
      <c r="U90" s="16"/>
      <c r="V90" s="14"/>
      <c r="W90" s="15"/>
      <c r="X90" s="14"/>
      <c r="Y90" s="18"/>
      <c r="Z90" s="14"/>
      <c r="AA90" s="14"/>
      <c r="AB90" s="18"/>
      <c r="AC90" s="14"/>
      <c r="AD90" s="14"/>
      <c r="AE90" s="14"/>
      <c r="AF90" s="19"/>
      <c r="AG90" s="16"/>
      <c r="AH90" s="19"/>
      <c r="AI90" s="19"/>
      <c r="AJ90" s="20" t="str">
        <f t="shared" si="1"/>
        <v/>
      </c>
      <c r="AK90" s="21" t="str">
        <f>IF(B90="","",OR(K90="Not in use",K90="Low use")+AND(N90&lt;&gt;"",N90&lt;&gt;"TBD")+AND(ISNUMBER(U90),U90&lt;=EDATE('Scoring Settings'!$B$4,'Scoring Settings'!$B$8))+AND(ISNUMBER(L90),L90&lt;='Scoring Settings'!$B$7))</f>
        <v/>
      </c>
      <c r="AL90" s="17" t="str">
        <f>IF(B90="","",IF(K90="Not in use","Priority – Not in use",IF(AK90&gt;='Scoring Settings'!$B$9,"Decommission",IF(AK90=1,"Review","Retain"))))</f>
        <v/>
      </c>
      <c r="AM90" s="17" t="str">
        <f>IF(B90="","",IF(Z90="N","Easy",IF(OR(AND(ISNUMBER(AB90),AB90&gt;'Scoring Settings'!$B$11),AND(ISNUMBER(W90),W90&gt;'Scoring Settings'!$B$12),AND(ISNUMBER(M90),M90&lt;='Scoring Settings'!$B$13)),"High","Medium")))</f>
        <v/>
      </c>
      <c r="AN90" s="14"/>
      <c r="AO90" s="16"/>
      <c r="AP90" s="14"/>
      <c r="AQ90" s="22"/>
    </row>
    <row r="91" spans="1:43">
      <c r="A91" s="14"/>
      <c r="B91" s="14"/>
      <c r="C91" s="14"/>
      <c r="D91" s="14"/>
      <c r="E91" s="14"/>
      <c r="F91" s="14"/>
      <c r="G91" s="14"/>
      <c r="H91" s="14"/>
      <c r="I91" s="15"/>
      <c r="J91" s="16"/>
      <c r="K91" s="17" t="str">
        <f>IF(B91="","",IF(AND(I91="",J91=""),"Unknown",IF(OR(AND(ISNUMBER(I91),I91=0),AND(ISNUMBER(J91),J91&lt;=EDATE('Scoring Settings'!$B$4,-'Scoring Settings'!$B$5))),"Not in use",IF(AND(ISNUMBER(I91),I91&lt;'Scoring Settings'!$B$6),"Low use","Active"))))</f>
        <v/>
      </c>
      <c r="L91" s="14"/>
      <c r="M91" s="14"/>
      <c r="N91" s="14"/>
      <c r="O91" s="14"/>
      <c r="P91" s="14"/>
      <c r="Q91" s="18"/>
      <c r="R91" s="14"/>
      <c r="S91" s="14"/>
      <c r="T91" s="14"/>
      <c r="U91" s="16"/>
      <c r="V91" s="14"/>
      <c r="W91" s="15"/>
      <c r="X91" s="14"/>
      <c r="Y91" s="18"/>
      <c r="Z91" s="14"/>
      <c r="AA91" s="14"/>
      <c r="AB91" s="18"/>
      <c r="AC91" s="14"/>
      <c r="AD91" s="14"/>
      <c r="AE91" s="14"/>
      <c r="AF91" s="19"/>
      <c r="AG91" s="16"/>
      <c r="AH91" s="19"/>
      <c r="AI91" s="19"/>
      <c r="AJ91" s="20" t="str">
        <f t="shared" si="1"/>
        <v/>
      </c>
      <c r="AK91" s="21" t="str">
        <f>IF(B91="","",OR(K91="Not in use",K91="Low use")+AND(N91&lt;&gt;"",N91&lt;&gt;"TBD")+AND(ISNUMBER(U91),U91&lt;=EDATE('Scoring Settings'!$B$4,'Scoring Settings'!$B$8))+AND(ISNUMBER(L91),L91&lt;='Scoring Settings'!$B$7))</f>
        <v/>
      </c>
      <c r="AL91" s="17" t="str">
        <f>IF(B91="","",IF(K91="Not in use","Priority – Not in use",IF(AK91&gt;='Scoring Settings'!$B$9,"Decommission",IF(AK91=1,"Review","Retain"))))</f>
        <v/>
      </c>
      <c r="AM91" s="17" t="str">
        <f>IF(B91="","",IF(Z91="N","Easy",IF(OR(AND(ISNUMBER(AB91),AB91&gt;'Scoring Settings'!$B$11),AND(ISNUMBER(W91),W91&gt;'Scoring Settings'!$B$12),AND(ISNUMBER(M91),M91&lt;='Scoring Settings'!$B$13)),"High","Medium")))</f>
        <v/>
      </c>
      <c r="AN91" s="14"/>
      <c r="AO91" s="16"/>
      <c r="AP91" s="14"/>
      <c r="AQ91" s="22"/>
    </row>
    <row r="92" spans="1:43">
      <c r="A92" s="14"/>
      <c r="B92" s="14"/>
      <c r="C92" s="14"/>
      <c r="D92" s="14"/>
      <c r="E92" s="14"/>
      <c r="F92" s="14"/>
      <c r="G92" s="14"/>
      <c r="H92" s="14"/>
      <c r="I92" s="15"/>
      <c r="J92" s="16"/>
      <c r="K92" s="17" t="str">
        <f>IF(B92="","",IF(AND(I92="",J92=""),"Unknown",IF(OR(AND(ISNUMBER(I92),I92=0),AND(ISNUMBER(J92),J92&lt;=EDATE('Scoring Settings'!$B$4,-'Scoring Settings'!$B$5))),"Not in use",IF(AND(ISNUMBER(I92),I92&lt;'Scoring Settings'!$B$6),"Low use","Active"))))</f>
        <v/>
      </c>
      <c r="L92" s="14"/>
      <c r="M92" s="14"/>
      <c r="N92" s="14"/>
      <c r="O92" s="14"/>
      <c r="P92" s="14"/>
      <c r="Q92" s="18"/>
      <c r="R92" s="14"/>
      <c r="S92" s="14"/>
      <c r="T92" s="14"/>
      <c r="U92" s="16"/>
      <c r="V92" s="14"/>
      <c r="W92" s="15"/>
      <c r="X92" s="14"/>
      <c r="Y92" s="18"/>
      <c r="Z92" s="14"/>
      <c r="AA92" s="14"/>
      <c r="AB92" s="18"/>
      <c r="AC92" s="14"/>
      <c r="AD92" s="14"/>
      <c r="AE92" s="14"/>
      <c r="AF92" s="19"/>
      <c r="AG92" s="16"/>
      <c r="AH92" s="19"/>
      <c r="AI92" s="19"/>
      <c r="AJ92" s="20" t="str">
        <f t="shared" si="1"/>
        <v/>
      </c>
      <c r="AK92" s="21" t="str">
        <f>IF(B92="","",OR(K92="Not in use",K92="Low use")+AND(N92&lt;&gt;"",N92&lt;&gt;"TBD")+AND(ISNUMBER(U92),U92&lt;=EDATE('Scoring Settings'!$B$4,'Scoring Settings'!$B$8))+AND(ISNUMBER(L92),L92&lt;='Scoring Settings'!$B$7))</f>
        <v/>
      </c>
      <c r="AL92" s="17" t="str">
        <f>IF(B92="","",IF(K92="Not in use","Priority – Not in use",IF(AK92&gt;='Scoring Settings'!$B$9,"Decommission",IF(AK92=1,"Review","Retain"))))</f>
        <v/>
      </c>
      <c r="AM92" s="17" t="str">
        <f>IF(B92="","",IF(Z92="N","Easy",IF(OR(AND(ISNUMBER(AB92),AB92&gt;'Scoring Settings'!$B$11),AND(ISNUMBER(W92),W92&gt;'Scoring Settings'!$B$12),AND(ISNUMBER(M92),M92&lt;='Scoring Settings'!$B$13)),"High","Medium")))</f>
        <v/>
      </c>
      <c r="AN92" s="14"/>
      <c r="AO92" s="16"/>
      <c r="AP92" s="14"/>
      <c r="AQ92" s="22"/>
    </row>
    <row r="93" spans="1:43">
      <c r="A93" s="14"/>
      <c r="B93" s="14"/>
      <c r="C93" s="14"/>
      <c r="D93" s="14"/>
      <c r="E93" s="14"/>
      <c r="F93" s="14"/>
      <c r="G93" s="14"/>
      <c r="H93" s="14"/>
      <c r="I93" s="15"/>
      <c r="J93" s="16"/>
      <c r="K93" s="17" t="str">
        <f>IF(B93="","",IF(AND(I93="",J93=""),"Unknown",IF(OR(AND(ISNUMBER(I93),I93=0),AND(ISNUMBER(J93),J93&lt;=EDATE('Scoring Settings'!$B$4,-'Scoring Settings'!$B$5))),"Not in use",IF(AND(ISNUMBER(I93),I93&lt;'Scoring Settings'!$B$6),"Low use","Active"))))</f>
        <v/>
      </c>
      <c r="L93" s="14"/>
      <c r="M93" s="14"/>
      <c r="N93" s="14"/>
      <c r="O93" s="14"/>
      <c r="P93" s="14"/>
      <c r="Q93" s="18"/>
      <c r="R93" s="14"/>
      <c r="S93" s="14"/>
      <c r="T93" s="14"/>
      <c r="U93" s="16"/>
      <c r="V93" s="14"/>
      <c r="W93" s="15"/>
      <c r="X93" s="14"/>
      <c r="Y93" s="18"/>
      <c r="Z93" s="14"/>
      <c r="AA93" s="14"/>
      <c r="AB93" s="18"/>
      <c r="AC93" s="14"/>
      <c r="AD93" s="14"/>
      <c r="AE93" s="14"/>
      <c r="AF93" s="19"/>
      <c r="AG93" s="16"/>
      <c r="AH93" s="19"/>
      <c r="AI93" s="19"/>
      <c r="AJ93" s="20" t="str">
        <f t="shared" si="1"/>
        <v/>
      </c>
      <c r="AK93" s="21" t="str">
        <f>IF(B93="","",OR(K93="Not in use",K93="Low use")+AND(N93&lt;&gt;"",N93&lt;&gt;"TBD")+AND(ISNUMBER(U93),U93&lt;=EDATE('Scoring Settings'!$B$4,'Scoring Settings'!$B$8))+AND(ISNUMBER(L93),L93&lt;='Scoring Settings'!$B$7))</f>
        <v/>
      </c>
      <c r="AL93" s="17" t="str">
        <f>IF(B93="","",IF(K93="Not in use","Priority – Not in use",IF(AK93&gt;='Scoring Settings'!$B$9,"Decommission",IF(AK93=1,"Review","Retain"))))</f>
        <v/>
      </c>
      <c r="AM93" s="17" t="str">
        <f>IF(B93="","",IF(Z93="N","Easy",IF(OR(AND(ISNUMBER(AB93),AB93&gt;'Scoring Settings'!$B$11),AND(ISNUMBER(W93),W93&gt;'Scoring Settings'!$B$12),AND(ISNUMBER(M93),M93&lt;='Scoring Settings'!$B$13)),"High","Medium")))</f>
        <v/>
      </c>
      <c r="AN93" s="14"/>
      <c r="AO93" s="16"/>
      <c r="AP93" s="14"/>
      <c r="AQ93" s="22"/>
    </row>
    <row r="94" spans="1:43">
      <c r="A94" s="14"/>
      <c r="B94" s="14"/>
      <c r="C94" s="14"/>
      <c r="D94" s="14"/>
      <c r="E94" s="14"/>
      <c r="F94" s="14"/>
      <c r="G94" s="14"/>
      <c r="H94" s="14"/>
      <c r="I94" s="15"/>
      <c r="J94" s="16"/>
      <c r="K94" s="17" t="str">
        <f>IF(B94="","",IF(AND(I94="",J94=""),"Unknown",IF(OR(AND(ISNUMBER(I94),I94=0),AND(ISNUMBER(J94),J94&lt;=EDATE('Scoring Settings'!$B$4,-'Scoring Settings'!$B$5))),"Not in use",IF(AND(ISNUMBER(I94),I94&lt;'Scoring Settings'!$B$6),"Low use","Active"))))</f>
        <v/>
      </c>
      <c r="L94" s="14"/>
      <c r="M94" s="14"/>
      <c r="N94" s="14"/>
      <c r="O94" s="14"/>
      <c r="P94" s="14"/>
      <c r="Q94" s="18"/>
      <c r="R94" s="14"/>
      <c r="S94" s="14"/>
      <c r="T94" s="14"/>
      <c r="U94" s="16"/>
      <c r="V94" s="14"/>
      <c r="W94" s="15"/>
      <c r="X94" s="14"/>
      <c r="Y94" s="18"/>
      <c r="Z94" s="14"/>
      <c r="AA94" s="14"/>
      <c r="AB94" s="18"/>
      <c r="AC94" s="14"/>
      <c r="AD94" s="14"/>
      <c r="AE94" s="14"/>
      <c r="AF94" s="19"/>
      <c r="AG94" s="16"/>
      <c r="AH94" s="19"/>
      <c r="AI94" s="19"/>
      <c r="AJ94" s="20" t="str">
        <f t="shared" si="1"/>
        <v/>
      </c>
      <c r="AK94" s="21" t="str">
        <f>IF(B94="","",OR(K94="Not in use",K94="Low use")+AND(N94&lt;&gt;"",N94&lt;&gt;"TBD")+AND(ISNUMBER(U94),U94&lt;=EDATE('Scoring Settings'!$B$4,'Scoring Settings'!$B$8))+AND(ISNUMBER(L94),L94&lt;='Scoring Settings'!$B$7))</f>
        <v/>
      </c>
      <c r="AL94" s="17" t="str">
        <f>IF(B94="","",IF(K94="Not in use","Priority – Not in use",IF(AK94&gt;='Scoring Settings'!$B$9,"Decommission",IF(AK94=1,"Review","Retain"))))</f>
        <v/>
      </c>
      <c r="AM94" s="17" t="str">
        <f>IF(B94="","",IF(Z94="N","Easy",IF(OR(AND(ISNUMBER(AB94),AB94&gt;'Scoring Settings'!$B$11),AND(ISNUMBER(W94),W94&gt;'Scoring Settings'!$B$12),AND(ISNUMBER(M94),M94&lt;='Scoring Settings'!$B$13)),"High","Medium")))</f>
        <v/>
      </c>
      <c r="AN94" s="14"/>
      <c r="AO94" s="16"/>
      <c r="AP94" s="14"/>
      <c r="AQ94" s="22"/>
    </row>
    <row r="95" spans="1:43">
      <c r="A95" s="14"/>
      <c r="B95" s="14"/>
      <c r="C95" s="14"/>
      <c r="D95" s="14"/>
      <c r="E95" s="14"/>
      <c r="F95" s="14"/>
      <c r="G95" s="14"/>
      <c r="H95" s="14"/>
      <c r="I95" s="15"/>
      <c r="J95" s="16"/>
      <c r="K95" s="17" t="str">
        <f>IF(B95="","",IF(AND(I95="",J95=""),"Unknown",IF(OR(AND(ISNUMBER(I95),I95=0),AND(ISNUMBER(J95),J95&lt;=EDATE('Scoring Settings'!$B$4,-'Scoring Settings'!$B$5))),"Not in use",IF(AND(ISNUMBER(I95),I95&lt;'Scoring Settings'!$B$6),"Low use","Active"))))</f>
        <v/>
      </c>
      <c r="L95" s="14"/>
      <c r="M95" s="14"/>
      <c r="N95" s="14"/>
      <c r="O95" s="14"/>
      <c r="P95" s="14"/>
      <c r="Q95" s="18"/>
      <c r="R95" s="14"/>
      <c r="S95" s="14"/>
      <c r="T95" s="14"/>
      <c r="U95" s="16"/>
      <c r="V95" s="14"/>
      <c r="W95" s="15"/>
      <c r="X95" s="14"/>
      <c r="Y95" s="18"/>
      <c r="Z95" s="14"/>
      <c r="AA95" s="14"/>
      <c r="AB95" s="18"/>
      <c r="AC95" s="14"/>
      <c r="AD95" s="14"/>
      <c r="AE95" s="14"/>
      <c r="AF95" s="19"/>
      <c r="AG95" s="16"/>
      <c r="AH95" s="19"/>
      <c r="AI95" s="19"/>
      <c r="AJ95" s="20" t="str">
        <f t="shared" si="1"/>
        <v/>
      </c>
      <c r="AK95" s="21" t="str">
        <f>IF(B95="","",OR(K95="Not in use",K95="Low use")+AND(N95&lt;&gt;"",N95&lt;&gt;"TBD")+AND(ISNUMBER(U95),U95&lt;=EDATE('Scoring Settings'!$B$4,'Scoring Settings'!$B$8))+AND(ISNUMBER(L95),L95&lt;='Scoring Settings'!$B$7))</f>
        <v/>
      </c>
      <c r="AL95" s="17" t="str">
        <f>IF(B95="","",IF(K95="Not in use","Priority – Not in use",IF(AK95&gt;='Scoring Settings'!$B$9,"Decommission",IF(AK95=1,"Review","Retain"))))</f>
        <v/>
      </c>
      <c r="AM95" s="17" t="str">
        <f>IF(B95="","",IF(Z95="N","Easy",IF(OR(AND(ISNUMBER(AB95),AB95&gt;'Scoring Settings'!$B$11),AND(ISNUMBER(W95),W95&gt;'Scoring Settings'!$B$12),AND(ISNUMBER(M95),M95&lt;='Scoring Settings'!$B$13)),"High","Medium")))</f>
        <v/>
      </c>
      <c r="AN95" s="14"/>
      <c r="AO95" s="16"/>
      <c r="AP95" s="14"/>
      <c r="AQ95" s="22"/>
    </row>
    <row r="96" spans="1:43">
      <c r="A96" s="14"/>
      <c r="B96" s="14"/>
      <c r="C96" s="14"/>
      <c r="D96" s="14"/>
      <c r="E96" s="14"/>
      <c r="F96" s="14"/>
      <c r="G96" s="14"/>
      <c r="H96" s="14"/>
      <c r="I96" s="15"/>
      <c r="J96" s="16"/>
      <c r="K96" s="17" t="str">
        <f>IF(B96="","",IF(AND(I96="",J96=""),"Unknown",IF(OR(AND(ISNUMBER(I96),I96=0),AND(ISNUMBER(J96),J96&lt;=EDATE('Scoring Settings'!$B$4,-'Scoring Settings'!$B$5))),"Not in use",IF(AND(ISNUMBER(I96),I96&lt;'Scoring Settings'!$B$6),"Low use","Active"))))</f>
        <v/>
      </c>
      <c r="L96" s="14"/>
      <c r="M96" s="14"/>
      <c r="N96" s="14"/>
      <c r="O96" s="14"/>
      <c r="P96" s="14"/>
      <c r="Q96" s="18"/>
      <c r="R96" s="14"/>
      <c r="S96" s="14"/>
      <c r="T96" s="14"/>
      <c r="U96" s="16"/>
      <c r="V96" s="14"/>
      <c r="W96" s="15"/>
      <c r="X96" s="14"/>
      <c r="Y96" s="18"/>
      <c r="Z96" s="14"/>
      <c r="AA96" s="14"/>
      <c r="AB96" s="18"/>
      <c r="AC96" s="14"/>
      <c r="AD96" s="14"/>
      <c r="AE96" s="14"/>
      <c r="AF96" s="19"/>
      <c r="AG96" s="16"/>
      <c r="AH96" s="19"/>
      <c r="AI96" s="19"/>
      <c r="AJ96" s="20" t="str">
        <f t="shared" si="1"/>
        <v/>
      </c>
      <c r="AK96" s="21" t="str">
        <f>IF(B96="","",OR(K96="Not in use",K96="Low use")+AND(N96&lt;&gt;"",N96&lt;&gt;"TBD")+AND(ISNUMBER(U96),U96&lt;=EDATE('Scoring Settings'!$B$4,'Scoring Settings'!$B$8))+AND(ISNUMBER(L96),L96&lt;='Scoring Settings'!$B$7))</f>
        <v/>
      </c>
      <c r="AL96" s="17" t="str">
        <f>IF(B96="","",IF(K96="Not in use","Priority – Not in use",IF(AK96&gt;='Scoring Settings'!$B$9,"Decommission",IF(AK96=1,"Review","Retain"))))</f>
        <v/>
      </c>
      <c r="AM96" s="17" t="str">
        <f>IF(B96="","",IF(Z96="N","Easy",IF(OR(AND(ISNUMBER(AB96),AB96&gt;'Scoring Settings'!$B$11),AND(ISNUMBER(W96),W96&gt;'Scoring Settings'!$B$12),AND(ISNUMBER(M96),M96&lt;='Scoring Settings'!$B$13)),"High","Medium")))</f>
        <v/>
      </c>
      <c r="AN96" s="14"/>
      <c r="AO96" s="16"/>
      <c r="AP96" s="14"/>
      <c r="AQ96" s="22"/>
    </row>
    <row r="97" spans="1:43">
      <c r="A97" s="14"/>
      <c r="B97" s="14"/>
      <c r="C97" s="14"/>
      <c r="D97" s="14"/>
      <c r="E97" s="14"/>
      <c r="F97" s="14"/>
      <c r="G97" s="14"/>
      <c r="H97" s="14"/>
      <c r="I97" s="15"/>
      <c r="J97" s="16"/>
      <c r="K97" s="17" t="str">
        <f>IF(B97="","",IF(AND(I97="",J97=""),"Unknown",IF(OR(AND(ISNUMBER(I97),I97=0),AND(ISNUMBER(J97),J97&lt;=EDATE('Scoring Settings'!$B$4,-'Scoring Settings'!$B$5))),"Not in use",IF(AND(ISNUMBER(I97),I97&lt;'Scoring Settings'!$B$6),"Low use","Active"))))</f>
        <v/>
      </c>
      <c r="L97" s="14"/>
      <c r="M97" s="14"/>
      <c r="N97" s="14"/>
      <c r="O97" s="14"/>
      <c r="P97" s="14"/>
      <c r="Q97" s="18"/>
      <c r="R97" s="14"/>
      <c r="S97" s="14"/>
      <c r="T97" s="14"/>
      <c r="U97" s="16"/>
      <c r="V97" s="14"/>
      <c r="W97" s="15"/>
      <c r="X97" s="14"/>
      <c r="Y97" s="18"/>
      <c r="Z97" s="14"/>
      <c r="AA97" s="14"/>
      <c r="AB97" s="18"/>
      <c r="AC97" s="14"/>
      <c r="AD97" s="14"/>
      <c r="AE97" s="14"/>
      <c r="AF97" s="19"/>
      <c r="AG97" s="16"/>
      <c r="AH97" s="19"/>
      <c r="AI97" s="19"/>
      <c r="AJ97" s="20" t="str">
        <f t="shared" si="1"/>
        <v/>
      </c>
      <c r="AK97" s="21" t="str">
        <f>IF(B97="","",OR(K97="Not in use",K97="Low use")+AND(N97&lt;&gt;"",N97&lt;&gt;"TBD")+AND(ISNUMBER(U97),U97&lt;=EDATE('Scoring Settings'!$B$4,'Scoring Settings'!$B$8))+AND(ISNUMBER(L97),L97&lt;='Scoring Settings'!$B$7))</f>
        <v/>
      </c>
      <c r="AL97" s="17" t="str">
        <f>IF(B97="","",IF(K97="Not in use","Priority – Not in use",IF(AK97&gt;='Scoring Settings'!$B$9,"Decommission",IF(AK97=1,"Review","Retain"))))</f>
        <v/>
      </c>
      <c r="AM97" s="17" t="str">
        <f>IF(B97="","",IF(Z97="N","Easy",IF(OR(AND(ISNUMBER(AB97),AB97&gt;'Scoring Settings'!$B$11),AND(ISNUMBER(W97),W97&gt;'Scoring Settings'!$B$12),AND(ISNUMBER(M97),M97&lt;='Scoring Settings'!$B$13)),"High","Medium")))</f>
        <v/>
      </c>
      <c r="AN97" s="14"/>
      <c r="AO97" s="16"/>
      <c r="AP97" s="14"/>
      <c r="AQ97" s="22"/>
    </row>
    <row r="98" spans="1:43">
      <c r="A98" s="14"/>
      <c r="B98" s="14"/>
      <c r="C98" s="14"/>
      <c r="D98" s="14"/>
      <c r="E98" s="14"/>
      <c r="F98" s="14"/>
      <c r="G98" s="14"/>
      <c r="H98" s="14"/>
      <c r="I98" s="15"/>
      <c r="J98" s="16"/>
      <c r="K98" s="17" t="str">
        <f>IF(B98="","",IF(AND(I98="",J98=""),"Unknown",IF(OR(AND(ISNUMBER(I98),I98=0),AND(ISNUMBER(J98),J98&lt;=EDATE('Scoring Settings'!$B$4,-'Scoring Settings'!$B$5))),"Not in use",IF(AND(ISNUMBER(I98),I98&lt;'Scoring Settings'!$B$6),"Low use","Active"))))</f>
        <v/>
      </c>
      <c r="L98" s="14"/>
      <c r="M98" s="14"/>
      <c r="N98" s="14"/>
      <c r="O98" s="14"/>
      <c r="P98" s="14"/>
      <c r="Q98" s="18"/>
      <c r="R98" s="14"/>
      <c r="S98" s="14"/>
      <c r="T98" s="14"/>
      <c r="U98" s="16"/>
      <c r="V98" s="14"/>
      <c r="W98" s="15"/>
      <c r="X98" s="14"/>
      <c r="Y98" s="18"/>
      <c r="Z98" s="14"/>
      <c r="AA98" s="14"/>
      <c r="AB98" s="18"/>
      <c r="AC98" s="14"/>
      <c r="AD98" s="14"/>
      <c r="AE98" s="14"/>
      <c r="AF98" s="19"/>
      <c r="AG98" s="16"/>
      <c r="AH98" s="19"/>
      <c r="AI98" s="19"/>
      <c r="AJ98" s="20" t="str">
        <f t="shared" si="1"/>
        <v/>
      </c>
      <c r="AK98" s="21" t="str">
        <f>IF(B98="","",OR(K98="Not in use",K98="Low use")+AND(N98&lt;&gt;"",N98&lt;&gt;"TBD")+AND(ISNUMBER(U98),U98&lt;=EDATE('Scoring Settings'!$B$4,'Scoring Settings'!$B$8))+AND(ISNUMBER(L98),L98&lt;='Scoring Settings'!$B$7))</f>
        <v/>
      </c>
      <c r="AL98" s="17" t="str">
        <f>IF(B98="","",IF(K98="Not in use","Priority – Not in use",IF(AK98&gt;='Scoring Settings'!$B$9,"Decommission",IF(AK98=1,"Review","Retain"))))</f>
        <v/>
      </c>
      <c r="AM98" s="17" t="str">
        <f>IF(B98="","",IF(Z98="N","Easy",IF(OR(AND(ISNUMBER(AB98),AB98&gt;'Scoring Settings'!$B$11),AND(ISNUMBER(W98),W98&gt;'Scoring Settings'!$B$12),AND(ISNUMBER(M98),M98&lt;='Scoring Settings'!$B$13)),"High","Medium")))</f>
        <v/>
      </c>
      <c r="AN98" s="14"/>
      <c r="AO98" s="16"/>
      <c r="AP98" s="14"/>
      <c r="AQ98" s="22"/>
    </row>
    <row r="99" spans="1:43">
      <c r="A99" s="14"/>
      <c r="B99" s="14"/>
      <c r="C99" s="14"/>
      <c r="D99" s="14"/>
      <c r="E99" s="14"/>
      <c r="F99" s="14"/>
      <c r="G99" s="14"/>
      <c r="H99" s="14"/>
      <c r="I99" s="15"/>
      <c r="J99" s="16"/>
      <c r="K99" s="17" t="str">
        <f>IF(B99="","",IF(AND(I99="",J99=""),"Unknown",IF(OR(AND(ISNUMBER(I99),I99=0),AND(ISNUMBER(J99),J99&lt;=EDATE('Scoring Settings'!$B$4,-'Scoring Settings'!$B$5))),"Not in use",IF(AND(ISNUMBER(I99),I99&lt;'Scoring Settings'!$B$6),"Low use","Active"))))</f>
        <v/>
      </c>
      <c r="L99" s="14"/>
      <c r="M99" s="14"/>
      <c r="N99" s="14"/>
      <c r="O99" s="14"/>
      <c r="P99" s="14"/>
      <c r="Q99" s="18"/>
      <c r="R99" s="14"/>
      <c r="S99" s="14"/>
      <c r="T99" s="14"/>
      <c r="U99" s="16"/>
      <c r="V99" s="14"/>
      <c r="W99" s="15"/>
      <c r="X99" s="14"/>
      <c r="Y99" s="18"/>
      <c r="Z99" s="14"/>
      <c r="AA99" s="14"/>
      <c r="AB99" s="18"/>
      <c r="AC99" s="14"/>
      <c r="AD99" s="14"/>
      <c r="AE99" s="14"/>
      <c r="AF99" s="19"/>
      <c r="AG99" s="16"/>
      <c r="AH99" s="19"/>
      <c r="AI99" s="19"/>
      <c r="AJ99" s="20" t="str">
        <f t="shared" si="1"/>
        <v/>
      </c>
      <c r="AK99" s="21" t="str">
        <f>IF(B99="","",OR(K99="Not in use",K99="Low use")+AND(N99&lt;&gt;"",N99&lt;&gt;"TBD")+AND(ISNUMBER(U99),U99&lt;=EDATE('Scoring Settings'!$B$4,'Scoring Settings'!$B$8))+AND(ISNUMBER(L99),L99&lt;='Scoring Settings'!$B$7))</f>
        <v/>
      </c>
      <c r="AL99" s="17" t="str">
        <f>IF(B99="","",IF(K99="Not in use","Priority – Not in use",IF(AK99&gt;='Scoring Settings'!$B$9,"Decommission",IF(AK99=1,"Review","Retain"))))</f>
        <v/>
      </c>
      <c r="AM99" s="17" t="str">
        <f>IF(B99="","",IF(Z99="N","Easy",IF(OR(AND(ISNUMBER(AB99),AB99&gt;'Scoring Settings'!$B$11),AND(ISNUMBER(W99),W99&gt;'Scoring Settings'!$B$12),AND(ISNUMBER(M99),M99&lt;='Scoring Settings'!$B$13)),"High","Medium")))</f>
        <v/>
      </c>
      <c r="AN99" s="14"/>
      <c r="AO99" s="16"/>
      <c r="AP99" s="14"/>
      <c r="AQ99" s="22"/>
    </row>
    <row r="100" spans="1:43">
      <c r="A100" s="14"/>
      <c r="B100" s="14"/>
      <c r="C100" s="14"/>
      <c r="D100" s="14"/>
      <c r="E100" s="14"/>
      <c r="F100" s="14"/>
      <c r="G100" s="14"/>
      <c r="H100" s="14"/>
      <c r="I100" s="15"/>
      <c r="J100" s="16"/>
      <c r="K100" s="17" t="str">
        <f>IF(B100="","",IF(AND(I100="",J100=""),"Unknown",IF(OR(AND(ISNUMBER(I100),I100=0),AND(ISNUMBER(J100),J100&lt;=EDATE('Scoring Settings'!$B$4,-'Scoring Settings'!$B$5))),"Not in use",IF(AND(ISNUMBER(I100),I100&lt;'Scoring Settings'!$B$6),"Low use","Active"))))</f>
        <v/>
      </c>
      <c r="L100" s="14"/>
      <c r="M100" s="14"/>
      <c r="N100" s="14"/>
      <c r="O100" s="14"/>
      <c r="P100" s="14"/>
      <c r="Q100" s="18"/>
      <c r="R100" s="14"/>
      <c r="S100" s="14"/>
      <c r="T100" s="14"/>
      <c r="U100" s="16"/>
      <c r="V100" s="14"/>
      <c r="W100" s="15"/>
      <c r="X100" s="14"/>
      <c r="Y100" s="18"/>
      <c r="Z100" s="14"/>
      <c r="AA100" s="14"/>
      <c r="AB100" s="18"/>
      <c r="AC100" s="14"/>
      <c r="AD100" s="14"/>
      <c r="AE100" s="14"/>
      <c r="AF100" s="19"/>
      <c r="AG100" s="16"/>
      <c r="AH100" s="19"/>
      <c r="AI100" s="19"/>
      <c r="AJ100" s="20" t="str">
        <f t="shared" si="1"/>
        <v/>
      </c>
      <c r="AK100" s="21" t="str">
        <f>IF(B100="","",OR(K100="Not in use",K100="Low use")+AND(N100&lt;&gt;"",N100&lt;&gt;"TBD")+AND(ISNUMBER(U100),U100&lt;=EDATE('Scoring Settings'!$B$4,'Scoring Settings'!$B$8))+AND(ISNUMBER(L100),L100&lt;='Scoring Settings'!$B$7))</f>
        <v/>
      </c>
      <c r="AL100" s="17" t="str">
        <f>IF(B100="","",IF(K100="Not in use","Priority – Not in use",IF(AK100&gt;='Scoring Settings'!$B$9,"Decommission",IF(AK100=1,"Review","Retain"))))</f>
        <v/>
      </c>
      <c r="AM100" s="17" t="str">
        <f>IF(B100="","",IF(Z100="N","Easy",IF(OR(AND(ISNUMBER(AB100),AB100&gt;'Scoring Settings'!$B$11),AND(ISNUMBER(W100),W100&gt;'Scoring Settings'!$B$12),AND(ISNUMBER(M100),M100&lt;='Scoring Settings'!$B$13)),"High","Medium")))</f>
        <v/>
      </c>
      <c r="AN100" s="14"/>
      <c r="AO100" s="16"/>
      <c r="AP100" s="14"/>
      <c r="AQ100" s="22"/>
    </row>
    <row r="101" spans="1:43">
      <c r="A101" s="14"/>
      <c r="B101" s="14"/>
      <c r="C101" s="14"/>
      <c r="D101" s="14"/>
      <c r="E101" s="14"/>
      <c r="F101" s="14"/>
      <c r="G101" s="14"/>
      <c r="H101" s="14"/>
      <c r="I101" s="15"/>
      <c r="J101" s="16"/>
      <c r="K101" s="17" t="str">
        <f>IF(B101="","",IF(AND(I101="",J101=""),"Unknown",IF(OR(AND(ISNUMBER(I101),I101=0),AND(ISNUMBER(J101),J101&lt;=EDATE('Scoring Settings'!$B$4,-'Scoring Settings'!$B$5))),"Not in use",IF(AND(ISNUMBER(I101),I101&lt;'Scoring Settings'!$B$6),"Low use","Active"))))</f>
        <v/>
      </c>
      <c r="L101" s="14"/>
      <c r="M101" s="14"/>
      <c r="N101" s="14"/>
      <c r="O101" s="14"/>
      <c r="P101" s="14"/>
      <c r="Q101" s="18"/>
      <c r="R101" s="14"/>
      <c r="S101" s="14"/>
      <c r="T101" s="14"/>
      <c r="U101" s="16"/>
      <c r="V101" s="14"/>
      <c r="W101" s="15"/>
      <c r="X101" s="14"/>
      <c r="Y101" s="18"/>
      <c r="Z101" s="14"/>
      <c r="AA101" s="14"/>
      <c r="AB101" s="18"/>
      <c r="AC101" s="14"/>
      <c r="AD101" s="14"/>
      <c r="AE101" s="14"/>
      <c r="AF101" s="19"/>
      <c r="AG101" s="16"/>
      <c r="AH101" s="19"/>
      <c r="AI101" s="19"/>
      <c r="AJ101" s="20" t="str">
        <f t="shared" si="1"/>
        <v/>
      </c>
      <c r="AK101" s="21" t="str">
        <f>IF(B101="","",OR(K101="Not in use",K101="Low use")+AND(N101&lt;&gt;"",N101&lt;&gt;"TBD")+AND(ISNUMBER(U101),U101&lt;=EDATE('Scoring Settings'!$B$4,'Scoring Settings'!$B$8))+AND(ISNUMBER(L101),L101&lt;='Scoring Settings'!$B$7))</f>
        <v/>
      </c>
      <c r="AL101" s="17" t="str">
        <f>IF(B101="","",IF(K101="Not in use","Priority – Not in use",IF(AK101&gt;='Scoring Settings'!$B$9,"Decommission",IF(AK101=1,"Review","Retain"))))</f>
        <v/>
      </c>
      <c r="AM101" s="17" t="str">
        <f>IF(B101="","",IF(Z101="N","Easy",IF(OR(AND(ISNUMBER(AB101),AB101&gt;'Scoring Settings'!$B$11),AND(ISNUMBER(W101),W101&gt;'Scoring Settings'!$B$12),AND(ISNUMBER(M101),M101&lt;='Scoring Settings'!$B$13)),"High","Medium")))</f>
        <v/>
      </c>
      <c r="AN101" s="14"/>
      <c r="AO101" s="16"/>
      <c r="AP101" s="14"/>
      <c r="AQ101" s="22"/>
    </row>
    <row r="102" spans="1:43">
      <c r="A102" s="14"/>
      <c r="B102" s="14"/>
      <c r="C102" s="14"/>
      <c r="D102" s="14"/>
      <c r="E102" s="14"/>
      <c r="F102" s="14"/>
      <c r="G102" s="14"/>
      <c r="H102" s="14"/>
      <c r="I102" s="15"/>
      <c r="J102" s="16"/>
      <c r="K102" s="17" t="str">
        <f>IF(B102="","",IF(AND(I102="",J102=""),"Unknown",IF(OR(AND(ISNUMBER(I102),I102=0),AND(ISNUMBER(J102),J102&lt;=EDATE('Scoring Settings'!$B$4,-'Scoring Settings'!$B$5))),"Not in use",IF(AND(ISNUMBER(I102),I102&lt;'Scoring Settings'!$B$6),"Low use","Active"))))</f>
        <v/>
      </c>
      <c r="L102" s="14"/>
      <c r="M102" s="14"/>
      <c r="N102" s="14"/>
      <c r="O102" s="14"/>
      <c r="P102" s="14"/>
      <c r="Q102" s="18"/>
      <c r="R102" s="14"/>
      <c r="S102" s="14"/>
      <c r="T102" s="14"/>
      <c r="U102" s="16"/>
      <c r="V102" s="14"/>
      <c r="W102" s="15"/>
      <c r="X102" s="14"/>
      <c r="Y102" s="18"/>
      <c r="Z102" s="14"/>
      <c r="AA102" s="14"/>
      <c r="AB102" s="18"/>
      <c r="AC102" s="14"/>
      <c r="AD102" s="14"/>
      <c r="AE102" s="14"/>
      <c r="AF102" s="19"/>
      <c r="AG102" s="16"/>
      <c r="AH102" s="19"/>
      <c r="AI102" s="19"/>
      <c r="AJ102" s="20" t="str">
        <f t="shared" si="1"/>
        <v/>
      </c>
      <c r="AK102" s="21" t="str">
        <f>IF(B102="","",OR(K102="Not in use",K102="Low use")+AND(N102&lt;&gt;"",N102&lt;&gt;"TBD")+AND(ISNUMBER(U102),U102&lt;=EDATE('Scoring Settings'!$B$4,'Scoring Settings'!$B$8))+AND(ISNUMBER(L102),L102&lt;='Scoring Settings'!$B$7))</f>
        <v/>
      </c>
      <c r="AL102" s="17" t="str">
        <f>IF(B102="","",IF(K102="Not in use","Priority – Not in use",IF(AK102&gt;='Scoring Settings'!$B$9,"Decommission",IF(AK102=1,"Review","Retain"))))</f>
        <v/>
      </c>
      <c r="AM102" s="17" t="str">
        <f>IF(B102="","",IF(Z102="N","Easy",IF(OR(AND(ISNUMBER(AB102),AB102&gt;'Scoring Settings'!$B$11),AND(ISNUMBER(W102),W102&gt;'Scoring Settings'!$B$12),AND(ISNUMBER(M102),M102&lt;='Scoring Settings'!$B$13)),"High","Medium")))</f>
        <v/>
      </c>
      <c r="AN102" s="14"/>
      <c r="AO102" s="16"/>
      <c r="AP102" s="14"/>
      <c r="AQ102" s="22"/>
    </row>
    <row r="103" spans="1:43">
      <c r="A103" s="14"/>
      <c r="B103" s="14"/>
      <c r="C103" s="14"/>
      <c r="D103" s="14"/>
      <c r="E103" s="14"/>
      <c r="F103" s="14"/>
      <c r="G103" s="14"/>
      <c r="H103" s="14"/>
      <c r="I103" s="15"/>
      <c r="J103" s="16"/>
      <c r="K103" s="17" t="str">
        <f>IF(B103="","",IF(AND(I103="",J103=""),"Unknown",IF(OR(AND(ISNUMBER(I103),I103=0),AND(ISNUMBER(J103),J103&lt;=EDATE('Scoring Settings'!$B$4,-'Scoring Settings'!$B$5))),"Not in use",IF(AND(ISNUMBER(I103),I103&lt;'Scoring Settings'!$B$6),"Low use","Active"))))</f>
        <v/>
      </c>
      <c r="L103" s="14"/>
      <c r="M103" s="14"/>
      <c r="N103" s="14"/>
      <c r="O103" s="14"/>
      <c r="P103" s="14"/>
      <c r="Q103" s="18"/>
      <c r="R103" s="14"/>
      <c r="S103" s="14"/>
      <c r="T103" s="14"/>
      <c r="U103" s="16"/>
      <c r="V103" s="14"/>
      <c r="W103" s="15"/>
      <c r="X103" s="14"/>
      <c r="Y103" s="18"/>
      <c r="Z103" s="14"/>
      <c r="AA103" s="14"/>
      <c r="AB103" s="18"/>
      <c r="AC103" s="14"/>
      <c r="AD103" s="14"/>
      <c r="AE103" s="14"/>
      <c r="AF103" s="19"/>
      <c r="AG103" s="16"/>
      <c r="AH103" s="19"/>
      <c r="AI103" s="19"/>
      <c r="AJ103" s="20" t="str">
        <f t="shared" si="1"/>
        <v/>
      </c>
      <c r="AK103" s="21" t="str">
        <f>IF(B103="","",OR(K103="Not in use",K103="Low use")+AND(N103&lt;&gt;"",N103&lt;&gt;"TBD")+AND(ISNUMBER(U103),U103&lt;=EDATE('Scoring Settings'!$B$4,'Scoring Settings'!$B$8))+AND(ISNUMBER(L103),L103&lt;='Scoring Settings'!$B$7))</f>
        <v/>
      </c>
      <c r="AL103" s="17" t="str">
        <f>IF(B103="","",IF(K103="Not in use","Priority – Not in use",IF(AK103&gt;='Scoring Settings'!$B$9,"Decommission",IF(AK103=1,"Review","Retain"))))</f>
        <v/>
      </c>
      <c r="AM103" s="17" t="str">
        <f>IF(B103="","",IF(Z103="N","Easy",IF(OR(AND(ISNUMBER(AB103),AB103&gt;'Scoring Settings'!$B$11),AND(ISNUMBER(W103),W103&gt;'Scoring Settings'!$B$12),AND(ISNUMBER(M103),M103&lt;='Scoring Settings'!$B$13)),"High","Medium")))</f>
        <v/>
      </c>
      <c r="AN103" s="14"/>
      <c r="AO103" s="16"/>
      <c r="AP103" s="14"/>
      <c r="AQ103" s="22"/>
    </row>
    <row r="104" spans="1:43">
      <c r="A104" s="14"/>
      <c r="B104" s="14"/>
      <c r="C104" s="14"/>
      <c r="D104" s="14"/>
      <c r="E104" s="14"/>
      <c r="F104" s="14"/>
      <c r="G104" s="14"/>
      <c r="H104" s="14"/>
      <c r="I104" s="15"/>
      <c r="J104" s="16"/>
      <c r="K104" s="17" t="str">
        <f>IF(B104="","",IF(AND(I104="",J104=""),"Unknown",IF(OR(AND(ISNUMBER(I104),I104=0),AND(ISNUMBER(J104),J104&lt;=EDATE('Scoring Settings'!$B$4,-'Scoring Settings'!$B$5))),"Not in use",IF(AND(ISNUMBER(I104),I104&lt;'Scoring Settings'!$B$6),"Low use","Active"))))</f>
        <v/>
      </c>
      <c r="L104" s="14"/>
      <c r="M104" s="14"/>
      <c r="N104" s="14"/>
      <c r="O104" s="14"/>
      <c r="P104" s="14"/>
      <c r="Q104" s="18"/>
      <c r="R104" s="14"/>
      <c r="S104" s="14"/>
      <c r="T104" s="14"/>
      <c r="U104" s="16"/>
      <c r="V104" s="14"/>
      <c r="W104" s="15"/>
      <c r="X104" s="14"/>
      <c r="Y104" s="18"/>
      <c r="Z104" s="14"/>
      <c r="AA104" s="14"/>
      <c r="AB104" s="18"/>
      <c r="AC104" s="14"/>
      <c r="AD104" s="14"/>
      <c r="AE104" s="14"/>
      <c r="AF104" s="19"/>
      <c r="AG104" s="16"/>
      <c r="AH104" s="19"/>
      <c r="AI104" s="19"/>
      <c r="AJ104" s="20" t="str">
        <f t="shared" si="1"/>
        <v/>
      </c>
      <c r="AK104" s="21" t="str">
        <f>IF(B104="","",OR(K104="Not in use",K104="Low use")+AND(N104&lt;&gt;"",N104&lt;&gt;"TBD")+AND(ISNUMBER(U104),U104&lt;=EDATE('Scoring Settings'!$B$4,'Scoring Settings'!$B$8))+AND(ISNUMBER(L104),L104&lt;='Scoring Settings'!$B$7))</f>
        <v/>
      </c>
      <c r="AL104" s="17" t="str">
        <f>IF(B104="","",IF(K104="Not in use","Priority – Not in use",IF(AK104&gt;='Scoring Settings'!$B$9,"Decommission",IF(AK104=1,"Review","Retain"))))</f>
        <v/>
      </c>
      <c r="AM104" s="17" t="str">
        <f>IF(B104="","",IF(Z104="N","Easy",IF(OR(AND(ISNUMBER(AB104),AB104&gt;'Scoring Settings'!$B$11),AND(ISNUMBER(W104),W104&gt;'Scoring Settings'!$B$12),AND(ISNUMBER(M104),M104&lt;='Scoring Settings'!$B$13)),"High","Medium")))</f>
        <v/>
      </c>
      <c r="AN104" s="14"/>
      <c r="AO104" s="16"/>
      <c r="AP104" s="14"/>
      <c r="AQ104" s="22"/>
    </row>
    <row r="105" spans="1:43">
      <c r="A105" s="14"/>
      <c r="B105" s="14"/>
      <c r="C105" s="14"/>
      <c r="D105" s="14"/>
      <c r="E105" s="14"/>
      <c r="F105" s="14"/>
      <c r="G105" s="14"/>
      <c r="H105" s="14"/>
      <c r="I105" s="15"/>
      <c r="J105" s="16"/>
      <c r="K105" s="17" t="str">
        <f>IF(B105="","",IF(AND(I105="",J105=""),"Unknown",IF(OR(AND(ISNUMBER(I105),I105=0),AND(ISNUMBER(J105),J105&lt;=EDATE('Scoring Settings'!$B$4,-'Scoring Settings'!$B$5))),"Not in use",IF(AND(ISNUMBER(I105),I105&lt;'Scoring Settings'!$B$6),"Low use","Active"))))</f>
        <v/>
      </c>
      <c r="L105" s="14"/>
      <c r="M105" s="14"/>
      <c r="N105" s="14"/>
      <c r="O105" s="14"/>
      <c r="P105" s="14"/>
      <c r="Q105" s="18"/>
      <c r="R105" s="14"/>
      <c r="S105" s="14"/>
      <c r="T105" s="14"/>
      <c r="U105" s="16"/>
      <c r="V105" s="14"/>
      <c r="W105" s="15"/>
      <c r="X105" s="14"/>
      <c r="Y105" s="18"/>
      <c r="Z105" s="14"/>
      <c r="AA105" s="14"/>
      <c r="AB105" s="18"/>
      <c r="AC105" s="14"/>
      <c r="AD105" s="14"/>
      <c r="AE105" s="14"/>
      <c r="AF105" s="19"/>
      <c r="AG105" s="16"/>
      <c r="AH105" s="19"/>
      <c r="AI105" s="19"/>
      <c r="AJ105" s="20" t="str">
        <f t="shared" si="1"/>
        <v/>
      </c>
      <c r="AK105" s="21" t="str">
        <f>IF(B105="","",OR(K105="Not in use",K105="Low use")+AND(N105&lt;&gt;"",N105&lt;&gt;"TBD")+AND(ISNUMBER(U105),U105&lt;=EDATE('Scoring Settings'!$B$4,'Scoring Settings'!$B$8))+AND(ISNUMBER(L105),L105&lt;='Scoring Settings'!$B$7))</f>
        <v/>
      </c>
      <c r="AL105" s="17" t="str">
        <f>IF(B105="","",IF(K105="Not in use","Priority – Not in use",IF(AK105&gt;='Scoring Settings'!$B$9,"Decommission",IF(AK105=1,"Review","Retain"))))</f>
        <v/>
      </c>
      <c r="AM105" s="17" t="str">
        <f>IF(B105="","",IF(Z105="N","Easy",IF(OR(AND(ISNUMBER(AB105),AB105&gt;'Scoring Settings'!$B$11),AND(ISNUMBER(W105),W105&gt;'Scoring Settings'!$B$12),AND(ISNUMBER(M105),M105&lt;='Scoring Settings'!$B$13)),"High","Medium")))</f>
        <v/>
      </c>
      <c r="AN105" s="14"/>
      <c r="AO105" s="16"/>
      <c r="AP105" s="14"/>
      <c r="AQ105" s="22"/>
    </row>
    <row r="106" spans="1:43">
      <c r="A106" s="14"/>
      <c r="B106" s="14"/>
      <c r="C106" s="14"/>
      <c r="D106" s="14"/>
      <c r="E106" s="14"/>
      <c r="F106" s="14"/>
      <c r="G106" s="14"/>
      <c r="H106" s="14"/>
      <c r="I106" s="15"/>
      <c r="J106" s="16"/>
      <c r="K106" s="17" t="str">
        <f>IF(B106="","",IF(AND(I106="",J106=""),"Unknown",IF(OR(AND(ISNUMBER(I106),I106=0),AND(ISNUMBER(J106),J106&lt;=EDATE('Scoring Settings'!$B$4,-'Scoring Settings'!$B$5))),"Not in use",IF(AND(ISNUMBER(I106),I106&lt;'Scoring Settings'!$B$6),"Low use","Active"))))</f>
        <v/>
      </c>
      <c r="L106" s="14"/>
      <c r="M106" s="14"/>
      <c r="N106" s="14"/>
      <c r="O106" s="14"/>
      <c r="P106" s="14"/>
      <c r="Q106" s="18"/>
      <c r="R106" s="14"/>
      <c r="S106" s="14"/>
      <c r="T106" s="14"/>
      <c r="U106" s="16"/>
      <c r="V106" s="14"/>
      <c r="W106" s="15"/>
      <c r="X106" s="14"/>
      <c r="Y106" s="18"/>
      <c r="Z106" s="14"/>
      <c r="AA106" s="14"/>
      <c r="AB106" s="18"/>
      <c r="AC106" s="14"/>
      <c r="AD106" s="14"/>
      <c r="AE106" s="14"/>
      <c r="AF106" s="19"/>
      <c r="AG106" s="16"/>
      <c r="AH106" s="19"/>
      <c r="AI106" s="19"/>
      <c r="AJ106" s="20" t="str">
        <f t="shared" si="1"/>
        <v/>
      </c>
      <c r="AK106" s="21" t="str">
        <f>IF(B106="","",OR(K106="Not in use",K106="Low use")+AND(N106&lt;&gt;"",N106&lt;&gt;"TBD")+AND(ISNUMBER(U106),U106&lt;=EDATE('Scoring Settings'!$B$4,'Scoring Settings'!$B$8))+AND(ISNUMBER(L106),L106&lt;='Scoring Settings'!$B$7))</f>
        <v/>
      </c>
      <c r="AL106" s="17" t="str">
        <f>IF(B106="","",IF(K106="Not in use","Priority – Not in use",IF(AK106&gt;='Scoring Settings'!$B$9,"Decommission",IF(AK106=1,"Review","Retain"))))</f>
        <v/>
      </c>
      <c r="AM106" s="17" t="str">
        <f>IF(B106="","",IF(Z106="N","Easy",IF(OR(AND(ISNUMBER(AB106),AB106&gt;'Scoring Settings'!$B$11),AND(ISNUMBER(W106),W106&gt;'Scoring Settings'!$B$12),AND(ISNUMBER(M106),M106&lt;='Scoring Settings'!$B$13)),"High","Medium")))</f>
        <v/>
      </c>
      <c r="AN106" s="14"/>
      <c r="AO106" s="16"/>
      <c r="AP106" s="14"/>
      <c r="AQ106" s="22"/>
    </row>
    <row r="107" spans="1:43">
      <c r="A107" s="14"/>
      <c r="B107" s="14"/>
      <c r="C107" s="14"/>
      <c r="D107" s="14"/>
      <c r="E107" s="14"/>
      <c r="F107" s="14"/>
      <c r="G107" s="14"/>
      <c r="H107" s="14"/>
      <c r="I107" s="15"/>
      <c r="J107" s="16"/>
      <c r="K107" s="17" t="str">
        <f>IF(B107="","",IF(AND(I107="",J107=""),"Unknown",IF(OR(AND(ISNUMBER(I107),I107=0),AND(ISNUMBER(J107),J107&lt;=EDATE('Scoring Settings'!$B$4,-'Scoring Settings'!$B$5))),"Not in use",IF(AND(ISNUMBER(I107),I107&lt;'Scoring Settings'!$B$6),"Low use","Active"))))</f>
        <v/>
      </c>
      <c r="L107" s="14"/>
      <c r="M107" s="14"/>
      <c r="N107" s="14"/>
      <c r="O107" s="14"/>
      <c r="P107" s="14"/>
      <c r="Q107" s="18"/>
      <c r="R107" s="14"/>
      <c r="S107" s="14"/>
      <c r="T107" s="14"/>
      <c r="U107" s="16"/>
      <c r="V107" s="14"/>
      <c r="W107" s="15"/>
      <c r="X107" s="14"/>
      <c r="Y107" s="18"/>
      <c r="Z107" s="14"/>
      <c r="AA107" s="14"/>
      <c r="AB107" s="18"/>
      <c r="AC107" s="14"/>
      <c r="AD107" s="14"/>
      <c r="AE107" s="14"/>
      <c r="AF107" s="19"/>
      <c r="AG107" s="16"/>
      <c r="AH107" s="19"/>
      <c r="AI107" s="19"/>
      <c r="AJ107" s="20" t="str">
        <f t="shared" si="1"/>
        <v/>
      </c>
      <c r="AK107" s="21" t="str">
        <f>IF(B107="","",OR(K107="Not in use",K107="Low use")+AND(N107&lt;&gt;"",N107&lt;&gt;"TBD")+AND(ISNUMBER(U107),U107&lt;=EDATE('Scoring Settings'!$B$4,'Scoring Settings'!$B$8))+AND(ISNUMBER(L107),L107&lt;='Scoring Settings'!$B$7))</f>
        <v/>
      </c>
      <c r="AL107" s="17" t="str">
        <f>IF(B107="","",IF(K107="Not in use","Priority – Not in use",IF(AK107&gt;='Scoring Settings'!$B$9,"Decommission",IF(AK107=1,"Review","Retain"))))</f>
        <v/>
      </c>
      <c r="AM107" s="17" t="str">
        <f>IF(B107="","",IF(Z107="N","Easy",IF(OR(AND(ISNUMBER(AB107),AB107&gt;'Scoring Settings'!$B$11),AND(ISNUMBER(W107),W107&gt;'Scoring Settings'!$B$12),AND(ISNUMBER(M107),M107&lt;='Scoring Settings'!$B$13)),"High","Medium")))</f>
        <v/>
      </c>
      <c r="AN107" s="14"/>
      <c r="AO107" s="16"/>
      <c r="AP107" s="14"/>
      <c r="AQ107" s="22"/>
    </row>
    <row r="108" spans="1:43">
      <c r="A108" s="14"/>
      <c r="B108" s="14"/>
      <c r="C108" s="14"/>
      <c r="D108" s="14"/>
      <c r="E108" s="14"/>
      <c r="F108" s="14"/>
      <c r="G108" s="14"/>
      <c r="H108" s="14"/>
      <c r="I108" s="15"/>
      <c r="J108" s="16"/>
      <c r="K108" s="17" t="str">
        <f>IF(B108="","",IF(AND(I108="",J108=""),"Unknown",IF(OR(AND(ISNUMBER(I108),I108=0),AND(ISNUMBER(J108),J108&lt;=EDATE('Scoring Settings'!$B$4,-'Scoring Settings'!$B$5))),"Not in use",IF(AND(ISNUMBER(I108),I108&lt;'Scoring Settings'!$B$6),"Low use","Active"))))</f>
        <v/>
      </c>
      <c r="L108" s="14"/>
      <c r="M108" s="14"/>
      <c r="N108" s="14"/>
      <c r="O108" s="14"/>
      <c r="P108" s="14"/>
      <c r="Q108" s="18"/>
      <c r="R108" s="14"/>
      <c r="S108" s="14"/>
      <c r="T108" s="14"/>
      <c r="U108" s="16"/>
      <c r="V108" s="14"/>
      <c r="W108" s="15"/>
      <c r="X108" s="14"/>
      <c r="Y108" s="18"/>
      <c r="Z108" s="14"/>
      <c r="AA108" s="14"/>
      <c r="AB108" s="18"/>
      <c r="AC108" s="14"/>
      <c r="AD108" s="14"/>
      <c r="AE108" s="14"/>
      <c r="AF108" s="19"/>
      <c r="AG108" s="16"/>
      <c r="AH108" s="19"/>
      <c r="AI108" s="19"/>
      <c r="AJ108" s="20" t="str">
        <f t="shared" si="1"/>
        <v/>
      </c>
      <c r="AK108" s="21" t="str">
        <f>IF(B108="","",OR(K108="Not in use",K108="Low use")+AND(N108&lt;&gt;"",N108&lt;&gt;"TBD")+AND(ISNUMBER(U108),U108&lt;=EDATE('Scoring Settings'!$B$4,'Scoring Settings'!$B$8))+AND(ISNUMBER(L108),L108&lt;='Scoring Settings'!$B$7))</f>
        <v/>
      </c>
      <c r="AL108" s="17" t="str">
        <f>IF(B108="","",IF(K108="Not in use","Priority – Not in use",IF(AK108&gt;='Scoring Settings'!$B$9,"Decommission",IF(AK108=1,"Review","Retain"))))</f>
        <v/>
      </c>
      <c r="AM108" s="17" t="str">
        <f>IF(B108="","",IF(Z108="N","Easy",IF(OR(AND(ISNUMBER(AB108),AB108&gt;'Scoring Settings'!$B$11),AND(ISNUMBER(W108),W108&gt;'Scoring Settings'!$B$12),AND(ISNUMBER(M108),M108&lt;='Scoring Settings'!$B$13)),"High","Medium")))</f>
        <v/>
      </c>
      <c r="AN108" s="14"/>
      <c r="AO108" s="16"/>
      <c r="AP108" s="14"/>
      <c r="AQ108" s="22"/>
    </row>
    <row r="109" spans="1:43">
      <c r="A109" s="14"/>
      <c r="B109" s="14"/>
      <c r="C109" s="14"/>
      <c r="D109" s="14"/>
      <c r="E109" s="14"/>
      <c r="F109" s="14"/>
      <c r="G109" s="14"/>
      <c r="H109" s="14"/>
      <c r="I109" s="15"/>
      <c r="J109" s="16"/>
      <c r="K109" s="17" t="str">
        <f>IF(B109="","",IF(AND(I109="",J109=""),"Unknown",IF(OR(AND(ISNUMBER(I109),I109=0),AND(ISNUMBER(J109),J109&lt;=EDATE('Scoring Settings'!$B$4,-'Scoring Settings'!$B$5))),"Not in use",IF(AND(ISNUMBER(I109),I109&lt;'Scoring Settings'!$B$6),"Low use","Active"))))</f>
        <v/>
      </c>
      <c r="L109" s="14"/>
      <c r="M109" s="14"/>
      <c r="N109" s="14"/>
      <c r="O109" s="14"/>
      <c r="P109" s="14"/>
      <c r="Q109" s="18"/>
      <c r="R109" s="14"/>
      <c r="S109" s="14"/>
      <c r="T109" s="14"/>
      <c r="U109" s="16"/>
      <c r="V109" s="14"/>
      <c r="W109" s="15"/>
      <c r="X109" s="14"/>
      <c r="Y109" s="18"/>
      <c r="Z109" s="14"/>
      <c r="AA109" s="14"/>
      <c r="AB109" s="18"/>
      <c r="AC109" s="14"/>
      <c r="AD109" s="14"/>
      <c r="AE109" s="14"/>
      <c r="AF109" s="19"/>
      <c r="AG109" s="16"/>
      <c r="AH109" s="19"/>
      <c r="AI109" s="19"/>
      <c r="AJ109" s="20" t="str">
        <f t="shared" si="1"/>
        <v/>
      </c>
      <c r="AK109" s="21" t="str">
        <f>IF(B109="","",OR(K109="Not in use",K109="Low use")+AND(N109&lt;&gt;"",N109&lt;&gt;"TBD")+AND(ISNUMBER(U109),U109&lt;=EDATE('Scoring Settings'!$B$4,'Scoring Settings'!$B$8))+AND(ISNUMBER(L109),L109&lt;='Scoring Settings'!$B$7))</f>
        <v/>
      </c>
      <c r="AL109" s="17" t="str">
        <f>IF(B109="","",IF(K109="Not in use","Priority – Not in use",IF(AK109&gt;='Scoring Settings'!$B$9,"Decommission",IF(AK109=1,"Review","Retain"))))</f>
        <v/>
      </c>
      <c r="AM109" s="17" t="str">
        <f>IF(B109="","",IF(Z109="N","Easy",IF(OR(AND(ISNUMBER(AB109),AB109&gt;'Scoring Settings'!$B$11),AND(ISNUMBER(W109),W109&gt;'Scoring Settings'!$B$12),AND(ISNUMBER(M109),M109&lt;='Scoring Settings'!$B$13)),"High","Medium")))</f>
        <v/>
      </c>
      <c r="AN109" s="14"/>
      <c r="AO109" s="16"/>
      <c r="AP109" s="14"/>
      <c r="AQ109" s="22"/>
    </row>
    <row r="110" spans="1:43">
      <c r="A110" s="14"/>
      <c r="B110" s="14"/>
      <c r="C110" s="14"/>
      <c r="D110" s="14"/>
      <c r="E110" s="14"/>
      <c r="F110" s="14"/>
      <c r="G110" s="14"/>
      <c r="H110" s="14"/>
      <c r="I110" s="15"/>
      <c r="J110" s="16"/>
      <c r="K110" s="17" t="str">
        <f>IF(B110="","",IF(AND(I110="",J110=""),"Unknown",IF(OR(AND(ISNUMBER(I110),I110=0),AND(ISNUMBER(J110),J110&lt;=EDATE('Scoring Settings'!$B$4,-'Scoring Settings'!$B$5))),"Not in use",IF(AND(ISNUMBER(I110),I110&lt;'Scoring Settings'!$B$6),"Low use","Active"))))</f>
        <v/>
      </c>
      <c r="L110" s="14"/>
      <c r="M110" s="14"/>
      <c r="N110" s="14"/>
      <c r="O110" s="14"/>
      <c r="P110" s="14"/>
      <c r="Q110" s="18"/>
      <c r="R110" s="14"/>
      <c r="S110" s="14"/>
      <c r="T110" s="14"/>
      <c r="U110" s="16"/>
      <c r="V110" s="14"/>
      <c r="W110" s="15"/>
      <c r="X110" s="14"/>
      <c r="Y110" s="18"/>
      <c r="Z110" s="14"/>
      <c r="AA110" s="14"/>
      <c r="AB110" s="18"/>
      <c r="AC110" s="14"/>
      <c r="AD110" s="14"/>
      <c r="AE110" s="14"/>
      <c r="AF110" s="19"/>
      <c r="AG110" s="16"/>
      <c r="AH110" s="19"/>
      <c r="AI110" s="19"/>
      <c r="AJ110" s="20" t="str">
        <f t="shared" si="1"/>
        <v/>
      </c>
      <c r="AK110" s="21" t="str">
        <f>IF(B110="","",OR(K110="Not in use",K110="Low use")+AND(N110&lt;&gt;"",N110&lt;&gt;"TBD")+AND(ISNUMBER(U110),U110&lt;=EDATE('Scoring Settings'!$B$4,'Scoring Settings'!$B$8))+AND(ISNUMBER(L110),L110&lt;='Scoring Settings'!$B$7))</f>
        <v/>
      </c>
      <c r="AL110" s="17" t="str">
        <f>IF(B110="","",IF(K110="Not in use","Priority – Not in use",IF(AK110&gt;='Scoring Settings'!$B$9,"Decommission",IF(AK110=1,"Review","Retain"))))</f>
        <v/>
      </c>
      <c r="AM110" s="17" t="str">
        <f>IF(B110="","",IF(Z110="N","Easy",IF(OR(AND(ISNUMBER(AB110),AB110&gt;'Scoring Settings'!$B$11),AND(ISNUMBER(W110),W110&gt;'Scoring Settings'!$B$12),AND(ISNUMBER(M110),M110&lt;='Scoring Settings'!$B$13)),"High","Medium")))</f>
        <v/>
      </c>
      <c r="AN110" s="14"/>
      <c r="AO110" s="16"/>
      <c r="AP110" s="14"/>
      <c r="AQ110" s="22"/>
    </row>
    <row r="111" spans="1:43">
      <c r="A111" s="14"/>
      <c r="B111" s="14"/>
      <c r="C111" s="14"/>
      <c r="D111" s="14"/>
      <c r="E111" s="14"/>
      <c r="F111" s="14"/>
      <c r="G111" s="14"/>
      <c r="H111" s="14"/>
      <c r="I111" s="15"/>
      <c r="J111" s="16"/>
      <c r="K111" s="17" t="str">
        <f>IF(B111="","",IF(AND(I111="",J111=""),"Unknown",IF(OR(AND(ISNUMBER(I111),I111=0),AND(ISNUMBER(J111),J111&lt;=EDATE('Scoring Settings'!$B$4,-'Scoring Settings'!$B$5))),"Not in use",IF(AND(ISNUMBER(I111),I111&lt;'Scoring Settings'!$B$6),"Low use","Active"))))</f>
        <v/>
      </c>
      <c r="L111" s="14"/>
      <c r="M111" s="14"/>
      <c r="N111" s="14"/>
      <c r="O111" s="14"/>
      <c r="P111" s="14"/>
      <c r="Q111" s="18"/>
      <c r="R111" s="14"/>
      <c r="S111" s="14"/>
      <c r="T111" s="14"/>
      <c r="U111" s="16"/>
      <c r="V111" s="14"/>
      <c r="W111" s="15"/>
      <c r="X111" s="14"/>
      <c r="Y111" s="18"/>
      <c r="Z111" s="14"/>
      <c r="AA111" s="14"/>
      <c r="AB111" s="18"/>
      <c r="AC111" s="14"/>
      <c r="AD111" s="14"/>
      <c r="AE111" s="14"/>
      <c r="AF111" s="19"/>
      <c r="AG111" s="16"/>
      <c r="AH111" s="19"/>
      <c r="AI111" s="19"/>
      <c r="AJ111" s="20" t="str">
        <f t="shared" si="1"/>
        <v/>
      </c>
      <c r="AK111" s="21" t="str">
        <f>IF(B111="","",OR(K111="Not in use",K111="Low use")+AND(N111&lt;&gt;"",N111&lt;&gt;"TBD")+AND(ISNUMBER(U111),U111&lt;=EDATE('Scoring Settings'!$B$4,'Scoring Settings'!$B$8))+AND(ISNUMBER(L111),L111&lt;='Scoring Settings'!$B$7))</f>
        <v/>
      </c>
      <c r="AL111" s="17" t="str">
        <f>IF(B111="","",IF(K111="Not in use","Priority – Not in use",IF(AK111&gt;='Scoring Settings'!$B$9,"Decommission",IF(AK111=1,"Review","Retain"))))</f>
        <v/>
      </c>
      <c r="AM111" s="17" t="str">
        <f>IF(B111="","",IF(Z111="N","Easy",IF(OR(AND(ISNUMBER(AB111),AB111&gt;'Scoring Settings'!$B$11),AND(ISNUMBER(W111),W111&gt;'Scoring Settings'!$B$12),AND(ISNUMBER(M111),M111&lt;='Scoring Settings'!$B$13)),"High","Medium")))</f>
        <v/>
      </c>
      <c r="AN111" s="14"/>
      <c r="AO111" s="16"/>
      <c r="AP111" s="14"/>
      <c r="AQ111" s="22"/>
    </row>
    <row r="112" spans="1:43">
      <c r="A112" s="14"/>
      <c r="B112" s="14"/>
      <c r="C112" s="14"/>
      <c r="D112" s="14"/>
      <c r="E112" s="14"/>
      <c r="F112" s="14"/>
      <c r="G112" s="14"/>
      <c r="H112" s="14"/>
      <c r="I112" s="15"/>
      <c r="J112" s="16"/>
      <c r="K112" s="17" t="str">
        <f>IF(B112="","",IF(AND(I112="",J112=""),"Unknown",IF(OR(AND(ISNUMBER(I112),I112=0),AND(ISNUMBER(J112),J112&lt;=EDATE('Scoring Settings'!$B$4,-'Scoring Settings'!$B$5))),"Not in use",IF(AND(ISNUMBER(I112),I112&lt;'Scoring Settings'!$B$6),"Low use","Active"))))</f>
        <v/>
      </c>
      <c r="L112" s="14"/>
      <c r="M112" s="14"/>
      <c r="N112" s="14"/>
      <c r="O112" s="14"/>
      <c r="P112" s="14"/>
      <c r="Q112" s="18"/>
      <c r="R112" s="14"/>
      <c r="S112" s="14"/>
      <c r="T112" s="14"/>
      <c r="U112" s="16"/>
      <c r="V112" s="14"/>
      <c r="W112" s="15"/>
      <c r="X112" s="14"/>
      <c r="Y112" s="18"/>
      <c r="Z112" s="14"/>
      <c r="AA112" s="14"/>
      <c r="AB112" s="18"/>
      <c r="AC112" s="14"/>
      <c r="AD112" s="14"/>
      <c r="AE112" s="14"/>
      <c r="AF112" s="19"/>
      <c r="AG112" s="16"/>
      <c r="AH112" s="19"/>
      <c r="AI112" s="19"/>
      <c r="AJ112" s="20" t="str">
        <f t="shared" si="1"/>
        <v/>
      </c>
      <c r="AK112" s="21" t="str">
        <f>IF(B112="","",OR(K112="Not in use",K112="Low use")+AND(N112&lt;&gt;"",N112&lt;&gt;"TBD")+AND(ISNUMBER(U112),U112&lt;=EDATE('Scoring Settings'!$B$4,'Scoring Settings'!$B$8))+AND(ISNUMBER(L112),L112&lt;='Scoring Settings'!$B$7))</f>
        <v/>
      </c>
      <c r="AL112" s="17" t="str">
        <f>IF(B112="","",IF(K112="Not in use","Priority – Not in use",IF(AK112&gt;='Scoring Settings'!$B$9,"Decommission",IF(AK112=1,"Review","Retain"))))</f>
        <v/>
      </c>
      <c r="AM112" s="17" t="str">
        <f>IF(B112="","",IF(Z112="N","Easy",IF(OR(AND(ISNUMBER(AB112),AB112&gt;'Scoring Settings'!$B$11),AND(ISNUMBER(W112),W112&gt;'Scoring Settings'!$B$12),AND(ISNUMBER(M112),M112&lt;='Scoring Settings'!$B$13)),"High","Medium")))</f>
        <v/>
      </c>
      <c r="AN112" s="14"/>
      <c r="AO112" s="16"/>
      <c r="AP112" s="14"/>
      <c r="AQ112" s="22"/>
    </row>
    <row r="113" spans="1:43">
      <c r="A113" s="14"/>
      <c r="B113" s="14"/>
      <c r="C113" s="14"/>
      <c r="D113" s="14"/>
      <c r="E113" s="14"/>
      <c r="F113" s="14"/>
      <c r="G113" s="14"/>
      <c r="H113" s="14"/>
      <c r="I113" s="15"/>
      <c r="J113" s="16"/>
      <c r="K113" s="17" t="str">
        <f>IF(B113="","",IF(AND(I113="",J113=""),"Unknown",IF(OR(AND(ISNUMBER(I113),I113=0),AND(ISNUMBER(J113),J113&lt;=EDATE('Scoring Settings'!$B$4,-'Scoring Settings'!$B$5))),"Not in use",IF(AND(ISNUMBER(I113),I113&lt;'Scoring Settings'!$B$6),"Low use","Active"))))</f>
        <v/>
      </c>
      <c r="L113" s="14"/>
      <c r="M113" s="14"/>
      <c r="N113" s="14"/>
      <c r="O113" s="14"/>
      <c r="P113" s="14"/>
      <c r="Q113" s="18"/>
      <c r="R113" s="14"/>
      <c r="S113" s="14"/>
      <c r="T113" s="14"/>
      <c r="U113" s="16"/>
      <c r="V113" s="14"/>
      <c r="W113" s="15"/>
      <c r="X113" s="14"/>
      <c r="Y113" s="18"/>
      <c r="Z113" s="14"/>
      <c r="AA113" s="14"/>
      <c r="AB113" s="18"/>
      <c r="AC113" s="14"/>
      <c r="AD113" s="14"/>
      <c r="AE113" s="14"/>
      <c r="AF113" s="19"/>
      <c r="AG113" s="16"/>
      <c r="AH113" s="19"/>
      <c r="AI113" s="19"/>
      <c r="AJ113" s="20" t="str">
        <f t="shared" si="1"/>
        <v/>
      </c>
      <c r="AK113" s="21" t="str">
        <f>IF(B113="","",OR(K113="Not in use",K113="Low use")+AND(N113&lt;&gt;"",N113&lt;&gt;"TBD")+AND(ISNUMBER(U113),U113&lt;=EDATE('Scoring Settings'!$B$4,'Scoring Settings'!$B$8))+AND(ISNUMBER(L113),L113&lt;='Scoring Settings'!$B$7))</f>
        <v/>
      </c>
      <c r="AL113" s="17" t="str">
        <f>IF(B113="","",IF(K113="Not in use","Priority – Not in use",IF(AK113&gt;='Scoring Settings'!$B$9,"Decommission",IF(AK113=1,"Review","Retain"))))</f>
        <v/>
      </c>
      <c r="AM113" s="17" t="str">
        <f>IF(B113="","",IF(Z113="N","Easy",IF(OR(AND(ISNUMBER(AB113),AB113&gt;'Scoring Settings'!$B$11),AND(ISNUMBER(W113),W113&gt;'Scoring Settings'!$B$12),AND(ISNUMBER(M113),M113&lt;='Scoring Settings'!$B$13)),"High","Medium")))</f>
        <v/>
      </c>
      <c r="AN113" s="14"/>
      <c r="AO113" s="16"/>
      <c r="AP113" s="14"/>
      <c r="AQ113" s="22"/>
    </row>
    <row r="114" spans="1:43">
      <c r="A114" s="14"/>
      <c r="B114" s="14"/>
      <c r="C114" s="14"/>
      <c r="D114" s="14"/>
      <c r="E114" s="14"/>
      <c r="F114" s="14"/>
      <c r="G114" s="14"/>
      <c r="H114" s="14"/>
      <c r="I114" s="15"/>
      <c r="J114" s="16"/>
      <c r="K114" s="17" t="str">
        <f>IF(B114="","",IF(AND(I114="",J114=""),"Unknown",IF(OR(AND(ISNUMBER(I114),I114=0),AND(ISNUMBER(J114),J114&lt;=EDATE('Scoring Settings'!$B$4,-'Scoring Settings'!$B$5))),"Not in use",IF(AND(ISNUMBER(I114),I114&lt;'Scoring Settings'!$B$6),"Low use","Active"))))</f>
        <v/>
      </c>
      <c r="L114" s="14"/>
      <c r="M114" s="14"/>
      <c r="N114" s="14"/>
      <c r="O114" s="14"/>
      <c r="P114" s="14"/>
      <c r="Q114" s="18"/>
      <c r="R114" s="14"/>
      <c r="S114" s="14"/>
      <c r="T114" s="14"/>
      <c r="U114" s="16"/>
      <c r="V114" s="14"/>
      <c r="W114" s="15"/>
      <c r="X114" s="14"/>
      <c r="Y114" s="18"/>
      <c r="Z114" s="14"/>
      <c r="AA114" s="14"/>
      <c r="AB114" s="18"/>
      <c r="AC114" s="14"/>
      <c r="AD114" s="14"/>
      <c r="AE114" s="14"/>
      <c r="AF114" s="19"/>
      <c r="AG114" s="16"/>
      <c r="AH114" s="19"/>
      <c r="AI114" s="19"/>
      <c r="AJ114" s="20" t="str">
        <f t="shared" si="1"/>
        <v/>
      </c>
      <c r="AK114" s="21" t="str">
        <f>IF(B114="","",OR(K114="Not in use",K114="Low use")+AND(N114&lt;&gt;"",N114&lt;&gt;"TBD")+AND(ISNUMBER(U114),U114&lt;=EDATE('Scoring Settings'!$B$4,'Scoring Settings'!$B$8))+AND(ISNUMBER(L114),L114&lt;='Scoring Settings'!$B$7))</f>
        <v/>
      </c>
      <c r="AL114" s="17" t="str">
        <f>IF(B114="","",IF(K114="Not in use","Priority – Not in use",IF(AK114&gt;='Scoring Settings'!$B$9,"Decommission",IF(AK114=1,"Review","Retain"))))</f>
        <v/>
      </c>
      <c r="AM114" s="17" t="str">
        <f>IF(B114="","",IF(Z114="N","Easy",IF(OR(AND(ISNUMBER(AB114),AB114&gt;'Scoring Settings'!$B$11),AND(ISNUMBER(W114),W114&gt;'Scoring Settings'!$B$12),AND(ISNUMBER(M114),M114&lt;='Scoring Settings'!$B$13)),"High","Medium")))</f>
        <v/>
      </c>
      <c r="AN114" s="14"/>
      <c r="AO114" s="16"/>
      <c r="AP114" s="14"/>
      <c r="AQ114" s="22"/>
    </row>
    <row r="115" spans="1:43">
      <c r="A115" s="14"/>
      <c r="B115" s="14"/>
      <c r="C115" s="14"/>
      <c r="D115" s="14"/>
      <c r="E115" s="14"/>
      <c r="F115" s="14"/>
      <c r="G115" s="14"/>
      <c r="H115" s="14"/>
      <c r="I115" s="15"/>
      <c r="J115" s="16"/>
      <c r="K115" s="17" t="str">
        <f>IF(B115="","",IF(AND(I115="",J115=""),"Unknown",IF(OR(AND(ISNUMBER(I115),I115=0),AND(ISNUMBER(J115),J115&lt;=EDATE('Scoring Settings'!$B$4,-'Scoring Settings'!$B$5))),"Not in use",IF(AND(ISNUMBER(I115),I115&lt;'Scoring Settings'!$B$6),"Low use","Active"))))</f>
        <v/>
      </c>
      <c r="L115" s="14"/>
      <c r="M115" s="14"/>
      <c r="N115" s="14"/>
      <c r="O115" s="14"/>
      <c r="P115" s="14"/>
      <c r="Q115" s="18"/>
      <c r="R115" s="14"/>
      <c r="S115" s="14"/>
      <c r="T115" s="14"/>
      <c r="U115" s="16"/>
      <c r="V115" s="14"/>
      <c r="W115" s="15"/>
      <c r="X115" s="14"/>
      <c r="Y115" s="18"/>
      <c r="Z115" s="14"/>
      <c r="AA115" s="14"/>
      <c r="AB115" s="18"/>
      <c r="AC115" s="14"/>
      <c r="AD115" s="14"/>
      <c r="AE115" s="14"/>
      <c r="AF115" s="19"/>
      <c r="AG115" s="16"/>
      <c r="AH115" s="19"/>
      <c r="AI115" s="19"/>
      <c r="AJ115" s="20" t="str">
        <f t="shared" si="1"/>
        <v/>
      </c>
      <c r="AK115" s="21" t="str">
        <f>IF(B115="","",OR(K115="Not in use",K115="Low use")+AND(N115&lt;&gt;"",N115&lt;&gt;"TBD")+AND(ISNUMBER(U115),U115&lt;=EDATE('Scoring Settings'!$B$4,'Scoring Settings'!$B$8))+AND(ISNUMBER(L115),L115&lt;='Scoring Settings'!$B$7))</f>
        <v/>
      </c>
      <c r="AL115" s="17" t="str">
        <f>IF(B115="","",IF(K115="Not in use","Priority – Not in use",IF(AK115&gt;='Scoring Settings'!$B$9,"Decommission",IF(AK115=1,"Review","Retain"))))</f>
        <v/>
      </c>
      <c r="AM115" s="17" t="str">
        <f>IF(B115="","",IF(Z115="N","Easy",IF(OR(AND(ISNUMBER(AB115),AB115&gt;'Scoring Settings'!$B$11),AND(ISNUMBER(W115),W115&gt;'Scoring Settings'!$B$12),AND(ISNUMBER(M115),M115&lt;='Scoring Settings'!$B$13)),"High","Medium")))</f>
        <v/>
      </c>
      <c r="AN115" s="14"/>
      <c r="AO115" s="16"/>
      <c r="AP115" s="14"/>
      <c r="AQ115" s="22"/>
    </row>
    <row r="116" spans="1:43">
      <c r="A116" s="14"/>
      <c r="B116" s="14"/>
      <c r="C116" s="14"/>
      <c r="D116" s="14"/>
      <c r="E116" s="14"/>
      <c r="F116" s="14"/>
      <c r="G116" s="14"/>
      <c r="H116" s="14"/>
      <c r="I116" s="15"/>
      <c r="J116" s="16"/>
      <c r="K116" s="17" t="str">
        <f>IF(B116="","",IF(AND(I116="",J116=""),"Unknown",IF(OR(AND(ISNUMBER(I116),I116=0),AND(ISNUMBER(J116),J116&lt;=EDATE('Scoring Settings'!$B$4,-'Scoring Settings'!$B$5))),"Not in use",IF(AND(ISNUMBER(I116),I116&lt;'Scoring Settings'!$B$6),"Low use","Active"))))</f>
        <v/>
      </c>
      <c r="L116" s="14"/>
      <c r="M116" s="14"/>
      <c r="N116" s="14"/>
      <c r="O116" s="14"/>
      <c r="P116" s="14"/>
      <c r="Q116" s="18"/>
      <c r="R116" s="14"/>
      <c r="S116" s="14"/>
      <c r="T116" s="14"/>
      <c r="U116" s="16"/>
      <c r="V116" s="14"/>
      <c r="W116" s="15"/>
      <c r="X116" s="14"/>
      <c r="Y116" s="18"/>
      <c r="Z116" s="14"/>
      <c r="AA116" s="14"/>
      <c r="AB116" s="18"/>
      <c r="AC116" s="14"/>
      <c r="AD116" s="14"/>
      <c r="AE116" s="14"/>
      <c r="AF116" s="19"/>
      <c r="AG116" s="16"/>
      <c r="AH116" s="19"/>
      <c r="AI116" s="19"/>
      <c r="AJ116" s="20" t="str">
        <f t="shared" si="1"/>
        <v/>
      </c>
      <c r="AK116" s="21" t="str">
        <f>IF(B116="","",OR(K116="Not in use",K116="Low use")+AND(N116&lt;&gt;"",N116&lt;&gt;"TBD")+AND(ISNUMBER(U116),U116&lt;=EDATE('Scoring Settings'!$B$4,'Scoring Settings'!$B$8))+AND(ISNUMBER(L116),L116&lt;='Scoring Settings'!$B$7))</f>
        <v/>
      </c>
      <c r="AL116" s="17" t="str">
        <f>IF(B116="","",IF(K116="Not in use","Priority – Not in use",IF(AK116&gt;='Scoring Settings'!$B$9,"Decommission",IF(AK116=1,"Review","Retain"))))</f>
        <v/>
      </c>
      <c r="AM116" s="17" t="str">
        <f>IF(B116="","",IF(Z116="N","Easy",IF(OR(AND(ISNUMBER(AB116),AB116&gt;'Scoring Settings'!$B$11),AND(ISNUMBER(W116),W116&gt;'Scoring Settings'!$B$12),AND(ISNUMBER(M116),M116&lt;='Scoring Settings'!$B$13)),"High","Medium")))</f>
        <v/>
      </c>
      <c r="AN116" s="14"/>
      <c r="AO116" s="16"/>
      <c r="AP116" s="14"/>
      <c r="AQ116" s="22"/>
    </row>
    <row r="117" spans="1:43">
      <c r="A117" s="14"/>
      <c r="B117" s="14"/>
      <c r="C117" s="14"/>
      <c r="D117" s="14"/>
      <c r="E117" s="14"/>
      <c r="F117" s="14"/>
      <c r="G117" s="14"/>
      <c r="H117" s="14"/>
      <c r="I117" s="15"/>
      <c r="J117" s="16"/>
      <c r="K117" s="17" t="str">
        <f>IF(B117="","",IF(AND(I117="",J117=""),"Unknown",IF(OR(AND(ISNUMBER(I117),I117=0),AND(ISNUMBER(J117),J117&lt;=EDATE('Scoring Settings'!$B$4,-'Scoring Settings'!$B$5))),"Not in use",IF(AND(ISNUMBER(I117),I117&lt;'Scoring Settings'!$B$6),"Low use","Active"))))</f>
        <v/>
      </c>
      <c r="L117" s="14"/>
      <c r="M117" s="14"/>
      <c r="N117" s="14"/>
      <c r="O117" s="14"/>
      <c r="P117" s="14"/>
      <c r="Q117" s="18"/>
      <c r="R117" s="14"/>
      <c r="S117" s="14"/>
      <c r="T117" s="14"/>
      <c r="U117" s="16"/>
      <c r="V117" s="14"/>
      <c r="W117" s="15"/>
      <c r="X117" s="14"/>
      <c r="Y117" s="18"/>
      <c r="Z117" s="14"/>
      <c r="AA117" s="14"/>
      <c r="AB117" s="18"/>
      <c r="AC117" s="14"/>
      <c r="AD117" s="14"/>
      <c r="AE117" s="14"/>
      <c r="AF117" s="19"/>
      <c r="AG117" s="16"/>
      <c r="AH117" s="19"/>
      <c r="AI117" s="19"/>
      <c r="AJ117" s="20" t="str">
        <f t="shared" si="1"/>
        <v/>
      </c>
      <c r="AK117" s="21" t="str">
        <f>IF(B117="","",OR(K117="Not in use",K117="Low use")+AND(N117&lt;&gt;"",N117&lt;&gt;"TBD")+AND(ISNUMBER(U117),U117&lt;=EDATE('Scoring Settings'!$B$4,'Scoring Settings'!$B$8))+AND(ISNUMBER(L117),L117&lt;='Scoring Settings'!$B$7))</f>
        <v/>
      </c>
      <c r="AL117" s="17" t="str">
        <f>IF(B117="","",IF(K117="Not in use","Priority – Not in use",IF(AK117&gt;='Scoring Settings'!$B$9,"Decommission",IF(AK117=1,"Review","Retain"))))</f>
        <v/>
      </c>
      <c r="AM117" s="17" t="str">
        <f>IF(B117="","",IF(Z117="N","Easy",IF(OR(AND(ISNUMBER(AB117),AB117&gt;'Scoring Settings'!$B$11),AND(ISNUMBER(W117),W117&gt;'Scoring Settings'!$B$12),AND(ISNUMBER(M117),M117&lt;='Scoring Settings'!$B$13)),"High","Medium")))</f>
        <v/>
      </c>
      <c r="AN117" s="14"/>
      <c r="AO117" s="16"/>
      <c r="AP117" s="14"/>
      <c r="AQ117" s="22"/>
    </row>
    <row r="118" spans="1:43">
      <c r="A118" s="14"/>
      <c r="B118" s="14"/>
      <c r="C118" s="14"/>
      <c r="D118" s="14"/>
      <c r="E118" s="14"/>
      <c r="F118" s="14"/>
      <c r="G118" s="14"/>
      <c r="H118" s="14"/>
      <c r="I118" s="15"/>
      <c r="J118" s="16"/>
      <c r="K118" s="17" t="str">
        <f>IF(B118="","",IF(AND(I118="",J118=""),"Unknown",IF(OR(AND(ISNUMBER(I118),I118=0),AND(ISNUMBER(J118),J118&lt;=EDATE('Scoring Settings'!$B$4,-'Scoring Settings'!$B$5))),"Not in use",IF(AND(ISNUMBER(I118),I118&lt;'Scoring Settings'!$B$6),"Low use","Active"))))</f>
        <v/>
      </c>
      <c r="L118" s="14"/>
      <c r="M118" s="14"/>
      <c r="N118" s="14"/>
      <c r="O118" s="14"/>
      <c r="P118" s="14"/>
      <c r="Q118" s="18"/>
      <c r="R118" s="14"/>
      <c r="S118" s="14"/>
      <c r="T118" s="14"/>
      <c r="U118" s="16"/>
      <c r="V118" s="14"/>
      <c r="W118" s="15"/>
      <c r="X118" s="14"/>
      <c r="Y118" s="18"/>
      <c r="Z118" s="14"/>
      <c r="AA118" s="14"/>
      <c r="AB118" s="18"/>
      <c r="AC118" s="14"/>
      <c r="AD118" s="14"/>
      <c r="AE118" s="14"/>
      <c r="AF118" s="19"/>
      <c r="AG118" s="16"/>
      <c r="AH118" s="19"/>
      <c r="AI118" s="19"/>
      <c r="AJ118" s="20" t="str">
        <f t="shared" si="1"/>
        <v/>
      </c>
      <c r="AK118" s="21" t="str">
        <f>IF(B118="","",OR(K118="Not in use",K118="Low use")+AND(N118&lt;&gt;"",N118&lt;&gt;"TBD")+AND(ISNUMBER(U118),U118&lt;=EDATE('Scoring Settings'!$B$4,'Scoring Settings'!$B$8))+AND(ISNUMBER(L118),L118&lt;='Scoring Settings'!$B$7))</f>
        <v/>
      </c>
      <c r="AL118" s="17" t="str">
        <f>IF(B118="","",IF(K118="Not in use","Priority – Not in use",IF(AK118&gt;='Scoring Settings'!$B$9,"Decommission",IF(AK118=1,"Review","Retain"))))</f>
        <v/>
      </c>
      <c r="AM118" s="17" t="str">
        <f>IF(B118="","",IF(Z118="N","Easy",IF(OR(AND(ISNUMBER(AB118),AB118&gt;'Scoring Settings'!$B$11),AND(ISNUMBER(W118),W118&gt;'Scoring Settings'!$B$12),AND(ISNUMBER(M118),M118&lt;='Scoring Settings'!$B$13)),"High","Medium")))</f>
        <v/>
      </c>
      <c r="AN118" s="14"/>
      <c r="AO118" s="16"/>
      <c r="AP118" s="14"/>
      <c r="AQ118" s="22"/>
    </row>
    <row r="119" spans="1:43">
      <c r="A119" s="14"/>
      <c r="B119" s="14"/>
      <c r="C119" s="14"/>
      <c r="D119" s="14"/>
      <c r="E119" s="14"/>
      <c r="F119" s="14"/>
      <c r="G119" s="14"/>
      <c r="H119" s="14"/>
      <c r="I119" s="15"/>
      <c r="J119" s="16"/>
      <c r="K119" s="17" t="str">
        <f>IF(B119="","",IF(AND(I119="",J119=""),"Unknown",IF(OR(AND(ISNUMBER(I119),I119=0),AND(ISNUMBER(J119),J119&lt;=EDATE('Scoring Settings'!$B$4,-'Scoring Settings'!$B$5))),"Not in use",IF(AND(ISNUMBER(I119),I119&lt;'Scoring Settings'!$B$6),"Low use","Active"))))</f>
        <v/>
      </c>
      <c r="L119" s="14"/>
      <c r="M119" s="14"/>
      <c r="N119" s="14"/>
      <c r="O119" s="14"/>
      <c r="P119" s="14"/>
      <c r="Q119" s="18"/>
      <c r="R119" s="14"/>
      <c r="S119" s="14"/>
      <c r="T119" s="14"/>
      <c r="U119" s="16"/>
      <c r="V119" s="14"/>
      <c r="W119" s="15"/>
      <c r="X119" s="14"/>
      <c r="Y119" s="18"/>
      <c r="Z119" s="14"/>
      <c r="AA119" s="14"/>
      <c r="AB119" s="18"/>
      <c r="AC119" s="14"/>
      <c r="AD119" s="14"/>
      <c r="AE119" s="14"/>
      <c r="AF119" s="19"/>
      <c r="AG119" s="16"/>
      <c r="AH119" s="19"/>
      <c r="AI119" s="19"/>
      <c r="AJ119" s="20" t="str">
        <f t="shared" si="1"/>
        <v/>
      </c>
      <c r="AK119" s="21" t="str">
        <f>IF(B119="","",OR(K119="Not in use",K119="Low use")+AND(N119&lt;&gt;"",N119&lt;&gt;"TBD")+AND(ISNUMBER(U119),U119&lt;=EDATE('Scoring Settings'!$B$4,'Scoring Settings'!$B$8))+AND(ISNUMBER(L119),L119&lt;='Scoring Settings'!$B$7))</f>
        <v/>
      </c>
      <c r="AL119" s="17" t="str">
        <f>IF(B119="","",IF(K119="Not in use","Priority – Not in use",IF(AK119&gt;='Scoring Settings'!$B$9,"Decommission",IF(AK119=1,"Review","Retain"))))</f>
        <v/>
      </c>
      <c r="AM119" s="17" t="str">
        <f>IF(B119="","",IF(Z119="N","Easy",IF(OR(AND(ISNUMBER(AB119),AB119&gt;'Scoring Settings'!$B$11),AND(ISNUMBER(W119),W119&gt;'Scoring Settings'!$B$12),AND(ISNUMBER(M119),M119&lt;='Scoring Settings'!$B$13)),"High","Medium")))</f>
        <v/>
      </c>
      <c r="AN119" s="14"/>
      <c r="AO119" s="16"/>
      <c r="AP119" s="14"/>
      <c r="AQ119" s="22"/>
    </row>
    <row r="120" spans="1:43">
      <c r="A120" s="14"/>
      <c r="B120" s="14"/>
      <c r="C120" s="14"/>
      <c r="D120" s="14"/>
      <c r="E120" s="14"/>
      <c r="F120" s="14"/>
      <c r="G120" s="14"/>
      <c r="H120" s="14"/>
      <c r="I120" s="15"/>
      <c r="J120" s="16"/>
      <c r="K120" s="17" t="str">
        <f>IF(B120="","",IF(AND(I120="",J120=""),"Unknown",IF(OR(AND(ISNUMBER(I120),I120=0),AND(ISNUMBER(J120),J120&lt;=EDATE('Scoring Settings'!$B$4,-'Scoring Settings'!$B$5))),"Not in use",IF(AND(ISNUMBER(I120),I120&lt;'Scoring Settings'!$B$6),"Low use","Active"))))</f>
        <v/>
      </c>
      <c r="L120" s="14"/>
      <c r="M120" s="14"/>
      <c r="N120" s="14"/>
      <c r="O120" s="14"/>
      <c r="P120" s="14"/>
      <c r="Q120" s="18"/>
      <c r="R120" s="14"/>
      <c r="S120" s="14"/>
      <c r="T120" s="14"/>
      <c r="U120" s="16"/>
      <c r="V120" s="14"/>
      <c r="W120" s="15"/>
      <c r="X120" s="14"/>
      <c r="Y120" s="18"/>
      <c r="Z120" s="14"/>
      <c r="AA120" s="14"/>
      <c r="AB120" s="18"/>
      <c r="AC120" s="14"/>
      <c r="AD120" s="14"/>
      <c r="AE120" s="14"/>
      <c r="AF120" s="19"/>
      <c r="AG120" s="16"/>
      <c r="AH120" s="19"/>
      <c r="AI120" s="19"/>
      <c r="AJ120" s="20" t="str">
        <f t="shared" si="1"/>
        <v/>
      </c>
      <c r="AK120" s="21" t="str">
        <f>IF(B120="","",OR(K120="Not in use",K120="Low use")+AND(N120&lt;&gt;"",N120&lt;&gt;"TBD")+AND(ISNUMBER(U120),U120&lt;=EDATE('Scoring Settings'!$B$4,'Scoring Settings'!$B$8))+AND(ISNUMBER(L120),L120&lt;='Scoring Settings'!$B$7))</f>
        <v/>
      </c>
      <c r="AL120" s="17" t="str">
        <f>IF(B120="","",IF(K120="Not in use","Priority – Not in use",IF(AK120&gt;='Scoring Settings'!$B$9,"Decommission",IF(AK120=1,"Review","Retain"))))</f>
        <v/>
      </c>
      <c r="AM120" s="17" t="str">
        <f>IF(B120="","",IF(Z120="N","Easy",IF(OR(AND(ISNUMBER(AB120),AB120&gt;'Scoring Settings'!$B$11),AND(ISNUMBER(W120),W120&gt;'Scoring Settings'!$B$12),AND(ISNUMBER(M120),M120&lt;='Scoring Settings'!$B$13)),"High","Medium")))</f>
        <v/>
      </c>
      <c r="AN120" s="14"/>
      <c r="AO120" s="16"/>
      <c r="AP120" s="14"/>
      <c r="AQ120" s="22"/>
    </row>
    <row r="121" spans="1:43">
      <c r="A121" s="14"/>
      <c r="B121" s="14"/>
      <c r="C121" s="14"/>
      <c r="D121" s="14"/>
      <c r="E121" s="14"/>
      <c r="F121" s="14"/>
      <c r="G121" s="14"/>
      <c r="H121" s="14"/>
      <c r="I121" s="15"/>
      <c r="J121" s="16"/>
      <c r="K121" s="17" t="str">
        <f>IF(B121="","",IF(AND(I121="",J121=""),"Unknown",IF(OR(AND(ISNUMBER(I121),I121=0),AND(ISNUMBER(J121),J121&lt;=EDATE('Scoring Settings'!$B$4,-'Scoring Settings'!$B$5))),"Not in use",IF(AND(ISNUMBER(I121),I121&lt;'Scoring Settings'!$B$6),"Low use","Active"))))</f>
        <v/>
      </c>
      <c r="L121" s="14"/>
      <c r="M121" s="14"/>
      <c r="N121" s="14"/>
      <c r="O121" s="14"/>
      <c r="P121" s="14"/>
      <c r="Q121" s="18"/>
      <c r="R121" s="14"/>
      <c r="S121" s="14"/>
      <c r="T121" s="14"/>
      <c r="U121" s="16"/>
      <c r="V121" s="14"/>
      <c r="W121" s="15"/>
      <c r="X121" s="14"/>
      <c r="Y121" s="18"/>
      <c r="Z121" s="14"/>
      <c r="AA121" s="14"/>
      <c r="AB121" s="18"/>
      <c r="AC121" s="14"/>
      <c r="AD121" s="14"/>
      <c r="AE121" s="14"/>
      <c r="AF121" s="19"/>
      <c r="AG121" s="16"/>
      <c r="AH121" s="19"/>
      <c r="AI121" s="19"/>
      <c r="AJ121" s="20" t="str">
        <f t="shared" si="1"/>
        <v/>
      </c>
      <c r="AK121" s="21" t="str">
        <f>IF(B121="","",OR(K121="Not in use",K121="Low use")+AND(N121&lt;&gt;"",N121&lt;&gt;"TBD")+AND(ISNUMBER(U121),U121&lt;=EDATE('Scoring Settings'!$B$4,'Scoring Settings'!$B$8))+AND(ISNUMBER(L121),L121&lt;='Scoring Settings'!$B$7))</f>
        <v/>
      </c>
      <c r="AL121" s="17" t="str">
        <f>IF(B121="","",IF(K121="Not in use","Priority – Not in use",IF(AK121&gt;='Scoring Settings'!$B$9,"Decommission",IF(AK121=1,"Review","Retain"))))</f>
        <v/>
      </c>
      <c r="AM121" s="17" t="str">
        <f>IF(B121="","",IF(Z121="N","Easy",IF(OR(AND(ISNUMBER(AB121),AB121&gt;'Scoring Settings'!$B$11),AND(ISNUMBER(W121),W121&gt;'Scoring Settings'!$B$12),AND(ISNUMBER(M121),M121&lt;='Scoring Settings'!$B$13)),"High","Medium")))</f>
        <v/>
      </c>
      <c r="AN121" s="14"/>
      <c r="AO121" s="16"/>
      <c r="AP121" s="14"/>
      <c r="AQ121" s="22"/>
    </row>
    <row r="122" spans="1:43">
      <c r="A122" s="14"/>
      <c r="B122" s="14"/>
      <c r="C122" s="14"/>
      <c r="D122" s="14"/>
      <c r="E122" s="14"/>
      <c r="F122" s="14"/>
      <c r="G122" s="14"/>
      <c r="H122" s="14"/>
      <c r="I122" s="15"/>
      <c r="J122" s="16"/>
      <c r="K122" s="17" t="str">
        <f>IF(B122="","",IF(AND(I122="",J122=""),"Unknown",IF(OR(AND(ISNUMBER(I122),I122=0),AND(ISNUMBER(J122),J122&lt;=EDATE('Scoring Settings'!$B$4,-'Scoring Settings'!$B$5))),"Not in use",IF(AND(ISNUMBER(I122),I122&lt;'Scoring Settings'!$B$6),"Low use","Active"))))</f>
        <v/>
      </c>
      <c r="L122" s="14"/>
      <c r="M122" s="14"/>
      <c r="N122" s="14"/>
      <c r="O122" s="14"/>
      <c r="P122" s="14"/>
      <c r="Q122" s="18"/>
      <c r="R122" s="14"/>
      <c r="S122" s="14"/>
      <c r="T122" s="14"/>
      <c r="U122" s="16"/>
      <c r="V122" s="14"/>
      <c r="W122" s="15"/>
      <c r="X122" s="14"/>
      <c r="Y122" s="18"/>
      <c r="Z122" s="14"/>
      <c r="AA122" s="14"/>
      <c r="AB122" s="18"/>
      <c r="AC122" s="14"/>
      <c r="AD122" s="14"/>
      <c r="AE122" s="14"/>
      <c r="AF122" s="19"/>
      <c r="AG122" s="16"/>
      <c r="AH122" s="19"/>
      <c r="AI122" s="19"/>
      <c r="AJ122" s="20" t="str">
        <f t="shared" si="1"/>
        <v/>
      </c>
      <c r="AK122" s="21" t="str">
        <f>IF(B122="","",OR(K122="Not in use",K122="Low use")+AND(N122&lt;&gt;"",N122&lt;&gt;"TBD")+AND(ISNUMBER(U122),U122&lt;=EDATE('Scoring Settings'!$B$4,'Scoring Settings'!$B$8))+AND(ISNUMBER(L122),L122&lt;='Scoring Settings'!$B$7))</f>
        <v/>
      </c>
      <c r="AL122" s="17" t="str">
        <f>IF(B122="","",IF(K122="Not in use","Priority – Not in use",IF(AK122&gt;='Scoring Settings'!$B$9,"Decommission",IF(AK122=1,"Review","Retain"))))</f>
        <v/>
      </c>
      <c r="AM122" s="17" t="str">
        <f>IF(B122="","",IF(Z122="N","Easy",IF(OR(AND(ISNUMBER(AB122),AB122&gt;'Scoring Settings'!$B$11),AND(ISNUMBER(W122),W122&gt;'Scoring Settings'!$B$12),AND(ISNUMBER(M122),M122&lt;='Scoring Settings'!$B$13)),"High","Medium")))</f>
        <v/>
      </c>
      <c r="AN122" s="14"/>
      <c r="AO122" s="16"/>
      <c r="AP122" s="14"/>
      <c r="AQ122" s="22"/>
    </row>
    <row r="123" spans="1:43">
      <c r="A123" s="14"/>
      <c r="B123" s="14"/>
      <c r="C123" s="14"/>
      <c r="D123" s="14"/>
      <c r="E123" s="14"/>
      <c r="F123" s="14"/>
      <c r="G123" s="14"/>
      <c r="H123" s="14"/>
      <c r="I123" s="15"/>
      <c r="J123" s="16"/>
      <c r="K123" s="17" t="str">
        <f>IF(B123="","",IF(AND(I123="",J123=""),"Unknown",IF(OR(AND(ISNUMBER(I123),I123=0),AND(ISNUMBER(J123),J123&lt;=EDATE('Scoring Settings'!$B$4,-'Scoring Settings'!$B$5))),"Not in use",IF(AND(ISNUMBER(I123),I123&lt;'Scoring Settings'!$B$6),"Low use","Active"))))</f>
        <v/>
      </c>
      <c r="L123" s="14"/>
      <c r="M123" s="14"/>
      <c r="N123" s="14"/>
      <c r="O123" s="14"/>
      <c r="P123" s="14"/>
      <c r="Q123" s="18"/>
      <c r="R123" s="14"/>
      <c r="S123" s="14"/>
      <c r="T123" s="14"/>
      <c r="U123" s="16"/>
      <c r="V123" s="14"/>
      <c r="W123" s="15"/>
      <c r="X123" s="14"/>
      <c r="Y123" s="18"/>
      <c r="Z123" s="14"/>
      <c r="AA123" s="14"/>
      <c r="AB123" s="18"/>
      <c r="AC123" s="14"/>
      <c r="AD123" s="14"/>
      <c r="AE123" s="14"/>
      <c r="AF123" s="19"/>
      <c r="AG123" s="16"/>
      <c r="AH123" s="19"/>
      <c r="AI123" s="19"/>
      <c r="AJ123" s="20" t="str">
        <f t="shared" si="1"/>
        <v/>
      </c>
      <c r="AK123" s="21" t="str">
        <f>IF(B123="","",OR(K123="Not in use",K123="Low use")+AND(N123&lt;&gt;"",N123&lt;&gt;"TBD")+AND(ISNUMBER(U123),U123&lt;=EDATE('Scoring Settings'!$B$4,'Scoring Settings'!$B$8))+AND(ISNUMBER(L123),L123&lt;='Scoring Settings'!$B$7))</f>
        <v/>
      </c>
      <c r="AL123" s="17" t="str">
        <f>IF(B123="","",IF(K123="Not in use","Priority – Not in use",IF(AK123&gt;='Scoring Settings'!$B$9,"Decommission",IF(AK123=1,"Review","Retain"))))</f>
        <v/>
      </c>
      <c r="AM123" s="17" t="str">
        <f>IF(B123="","",IF(Z123="N","Easy",IF(OR(AND(ISNUMBER(AB123),AB123&gt;'Scoring Settings'!$B$11),AND(ISNUMBER(W123),W123&gt;'Scoring Settings'!$B$12),AND(ISNUMBER(M123),M123&lt;='Scoring Settings'!$B$13)),"High","Medium")))</f>
        <v/>
      </c>
      <c r="AN123" s="14"/>
      <c r="AO123" s="16"/>
      <c r="AP123" s="14"/>
      <c r="AQ123" s="22"/>
    </row>
    <row r="124" spans="1:43">
      <c r="A124" s="14"/>
      <c r="B124" s="14"/>
      <c r="C124" s="14"/>
      <c r="D124" s="14"/>
      <c r="E124" s="14"/>
      <c r="F124" s="14"/>
      <c r="G124" s="14"/>
      <c r="H124" s="14"/>
      <c r="I124" s="15"/>
      <c r="J124" s="16"/>
      <c r="K124" s="17" t="str">
        <f>IF(B124="","",IF(AND(I124="",J124=""),"Unknown",IF(OR(AND(ISNUMBER(I124),I124=0),AND(ISNUMBER(J124),J124&lt;=EDATE('Scoring Settings'!$B$4,-'Scoring Settings'!$B$5))),"Not in use",IF(AND(ISNUMBER(I124),I124&lt;'Scoring Settings'!$B$6),"Low use","Active"))))</f>
        <v/>
      </c>
      <c r="L124" s="14"/>
      <c r="M124" s="14"/>
      <c r="N124" s="14"/>
      <c r="O124" s="14"/>
      <c r="P124" s="14"/>
      <c r="Q124" s="18"/>
      <c r="R124" s="14"/>
      <c r="S124" s="14"/>
      <c r="T124" s="14"/>
      <c r="U124" s="16"/>
      <c r="V124" s="14"/>
      <c r="W124" s="15"/>
      <c r="X124" s="14"/>
      <c r="Y124" s="18"/>
      <c r="Z124" s="14"/>
      <c r="AA124" s="14"/>
      <c r="AB124" s="18"/>
      <c r="AC124" s="14"/>
      <c r="AD124" s="14"/>
      <c r="AE124" s="14"/>
      <c r="AF124" s="19"/>
      <c r="AG124" s="16"/>
      <c r="AH124" s="19"/>
      <c r="AI124" s="19"/>
      <c r="AJ124" s="20" t="str">
        <f t="shared" si="1"/>
        <v/>
      </c>
      <c r="AK124" s="21" t="str">
        <f>IF(B124="","",OR(K124="Not in use",K124="Low use")+AND(N124&lt;&gt;"",N124&lt;&gt;"TBD")+AND(ISNUMBER(U124),U124&lt;=EDATE('Scoring Settings'!$B$4,'Scoring Settings'!$B$8))+AND(ISNUMBER(L124),L124&lt;='Scoring Settings'!$B$7))</f>
        <v/>
      </c>
      <c r="AL124" s="17" t="str">
        <f>IF(B124="","",IF(K124="Not in use","Priority – Not in use",IF(AK124&gt;='Scoring Settings'!$B$9,"Decommission",IF(AK124=1,"Review","Retain"))))</f>
        <v/>
      </c>
      <c r="AM124" s="17" t="str">
        <f>IF(B124="","",IF(Z124="N","Easy",IF(OR(AND(ISNUMBER(AB124),AB124&gt;'Scoring Settings'!$B$11),AND(ISNUMBER(W124),W124&gt;'Scoring Settings'!$B$12),AND(ISNUMBER(M124),M124&lt;='Scoring Settings'!$B$13)),"High","Medium")))</f>
        <v/>
      </c>
      <c r="AN124" s="14"/>
      <c r="AO124" s="16"/>
      <c r="AP124" s="14"/>
      <c r="AQ124" s="22"/>
    </row>
    <row r="125" spans="1:43">
      <c r="A125" s="14"/>
      <c r="B125" s="14"/>
      <c r="C125" s="14"/>
      <c r="D125" s="14"/>
      <c r="E125" s="14"/>
      <c r="F125" s="14"/>
      <c r="G125" s="14"/>
      <c r="H125" s="14"/>
      <c r="I125" s="15"/>
      <c r="J125" s="16"/>
      <c r="K125" s="17" t="str">
        <f>IF(B125="","",IF(AND(I125="",J125=""),"Unknown",IF(OR(AND(ISNUMBER(I125),I125=0),AND(ISNUMBER(J125),J125&lt;=EDATE('Scoring Settings'!$B$4,-'Scoring Settings'!$B$5))),"Not in use",IF(AND(ISNUMBER(I125),I125&lt;'Scoring Settings'!$B$6),"Low use","Active"))))</f>
        <v/>
      </c>
      <c r="L125" s="14"/>
      <c r="M125" s="14"/>
      <c r="N125" s="14"/>
      <c r="O125" s="14"/>
      <c r="P125" s="14"/>
      <c r="Q125" s="18"/>
      <c r="R125" s="14"/>
      <c r="S125" s="14"/>
      <c r="T125" s="14"/>
      <c r="U125" s="16"/>
      <c r="V125" s="14"/>
      <c r="W125" s="15"/>
      <c r="X125" s="14"/>
      <c r="Y125" s="18"/>
      <c r="Z125" s="14"/>
      <c r="AA125" s="14"/>
      <c r="AB125" s="18"/>
      <c r="AC125" s="14"/>
      <c r="AD125" s="14"/>
      <c r="AE125" s="14"/>
      <c r="AF125" s="19"/>
      <c r="AG125" s="16"/>
      <c r="AH125" s="19"/>
      <c r="AI125" s="19"/>
      <c r="AJ125" s="20" t="str">
        <f t="shared" si="1"/>
        <v/>
      </c>
      <c r="AK125" s="21" t="str">
        <f>IF(B125="","",OR(K125="Not in use",K125="Low use")+AND(N125&lt;&gt;"",N125&lt;&gt;"TBD")+AND(ISNUMBER(U125),U125&lt;=EDATE('Scoring Settings'!$B$4,'Scoring Settings'!$B$8))+AND(ISNUMBER(L125),L125&lt;='Scoring Settings'!$B$7))</f>
        <v/>
      </c>
      <c r="AL125" s="17" t="str">
        <f>IF(B125="","",IF(K125="Not in use","Priority – Not in use",IF(AK125&gt;='Scoring Settings'!$B$9,"Decommission",IF(AK125=1,"Review","Retain"))))</f>
        <v/>
      </c>
      <c r="AM125" s="17" t="str">
        <f>IF(B125="","",IF(Z125="N","Easy",IF(OR(AND(ISNUMBER(AB125),AB125&gt;'Scoring Settings'!$B$11),AND(ISNUMBER(W125),W125&gt;'Scoring Settings'!$B$12),AND(ISNUMBER(M125),M125&lt;='Scoring Settings'!$B$13)),"High","Medium")))</f>
        <v/>
      </c>
      <c r="AN125" s="14"/>
      <c r="AO125" s="16"/>
      <c r="AP125" s="14"/>
      <c r="AQ125" s="22"/>
    </row>
    <row r="126" spans="1:43">
      <c r="A126" s="14"/>
      <c r="B126" s="14"/>
      <c r="C126" s="14"/>
      <c r="D126" s="14"/>
      <c r="E126" s="14"/>
      <c r="F126" s="14"/>
      <c r="G126" s="14"/>
      <c r="H126" s="14"/>
      <c r="I126" s="15"/>
      <c r="J126" s="16"/>
      <c r="K126" s="17" t="str">
        <f>IF(B126="","",IF(AND(I126="",J126=""),"Unknown",IF(OR(AND(ISNUMBER(I126),I126=0),AND(ISNUMBER(J126),J126&lt;=EDATE('Scoring Settings'!$B$4,-'Scoring Settings'!$B$5))),"Not in use",IF(AND(ISNUMBER(I126),I126&lt;'Scoring Settings'!$B$6),"Low use","Active"))))</f>
        <v/>
      </c>
      <c r="L126" s="14"/>
      <c r="M126" s="14"/>
      <c r="N126" s="14"/>
      <c r="O126" s="14"/>
      <c r="P126" s="14"/>
      <c r="Q126" s="18"/>
      <c r="R126" s="14"/>
      <c r="S126" s="14"/>
      <c r="T126" s="14"/>
      <c r="U126" s="16"/>
      <c r="V126" s="14"/>
      <c r="W126" s="15"/>
      <c r="X126" s="14"/>
      <c r="Y126" s="18"/>
      <c r="Z126" s="14"/>
      <c r="AA126" s="14"/>
      <c r="AB126" s="18"/>
      <c r="AC126" s="14"/>
      <c r="AD126" s="14"/>
      <c r="AE126" s="14"/>
      <c r="AF126" s="19"/>
      <c r="AG126" s="16"/>
      <c r="AH126" s="19"/>
      <c r="AI126" s="19"/>
      <c r="AJ126" s="20" t="str">
        <f t="shared" si="1"/>
        <v/>
      </c>
      <c r="AK126" s="21" t="str">
        <f>IF(B126="","",OR(K126="Not in use",K126="Low use")+AND(N126&lt;&gt;"",N126&lt;&gt;"TBD")+AND(ISNUMBER(U126),U126&lt;=EDATE('Scoring Settings'!$B$4,'Scoring Settings'!$B$8))+AND(ISNUMBER(L126),L126&lt;='Scoring Settings'!$B$7))</f>
        <v/>
      </c>
      <c r="AL126" s="17" t="str">
        <f>IF(B126="","",IF(K126="Not in use","Priority – Not in use",IF(AK126&gt;='Scoring Settings'!$B$9,"Decommission",IF(AK126=1,"Review","Retain"))))</f>
        <v/>
      </c>
      <c r="AM126" s="17" t="str">
        <f>IF(B126="","",IF(Z126="N","Easy",IF(OR(AND(ISNUMBER(AB126),AB126&gt;'Scoring Settings'!$B$11),AND(ISNUMBER(W126),W126&gt;'Scoring Settings'!$B$12),AND(ISNUMBER(M126),M126&lt;='Scoring Settings'!$B$13)),"High","Medium")))</f>
        <v/>
      </c>
      <c r="AN126" s="14"/>
      <c r="AO126" s="16"/>
      <c r="AP126" s="14"/>
      <c r="AQ126" s="22"/>
    </row>
    <row r="127" spans="1:43">
      <c r="A127" s="14"/>
      <c r="B127" s="14"/>
      <c r="C127" s="14"/>
      <c r="D127" s="14"/>
      <c r="E127" s="14"/>
      <c r="F127" s="14"/>
      <c r="G127" s="14"/>
      <c r="H127" s="14"/>
      <c r="I127" s="15"/>
      <c r="J127" s="16"/>
      <c r="K127" s="17" t="str">
        <f>IF(B127="","",IF(AND(I127="",J127=""),"Unknown",IF(OR(AND(ISNUMBER(I127),I127=0),AND(ISNUMBER(J127),J127&lt;=EDATE('Scoring Settings'!$B$4,-'Scoring Settings'!$B$5))),"Not in use",IF(AND(ISNUMBER(I127),I127&lt;'Scoring Settings'!$B$6),"Low use","Active"))))</f>
        <v/>
      </c>
      <c r="L127" s="14"/>
      <c r="M127" s="14"/>
      <c r="N127" s="14"/>
      <c r="O127" s="14"/>
      <c r="P127" s="14"/>
      <c r="Q127" s="18"/>
      <c r="R127" s="14"/>
      <c r="S127" s="14"/>
      <c r="T127" s="14"/>
      <c r="U127" s="16"/>
      <c r="V127" s="14"/>
      <c r="W127" s="15"/>
      <c r="X127" s="14"/>
      <c r="Y127" s="18"/>
      <c r="Z127" s="14"/>
      <c r="AA127" s="14"/>
      <c r="AB127" s="18"/>
      <c r="AC127" s="14"/>
      <c r="AD127" s="14"/>
      <c r="AE127" s="14"/>
      <c r="AF127" s="19"/>
      <c r="AG127" s="16"/>
      <c r="AH127" s="19"/>
      <c r="AI127" s="19"/>
      <c r="AJ127" s="20" t="str">
        <f t="shared" si="1"/>
        <v/>
      </c>
      <c r="AK127" s="21" t="str">
        <f>IF(B127="","",OR(K127="Not in use",K127="Low use")+AND(N127&lt;&gt;"",N127&lt;&gt;"TBD")+AND(ISNUMBER(U127),U127&lt;=EDATE('Scoring Settings'!$B$4,'Scoring Settings'!$B$8))+AND(ISNUMBER(L127),L127&lt;='Scoring Settings'!$B$7))</f>
        <v/>
      </c>
      <c r="AL127" s="17" t="str">
        <f>IF(B127="","",IF(K127="Not in use","Priority – Not in use",IF(AK127&gt;='Scoring Settings'!$B$9,"Decommission",IF(AK127=1,"Review","Retain"))))</f>
        <v/>
      </c>
      <c r="AM127" s="17" t="str">
        <f>IF(B127="","",IF(Z127="N","Easy",IF(OR(AND(ISNUMBER(AB127),AB127&gt;'Scoring Settings'!$B$11),AND(ISNUMBER(W127),W127&gt;'Scoring Settings'!$B$12),AND(ISNUMBER(M127),M127&lt;='Scoring Settings'!$B$13)),"High","Medium")))</f>
        <v/>
      </c>
      <c r="AN127" s="14"/>
      <c r="AO127" s="16"/>
      <c r="AP127" s="14"/>
      <c r="AQ127" s="22"/>
    </row>
    <row r="128" spans="1:43">
      <c r="A128" s="14"/>
      <c r="B128" s="14"/>
      <c r="C128" s="14"/>
      <c r="D128" s="14"/>
      <c r="E128" s="14"/>
      <c r="F128" s="14"/>
      <c r="G128" s="14"/>
      <c r="H128" s="14"/>
      <c r="I128" s="15"/>
      <c r="J128" s="16"/>
      <c r="K128" s="17" t="str">
        <f>IF(B128="","",IF(AND(I128="",J128=""),"Unknown",IF(OR(AND(ISNUMBER(I128),I128=0),AND(ISNUMBER(J128),J128&lt;=EDATE('Scoring Settings'!$B$4,-'Scoring Settings'!$B$5))),"Not in use",IF(AND(ISNUMBER(I128),I128&lt;'Scoring Settings'!$B$6),"Low use","Active"))))</f>
        <v/>
      </c>
      <c r="L128" s="14"/>
      <c r="M128" s="14"/>
      <c r="N128" s="14"/>
      <c r="O128" s="14"/>
      <c r="P128" s="14"/>
      <c r="Q128" s="18"/>
      <c r="R128" s="14"/>
      <c r="S128" s="14"/>
      <c r="T128" s="14"/>
      <c r="U128" s="16"/>
      <c r="V128" s="14"/>
      <c r="W128" s="15"/>
      <c r="X128" s="14"/>
      <c r="Y128" s="18"/>
      <c r="Z128" s="14"/>
      <c r="AA128" s="14"/>
      <c r="AB128" s="18"/>
      <c r="AC128" s="14"/>
      <c r="AD128" s="14"/>
      <c r="AE128" s="14"/>
      <c r="AF128" s="19"/>
      <c r="AG128" s="16"/>
      <c r="AH128" s="19"/>
      <c r="AI128" s="19"/>
      <c r="AJ128" s="20" t="str">
        <f t="shared" si="1"/>
        <v/>
      </c>
      <c r="AK128" s="21" t="str">
        <f>IF(B128="","",OR(K128="Not in use",K128="Low use")+AND(N128&lt;&gt;"",N128&lt;&gt;"TBD")+AND(ISNUMBER(U128),U128&lt;=EDATE('Scoring Settings'!$B$4,'Scoring Settings'!$B$8))+AND(ISNUMBER(L128),L128&lt;='Scoring Settings'!$B$7))</f>
        <v/>
      </c>
      <c r="AL128" s="17" t="str">
        <f>IF(B128="","",IF(K128="Not in use","Priority – Not in use",IF(AK128&gt;='Scoring Settings'!$B$9,"Decommission",IF(AK128=1,"Review","Retain"))))</f>
        <v/>
      </c>
      <c r="AM128" s="17" t="str">
        <f>IF(B128="","",IF(Z128="N","Easy",IF(OR(AND(ISNUMBER(AB128),AB128&gt;'Scoring Settings'!$B$11),AND(ISNUMBER(W128),W128&gt;'Scoring Settings'!$B$12),AND(ISNUMBER(M128),M128&lt;='Scoring Settings'!$B$13)),"High","Medium")))</f>
        <v/>
      </c>
      <c r="AN128" s="14"/>
      <c r="AO128" s="16"/>
      <c r="AP128" s="14"/>
      <c r="AQ128" s="22"/>
    </row>
    <row r="129" spans="1:43">
      <c r="A129" s="14"/>
      <c r="B129" s="14"/>
      <c r="C129" s="14"/>
      <c r="D129" s="14"/>
      <c r="E129" s="14"/>
      <c r="F129" s="14"/>
      <c r="G129" s="14"/>
      <c r="H129" s="14"/>
      <c r="I129" s="15"/>
      <c r="J129" s="16"/>
      <c r="K129" s="17" t="str">
        <f>IF(B129="","",IF(AND(I129="",J129=""),"Unknown",IF(OR(AND(ISNUMBER(I129),I129=0),AND(ISNUMBER(J129),J129&lt;=EDATE('Scoring Settings'!$B$4,-'Scoring Settings'!$B$5))),"Not in use",IF(AND(ISNUMBER(I129),I129&lt;'Scoring Settings'!$B$6),"Low use","Active"))))</f>
        <v/>
      </c>
      <c r="L129" s="14"/>
      <c r="M129" s="14"/>
      <c r="N129" s="14"/>
      <c r="O129" s="14"/>
      <c r="P129" s="14"/>
      <c r="Q129" s="18"/>
      <c r="R129" s="14"/>
      <c r="S129" s="14"/>
      <c r="T129" s="14"/>
      <c r="U129" s="16"/>
      <c r="V129" s="14"/>
      <c r="W129" s="15"/>
      <c r="X129" s="14"/>
      <c r="Y129" s="18"/>
      <c r="Z129" s="14"/>
      <c r="AA129" s="14"/>
      <c r="AB129" s="18"/>
      <c r="AC129" s="14"/>
      <c r="AD129" s="14"/>
      <c r="AE129" s="14"/>
      <c r="AF129" s="19"/>
      <c r="AG129" s="16"/>
      <c r="AH129" s="19"/>
      <c r="AI129" s="19"/>
      <c r="AJ129" s="20" t="str">
        <f t="shared" si="1"/>
        <v/>
      </c>
      <c r="AK129" s="21" t="str">
        <f>IF(B129="","",OR(K129="Not in use",K129="Low use")+AND(N129&lt;&gt;"",N129&lt;&gt;"TBD")+AND(ISNUMBER(U129),U129&lt;=EDATE('Scoring Settings'!$B$4,'Scoring Settings'!$B$8))+AND(ISNUMBER(L129),L129&lt;='Scoring Settings'!$B$7))</f>
        <v/>
      </c>
      <c r="AL129" s="17" t="str">
        <f>IF(B129="","",IF(K129="Not in use","Priority – Not in use",IF(AK129&gt;='Scoring Settings'!$B$9,"Decommission",IF(AK129=1,"Review","Retain"))))</f>
        <v/>
      </c>
      <c r="AM129" s="17" t="str">
        <f>IF(B129="","",IF(Z129="N","Easy",IF(OR(AND(ISNUMBER(AB129),AB129&gt;'Scoring Settings'!$B$11),AND(ISNUMBER(W129),W129&gt;'Scoring Settings'!$B$12),AND(ISNUMBER(M129),M129&lt;='Scoring Settings'!$B$13)),"High","Medium")))</f>
        <v/>
      </c>
      <c r="AN129" s="14"/>
      <c r="AO129" s="16"/>
      <c r="AP129" s="14"/>
      <c r="AQ129" s="22"/>
    </row>
    <row r="130" spans="1:43">
      <c r="A130" s="14"/>
      <c r="B130" s="14"/>
      <c r="C130" s="14"/>
      <c r="D130" s="14"/>
      <c r="E130" s="14"/>
      <c r="F130" s="14"/>
      <c r="G130" s="14"/>
      <c r="H130" s="14"/>
      <c r="I130" s="15"/>
      <c r="J130" s="16"/>
      <c r="K130" s="17" t="str">
        <f>IF(B130="","",IF(AND(I130="",J130=""),"Unknown",IF(OR(AND(ISNUMBER(I130),I130=0),AND(ISNUMBER(J130),J130&lt;=EDATE('Scoring Settings'!$B$4,-'Scoring Settings'!$B$5))),"Not in use",IF(AND(ISNUMBER(I130),I130&lt;'Scoring Settings'!$B$6),"Low use","Active"))))</f>
        <v/>
      </c>
      <c r="L130" s="14"/>
      <c r="M130" s="14"/>
      <c r="N130" s="14"/>
      <c r="O130" s="14"/>
      <c r="P130" s="14"/>
      <c r="Q130" s="18"/>
      <c r="R130" s="14"/>
      <c r="S130" s="14"/>
      <c r="T130" s="14"/>
      <c r="U130" s="16"/>
      <c r="V130" s="14"/>
      <c r="W130" s="15"/>
      <c r="X130" s="14"/>
      <c r="Y130" s="18"/>
      <c r="Z130" s="14"/>
      <c r="AA130" s="14"/>
      <c r="AB130" s="18"/>
      <c r="AC130" s="14"/>
      <c r="AD130" s="14"/>
      <c r="AE130" s="14"/>
      <c r="AF130" s="19"/>
      <c r="AG130" s="16"/>
      <c r="AH130" s="19"/>
      <c r="AI130" s="19"/>
      <c r="AJ130" s="20" t="str">
        <f t="shared" si="1"/>
        <v/>
      </c>
      <c r="AK130" s="21" t="str">
        <f>IF(B130="","",OR(K130="Not in use",K130="Low use")+AND(N130&lt;&gt;"",N130&lt;&gt;"TBD")+AND(ISNUMBER(U130),U130&lt;=EDATE('Scoring Settings'!$B$4,'Scoring Settings'!$B$8))+AND(ISNUMBER(L130),L130&lt;='Scoring Settings'!$B$7))</f>
        <v/>
      </c>
      <c r="AL130" s="17" t="str">
        <f>IF(B130="","",IF(K130="Not in use","Priority – Not in use",IF(AK130&gt;='Scoring Settings'!$B$9,"Decommission",IF(AK130=1,"Review","Retain"))))</f>
        <v/>
      </c>
      <c r="AM130" s="17" t="str">
        <f>IF(B130="","",IF(Z130="N","Easy",IF(OR(AND(ISNUMBER(AB130),AB130&gt;'Scoring Settings'!$B$11),AND(ISNUMBER(W130),W130&gt;'Scoring Settings'!$B$12),AND(ISNUMBER(M130),M130&lt;='Scoring Settings'!$B$13)),"High","Medium")))</f>
        <v/>
      </c>
      <c r="AN130" s="14"/>
      <c r="AO130" s="16"/>
      <c r="AP130" s="14"/>
      <c r="AQ130" s="22"/>
    </row>
    <row r="131" spans="1:43">
      <c r="A131" s="14"/>
      <c r="B131" s="14"/>
      <c r="C131" s="14"/>
      <c r="D131" s="14"/>
      <c r="E131" s="14"/>
      <c r="F131" s="14"/>
      <c r="G131" s="14"/>
      <c r="H131" s="14"/>
      <c r="I131" s="15"/>
      <c r="J131" s="16"/>
      <c r="K131" s="17" t="str">
        <f>IF(B131="","",IF(AND(I131="",J131=""),"Unknown",IF(OR(AND(ISNUMBER(I131),I131=0),AND(ISNUMBER(J131),J131&lt;=EDATE('Scoring Settings'!$B$4,-'Scoring Settings'!$B$5))),"Not in use",IF(AND(ISNUMBER(I131),I131&lt;'Scoring Settings'!$B$6),"Low use","Active"))))</f>
        <v/>
      </c>
      <c r="L131" s="14"/>
      <c r="M131" s="14"/>
      <c r="N131" s="14"/>
      <c r="O131" s="14"/>
      <c r="P131" s="14"/>
      <c r="Q131" s="18"/>
      <c r="R131" s="14"/>
      <c r="S131" s="14"/>
      <c r="T131" s="14"/>
      <c r="U131" s="16"/>
      <c r="V131" s="14"/>
      <c r="W131" s="15"/>
      <c r="X131" s="14"/>
      <c r="Y131" s="18"/>
      <c r="Z131" s="14"/>
      <c r="AA131" s="14"/>
      <c r="AB131" s="18"/>
      <c r="AC131" s="14"/>
      <c r="AD131" s="14"/>
      <c r="AE131" s="14"/>
      <c r="AF131" s="19"/>
      <c r="AG131" s="16"/>
      <c r="AH131" s="19"/>
      <c r="AI131" s="19"/>
      <c r="AJ131" s="20" t="str">
        <f t="shared" si="1"/>
        <v/>
      </c>
      <c r="AK131" s="21" t="str">
        <f>IF(B131="","",OR(K131="Not in use",K131="Low use")+AND(N131&lt;&gt;"",N131&lt;&gt;"TBD")+AND(ISNUMBER(U131),U131&lt;=EDATE('Scoring Settings'!$B$4,'Scoring Settings'!$B$8))+AND(ISNUMBER(L131),L131&lt;='Scoring Settings'!$B$7))</f>
        <v/>
      </c>
      <c r="AL131" s="17" t="str">
        <f>IF(B131="","",IF(K131="Not in use","Priority – Not in use",IF(AK131&gt;='Scoring Settings'!$B$9,"Decommission",IF(AK131=1,"Review","Retain"))))</f>
        <v/>
      </c>
      <c r="AM131" s="17" t="str">
        <f>IF(B131="","",IF(Z131="N","Easy",IF(OR(AND(ISNUMBER(AB131),AB131&gt;'Scoring Settings'!$B$11),AND(ISNUMBER(W131),W131&gt;'Scoring Settings'!$B$12),AND(ISNUMBER(M131),M131&lt;='Scoring Settings'!$B$13)),"High","Medium")))</f>
        <v/>
      </c>
      <c r="AN131" s="14"/>
      <c r="AO131" s="16"/>
      <c r="AP131" s="14"/>
      <c r="AQ131" s="22"/>
    </row>
    <row r="132" spans="1:43">
      <c r="A132" s="14"/>
      <c r="B132" s="14"/>
      <c r="C132" s="14"/>
      <c r="D132" s="14"/>
      <c r="E132" s="14"/>
      <c r="F132" s="14"/>
      <c r="G132" s="14"/>
      <c r="H132" s="14"/>
      <c r="I132" s="15"/>
      <c r="J132" s="16"/>
      <c r="K132" s="17" t="str">
        <f>IF(B132="","",IF(AND(I132="",J132=""),"Unknown",IF(OR(AND(ISNUMBER(I132),I132=0),AND(ISNUMBER(J132),J132&lt;=EDATE('Scoring Settings'!$B$4,-'Scoring Settings'!$B$5))),"Not in use",IF(AND(ISNUMBER(I132),I132&lt;'Scoring Settings'!$B$6),"Low use","Active"))))</f>
        <v/>
      </c>
      <c r="L132" s="14"/>
      <c r="M132" s="14"/>
      <c r="N132" s="14"/>
      <c r="O132" s="14"/>
      <c r="P132" s="14"/>
      <c r="Q132" s="18"/>
      <c r="R132" s="14"/>
      <c r="S132" s="14"/>
      <c r="T132" s="14"/>
      <c r="U132" s="16"/>
      <c r="V132" s="14"/>
      <c r="W132" s="15"/>
      <c r="X132" s="14"/>
      <c r="Y132" s="18"/>
      <c r="Z132" s="14"/>
      <c r="AA132" s="14"/>
      <c r="AB132" s="18"/>
      <c r="AC132" s="14"/>
      <c r="AD132" s="14"/>
      <c r="AE132" s="14"/>
      <c r="AF132" s="19"/>
      <c r="AG132" s="16"/>
      <c r="AH132" s="19"/>
      <c r="AI132" s="19"/>
      <c r="AJ132" s="20" t="str">
        <f t="shared" si="1"/>
        <v/>
      </c>
      <c r="AK132" s="21" t="str">
        <f>IF(B132="","",OR(K132="Not in use",K132="Low use")+AND(N132&lt;&gt;"",N132&lt;&gt;"TBD")+AND(ISNUMBER(U132),U132&lt;=EDATE('Scoring Settings'!$B$4,'Scoring Settings'!$B$8))+AND(ISNUMBER(L132),L132&lt;='Scoring Settings'!$B$7))</f>
        <v/>
      </c>
      <c r="AL132" s="17" t="str">
        <f>IF(B132="","",IF(K132="Not in use","Priority – Not in use",IF(AK132&gt;='Scoring Settings'!$B$9,"Decommission",IF(AK132=1,"Review","Retain"))))</f>
        <v/>
      </c>
      <c r="AM132" s="17" t="str">
        <f>IF(B132="","",IF(Z132="N","Easy",IF(OR(AND(ISNUMBER(AB132),AB132&gt;'Scoring Settings'!$B$11),AND(ISNUMBER(W132),W132&gt;'Scoring Settings'!$B$12),AND(ISNUMBER(M132),M132&lt;='Scoring Settings'!$B$13)),"High","Medium")))</f>
        <v/>
      </c>
      <c r="AN132" s="14"/>
      <c r="AO132" s="16"/>
      <c r="AP132" s="14"/>
      <c r="AQ132" s="22"/>
    </row>
    <row r="133" spans="1:43">
      <c r="A133" s="14"/>
      <c r="B133" s="14"/>
      <c r="C133" s="14"/>
      <c r="D133" s="14"/>
      <c r="E133" s="14"/>
      <c r="F133" s="14"/>
      <c r="G133" s="14"/>
      <c r="H133" s="14"/>
      <c r="I133" s="15"/>
      <c r="J133" s="16"/>
      <c r="K133" s="17" t="str">
        <f>IF(B133="","",IF(AND(I133="",J133=""),"Unknown",IF(OR(AND(ISNUMBER(I133),I133=0),AND(ISNUMBER(J133),J133&lt;=EDATE('Scoring Settings'!$B$4,-'Scoring Settings'!$B$5))),"Not in use",IF(AND(ISNUMBER(I133),I133&lt;'Scoring Settings'!$B$6),"Low use","Active"))))</f>
        <v/>
      </c>
      <c r="L133" s="14"/>
      <c r="M133" s="14"/>
      <c r="N133" s="14"/>
      <c r="O133" s="14"/>
      <c r="P133" s="14"/>
      <c r="Q133" s="18"/>
      <c r="R133" s="14"/>
      <c r="S133" s="14"/>
      <c r="T133" s="14"/>
      <c r="U133" s="16"/>
      <c r="V133" s="14"/>
      <c r="W133" s="15"/>
      <c r="X133" s="14"/>
      <c r="Y133" s="18"/>
      <c r="Z133" s="14"/>
      <c r="AA133" s="14"/>
      <c r="AB133" s="18"/>
      <c r="AC133" s="14"/>
      <c r="AD133" s="14"/>
      <c r="AE133" s="14"/>
      <c r="AF133" s="19"/>
      <c r="AG133" s="16"/>
      <c r="AH133" s="19"/>
      <c r="AI133" s="19"/>
      <c r="AJ133" s="20" t="str">
        <f t="shared" ref="AJ133:AJ196" si="2">IF(AND(ISNUMBER(AH133),ISNUMBER(AI133),N(AI133)&gt;0),AH133/AI133*12,"")</f>
        <v/>
      </c>
      <c r="AK133" s="21" t="str">
        <f>IF(B133="","",OR(K133="Not in use",K133="Low use")+AND(N133&lt;&gt;"",N133&lt;&gt;"TBD")+AND(ISNUMBER(U133),U133&lt;=EDATE('Scoring Settings'!$B$4,'Scoring Settings'!$B$8))+AND(ISNUMBER(L133),L133&lt;='Scoring Settings'!$B$7))</f>
        <v/>
      </c>
      <c r="AL133" s="17" t="str">
        <f>IF(B133="","",IF(K133="Not in use","Priority – Not in use",IF(AK133&gt;='Scoring Settings'!$B$9,"Decommission",IF(AK133=1,"Review","Retain"))))</f>
        <v/>
      </c>
      <c r="AM133" s="17" t="str">
        <f>IF(B133="","",IF(Z133="N","Easy",IF(OR(AND(ISNUMBER(AB133),AB133&gt;'Scoring Settings'!$B$11),AND(ISNUMBER(W133),W133&gt;'Scoring Settings'!$B$12),AND(ISNUMBER(M133),M133&lt;='Scoring Settings'!$B$13)),"High","Medium")))</f>
        <v/>
      </c>
      <c r="AN133" s="14"/>
      <c r="AO133" s="16"/>
      <c r="AP133" s="14"/>
      <c r="AQ133" s="22"/>
    </row>
    <row r="134" spans="1:43">
      <c r="A134" s="14"/>
      <c r="B134" s="14"/>
      <c r="C134" s="14"/>
      <c r="D134" s="14"/>
      <c r="E134" s="14"/>
      <c r="F134" s="14"/>
      <c r="G134" s="14"/>
      <c r="H134" s="14"/>
      <c r="I134" s="15"/>
      <c r="J134" s="16"/>
      <c r="K134" s="17" t="str">
        <f>IF(B134="","",IF(AND(I134="",J134=""),"Unknown",IF(OR(AND(ISNUMBER(I134),I134=0),AND(ISNUMBER(J134),J134&lt;=EDATE('Scoring Settings'!$B$4,-'Scoring Settings'!$B$5))),"Not in use",IF(AND(ISNUMBER(I134),I134&lt;'Scoring Settings'!$B$6),"Low use","Active"))))</f>
        <v/>
      </c>
      <c r="L134" s="14"/>
      <c r="M134" s="14"/>
      <c r="N134" s="14"/>
      <c r="O134" s="14"/>
      <c r="P134" s="14"/>
      <c r="Q134" s="18"/>
      <c r="R134" s="14"/>
      <c r="S134" s="14"/>
      <c r="T134" s="14"/>
      <c r="U134" s="16"/>
      <c r="V134" s="14"/>
      <c r="W134" s="15"/>
      <c r="X134" s="14"/>
      <c r="Y134" s="18"/>
      <c r="Z134" s="14"/>
      <c r="AA134" s="14"/>
      <c r="AB134" s="18"/>
      <c r="AC134" s="14"/>
      <c r="AD134" s="14"/>
      <c r="AE134" s="14"/>
      <c r="AF134" s="19"/>
      <c r="AG134" s="16"/>
      <c r="AH134" s="19"/>
      <c r="AI134" s="19"/>
      <c r="AJ134" s="20" t="str">
        <f t="shared" si="2"/>
        <v/>
      </c>
      <c r="AK134" s="21" t="str">
        <f>IF(B134="","",OR(K134="Not in use",K134="Low use")+AND(N134&lt;&gt;"",N134&lt;&gt;"TBD")+AND(ISNUMBER(U134),U134&lt;=EDATE('Scoring Settings'!$B$4,'Scoring Settings'!$B$8))+AND(ISNUMBER(L134),L134&lt;='Scoring Settings'!$B$7))</f>
        <v/>
      </c>
      <c r="AL134" s="17" t="str">
        <f>IF(B134="","",IF(K134="Not in use","Priority – Not in use",IF(AK134&gt;='Scoring Settings'!$B$9,"Decommission",IF(AK134=1,"Review","Retain"))))</f>
        <v/>
      </c>
      <c r="AM134" s="17" t="str">
        <f>IF(B134="","",IF(Z134="N","Easy",IF(OR(AND(ISNUMBER(AB134),AB134&gt;'Scoring Settings'!$B$11),AND(ISNUMBER(W134),W134&gt;'Scoring Settings'!$B$12),AND(ISNUMBER(M134),M134&lt;='Scoring Settings'!$B$13)),"High","Medium")))</f>
        <v/>
      </c>
      <c r="AN134" s="14"/>
      <c r="AO134" s="16"/>
      <c r="AP134" s="14"/>
      <c r="AQ134" s="22"/>
    </row>
    <row r="135" spans="1:43">
      <c r="A135" s="14"/>
      <c r="B135" s="14"/>
      <c r="C135" s="14"/>
      <c r="D135" s="14"/>
      <c r="E135" s="14"/>
      <c r="F135" s="14"/>
      <c r="G135" s="14"/>
      <c r="H135" s="14"/>
      <c r="I135" s="15"/>
      <c r="J135" s="16"/>
      <c r="K135" s="17" t="str">
        <f>IF(B135="","",IF(AND(I135="",J135=""),"Unknown",IF(OR(AND(ISNUMBER(I135),I135=0),AND(ISNUMBER(J135),J135&lt;=EDATE('Scoring Settings'!$B$4,-'Scoring Settings'!$B$5))),"Not in use",IF(AND(ISNUMBER(I135),I135&lt;'Scoring Settings'!$B$6),"Low use","Active"))))</f>
        <v/>
      </c>
      <c r="L135" s="14"/>
      <c r="M135" s="14"/>
      <c r="N135" s="14"/>
      <c r="O135" s="14"/>
      <c r="P135" s="14"/>
      <c r="Q135" s="18"/>
      <c r="R135" s="14"/>
      <c r="S135" s="14"/>
      <c r="T135" s="14"/>
      <c r="U135" s="16"/>
      <c r="V135" s="14"/>
      <c r="W135" s="15"/>
      <c r="X135" s="14"/>
      <c r="Y135" s="18"/>
      <c r="Z135" s="14"/>
      <c r="AA135" s="14"/>
      <c r="AB135" s="18"/>
      <c r="AC135" s="14"/>
      <c r="AD135" s="14"/>
      <c r="AE135" s="14"/>
      <c r="AF135" s="19"/>
      <c r="AG135" s="16"/>
      <c r="AH135" s="19"/>
      <c r="AI135" s="19"/>
      <c r="AJ135" s="20" t="str">
        <f t="shared" si="2"/>
        <v/>
      </c>
      <c r="AK135" s="21" t="str">
        <f>IF(B135="","",OR(K135="Not in use",K135="Low use")+AND(N135&lt;&gt;"",N135&lt;&gt;"TBD")+AND(ISNUMBER(U135),U135&lt;=EDATE('Scoring Settings'!$B$4,'Scoring Settings'!$B$8))+AND(ISNUMBER(L135),L135&lt;='Scoring Settings'!$B$7))</f>
        <v/>
      </c>
      <c r="AL135" s="17" t="str">
        <f>IF(B135="","",IF(K135="Not in use","Priority – Not in use",IF(AK135&gt;='Scoring Settings'!$B$9,"Decommission",IF(AK135=1,"Review","Retain"))))</f>
        <v/>
      </c>
      <c r="AM135" s="17" t="str">
        <f>IF(B135="","",IF(Z135="N","Easy",IF(OR(AND(ISNUMBER(AB135),AB135&gt;'Scoring Settings'!$B$11),AND(ISNUMBER(W135),W135&gt;'Scoring Settings'!$B$12),AND(ISNUMBER(M135),M135&lt;='Scoring Settings'!$B$13)),"High","Medium")))</f>
        <v/>
      </c>
      <c r="AN135" s="14"/>
      <c r="AO135" s="16"/>
      <c r="AP135" s="14"/>
      <c r="AQ135" s="22"/>
    </row>
    <row r="136" spans="1:43">
      <c r="A136" s="14"/>
      <c r="B136" s="14"/>
      <c r="C136" s="14"/>
      <c r="D136" s="14"/>
      <c r="E136" s="14"/>
      <c r="F136" s="14"/>
      <c r="G136" s="14"/>
      <c r="H136" s="14"/>
      <c r="I136" s="15"/>
      <c r="J136" s="16"/>
      <c r="K136" s="17" t="str">
        <f>IF(B136="","",IF(AND(I136="",J136=""),"Unknown",IF(OR(AND(ISNUMBER(I136),I136=0),AND(ISNUMBER(J136),J136&lt;=EDATE('Scoring Settings'!$B$4,-'Scoring Settings'!$B$5))),"Not in use",IF(AND(ISNUMBER(I136),I136&lt;'Scoring Settings'!$B$6),"Low use","Active"))))</f>
        <v/>
      </c>
      <c r="L136" s="14"/>
      <c r="M136" s="14"/>
      <c r="N136" s="14"/>
      <c r="O136" s="14"/>
      <c r="P136" s="14"/>
      <c r="Q136" s="18"/>
      <c r="R136" s="14"/>
      <c r="S136" s="14"/>
      <c r="T136" s="14"/>
      <c r="U136" s="16"/>
      <c r="V136" s="14"/>
      <c r="W136" s="15"/>
      <c r="X136" s="14"/>
      <c r="Y136" s="18"/>
      <c r="Z136" s="14"/>
      <c r="AA136" s="14"/>
      <c r="AB136" s="18"/>
      <c r="AC136" s="14"/>
      <c r="AD136" s="14"/>
      <c r="AE136" s="14"/>
      <c r="AF136" s="19"/>
      <c r="AG136" s="16"/>
      <c r="AH136" s="19"/>
      <c r="AI136" s="19"/>
      <c r="AJ136" s="20" t="str">
        <f t="shared" si="2"/>
        <v/>
      </c>
      <c r="AK136" s="21" t="str">
        <f>IF(B136="","",OR(K136="Not in use",K136="Low use")+AND(N136&lt;&gt;"",N136&lt;&gt;"TBD")+AND(ISNUMBER(U136),U136&lt;=EDATE('Scoring Settings'!$B$4,'Scoring Settings'!$B$8))+AND(ISNUMBER(L136),L136&lt;='Scoring Settings'!$B$7))</f>
        <v/>
      </c>
      <c r="AL136" s="17" t="str">
        <f>IF(B136="","",IF(K136="Not in use","Priority – Not in use",IF(AK136&gt;='Scoring Settings'!$B$9,"Decommission",IF(AK136=1,"Review","Retain"))))</f>
        <v/>
      </c>
      <c r="AM136" s="17" t="str">
        <f>IF(B136="","",IF(Z136="N","Easy",IF(OR(AND(ISNUMBER(AB136),AB136&gt;'Scoring Settings'!$B$11),AND(ISNUMBER(W136),W136&gt;'Scoring Settings'!$B$12),AND(ISNUMBER(M136),M136&lt;='Scoring Settings'!$B$13)),"High","Medium")))</f>
        <v/>
      </c>
      <c r="AN136" s="14"/>
      <c r="AO136" s="16"/>
      <c r="AP136" s="14"/>
      <c r="AQ136" s="22"/>
    </row>
    <row r="137" spans="1:43">
      <c r="A137" s="14"/>
      <c r="B137" s="14"/>
      <c r="C137" s="14"/>
      <c r="D137" s="14"/>
      <c r="E137" s="14"/>
      <c r="F137" s="14"/>
      <c r="G137" s="14"/>
      <c r="H137" s="14"/>
      <c r="I137" s="15"/>
      <c r="J137" s="16"/>
      <c r="K137" s="17" t="str">
        <f>IF(B137="","",IF(AND(I137="",J137=""),"Unknown",IF(OR(AND(ISNUMBER(I137),I137=0),AND(ISNUMBER(J137),J137&lt;=EDATE('Scoring Settings'!$B$4,-'Scoring Settings'!$B$5))),"Not in use",IF(AND(ISNUMBER(I137),I137&lt;'Scoring Settings'!$B$6),"Low use","Active"))))</f>
        <v/>
      </c>
      <c r="L137" s="14"/>
      <c r="M137" s="14"/>
      <c r="N137" s="14"/>
      <c r="O137" s="14"/>
      <c r="P137" s="14"/>
      <c r="Q137" s="18"/>
      <c r="R137" s="14"/>
      <c r="S137" s="14"/>
      <c r="T137" s="14"/>
      <c r="U137" s="16"/>
      <c r="V137" s="14"/>
      <c r="W137" s="15"/>
      <c r="X137" s="14"/>
      <c r="Y137" s="18"/>
      <c r="Z137" s="14"/>
      <c r="AA137" s="14"/>
      <c r="AB137" s="18"/>
      <c r="AC137" s="14"/>
      <c r="AD137" s="14"/>
      <c r="AE137" s="14"/>
      <c r="AF137" s="19"/>
      <c r="AG137" s="16"/>
      <c r="AH137" s="19"/>
      <c r="AI137" s="19"/>
      <c r="AJ137" s="20" t="str">
        <f t="shared" si="2"/>
        <v/>
      </c>
      <c r="AK137" s="21" t="str">
        <f>IF(B137="","",OR(K137="Not in use",K137="Low use")+AND(N137&lt;&gt;"",N137&lt;&gt;"TBD")+AND(ISNUMBER(U137),U137&lt;=EDATE('Scoring Settings'!$B$4,'Scoring Settings'!$B$8))+AND(ISNUMBER(L137),L137&lt;='Scoring Settings'!$B$7))</f>
        <v/>
      </c>
      <c r="AL137" s="17" t="str">
        <f>IF(B137="","",IF(K137="Not in use","Priority – Not in use",IF(AK137&gt;='Scoring Settings'!$B$9,"Decommission",IF(AK137=1,"Review","Retain"))))</f>
        <v/>
      </c>
      <c r="AM137" s="17" t="str">
        <f>IF(B137="","",IF(Z137="N","Easy",IF(OR(AND(ISNUMBER(AB137),AB137&gt;'Scoring Settings'!$B$11),AND(ISNUMBER(W137),W137&gt;'Scoring Settings'!$B$12),AND(ISNUMBER(M137),M137&lt;='Scoring Settings'!$B$13)),"High","Medium")))</f>
        <v/>
      </c>
      <c r="AN137" s="14"/>
      <c r="AO137" s="16"/>
      <c r="AP137" s="14"/>
      <c r="AQ137" s="22"/>
    </row>
    <row r="138" spans="1:43">
      <c r="A138" s="14"/>
      <c r="B138" s="14"/>
      <c r="C138" s="14"/>
      <c r="D138" s="14"/>
      <c r="E138" s="14"/>
      <c r="F138" s="14"/>
      <c r="G138" s="14"/>
      <c r="H138" s="14"/>
      <c r="I138" s="15"/>
      <c r="J138" s="16"/>
      <c r="K138" s="17" t="str">
        <f>IF(B138="","",IF(AND(I138="",J138=""),"Unknown",IF(OR(AND(ISNUMBER(I138),I138=0),AND(ISNUMBER(J138),J138&lt;=EDATE('Scoring Settings'!$B$4,-'Scoring Settings'!$B$5))),"Not in use",IF(AND(ISNUMBER(I138),I138&lt;'Scoring Settings'!$B$6),"Low use","Active"))))</f>
        <v/>
      </c>
      <c r="L138" s="14"/>
      <c r="M138" s="14"/>
      <c r="N138" s="14"/>
      <c r="O138" s="14"/>
      <c r="P138" s="14"/>
      <c r="Q138" s="18"/>
      <c r="R138" s="14"/>
      <c r="S138" s="14"/>
      <c r="T138" s="14"/>
      <c r="U138" s="16"/>
      <c r="V138" s="14"/>
      <c r="W138" s="15"/>
      <c r="X138" s="14"/>
      <c r="Y138" s="18"/>
      <c r="Z138" s="14"/>
      <c r="AA138" s="14"/>
      <c r="AB138" s="18"/>
      <c r="AC138" s="14"/>
      <c r="AD138" s="14"/>
      <c r="AE138" s="14"/>
      <c r="AF138" s="19"/>
      <c r="AG138" s="16"/>
      <c r="AH138" s="19"/>
      <c r="AI138" s="19"/>
      <c r="AJ138" s="20" t="str">
        <f t="shared" si="2"/>
        <v/>
      </c>
      <c r="AK138" s="21" t="str">
        <f>IF(B138="","",OR(K138="Not in use",K138="Low use")+AND(N138&lt;&gt;"",N138&lt;&gt;"TBD")+AND(ISNUMBER(U138),U138&lt;=EDATE('Scoring Settings'!$B$4,'Scoring Settings'!$B$8))+AND(ISNUMBER(L138),L138&lt;='Scoring Settings'!$B$7))</f>
        <v/>
      </c>
      <c r="AL138" s="17" t="str">
        <f>IF(B138="","",IF(K138="Not in use","Priority – Not in use",IF(AK138&gt;='Scoring Settings'!$B$9,"Decommission",IF(AK138=1,"Review","Retain"))))</f>
        <v/>
      </c>
      <c r="AM138" s="17" t="str">
        <f>IF(B138="","",IF(Z138="N","Easy",IF(OR(AND(ISNUMBER(AB138),AB138&gt;'Scoring Settings'!$B$11),AND(ISNUMBER(W138),W138&gt;'Scoring Settings'!$B$12),AND(ISNUMBER(M138),M138&lt;='Scoring Settings'!$B$13)),"High","Medium")))</f>
        <v/>
      </c>
      <c r="AN138" s="14"/>
      <c r="AO138" s="16"/>
      <c r="AP138" s="14"/>
      <c r="AQ138" s="22"/>
    </row>
    <row r="139" spans="1:43">
      <c r="A139" s="14"/>
      <c r="B139" s="14"/>
      <c r="C139" s="14"/>
      <c r="D139" s="14"/>
      <c r="E139" s="14"/>
      <c r="F139" s="14"/>
      <c r="G139" s="14"/>
      <c r="H139" s="14"/>
      <c r="I139" s="15"/>
      <c r="J139" s="16"/>
      <c r="K139" s="17" t="str">
        <f>IF(B139="","",IF(AND(I139="",J139=""),"Unknown",IF(OR(AND(ISNUMBER(I139),I139=0),AND(ISNUMBER(J139),J139&lt;=EDATE('Scoring Settings'!$B$4,-'Scoring Settings'!$B$5))),"Not in use",IF(AND(ISNUMBER(I139),I139&lt;'Scoring Settings'!$B$6),"Low use","Active"))))</f>
        <v/>
      </c>
      <c r="L139" s="14"/>
      <c r="M139" s="14"/>
      <c r="N139" s="14"/>
      <c r="O139" s="14"/>
      <c r="P139" s="14"/>
      <c r="Q139" s="18"/>
      <c r="R139" s="14"/>
      <c r="S139" s="14"/>
      <c r="T139" s="14"/>
      <c r="U139" s="16"/>
      <c r="V139" s="14"/>
      <c r="W139" s="15"/>
      <c r="X139" s="14"/>
      <c r="Y139" s="18"/>
      <c r="Z139" s="14"/>
      <c r="AA139" s="14"/>
      <c r="AB139" s="18"/>
      <c r="AC139" s="14"/>
      <c r="AD139" s="14"/>
      <c r="AE139" s="14"/>
      <c r="AF139" s="19"/>
      <c r="AG139" s="16"/>
      <c r="AH139" s="19"/>
      <c r="AI139" s="19"/>
      <c r="AJ139" s="20" t="str">
        <f t="shared" si="2"/>
        <v/>
      </c>
      <c r="AK139" s="21" t="str">
        <f>IF(B139="","",OR(K139="Not in use",K139="Low use")+AND(N139&lt;&gt;"",N139&lt;&gt;"TBD")+AND(ISNUMBER(U139),U139&lt;=EDATE('Scoring Settings'!$B$4,'Scoring Settings'!$B$8))+AND(ISNUMBER(L139),L139&lt;='Scoring Settings'!$B$7))</f>
        <v/>
      </c>
      <c r="AL139" s="17" t="str">
        <f>IF(B139="","",IF(K139="Not in use","Priority – Not in use",IF(AK139&gt;='Scoring Settings'!$B$9,"Decommission",IF(AK139=1,"Review","Retain"))))</f>
        <v/>
      </c>
      <c r="AM139" s="17" t="str">
        <f>IF(B139="","",IF(Z139="N","Easy",IF(OR(AND(ISNUMBER(AB139),AB139&gt;'Scoring Settings'!$B$11),AND(ISNUMBER(W139),W139&gt;'Scoring Settings'!$B$12),AND(ISNUMBER(M139),M139&lt;='Scoring Settings'!$B$13)),"High","Medium")))</f>
        <v/>
      </c>
      <c r="AN139" s="14"/>
      <c r="AO139" s="16"/>
      <c r="AP139" s="14"/>
      <c r="AQ139" s="22"/>
    </row>
    <row r="140" spans="1:43">
      <c r="A140" s="14"/>
      <c r="B140" s="14"/>
      <c r="C140" s="14"/>
      <c r="D140" s="14"/>
      <c r="E140" s="14"/>
      <c r="F140" s="14"/>
      <c r="G140" s="14"/>
      <c r="H140" s="14"/>
      <c r="I140" s="15"/>
      <c r="J140" s="16"/>
      <c r="K140" s="17" t="str">
        <f>IF(B140="","",IF(AND(I140="",J140=""),"Unknown",IF(OR(AND(ISNUMBER(I140),I140=0),AND(ISNUMBER(J140),J140&lt;=EDATE('Scoring Settings'!$B$4,-'Scoring Settings'!$B$5))),"Not in use",IF(AND(ISNUMBER(I140),I140&lt;'Scoring Settings'!$B$6),"Low use","Active"))))</f>
        <v/>
      </c>
      <c r="L140" s="14"/>
      <c r="M140" s="14"/>
      <c r="N140" s="14"/>
      <c r="O140" s="14"/>
      <c r="P140" s="14"/>
      <c r="Q140" s="18"/>
      <c r="R140" s="14"/>
      <c r="S140" s="14"/>
      <c r="T140" s="14"/>
      <c r="U140" s="16"/>
      <c r="V140" s="14"/>
      <c r="W140" s="15"/>
      <c r="X140" s="14"/>
      <c r="Y140" s="18"/>
      <c r="Z140" s="14"/>
      <c r="AA140" s="14"/>
      <c r="AB140" s="18"/>
      <c r="AC140" s="14"/>
      <c r="AD140" s="14"/>
      <c r="AE140" s="14"/>
      <c r="AF140" s="19"/>
      <c r="AG140" s="16"/>
      <c r="AH140" s="19"/>
      <c r="AI140" s="19"/>
      <c r="AJ140" s="20" t="str">
        <f t="shared" si="2"/>
        <v/>
      </c>
      <c r="AK140" s="21" t="str">
        <f>IF(B140="","",OR(K140="Not in use",K140="Low use")+AND(N140&lt;&gt;"",N140&lt;&gt;"TBD")+AND(ISNUMBER(U140),U140&lt;=EDATE('Scoring Settings'!$B$4,'Scoring Settings'!$B$8))+AND(ISNUMBER(L140),L140&lt;='Scoring Settings'!$B$7))</f>
        <v/>
      </c>
      <c r="AL140" s="17" t="str">
        <f>IF(B140="","",IF(K140="Not in use","Priority – Not in use",IF(AK140&gt;='Scoring Settings'!$B$9,"Decommission",IF(AK140=1,"Review","Retain"))))</f>
        <v/>
      </c>
      <c r="AM140" s="17" t="str">
        <f>IF(B140="","",IF(Z140="N","Easy",IF(OR(AND(ISNUMBER(AB140),AB140&gt;'Scoring Settings'!$B$11),AND(ISNUMBER(W140),W140&gt;'Scoring Settings'!$B$12),AND(ISNUMBER(M140),M140&lt;='Scoring Settings'!$B$13)),"High","Medium")))</f>
        <v/>
      </c>
      <c r="AN140" s="14"/>
      <c r="AO140" s="16"/>
      <c r="AP140" s="14"/>
      <c r="AQ140" s="22"/>
    </row>
    <row r="141" spans="1:43">
      <c r="A141" s="14"/>
      <c r="B141" s="14"/>
      <c r="C141" s="14"/>
      <c r="D141" s="14"/>
      <c r="E141" s="14"/>
      <c r="F141" s="14"/>
      <c r="G141" s="14"/>
      <c r="H141" s="14"/>
      <c r="I141" s="15"/>
      <c r="J141" s="16"/>
      <c r="K141" s="17" t="str">
        <f>IF(B141="","",IF(AND(I141="",J141=""),"Unknown",IF(OR(AND(ISNUMBER(I141),I141=0),AND(ISNUMBER(J141),J141&lt;=EDATE('Scoring Settings'!$B$4,-'Scoring Settings'!$B$5))),"Not in use",IF(AND(ISNUMBER(I141),I141&lt;'Scoring Settings'!$B$6),"Low use","Active"))))</f>
        <v/>
      </c>
      <c r="L141" s="14"/>
      <c r="M141" s="14"/>
      <c r="N141" s="14"/>
      <c r="O141" s="14"/>
      <c r="P141" s="14"/>
      <c r="Q141" s="18"/>
      <c r="R141" s="14"/>
      <c r="S141" s="14"/>
      <c r="T141" s="14"/>
      <c r="U141" s="16"/>
      <c r="V141" s="14"/>
      <c r="W141" s="15"/>
      <c r="X141" s="14"/>
      <c r="Y141" s="18"/>
      <c r="Z141" s="14"/>
      <c r="AA141" s="14"/>
      <c r="AB141" s="18"/>
      <c r="AC141" s="14"/>
      <c r="AD141" s="14"/>
      <c r="AE141" s="14"/>
      <c r="AF141" s="19"/>
      <c r="AG141" s="16"/>
      <c r="AH141" s="19"/>
      <c r="AI141" s="19"/>
      <c r="AJ141" s="20" t="str">
        <f t="shared" si="2"/>
        <v/>
      </c>
      <c r="AK141" s="21" t="str">
        <f>IF(B141="","",OR(K141="Not in use",K141="Low use")+AND(N141&lt;&gt;"",N141&lt;&gt;"TBD")+AND(ISNUMBER(U141),U141&lt;=EDATE('Scoring Settings'!$B$4,'Scoring Settings'!$B$8))+AND(ISNUMBER(L141),L141&lt;='Scoring Settings'!$B$7))</f>
        <v/>
      </c>
      <c r="AL141" s="17" t="str">
        <f>IF(B141="","",IF(K141="Not in use","Priority – Not in use",IF(AK141&gt;='Scoring Settings'!$B$9,"Decommission",IF(AK141=1,"Review","Retain"))))</f>
        <v/>
      </c>
      <c r="AM141" s="17" t="str">
        <f>IF(B141="","",IF(Z141="N","Easy",IF(OR(AND(ISNUMBER(AB141),AB141&gt;'Scoring Settings'!$B$11),AND(ISNUMBER(W141),W141&gt;'Scoring Settings'!$B$12),AND(ISNUMBER(M141),M141&lt;='Scoring Settings'!$B$13)),"High","Medium")))</f>
        <v/>
      </c>
      <c r="AN141" s="14"/>
      <c r="AO141" s="16"/>
      <c r="AP141" s="14"/>
      <c r="AQ141" s="22"/>
    </row>
    <row r="142" spans="1:43">
      <c r="A142" s="14"/>
      <c r="B142" s="14"/>
      <c r="C142" s="14"/>
      <c r="D142" s="14"/>
      <c r="E142" s="14"/>
      <c r="F142" s="14"/>
      <c r="G142" s="14"/>
      <c r="H142" s="14"/>
      <c r="I142" s="15"/>
      <c r="J142" s="16"/>
      <c r="K142" s="17" t="str">
        <f>IF(B142="","",IF(AND(I142="",J142=""),"Unknown",IF(OR(AND(ISNUMBER(I142),I142=0),AND(ISNUMBER(J142),J142&lt;=EDATE('Scoring Settings'!$B$4,-'Scoring Settings'!$B$5))),"Not in use",IF(AND(ISNUMBER(I142),I142&lt;'Scoring Settings'!$B$6),"Low use","Active"))))</f>
        <v/>
      </c>
      <c r="L142" s="14"/>
      <c r="M142" s="14"/>
      <c r="N142" s="14"/>
      <c r="O142" s="14"/>
      <c r="P142" s="14"/>
      <c r="Q142" s="18"/>
      <c r="R142" s="14"/>
      <c r="S142" s="14"/>
      <c r="T142" s="14"/>
      <c r="U142" s="16"/>
      <c r="V142" s="14"/>
      <c r="W142" s="15"/>
      <c r="X142" s="14"/>
      <c r="Y142" s="18"/>
      <c r="Z142" s="14"/>
      <c r="AA142" s="14"/>
      <c r="AB142" s="18"/>
      <c r="AC142" s="14"/>
      <c r="AD142" s="14"/>
      <c r="AE142" s="14"/>
      <c r="AF142" s="19"/>
      <c r="AG142" s="16"/>
      <c r="AH142" s="19"/>
      <c r="AI142" s="19"/>
      <c r="AJ142" s="20" t="str">
        <f t="shared" si="2"/>
        <v/>
      </c>
      <c r="AK142" s="21" t="str">
        <f>IF(B142="","",OR(K142="Not in use",K142="Low use")+AND(N142&lt;&gt;"",N142&lt;&gt;"TBD")+AND(ISNUMBER(U142),U142&lt;=EDATE('Scoring Settings'!$B$4,'Scoring Settings'!$B$8))+AND(ISNUMBER(L142),L142&lt;='Scoring Settings'!$B$7))</f>
        <v/>
      </c>
      <c r="AL142" s="17" t="str">
        <f>IF(B142="","",IF(K142="Not in use","Priority – Not in use",IF(AK142&gt;='Scoring Settings'!$B$9,"Decommission",IF(AK142=1,"Review","Retain"))))</f>
        <v/>
      </c>
      <c r="AM142" s="17" t="str">
        <f>IF(B142="","",IF(Z142="N","Easy",IF(OR(AND(ISNUMBER(AB142),AB142&gt;'Scoring Settings'!$B$11),AND(ISNUMBER(W142),W142&gt;'Scoring Settings'!$B$12),AND(ISNUMBER(M142),M142&lt;='Scoring Settings'!$B$13)),"High","Medium")))</f>
        <v/>
      </c>
      <c r="AN142" s="14"/>
      <c r="AO142" s="16"/>
      <c r="AP142" s="14"/>
      <c r="AQ142" s="22"/>
    </row>
    <row r="143" spans="1:43">
      <c r="A143" s="14"/>
      <c r="B143" s="14"/>
      <c r="C143" s="14"/>
      <c r="D143" s="14"/>
      <c r="E143" s="14"/>
      <c r="F143" s="14"/>
      <c r="G143" s="14"/>
      <c r="H143" s="14"/>
      <c r="I143" s="15"/>
      <c r="J143" s="16"/>
      <c r="K143" s="17" t="str">
        <f>IF(B143="","",IF(AND(I143="",J143=""),"Unknown",IF(OR(AND(ISNUMBER(I143),I143=0),AND(ISNUMBER(J143),J143&lt;=EDATE('Scoring Settings'!$B$4,-'Scoring Settings'!$B$5))),"Not in use",IF(AND(ISNUMBER(I143),I143&lt;'Scoring Settings'!$B$6),"Low use","Active"))))</f>
        <v/>
      </c>
      <c r="L143" s="14"/>
      <c r="M143" s="14"/>
      <c r="N143" s="14"/>
      <c r="O143" s="14"/>
      <c r="P143" s="14"/>
      <c r="Q143" s="18"/>
      <c r="R143" s="14"/>
      <c r="S143" s="14"/>
      <c r="T143" s="14"/>
      <c r="U143" s="16"/>
      <c r="V143" s="14"/>
      <c r="W143" s="15"/>
      <c r="X143" s="14"/>
      <c r="Y143" s="18"/>
      <c r="Z143" s="14"/>
      <c r="AA143" s="14"/>
      <c r="AB143" s="18"/>
      <c r="AC143" s="14"/>
      <c r="AD143" s="14"/>
      <c r="AE143" s="14"/>
      <c r="AF143" s="19"/>
      <c r="AG143" s="16"/>
      <c r="AH143" s="19"/>
      <c r="AI143" s="19"/>
      <c r="AJ143" s="20" t="str">
        <f t="shared" si="2"/>
        <v/>
      </c>
      <c r="AK143" s="21" t="str">
        <f>IF(B143="","",OR(K143="Not in use",K143="Low use")+AND(N143&lt;&gt;"",N143&lt;&gt;"TBD")+AND(ISNUMBER(U143),U143&lt;=EDATE('Scoring Settings'!$B$4,'Scoring Settings'!$B$8))+AND(ISNUMBER(L143),L143&lt;='Scoring Settings'!$B$7))</f>
        <v/>
      </c>
      <c r="AL143" s="17" t="str">
        <f>IF(B143="","",IF(K143="Not in use","Priority – Not in use",IF(AK143&gt;='Scoring Settings'!$B$9,"Decommission",IF(AK143=1,"Review","Retain"))))</f>
        <v/>
      </c>
      <c r="AM143" s="17" t="str">
        <f>IF(B143="","",IF(Z143="N","Easy",IF(OR(AND(ISNUMBER(AB143),AB143&gt;'Scoring Settings'!$B$11),AND(ISNUMBER(W143),W143&gt;'Scoring Settings'!$B$12),AND(ISNUMBER(M143),M143&lt;='Scoring Settings'!$B$13)),"High","Medium")))</f>
        <v/>
      </c>
      <c r="AN143" s="14"/>
      <c r="AO143" s="16"/>
      <c r="AP143" s="14"/>
      <c r="AQ143" s="22"/>
    </row>
    <row r="144" spans="1:43">
      <c r="A144" s="14"/>
      <c r="B144" s="14"/>
      <c r="C144" s="14"/>
      <c r="D144" s="14"/>
      <c r="E144" s="14"/>
      <c r="F144" s="14"/>
      <c r="G144" s="14"/>
      <c r="H144" s="14"/>
      <c r="I144" s="15"/>
      <c r="J144" s="16"/>
      <c r="K144" s="17" t="str">
        <f>IF(B144="","",IF(AND(I144="",J144=""),"Unknown",IF(OR(AND(ISNUMBER(I144),I144=0),AND(ISNUMBER(J144),J144&lt;=EDATE('Scoring Settings'!$B$4,-'Scoring Settings'!$B$5))),"Not in use",IF(AND(ISNUMBER(I144),I144&lt;'Scoring Settings'!$B$6),"Low use","Active"))))</f>
        <v/>
      </c>
      <c r="L144" s="14"/>
      <c r="M144" s="14"/>
      <c r="N144" s="14"/>
      <c r="O144" s="14"/>
      <c r="P144" s="14"/>
      <c r="Q144" s="18"/>
      <c r="R144" s="14"/>
      <c r="S144" s="14"/>
      <c r="T144" s="14"/>
      <c r="U144" s="16"/>
      <c r="V144" s="14"/>
      <c r="W144" s="15"/>
      <c r="X144" s="14"/>
      <c r="Y144" s="18"/>
      <c r="Z144" s="14"/>
      <c r="AA144" s="14"/>
      <c r="AB144" s="18"/>
      <c r="AC144" s="14"/>
      <c r="AD144" s="14"/>
      <c r="AE144" s="14"/>
      <c r="AF144" s="19"/>
      <c r="AG144" s="16"/>
      <c r="AH144" s="19"/>
      <c r="AI144" s="19"/>
      <c r="AJ144" s="20" t="str">
        <f t="shared" si="2"/>
        <v/>
      </c>
      <c r="AK144" s="21" t="str">
        <f>IF(B144="","",OR(K144="Not in use",K144="Low use")+AND(N144&lt;&gt;"",N144&lt;&gt;"TBD")+AND(ISNUMBER(U144),U144&lt;=EDATE('Scoring Settings'!$B$4,'Scoring Settings'!$B$8))+AND(ISNUMBER(L144),L144&lt;='Scoring Settings'!$B$7))</f>
        <v/>
      </c>
      <c r="AL144" s="17" t="str">
        <f>IF(B144="","",IF(K144="Not in use","Priority – Not in use",IF(AK144&gt;='Scoring Settings'!$B$9,"Decommission",IF(AK144=1,"Review","Retain"))))</f>
        <v/>
      </c>
      <c r="AM144" s="17" t="str">
        <f>IF(B144="","",IF(Z144="N","Easy",IF(OR(AND(ISNUMBER(AB144),AB144&gt;'Scoring Settings'!$B$11),AND(ISNUMBER(W144),W144&gt;'Scoring Settings'!$B$12),AND(ISNUMBER(M144),M144&lt;='Scoring Settings'!$B$13)),"High","Medium")))</f>
        <v/>
      </c>
      <c r="AN144" s="14"/>
      <c r="AO144" s="16"/>
      <c r="AP144" s="14"/>
      <c r="AQ144" s="22"/>
    </row>
    <row r="145" spans="1:43">
      <c r="A145" s="14"/>
      <c r="B145" s="14"/>
      <c r="C145" s="14"/>
      <c r="D145" s="14"/>
      <c r="E145" s="14"/>
      <c r="F145" s="14"/>
      <c r="G145" s="14"/>
      <c r="H145" s="14"/>
      <c r="I145" s="15"/>
      <c r="J145" s="16"/>
      <c r="K145" s="17" t="str">
        <f>IF(B145="","",IF(AND(I145="",J145=""),"Unknown",IF(OR(AND(ISNUMBER(I145),I145=0),AND(ISNUMBER(J145),J145&lt;=EDATE('Scoring Settings'!$B$4,-'Scoring Settings'!$B$5))),"Not in use",IF(AND(ISNUMBER(I145),I145&lt;'Scoring Settings'!$B$6),"Low use","Active"))))</f>
        <v/>
      </c>
      <c r="L145" s="14"/>
      <c r="M145" s="14"/>
      <c r="N145" s="14"/>
      <c r="O145" s="14"/>
      <c r="P145" s="14"/>
      <c r="Q145" s="18"/>
      <c r="R145" s="14"/>
      <c r="S145" s="14"/>
      <c r="T145" s="14"/>
      <c r="U145" s="16"/>
      <c r="V145" s="14"/>
      <c r="W145" s="15"/>
      <c r="X145" s="14"/>
      <c r="Y145" s="18"/>
      <c r="Z145" s="14"/>
      <c r="AA145" s="14"/>
      <c r="AB145" s="18"/>
      <c r="AC145" s="14"/>
      <c r="AD145" s="14"/>
      <c r="AE145" s="14"/>
      <c r="AF145" s="19"/>
      <c r="AG145" s="16"/>
      <c r="AH145" s="19"/>
      <c r="AI145" s="19"/>
      <c r="AJ145" s="20" t="str">
        <f t="shared" si="2"/>
        <v/>
      </c>
      <c r="AK145" s="21" t="str">
        <f>IF(B145="","",OR(K145="Not in use",K145="Low use")+AND(N145&lt;&gt;"",N145&lt;&gt;"TBD")+AND(ISNUMBER(U145),U145&lt;=EDATE('Scoring Settings'!$B$4,'Scoring Settings'!$B$8))+AND(ISNUMBER(L145),L145&lt;='Scoring Settings'!$B$7))</f>
        <v/>
      </c>
      <c r="AL145" s="17" t="str">
        <f>IF(B145="","",IF(K145="Not in use","Priority – Not in use",IF(AK145&gt;='Scoring Settings'!$B$9,"Decommission",IF(AK145=1,"Review","Retain"))))</f>
        <v/>
      </c>
      <c r="AM145" s="17" t="str">
        <f>IF(B145="","",IF(Z145="N","Easy",IF(OR(AND(ISNUMBER(AB145),AB145&gt;'Scoring Settings'!$B$11),AND(ISNUMBER(W145),W145&gt;'Scoring Settings'!$B$12),AND(ISNUMBER(M145),M145&lt;='Scoring Settings'!$B$13)),"High","Medium")))</f>
        <v/>
      </c>
      <c r="AN145" s="14"/>
      <c r="AO145" s="16"/>
      <c r="AP145" s="14"/>
      <c r="AQ145" s="22"/>
    </row>
    <row r="146" spans="1:43">
      <c r="A146" s="14"/>
      <c r="B146" s="14"/>
      <c r="C146" s="14"/>
      <c r="D146" s="14"/>
      <c r="E146" s="14"/>
      <c r="F146" s="14"/>
      <c r="G146" s="14"/>
      <c r="H146" s="14"/>
      <c r="I146" s="15"/>
      <c r="J146" s="16"/>
      <c r="K146" s="17" t="str">
        <f>IF(B146="","",IF(AND(I146="",J146=""),"Unknown",IF(OR(AND(ISNUMBER(I146),I146=0),AND(ISNUMBER(J146),J146&lt;=EDATE('Scoring Settings'!$B$4,-'Scoring Settings'!$B$5))),"Not in use",IF(AND(ISNUMBER(I146),I146&lt;'Scoring Settings'!$B$6),"Low use","Active"))))</f>
        <v/>
      </c>
      <c r="L146" s="14"/>
      <c r="M146" s="14"/>
      <c r="N146" s="14"/>
      <c r="O146" s="14"/>
      <c r="P146" s="14"/>
      <c r="Q146" s="18"/>
      <c r="R146" s="14"/>
      <c r="S146" s="14"/>
      <c r="T146" s="14"/>
      <c r="U146" s="16"/>
      <c r="V146" s="14"/>
      <c r="W146" s="15"/>
      <c r="X146" s="14"/>
      <c r="Y146" s="18"/>
      <c r="Z146" s="14"/>
      <c r="AA146" s="14"/>
      <c r="AB146" s="18"/>
      <c r="AC146" s="14"/>
      <c r="AD146" s="14"/>
      <c r="AE146" s="14"/>
      <c r="AF146" s="19"/>
      <c r="AG146" s="16"/>
      <c r="AH146" s="19"/>
      <c r="AI146" s="19"/>
      <c r="AJ146" s="20" t="str">
        <f t="shared" si="2"/>
        <v/>
      </c>
      <c r="AK146" s="21" t="str">
        <f>IF(B146="","",OR(K146="Not in use",K146="Low use")+AND(N146&lt;&gt;"",N146&lt;&gt;"TBD")+AND(ISNUMBER(U146),U146&lt;=EDATE('Scoring Settings'!$B$4,'Scoring Settings'!$B$8))+AND(ISNUMBER(L146),L146&lt;='Scoring Settings'!$B$7))</f>
        <v/>
      </c>
      <c r="AL146" s="17" t="str">
        <f>IF(B146="","",IF(K146="Not in use","Priority – Not in use",IF(AK146&gt;='Scoring Settings'!$B$9,"Decommission",IF(AK146=1,"Review","Retain"))))</f>
        <v/>
      </c>
      <c r="AM146" s="17" t="str">
        <f>IF(B146="","",IF(Z146="N","Easy",IF(OR(AND(ISNUMBER(AB146),AB146&gt;'Scoring Settings'!$B$11),AND(ISNUMBER(W146),W146&gt;'Scoring Settings'!$B$12),AND(ISNUMBER(M146),M146&lt;='Scoring Settings'!$B$13)),"High","Medium")))</f>
        <v/>
      </c>
      <c r="AN146" s="14"/>
      <c r="AO146" s="16"/>
      <c r="AP146" s="14"/>
      <c r="AQ146" s="22"/>
    </row>
    <row r="147" spans="1:43">
      <c r="A147" s="14"/>
      <c r="B147" s="14"/>
      <c r="C147" s="14"/>
      <c r="D147" s="14"/>
      <c r="E147" s="14"/>
      <c r="F147" s="14"/>
      <c r="G147" s="14"/>
      <c r="H147" s="14"/>
      <c r="I147" s="15"/>
      <c r="J147" s="16"/>
      <c r="K147" s="17" t="str">
        <f>IF(B147="","",IF(AND(I147="",J147=""),"Unknown",IF(OR(AND(ISNUMBER(I147),I147=0),AND(ISNUMBER(J147),J147&lt;=EDATE('Scoring Settings'!$B$4,-'Scoring Settings'!$B$5))),"Not in use",IF(AND(ISNUMBER(I147),I147&lt;'Scoring Settings'!$B$6),"Low use","Active"))))</f>
        <v/>
      </c>
      <c r="L147" s="14"/>
      <c r="M147" s="14"/>
      <c r="N147" s="14"/>
      <c r="O147" s="14"/>
      <c r="P147" s="14"/>
      <c r="Q147" s="18"/>
      <c r="R147" s="14"/>
      <c r="S147" s="14"/>
      <c r="T147" s="14"/>
      <c r="U147" s="16"/>
      <c r="V147" s="14"/>
      <c r="W147" s="15"/>
      <c r="X147" s="14"/>
      <c r="Y147" s="18"/>
      <c r="Z147" s="14"/>
      <c r="AA147" s="14"/>
      <c r="AB147" s="18"/>
      <c r="AC147" s="14"/>
      <c r="AD147" s="14"/>
      <c r="AE147" s="14"/>
      <c r="AF147" s="19"/>
      <c r="AG147" s="16"/>
      <c r="AH147" s="19"/>
      <c r="AI147" s="19"/>
      <c r="AJ147" s="20" t="str">
        <f t="shared" si="2"/>
        <v/>
      </c>
      <c r="AK147" s="21" t="str">
        <f>IF(B147="","",OR(K147="Not in use",K147="Low use")+AND(N147&lt;&gt;"",N147&lt;&gt;"TBD")+AND(ISNUMBER(U147),U147&lt;=EDATE('Scoring Settings'!$B$4,'Scoring Settings'!$B$8))+AND(ISNUMBER(L147),L147&lt;='Scoring Settings'!$B$7))</f>
        <v/>
      </c>
      <c r="AL147" s="17" t="str">
        <f>IF(B147="","",IF(K147="Not in use","Priority – Not in use",IF(AK147&gt;='Scoring Settings'!$B$9,"Decommission",IF(AK147=1,"Review","Retain"))))</f>
        <v/>
      </c>
      <c r="AM147" s="17" t="str">
        <f>IF(B147="","",IF(Z147="N","Easy",IF(OR(AND(ISNUMBER(AB147),AB147&gt;'Scoring Settings'!$B$11),AND(ISNUMBER(W147),W147&gt;'Scoring Settings'!$B$12),AND(ISNUMBER(M147),M147&lt;='Scoring Settings'!$B$13)),"High","Medium")))</f>
        <v/>
      </c>
      <c r="AN147" s="14"/>
      <c r="AO147" s="16"/>
      <c r="AP147" s="14"/>
      <c r="AQ147" s="22"/>
    </row>
    <row r="148" spans="1:43">
      <c r="A148" s="14"/>
      <c r="B148" s="14"/>
      <c r="C148" s="14"/>
      <c r="D148" s="14"/>
      <c r="E148" s="14"/>
      <c r="F148" s="14"/>
      <c r="G148" s="14"/>
      <c r="H148" s="14"/>
      <c r="I148" s="15"/>
      <c r="J148" s="16"/>
      <c r="K148" s="17" t="str">
        <f>IF(B148="","",IF(AND(I148="",J148=""),"Unknown",IF(OR(AND(ISNUMBER(I148),I148=0),AND(ISNUMBER(J148),J148&lt;=EDATE('Scoring Settings'!$B$4,-'Scoring Settings'!$B$5))),"Not in use",IF(AND(ISNUMBER(I148),I148&lt;'Scoring Settings'!$B$6),"Low use","Active"))))</f>
        <v/>
      </c>
      <c r="L148" s="14"/>
      <c r="M148" s="14"/>
      <c r="N148" s="14"/>
      <c r="O148" s="14"/>
      <c r="P148" s="14"/>
      <c r="Q148" s="18"/>
      <c r="R148" s="14"/>
      <c r="S148" s="14"/>
      <c r="T148" s="14"/>
      <c r="U148" s="16"/>
      <c r="V148" s="14"/>
      <c r="W148" s="15"/>
      <c r="X148" s="14"/>
      <c r="Y148" s="18"/>
      <c r="Z148" s="14"/>
      <c r="AA148" s="14"/>
      <c r="AB148" s="18"/>
      <c r="AC148" s="14"/>
      <c r="AD148" s="14"/>
      <c r="AE148" s="14"/>
      <c r="AF148" s="19"/>
      <c r="AG148" s="16"/>
      <c r="AH148" s="19"/>
      <c r="AI148" s="19"/>
      <c r="AJ148" s="20" t="str">
        <f t="shared" si="2"/>
        <v/>
      </c>
      <c r="AK148" s="21" t="str">
        <f>IF(B148="","",OR(K148="Not in use",K148="Low use")+AND(N148&lt;&gt;"",N148&lt;&gt;"TBD")+AND(ISNUMBER(U148),U148&lt;=EDATE('Scoring Settings'!$B$4,'Scoring Settings'!$B$8))+AND(ISNUMBER(L148),L148&lt;='Scoring Settings'!$B$7))</f>
        <v/>
      </c>
      <c r="AL148" s="17" t="str">
        <f>IF(B148="","",IF(K148="Not in use","Priority – Not in use",IF(AK148&gt;='Scoring Settings'!$B$9,"Decommission",IF(AK148=1,"Review","Retain"))))</f>
        <v/>
      </c>
      <c r="AM148" s="17" t="str">
        <f>IF(B148="","",IF(Z148="N","Easy",IF(OR(AND(ISNUMBER(AB148),AB148&gt;'Scoring Settings'!$B$11),AND(ISNUMBER(W148),W148&gt;'Scoring Settings'!$B$12),AND(ISNUMBER(M148),M148&lt;='Scoring Settings'!$B$13)),"High","Medium")))</f>
        <v/>
      </c>
      <c r="AN148" s="14"/>
      <c r="AO148" s="16"/>
      <c r="AP148" s="14"/>
      <c r="AQ148" s="22"/>
    </row>
    <row r="149" spans="1:43">
      <c r="A149" s="14"/>
      <c r="B149" s="14"/>
      <c r="C149" s="14"/>
      <c r="D149" s="14"/>
      <c r="E149" s="14"/>
      <c r="F149" s="14"/>
      <c r="G149" s="14"/>
      <c r="H149" s="14"/>
      <c r="I149" s="15"/>
      <c r="J149" s="16"/>
      <c r="K149" s="17" t="str">
        <f>IF(B149="","",IF(AND(I149="",J149=""),"Unknown",IF(OR(AND(ISNUMBER(I149),I149=0),AND(ISNUMBER(J149),J149&lt;=EDATE('Scoring Settings'!$B$4,-'Scoring Settings'!$B$5))),"Not in use",IF(AND(ISNUMBER(I149),I149&lt;'Scoring Settings'!$B$6),"Low use","Active"))))</f>
        <v/>
      </c>
      <c r="L149" s="14"/>
      <c r="M149" s="14"/>
      <c r="N149" s="14"/>
      <c r="O149" s="14"/>
      <c r="P149" s="14"/>
      <c r="Q149" s="18"/>
      <c r="R149" s="14"/>
      <c r="S149" s="14"/>
      <c r="T149" s="14"/>
      <c r="U149" s="16"/>
      <c r="V149" s="14"/>
      <c r="W149" s="15"/>
      <c r="X149" s="14"/>
      <c r="Y149" s="18"/>
      <c r="Z149" s="14"/>
      <c r="AA149" s="14"/>
      <c r="AB149" s="18"/>
      <c r="AC149" s="14"/>
      <c r="AD149" s="14"/>
      <c r="AE149" s="14"/>
      <c r="AF149" s="19"/>
      <c r="AG149" s="16"/>
      <c r="AH149" s="19"/>
      <c r="AI149" s="19"/>
      <c r="AJ149" s="20" t="str">
        <f t="shared" si="2"/>
        <v/>
      </c>
      <c r="AK149" s="21" t="str">
        <f>IF(B149="","",OR(K149="Not in use",K149="Low use")+AND(N149&lt;&gt;"",N149&lt;&gt;"TBD")+AND(ISNUMBER(U149),U149&lt;=EDATE('Scoring Settings'!$B$4,'Scoring Settings'!$B$8))+AND(ISNUMBER(L149),L149&lt;='Scoring Settings'!$B$7))</f>
        <v/>
      </c>
      <c r="AL149" s="17" t="str">
        <f>IF(B149="","",IF(K149="Not in use","Priority – Not in use",IF(AK149&gt;='Scoring Settings'!$B$9,"Decommission",IF(AK149=1,"Review","Retain"))))</f>
        <v/>
      </c>
      <c r="AM149" s="17" t="str">
        <f>IF(B149="","",IF(Z149="N","Easy",IF(OR(AND(ISNUMBER(AB149),AB149&gt;'Scoring Settings'!$B$11),AND(ISNUMBER(W149),W149&gt;'Scoring Settings'!$B$12),AND(ISNUMBER(M149),M149&lt;='Scoring Settings'!$B$13)),"High","Medium")))</f>
        <v/>
      </c>
      <c r="AN149" s="14"/>
      <c r="AO149" s="16"/>
      <c r="AP149" s="14"/>
      <c r="AQ149" s="22"/>
    </row>
    <row r="150" spans="1:43">
      <c r="A150" s="14"/>
      <c r="B150" s="14"/>
      <c r="C150" s="14"/>
      <c r="D150" s="14"/>
      <c r="E150" s="14"/>
      <c r="F150" s="14"/>
      <c r="G150" s="14"/>
      <c r="H150" s="14"/>
      <c r="I150" s="15"/>
      <c r="J150" s="16"/>
      <c r="K150" s="17" t="str">
        <f>IF(B150="","",IF(AND(I150="",J150=""),"Unknown",IF(OR(AND(ISNUMBER(I150),I150=0),AND(ISNUMBER(J150),J150&lt;=EDATE('Scoring Settings'!$B$4,-'Scoring Settings'!$B$5))),"Not in use",IF(AND(ISNUMBER(I150),I150&lt;'Scoring Settings'!$B$6),"Low use","Active"))))</f>
        <v/>
      </c>
      <c r="L150" s="14"/>
      <c r="M150" s="14"/>
      <c r="N150" s="14"/>
      <c r="O150" s="14"/>
      <c r="P150" s="14"/>
      <c r="Q150" s="18"/>
      <c r="R150" s="14"/>
      <c r="S150" s="14"/>
      <c r="T150" s="14"/>
      <c r="U150" s="16"/>
      <c r="V150" s="14"/>
      <c r="W150" s="15"/>
      <c r="X150" s="14"/>
      <c r="Y150" s="18"/>
      <c r="Z150" s="14"/>
      <c r="AA150" s="14"/>
      <c r="AB150" s="18"/>
      <c r="AC150" s="14"/>
      <c r="AD150" s="14"/>
      <c r="AE150" s="14"/>
      <c r="AF150" s="19"/>
      <c r="AG150" s="16"/>
      <c r="AH150" s="19"/>
      <c r="AI150" s="19"/>
      <c r="AJ150" s="20" t="str">
        <f t="shared" si="2"/>
        <v/>
      </c>
      <c r="AK150" s="21" t="str">
        <f>IF(B150="","",OR(K150="Not in use",K150="Low use")+AND(N150&lt;&gt;"",N150&lt;&gt;"TBD")+AND(ISNUMBER(U150),U150&lt;=EDATE('Scoring Settings'!$B$4,'Scoring Settings'!$B$8))+AND(ISNUMBER(L150),L150&lt;='Scoring Settings'!$B$7))</f>
        <v/>
      </c>
      <c r="AL150" s="17" t="str">
        <f>IF(B150="","",IF(K150="Not in use","Priority – Not in use",IF(AK150&gt;='Scoring Settings'!$B$9,"Decommission",IF(AK150=1,"Review","Retain"))))</f>
        <v/>
      </c>
      <c r="AM150" s="17" t="str">
        <f>IF(B150="","",IF(Z150="N","Easy",IF(OR(AND(ISNUMBER(AB150),AB150&gt;'Scoring Settings'!$B$11),AND(ISNUMBER(W150),W150&gt;'Scoring Settings'!$B$12),AND(ISNUMBER(M150),M150&lt;='Scoring Settings'!$B$13)),"High","Medium")))</f>
        <v/>
      </c>
      <c r="AN150" s="14"/>
      <c r="AO150" s="16"/>
      <c r="AP150" s="14"/>
      <c r="AQ150" s="22"/>
    </row>
    <row r="151" spans="1:43">
      <c r="A151" s="14"/>
      <c r="B151" s="14"/>
      <c r="C151" s="14"/>
      <c r="D151" s="14"/>
      <c r="E151" s="14"/>
      <c r="F151" s="14"/>
      <c r="G151" s="14"/>
      <c r="H151" s="14"/>
      <c r="I151" s="15"/>
      <c r="J151" s="16"/>
      <c r="K151" s="17" t="str">
        <f>IF(B151="","",IF(AND(I151="",J151=""),"Unknown",IF(OR(AND(ISNUMBER(I151),I151=0),AND(ISNUMBER(J151),J151&lt;=EDATE('Scoring Settings'!$B$4,-'Scoring Settings'!$B$5))),"Not in use",IF(AND(ISNUMBER(I151),I151&lt;'Scoring Settings'!$B$6),"Low use","Active"))))</f>
        <v/>
      </c>
      <c r="L151" s="14"/>
      <c r="M151" s="14"/>
      <c r="N151" s="14"/>
      <c r="O151" s="14"/>
      <c r="P151" s="14"/>
      <c r="Q151" s="18"/>
      <c r="R151" s="14"/>
      <c r="S151" s="14"/>
      <c r="T151" s="14"/>
      <c r="U151" s="16"/>
      <c r="V151" s="14"/>
      <c r="W151" s="15"/>
      <c r="X151" s="14"/>
      <c r="Y151" s="18"/>
      <c r="Z151" s="14"/>
      <c r="AA151" s="14"/>
      <c r="AB151" s="18"/>
      <c r="AC151" s="14"/>
      <c r="AD151" s="14"/>
      <c r="AE151" s="14"/>
      <c r="AF151" s="19"/>
      <c r="AG151" s="16"/>
      <c r="AH151" s="19"/>
      <c r="AI151" s="19"/>
      <c r="AJ151" s="20" t="str">
        <f t="shared" si="2"/>
        <v/>
      </c>
      <c r="AK151" s="21" t="str">
        <f>IF(B151="","",OR(K151="Not in use",K151="Low use")+AND(N151&lt;&gt;"",N151&lt;&gt;"TBD")+AND(ISNUMBER(U151),U151&lt;=EDATE('Scoring Settings'!$B$4,'Scoring Settings'!$B$8))+AND(ISNUMBER(L151),L151&lt;='Scoring Settings'!$B$7))</f>
        <v/>
      </c>
      <c r="AL151" s="17" t="str">
        <f>IF(B151="","",IF(K151="Not in use","Priority – Not in use",IF(AK151&gt;='Scoring Settings'!$B$9,"Decommission",IF(AK151=1,"Review","Retain"))))</f>
        <v/>
      </c>
      <c r="AM151" s="17" t="str">
        <f>IF(B151="","",IF(Z151="N","Easy",IF(OR(AND(ISNUMBER(AB151),AB151&gt;'Scoring Settings'!$B$11),AND(ISNUMBER(W151),W151&gt;'Scoring Settings'!$B$12),AND(ISNUMBER(M151),M151&lt;='Scoring Settings'!$B$13)),"High","Medium")))</f>
        <v/>
      </c>
      <c r="AN151" s="14"/>
      <c r="AO151" s="16"/>
      <c r="AP151" s="14"/>
      <c r="AQ151" s="22"/>
    </row>
    <row r="152" spans="1:43">
      <c r="A152" s="14"/>
      <c r="B152" s="14"/>
      <c r="C152" s="14"/>
      <c r="D152" s="14"/>
      <c r="E152" s="14"/>
      <c r="F152" s="14"/>
      <c r="G152" s="14"/>
      <c r="H152" s="14"/>
      <c r="I152" s="15"/>
      <c r="J152" s="16"/>
      <c r="K152" s="17" t="str">
        <f>IF(B152="","",IF(AND(I152="",J152=""),"Unknown",IF(OR(AND(ISNUMBER(I152),I152=0),AND(ISNUMBER(J152),J152&lt;=EDATE('Scoring Settings'!$B$4,-'Scoring Settings'!$B$5))),"Not in use",IF(AND(ISNUMBER(I152),I152&lt;'Scoring Settings'!$B$6),"Low use","Active"))))</f>
        <v/>
      </c>
      <c r="L152" s="14"/>
      <c r="M152" s="14"/>
      <c r="N152" s="14"/>
      <c r="O152" s="14"/>
      <c r="P152" s="14"/>
      <c r="Q152" s="18"/>
      <c r="R152" s="14"/>
      <c r="S152" s="14"/>
      <c r="T152" s="14"/>
      <c r="U152" s="16"/>
      <c r="V152" s="14"/>
      <c r="W152" s="15"/>
      <c r="X152" s="14"/>
      <c r="Y152" s="18"/>
      <c r="Z152" s="14"/>
      <c r="AA152" s="14"/>
      <c r="AB152" s="18"/>
      <c r="AC152" s="14"/>
      <c r="AD152" s="14"/>
      <c r="AE152" s="14"/>
      <c r="AF152" s="19"/>
      <c r="AG152" s="16"/>
      <c r="AH152" s="19"/>
      <c r="AI152" s="19"/>
      <c r="AJ152" s="20" t="str">
        <f t="shared" si="2"/>
        <v/>
      </c>
      <c r="AK152" s="21" t="str">
        <f>IF(B152="","",OR(K152="Not in use",K152="Low use")+AND(N152&lt;&gt;"",N152&lt;&gt;"TBD")+AND(ISNUMBER(U152),U152&lt;=EDATE('Scoring Settings'!$B$4,'Scoring Settings'!$B$8))+AND(ISNUMBER(L152),L152&lt;='Scoring Settings'!$B$7))</f>
        <v/>
      </c>
      <c r="AL152" s="17" t="str">
        <f>IF(B152="","",IF(K152="Not in use","Priority – Not in use",IF(AK152&gt;='Scoring Settings'!$B$9,"Decommission",IF(AK152=1,"Review","Retain"))))</f>
        <v/>
      </c>
      <c r="AM152" s="17" t="str">
        <f>IF(B152="","",IF(Z152="N","Easy",IF(OR(AND(ISNUMBER(AB152),AB152&gt;'Scoring Settings'!$B$11),AND(ISNUMBER(W152),W152&gt;'Scoring Settings'!$B$12),AND(ISNUMBER(M152),M152&lt;='Scoring Settings'!$B$13)),"High","Medium")))</f>
        <v/>
      </c>
      <c r="AN152" s="14"/>
      <c r="AO152" s="16"/>
      <c r="AP152" s="14"/>
      <c r="AQ152" s="22"/>
    </row>
    <row r="153" spans="1:43">
      <c r="A153" s="14"/>
      <c r="B153" s="14"/>
      <c r="C153" s="14"/>
      <c r="D153" s="14"/>
      <c r="E153" s="14"/>
      <c r="F153" s="14"/>
      <c r="G153" s="14"/>
      <c r="H153" s="14"/>
      <c r="I153" s="15"/>
      <c r="J153" s="16"/>
      <c r="K153" s="17" t="str">
        <f>IF(B153="","",IF(AND(I153="",J153=""),"Unknown",IF(OR(AND(ISNUMBER(I153),I153=0),AND(ISNUMBER(J153),J153&lt;=EDATE('Scoring Settings'!$B$4,-'Scoring Settings'!$B$5))),"Not in use",IF(AND(ISNUMBER(I153),I153&lt;'Scoring Settings'!$B$6),"Low use","Active"))))</f>
        <v/>
      </c>
      <c r="L153" s="14"/>
      <c r="M153" s="14"/>
      <c r="N153" s="14"/>
      <c r="O153" s="14"/>
      <c r="P153" s="14"/>
      <c r="Q153" s="18"/>
      <c r="R153" s="14"/>
      <c r="S153" s="14"/>
      <c r="T153" s="14"/>
      <c r="U153" s="16"/>
      <c r="V153" s="14"/>
      <c r="W153" s="15"/>
      <c r="X153" s="14"/>
      <c r="Y153" s="18"/>
      <c r="Z153" s="14"/>
      <c r="AA153" s="14"/>
      <c r="AB153" s="18"/>
      <c r="AC153" s="14"/>
      <c r="AD153" s="14"/>
      <c r="AE153" s="14"/>
      <c r="AF153" s="19"/>
      <c r="AG153" s="16"/>
      <c r="AH153" s="19"/>
      <c r="AI153" s="19"/>
      <c r="AJ153" s="20" t="str">
        <f t="shared" si="2"/>
        <v/>
      </c>
      <c r="AK153" s="21" t="str">
        <f>IF(B153="","",OR(K153="Not in use",K153="Low use")+AND(N153&lt;&gt;"",N153&lt;&gt;"TBD")+AND(ISNUMBER(U153),U153&lt;=EDATE('Scoring Settings'!$B$4,'Scoring Settings'!$B$8))+AND(ISNUMBER(L153),L153&lt;='Scoring Settings'!$B$7))</f>
        <v/>
      </c>
      <c r="AL153" s="17" t="str">
        <f>IF(B153="","",IF(K153="Not in use","Priority – Not in use",IF(AK153&gt;='Scoring Settings'!$B$9,"Decommission",IF(AK153=1,"Review","Retain"))))</f>
        <v/>
      </c>
      <c r="AM153" s="17" t="str">
        <f>IF(B153="","",IF(Z153="N","Easy",IF(OR(AND(ISNUMBER(AB153),AB153&gt;'Scoring Settings'!$B$11),AND(ISNUMBER(W153),W153&gt;'Scoring Settings'!$B$12),AND(ISNUMBER(M153),M153&lt;='Scoring Settings'!$B$13)),"High","Medium")))</f>
        <v/>
      </c>
      <c r="AN153" s="14"/>
      <c r="AO153" s="16"/>
      <c r="AP153" s="14"/>
      <c r="AQ153" s="22"/>
    </row>
    <row r="154" spans="1:43">
      <c r="A154" s="14"/>
      <c r="B154" s="14"/>
      <c r="C154" s="14"/>
      <c r="D154" s="14"/>
      <c r="E154" s="14"/>
      <c r="F154" s="14"/>
      <c r="G154" s="14"/>
      <c r="H154" s="14"/>
      <c r="I154" s="15"/>
      <c r="J154" s="16"/>
      <c r="K154" s="17" t="str">
        <f>IF(B154="","",IF(AND(I154="",J154=""),"Unknown",IF(OR(AND(ISNUMBER(I154),I154=0),AND(ISNUMBER(J154),J154&lt;=EDATE('Scoring Settings'!$B$4,-'Scoring Settings'!$B$5))),"Not in use",IF(AND(ISNUMBER(I154),I154&lt;'Scoring Settings'!$B$6),"Low use","Active"))))</f>
        <v/>
      </c>
      <c r="L154" s="14"/>
      <c r="M154" s="14"/>
      <c r="N154" s="14"/>
      <c r="O154" s="14"/>
      <c r="P154" s="14"/>
      <c r="Q154" s="18"/>
      <c r="R154" s="14"/>
      <c r="S154" s="14"/>
      <c r="T154" s="14"/>
      <c r="U154" s="16"/>
      <c r="V154" s="14"/>
      <c r="W154" s="15"/>
      <c r="X154" s="14"/>
      <c r="Y154" s="18"/>
      <c r="Z154" s="14"/>
      <c r="AA154" s="14"/>
      <c r="AB154" s="18"/>
      <c r="AC154" s="14"/>
      <c r="AD154" s="14"/>
      <c r="AE154" s="14"/>
      <c r="AF154" s="19"/>
      <c r="AG154" s="16"/>
      <c r="AH154" s="19"/>
      <c r="AI154" s="19"/>
      <c r="AJ154" s="20" t="str">
        <f t="shared" si="2"/>
        <v/>
      </c>
      <c r="AK154" s="21" t="str">
        <f>IF(B154="","",OR(K154="Not in use",K154="Low use")+AND(N154&lt;&gt;"",N154&lt;&gt;"TBD")+AND(ISNUMBER(U154),U154&lt;=EDATE('Scoring Settings'!$B$4,'Scoring Settings'!$B$8))+AND(ISNUMBER(L154),L154&lt;='Scoring Settings'!$B$7))</f>
        <v/>
      </c>
      <c r="AL154" s="17" t="str">
        <f>IF(B154="","",IF(K154="Not in use","Priority – Not in use",IF(AK154&gt;='Scoring Settings'!$B$9,"Decommission",IF(AK154=1,"Review","Retain"))))</f>
        <v/>
      </c>
      <c r="AM154" s="17" t="str">
        <f>IF(B154="","",IF(Z154="N","Easy",IF(OR(AND(ISNUMBER(AB154),AB154&gt;'Scoring Settings'!$B$11),AND(ISNUMBER(W154),W154&gt;'Scoring Settings'!$B$12),AND(ISNUMBER(M154),M154&lt;='Scoring Settings'!$B$13)),"High","Medium")))</f>
        <v/>
      </c>
      <c r="AN154" s="14"/>
      <c r="AO154" s="16"/>
      <c r="AP154" s="14"/>
      <c r="AQ154" s="22"/>
    </row>
    <row r="155" spans="1:43">
      <c r="A155" s="14"/>
      <c r="B155" s="14"/>
      <c r="C155" s="14"/>
      <c r="D155" s="14"/>
      <c r="E155" s="14"/>
      <c r="F155" s="14"/>
      <c r="G155" s="14"/>
      <c r="H155" s="14"/>
      <c r="I155" s="15"/>
      <c r="J155" s="16"/>
      <c r="K155" s="17" t="str">
        <f>IF(B155="","",IF(AND(I155="",J155=""),"Unknown",IF(OR(AND(ISNUMBER(I155),I155=0),AND(ISNUMBER(J155),J155&lt;=EDATE('Scoring Settings'!$B$4,-'Scoring Settings'!$B$5))),"Not in use",IF(AND(ISNUMBER(I155),I155&lt;'Scoring Settings'!$B$6),"Low use","Active"))))</f>
        <v/>
      </c>
      <c r="L155" s="14"/>
      <c r="M155" s="14"/>
      <c r="N155" s="14"/>
      <c r="O155" s="14"/>
      <c r="P155" s="14"/>
      <c r="Q155" s="18"/>
      <c r="R155" s="14"/>
      <c r="S155" s="14"/>
      <c r="T155" s="14"/>
      <c r="U155" s="16"/>
      <c r="V155" s="14"/>
      <c r="W155" s="15"/>
      <c r="X155" s="14"/>
      <c r="Y155" s="18"/>
      <c r="Z155" s="14"/>
      <c r="AA155" s="14"/>
      <c r="AB155" s="18"/>
      <c r="AC155" s="14"/>
      <c r="AD155" s="14"/>
      <c r="AE155" s="14"/>
      <c r="AF155" s="19"/>
      <c r="AG155" s="16"/>
      <c r="AH155" s="19"/>
      <c r="AI155" s="19"/>
      <c r="AJ155" s="20" t="str">
        <f t="shared" si="2"/>
        <v/>
      </c>
      <c r="AK155" s="21" t="str">
        <f>IF(B155="","",OR(K155="Not in use",K155="Low use")+AND(N155&lt;&gt;"",N155&lt;&gt;"TBD")+AND(ISNUMBER(U155),U155&lt;=EDATE('Scoring Settings'!$B$4,'Scoring Settings'!$B$8))+AND(ISNUMBER(L155),L155&lt;='Scoring Settings'!$B$7))</f>
        <v/>
      </c>
      <c r="AL155" s="17" t="str">
        <f>IF(B155="","",IF(K155="Not in use","Priority – Not in use",IF(AK155&gt;='Scoring Settings'!$B$9,"Decommission",IF(AK155=1,"Review","Retain"))))</f>
        <v/>
      </c>
      <c r="AM155" s="17" t="str">
        <f>IF(B155="","",IF(Z155="N","Easy",IF(OR(AND(ISNUMBER(AB155),AB155&gt;'Scoring Settings'!$B$11),AND(ISNUMBER(W155),W155&gt;'Scoring Settings'!$B$12),AND(ISNUMBER(M155),M155&lt;='Scoring Settings'!$B$13)),"High","Medium")))</f>
        <v/>
      </c>
      <c r="AN155" s="14"/>
      <c r="AO155" s="16"/>
      <c r="AP155" s="14"/>
      <c r="AQ155" s="22"/>
    </row>
    <row r="156" spans="1:43">
      <c r="A156" s="14"/>
      <c r="B156" s="14"/>
      <c r="C156" s="14"/>
      <c r="D156" s="14"/>
      <c r="E156" s="14"/>
      <c r="F156" s="14"/>
      <c r="G156" s="14"/>
      <c r="H156" s="14"/>
      <c r="I156" s="15"/>
      <c r="J156" s="16"/>
      <c r="K156" s="17" t="str">
        <f>IF(B156="","",IF(AND(I156="",J156=""),"Unknown",IF(OR(AND(ISNUMBER(I156),I156=0),AND(ISNUMBER(J156),J156&lt;=EDATE('Scoring Settings'!$B$4,-'Scoring Settings'!$B$5))),"Not in use",IF(AND(ISNUMBER(I156),I156&lt;'Scoring Settings'!$B$6),"Low use","Active"))))</f>
        <v/>
      </c>
      <c r="L156" s="14"/>
      <c r="M156" s="14"/>
      <c r="N156" s="14"/>
      <c r="O156" s="14"/>
      <c r="P156" s="14"/>
      <c r="Q156" s="18"/>
      <c r="R156" s="14"/>
      <c r="S156" s="14"/>
      <c r="T156" s="14"/>
      <c r="U156" s="16"/>
      <c r="V156" s="14"/>
      <c r="W156" s="15"/>
      <c r="X156" s="14"/>
      <c r="Y156" s="18"/>
      <c r="Z156" s="14"/>
      <c r="AA156" s="14"/>
      <c r="AB156" s="18"/>
      <c r="AC156" s="14"/>
      <c r="AD156" s="14"/>
      <c r="AE156" s="14"/>
      <c r="AF156" s="19"/>
      <c r="AG156" s="16"/>
      <c r="AH156" s="19"/>
      <c r="AI156" s="19"/>
      <c r="AJ156" s="20" t="str">
        <f t="shared" si="2"/>
        <v/>
      </c>
      <c r="AK156" s="21" t="str">
        <f>IF(B156="","",OR(K156="Not in use",K156="Low use")+AND(N156&lt;&gt;"",N156&lt;&gt;"TBD")+AND(ISNUMBER(U156),U156&lt;=EDATE('Scoring Settings'!$B$4,'Scoring Settings'!$B$8))+AND(ISNUMBER(L156),L156&lt;='Scoring Settings'!$B$7))</f>
        <v/>
      </c>
      <c r="AL156" s="17" t="str">
        <f>IF(B156="","",IF(K156="Not in use","Priority – Not in use",IF(AK156&gt;='Scoring Settings'!$B$9,"Decommission",IF(AK156=1,"Review","Retain"))))</f>
        <v/>
      </c>
      <c r="AM156" s="17" t="str">
        <f>IF(B156="","",IF(Z156="N","Easy",IF(OR(AND(ISNUMBER(AB156),AB156&gt;'Scoring Settings'!$B$11),AND(ISNUMBER(W156),W156&gt;'Scoring Settings'!$B$12),AND(ISNUMBER(M156),M156&lt;='Scoring Settings'!$B$13)),"High","Medium")))</f>
        <v/>
      </c>
      <c r="AN156" s="14"/>
      <c r="AO156" s="16"/>
      <c r="AP156" s="14"/>
      <c r="AQ156" s="22"/>
    </row>
    <row r="157" spans="1:43">
      <c r="A157" s="14"/>
      <c r="B157" s="14"/>
      <c r="C157" s="14"/>
      <c r="D157" s="14"/>
      <c r="E157" s="14"/>
      <c r="F157" s="14"/>
      <c r="G157" s="14"/>
      <c r="H157" s="14"/>
      <c r="I157" s="15"/>
      <c r="J157" s="16"/>
      <c r="K157" s="17" t="str">
        <f>IF(B157="","",IF(AND(I157="",J157=""),"Unknown",IF(OR(AND(ISNUMBER(I157),I157=0),AND(ISNUMBER(J157),J157&lt;=EDATE('Scoring Settings'!$B$4,-'Scoring Settings'!$B$5))),"Not in use",IF(AND(ISNUMBER(I157),I157&lt;'Scoring Settings'!$B$6),"Low use","Active"))))</f>
        <v/>
      </c>
      <c r="L157" s="14"/>
      <c r="M157" s="14"/>
      <c r="N157" s="14"/>
      <c r="O157" s="14"/>
      <c r="P157" s="14"/>
      <c r="Q157" s="18"/>
      <c r="R157" s="14"/>
      <c r="S157" s="14"/>
      <c r="T157" s="14"/>
      <c r="U157" s="16"/>
      <c r="V157" s="14"/>
      <c r="W157" s="15"/>
      <c r="X157" s="14"/>
      <c r="Y157" s="18"/>
      <c r="Z157" s="14"/>
      <c r="AA157" s="14"/>
      <c r="AB157" s="18"/>
      <c r="AC157" s="14"/>
      <c r="AD157" s="14"/>
      <c r="AE157" s="14"/>
      <c r="AF157" s="19"/>
      <c r="AG157" s="16"/>
      <c r="AH157" s="19"/>
      <c r="AI157" s="19"/>
      <c r="AJ157" s="20" t="str">
        <f t="shared" si="2"/>
        <v/>
      </c>
      <c r="AK157" s="21" t="str">
        <f>IF(B157="","",OR(K157="Not in use",K157="Low use")+AND(N157&lt;&gt;"",N157&lt;&gt;"TBD")+AND(ISNUMBER(U157),U157&lt;=EDATE('Scoring Settings'!$B$4,'Scoring Settings'!$B$8))+AND(ISNUMBER(L157),L157&lt;='Scoring Settings'!$B$7))</f>
        <v/>
      </c>
      <c r="AL157" s="17" t="str">
        <f>IF(B157="","",IF(K157="Not in use","Priority – Not in use",IF(AK157&gt;='Scoring Settings'!$B$9,"Decommission",IF(AK157=1,"Review","Retain"))))</f>
        <v/>
      </c>
      <c r="AM157" s="17" t="str">
        <f>IF(B157="","",IF(Z157="N","Easy",IF(OR(AND(ISNUMBER(AB157),AB157&gt;'Scoring Settings'!$B$11),AND(ISNUMBER(W157),W157&gt;'Scoring Settings'!$B$12),AND(ISNUMBER(M157),M157&lt;='Scoring Settings'!$B$13)),"High","Medium")))</f>
        <v/>
      </c>
      <c r="AN157" s="14"/>
      <c r="AO157" s="16"/>
      <c r="AP157" s="14"/>
      <c r="AQ157" s="22"/>
    </row>
    <row r="158" spans="1:43">
      <c r="A158" s="14"/>
      <c r="B158" s="14"/>
      <c r="C158" s="14"/>
      <c r="D158" s="14"/>
      <c r="E158" s="14"/>
      <c r="F158" s="14"/>
      <c r="G158" s="14"/>
      <c r="H158" s="14"/>
      <c r="I158" s="15"/>
      <c r="J158" s="16"/>
      <c r="K158" s="17" t="str">
        <f>IF(B158="","",IF(AND(I158="",J158=""),"Unknown",IF(OR(AND(ISNUMBER(I158),I158=0),AND(ISNUMBER(J158),J158&lt;=EDATE('Scoring Settings'!$B$4,-'Scoring Settings'!$B$5))),"Not in use",IF(AND(ISNUMBER(I158),I158&lt;'Scoring Settings'!$B$6),"Low use","Active"))))</f>
        <v/>
      </c>
      <c r="L158" s="14"/>
      <c r="M158" s="14"/>
      <c r="N158" s="14"/>
      <c r="O158" s="14"/>
      <c r="P158" s="14"/>
      <c r="Q158" s="18"/>
      <c r="R158" s="14"/>
      <c r="S158" s="14"/>
      <c r="T158" s="14"/>
      <c r="U158" s="16"/>
      <c r="V158" s="14"/>
      <c r="W158" s="15"/>
      <c r="X158" s="14"/>
      <c r="Y158" s="18"/>
      <c r="Z158" s="14"/>
      <c r="AA158" s="14"/>
      <c r="AB158" s="18"/>
      <c r="AC158" s="14"/>
      <c r="AD158" s="14"/>
      <c r="AE158" s="14"/>
      <c r="AF158" s="19"/>
      <c r="AG158" s="16"/>
      <c r="AH158" s="19"/>
      <c r="AI158" s="19"/>
      <c r="AJ158" s="20" t="str">
        <f t="shared" si="2"/>
        <v/>
      </c>
      <c r="AK158" s="21" t="str">
        <f>IF(B158="","",OR(K158="Not in use",K158="Low use")+AND(N158&lt;&gt;"",N158&lt;&gt;"TBD")+AND(ISNUMBER(U158),U158&lt;=EDATE('Scoring Settings'!$B$4,'Scoring Settings'!$B$8))+AND(ISNUMBER(L158),L158&lt;='Scoring Settings'!$B$7))</f>
        <v/>
      </c>
      <c r="AL158" s="17" t="str">
        <f>IF(B158="","",IF(K158="Not in use","Priority – Not in use",IF(AK158&gt;='Scoring Settings'!$B$9,"Decommission",IF(AK158=1,"Review","Retain"))))</f>
        <v/>
      </c>
      <c r="AM158" s="17" t="str">
        <f>IF(B158="","",IF(Z158="N","Easy",IF(OR(AND(ISNUMBER(AB158),AB158&gt;'Scoring Settings'!$B$11),AND(ISNUMBER(W158),W158&gt;'Scoring Settings'!$B$12),AND(ISNUMBER(M158),M158&lt;='Scoring Settings'!$B$13)),"High","Medium")))</f>
        <v/>
      </c>
      <c r="AN158" s="14"/>
      <c r="AO158" s="16"/>
      <c r="AP158" s="14"/>
      <c r="AQ158" s="22"/>
    </row>
    <row r="159" spans="1:43">
      <c r="A159" s="14"/>
      <c r="B159" s="14"/>
      <c r="C159" s="14"/>
      <c r="D159" s="14"/>
      <c r="E159" s="14"/>
      <c r="F159" s="14"/>
      <c r="G159" s="14"/>
      <c r="H159" s="14"/>
      <c r="I159" s="15"/>
      <c r="J159" s="16"/>
      <c r="K159" s="17" t="str">
        <f>IF(B159="","",IF(AND(I159="",J159=""),"Unknown",IF(OR(AND(ISNUMBER(I159),I159=0),AND(ISNUMBER(J159),J159&lt;=EDATE('Scoring Settings'!$B$4,-'Scoring Settings'!$B$5))),"Not in use",IF(AND(ISNUMBER(I159),I159&lt;'Scoring Settings'!$B$6),"Low use","Active"))))</f>
        <v/>
      </c>
      <c r="L159" s="14"/>
      <c r="M159" s="14"/>
      <c r="N159" s="14"/>
      <c r="O159" s="14"/>
      <c r="P159" s="14"/>
      <c r="Q159" s="18"/>
      <c r="R159" s="14"/>
      <c r="S159" s="14"/>
      <c r="T159" s="14"/>
      <c r="U159" s="16"/>
      <c r="V159" s="14"/>
      <c r="W159" s="15"/>
      <c r="X159" s="14"/>
      <c r="Y159" s="18"/>
      <c r="Z159" s="14"/>
      <c r="AA159" s="14"/>
      <c r="AB159" s="18"/>
      <c r="AC159" s="14"/>
      <c r="AD159" s="14"/>
      <c r="AE159" s="14"/>
      <c r="AF159" s="19"/>
      <c r="AG159" s="16"/>
      <c r="AH159" s="19"/>
      <c r="AI159" s="19"/>
      <c r="AJ159" s="20" t="str">
        <f t="shared" si="2"/>
        <v/>
      </c>
      <c r="AK159" s="21" t="str">
        <f>IF(B159="","",OR(K159="Not in use",K159="Low use")+AND(N159&lt;&gt;"",N159&lt;&gt;"TBD")+AND(ISNUMBER(U159),U159&lt;=EDATE('Scoring Settings'!$B$4,'Scoring Settings'!$B$8))+AND(ISNUMBER(L159),L159&lt;='Scoring Settings'!$B$7))</f>
        <v/>
      </c>
      <c r="AL159" s="17" t="str">
        <f>IF(B159="","",IF(K159="Not in use","Priority – Not in use",IF(AK159&gt;='Scoring Settings'!$B$9,"Decommission",IF(AK159=1,"Review","Retain"))))</f>
        <v/>
      </c>
      <c r="AM159" s="17" t="str">
        <f>IF(B159="","",IF(Z159="N","Easy",IF(OR(AND(ISNUMBER(AB159),AB159&gt;'Scoring Settings'!$B$11),AND(ISNUMBER(W159),W159&gt;'Scoring Settings'!$B$12),AND(ISNUMBER(M159),M159&lt;='Scoring Settings'!$B$13)),"High","Medium")))</f>
        <v/>
      </c>
      <c r="AN159" s="14"/>
      <c r="AO159" s="16"/>
      <c r="AP159" s="14"/>
      <c r="AQ159" s="22"/>
    </row>
    <row r="160" spans="1:43">
      <c r="A160" s="14"/>
      <c r="B160" s="14"/>
      <c r="C160" s="14"/>
      <c r="D160" s="14"/>
      <c r="E160" s="14"/>
      <c r="F160" s="14"/>
      <c r="G160" s="14"/>
      <c r="H160" s="14"/>
      <c r="I160" s="15"/>
      <c r="J160" s="16"/>
      <c r="K160" s="17" t="str">
        <f>IF(B160="","",IF(AND(I160="",J160=""),"Unknown",IF(OR(AND(ISNUMBER(I160),I160=0),AND(ISNUMBER(J160),J160&lt;=EDATE('Scoring Settings'!$B$4,-'Scoring Settings'!$B$5))),"Not in use",IF(AND(ISNUMBER(I160),I160&lt;'Scoring Settings'!$B$6),"Low use","Active"))))</f>
        <v/>
      </c>
      <c r="L160" s="14"/>
      <c r="M160" s="14"/>
      <c r="N160" s="14"/>
      <c r="O160" s="14"/>
      <c r="P160" s="14"/>
      <c r="Q160" s="18"/>
      <c r="R160" s="14"/>
      <c r="S160" s="14"/>
      <c r="T160" s="14"/>
      <c r="U160" s="16"/>
      <c r="V160" s="14"/>
      <c r="W160" s="15"/>
      <c r="X160" s="14"/>
      <c r="Y160" s="18"/>
      <c r="Z160" s="14"/>
      <c r="AA160" s="14"/>
      <c r="AB160" s="18"/>
      <c r="AC160" s="14"/>
      <c r="AD160" s="14"/>
      <c r="AE160" s="14"/>
      <c r="AF160" s="19"/>
      <c r="AG160" s="16"/>
      <c r="AH160" s="19"/>
      <c r="AI160" s="19"/>
      <c r="AJ160" s="20" t="str">
        <f t="shared" si="2"/>
        <v/>
      </c>
      <c r="AK160" s="21" t="str">
        <f>IF(B160="","",OR(K160="Not in use",K160="Low use")+AND(N160&lt;&gt;"",N160&lt;&gt;"TBD")+AND(ISNUMBER(U160),U160&lt;=EDATE('Scoring Settings'!$B$4,'Scoring Settings'!$B$8))+AND(ISNUMBER(L160),L160&lt;='Scoring Settings'!$B$7))</f>
        <v/>
      </c>
      <c r="AL160" s="17" t="str">
        <f>IF(B160="","",IF(K160="Not in use","Priority – Not in use",IF(AK160&gt;='Scoring Settings'!$B$9,"Decommission",IF(AK160=1,"Review","Retain"))))</f>
        <v/>
      </c>
      <c r="AM160" s="17" t="str">
        <f>IF(B160="","",IF(Z160="N","Easy",IF(OR(AND(ISNUMBER(AB160),AB160&gt;'Scoring Settings'!$B$11),AND(ISNUMBER(W160),W160&gt;'Scoring Settings'!$B$12),AND(ISNUMBER(M160),M160&lt;='Scoring Settings'!$B$13)),"High","Medium")))</f>
        <v/>
      </c>
      <c r="AN160" s="14"/>
      <c r="AO160" s="16"/>
      <c r="AP160" s="14"/>
      <c r="AQ160" s="22"/>
    </row>
    <row r="161" spans="1:43">
      <c r="A161" s="14"/>
      <c r="B161" s="14"/>
      <c r="C161" s="14"/>
      <c r="D161" s="14"/>
      <c r="E161" s="14"/>
      <c r="F161" s="14"/>
      <c r="G161" s="14"/>
      <c r="H161" s="14"/>
      <c r="I161" s="15"/>
      <c r="J161" s="16"/>
      <c r="K161" s="17" t="str">
        <f>IF(B161="","",IF(AND(I161="",J161=""),"Unknown",IF(OR(AND(ISNUMBER(I161),I161=0),AND(ISNUMBER(J161),J161&lt;=EDATE('Scoring Settings'!$B$4,-'Scoring Settings'!$B$5))),"Not in use",IF(AND(ISNUMBER(I161),I161&lt;'Scoring Settings'!$B$6),"Low use","Active"))))</f>
        <v/>
      </c>
      <c r="L161" s="14"/>
      <c r="M161" s="14"/>
      <c r="N161" s="14"/>
      <c r="O161" s="14"/>
      <c r="P161" s="14"/>
      <c r="Q161" s="18"/>
      <c r="R161" s="14"/>
      <c r="S161" s="14"/>
      <c r="T161" s="14"/>
      <c r="U161" s="16"/>
      <c r="V161" s="14"/>
      <c r="W161" s="15"/>
      <c r="X161" s="14"/>
      <c r="Y161" s="18"/>
      <c r="Z161" s="14"/>
      <c r="AA161" s="14"/>
      <c r="AB161" s="18"/>
      <c r="AC161" s="14"/>
      <c r="AD161" s="14"/>
      <c r="AE161" s="14"/>
      <c r="AF161" s="19"/>
      <c r="AG161" s="16"/>
      <c r="AH161" s="19"/>
      <c r="AI161" s="19"/>
      <c r="AJ161" s="20" t="str">
        <f t="shared" si="2"/>
        <v/>
      </c>
      <c r="AK161" s="21" t="str">
        <f>IF(B161="","",OR(K161="Not in use",K161="Low use")+AND(N161&lt;&gt;"",N161&lt;&gt;"TBD")+AND(ISNUMBER(U161),U161&lt;=EDATE('Scoring Settings'!$B$4,'Scoring Settings'!$B$8))+AND(ISNUMBER(L161),L161&lt;='Scoring Settings'!$B$7))</f>
        <v/>
      </c>
      <c r="AL161" s="17" t="str">
        <f>IF(B161="","",IF(K161="Not in use","Priority – Not in use",IF(AK161&gt;='Scoring Settings'!$B$9,"Decommission",IF(AK161=1,"Review","Retain"))))</f>
        <v/>
      </c>
      <c r="AM161" s="17" t="str">
        <f>IF(B161="","",IF(Z161="N","Easy",IF(OR(AND(ISNUMBER(AB161),AB161&gt;'Scoring Settings'!$B$11),AND(ISNUMBER(W161),W161&gt;'Scoring Settings'!$B$12),AND(ISNUMBER(M161),M161&lt;='Scoring Settings'!$B$13)),"High","Medium")))</f>
        <v/>
      </c>
      <c r="AN161" s="14"/>
      <c r="AO161" s="16"/>
      <c r="AP161" s="14"/>
      <c r="AQ161" s="22"/>
    </row>
    <row r="162" spans="1:43">
      <c r="A162" s="14"/>
      <c r="B162" s="14"/>
      <c r="C162" s="14"/>
      <c r="D162" s="14"/>
      <c r="E162" s="14"/>
      <c r="F162" s="14"/>
      <c r="G162" s="14"/>
      <c r="H162" s="14"/>
      <c r="I162" s="15"/>
      <c r="J162" s="16"/>
      <c r="K162" s="17" t="str">
        <f>IF(B162="","",IF(AND(I162="",J162=""),"Unknown",IF(OR(AND(ISNUMBER(I162),I162=0),AND(ISNUMBER(J162),J162&lt;=EDATE('Scoring Settings'!$B$4,-'Scoring Settings'!$B$5))),"Not in use",IF(AND(ISNUMBER(I162),I162&lt;'Scoring Settings'!$B$6),"Low use","Active"))))</f>
        <v/>
      </c>
      <c r="L162" s="14"/>
      <c r="M162" s="14"/>
      <c r="N162" s="14"/>
      <c r="O162" s="14"/>
      <c r="P162" s="14"/>
      <c r="Q162" s="18"/>
      <c r="R162" s="14"/>
      <c r="S162" s="14"/>
      <c r="T162" s="14"/>
      <c r="U162" s="16"/>
      <c r="V162" s="14"/>
      <c r="W162" s="15"/>
      <c r="X162" s="14"/>
      <c r="Y162" s="18"/>
      <c r="Z162" s="14"/>
      <c r="AA162" s="14"/>
      <c r="AB162" s="18"/>
      <c r="AC162" s="14"/>
      <c r="AD162" s="14"/>
      <c r="AE162" s="14"/>
      <c r="AF162" s="19"/>
      <c r="AG162" s="16"/>
      <c r="AH162" s="19"/>
      <c r="AI162" s="19"/>
      <c r="AJ162" s="20" t="str">
        <f t="shared" si="2"/>
        <v/>
      </c>
      <c r="AK162" s="21" t="str">
        <f>IF(B162="","",OR(K162="Not in use",K162="Low use")+AND(N162&lt;&gt;"",N162&lt;&gt;"TBD")+AND(ISNUMBER(U162),U162&lt;=EDATE('Scoring Settings'!$B$4,'Scoring Settings'!$B$8))+AND(ISNUMBER(L162),L162&lt;='Scoring Settings'!$B$7))</f>
        <v/>
      </c>
      <c r="AL162" s="17" t="str">
        <f>IF(B162="","",IF(K162="Not in use","Priority – Not in use",IF(AK162&gt;='Scoring Settings'!$B$9,"Decommission",IF(AK162=1,"Review","Retain"))))</f>
        <v/>
      </c>
      <c r="AM162" s="17" t="str">
        <f>IF(B162="","",IF(Z162="N","Easy",IF(OR(AND(ISNUMBER(AB162),AB162&gt;'Scoring Settings'!$B$11),AND(ISNUMBER(W162),W162&gt;'Scoring Settings'!$B$12),AND(ISNUMBER(M162),M162&lt;='Scoring Settings'!$B$13)),"High","Medium")))</f>
        <v/>
      </c>
      <c r="AN162" s="14"/>
      <c r="AO162" s="16"/>
      <c r="AP162" s="14"/>
      <c r="AQ162" s="22"/>
    </row>
    <row r="163" spans="1:43">
      <c r="A163" s="14"/>
      <c r="B163" s="14"/>
      <c r="C163" s="14"/>
      <c r="D163" s="14"/>
      <c r="E163" s="14"/>
      <c r="F163" s="14"/>
      <c r="G163" s="14"/>
      <c r="H163" s="14"/>
      <c r="I163" s="15"/>
      <c r="J163" s="16"/>
      <c r="K163" s="17" t="str">
        <f>IF(B163="","",IF(AND(I163="",J163=""),"Unknown",IF(OR(AND(ISNUMBER(I163),I163=0),AND(ISNUMBER(J163),J163&lt;=EDATE('Scoring Settings'!$B$4,-'Scoring Settings'!$B$5))),"Not in use",IF(AND(ISNUMBER(I163),I163&lt;'Scoring Settings'!$B$6),"Low use","Active"))))</f>
        <v/>
      </c>
      <c r="L163" s="14"/>
      <c r="M163" s="14"/>
      <c r="N163" s="14"/>
      <c r="O163" s="14"/>
      <c r="P163" s="14"/>
      <c r="Q163" s="18"/>
      <c r="R163" s="14"/>
      <c r="S163" s="14"/>
      <c r="T163" s="14"/>
      <c r="U163" s="16"/>
      <c r="V163" s="14"/>
      <c r="W163" s="15"/>
      <c r="X163" s="14"/>
      <c r="Y163" s="18"/>
      <c r="Z163" s="14"/>
      <c r="AA163" s="14"/>
      <c r="AB163" s="18"/>
      <c r="AC163" s="14"/>
      <c r="AD163" s="14"/>
      <c r="AE163" s="14"/>
      <c r="AF163" s="19"/>
      <c r="AG163" s="16"/>
      <c r="AH163" s="19"/>
      <c r="AI163" s="19"/>
      <c r="AJ163" s="20" t="str">
        <f t="shared" si="2"/>
        <v/>
      </c>
      <c r="AK163" s="21" t="str">
        <f>IF(B163="","",OR(K163="Not in use",K163="Low use")+AND(N163&lt;&gt;"",N163&lt;&gt;"TBD")+AND(ISNUMBER(U163),U163&lt;=EDATE('Scoring Settings'!$B$4,'Scoring Settings'!$B$8))+AND(ISNUMBER(L163),L163&lt;='Scoring Settings'!$B$7))</f>
        <v/>
      </c>
      <c r="AL163" s="17" t="str">
        <f>IF(B163="","",IF(K163="Not in use","Priority – Not in use",IF(AK163&gt;='Scoring Settings'!$B$9,"Decommission",IF(AK163=1,"Review","Retain"))))</f>
        <v/>
      </c>
      <c r="AM163" s="17" t="str">
        <f>IF(B163="","",IF(Z163="N","Easy",IF(OR(AND(ISNUMBER(AB163),AB163&gt;'Scoring Settings'!$B$11),AND(ISNUMBER(W163),W163&gt;'Scoring Settings'!$B$12),AND(ISNUMBER(M163),M163&lt;='Scoring Settings'!$B$13)),"High","Medium")))</f>
        <v/>
      </c>
      <c r="AN163" s="14"/>
      <c r="AO163" s="16"/>
      <c r="AP163" s="14"/>
      <c r="AQ163" s="22"/>
    </row>
    <row r="164" spans="1:43">
      <c r="A164" s="14"/>
      <c r="B164" s="14"/>
      <c r="C164" s="14"/>
      <c r="D164" s="14"/>
      <c r="E164" s="14"/>
      <c r="F164" s="14"/>
      <c r="G164" s="14"/>
      <c r="H164" s="14"/>
      <c r="I164" s="15"/>
      <c r="J164" s="16"/>
      <c r="K164" s="17" t="str">
        <f>IF(B164="","",IF(AND(I164="",J164=""),"Unknown",IF(OR(AND(ISNUMBER(I164),I164=0),AND(ISNUMBER(J164),J164&lt;=EDATE('Scoring Settings'!$B$4,-'Scoring Settings'!$B$5))),"Not in use",IF(AND(ISNUMBER(I164),I164&lt;'Scoring Settings'!$B$6),"Low use","Active"))))</f>
        <v/>
      </c>
      <c r="L164" s="14"/>
      <c r="M164" s="14"/>
      <c r="N164" s="14"/>
      <c r="O164" s="14"/>
      <c r="P164" s="14"/>
      <c r="Q164" s="18"/>
      <c r="R164" s="14"/>
      <c r="S164" s="14"/>
      <c r="T164" s="14"/>
      <c r="U164" s="16"/>
      <c r="V164" s="14"/>
      <c r="W164" s="15"/>
      <c r="X164" s="14"/>
      <c r="Y164" s="18"/>
      <c r="Z164" s="14"/>
      <c r="AA164" s="14"/>
      <c r="AB164" s="18"/>
      <c r="AC164" s="14"/>
      <c r="AD164" s="14"/>
      <c r="AE164" s="14"/>
      <c r="AF164" s="19"/>
      <c r="AG164" s="16"/>
      <c r="AH164" s="19"/>
      <c r="AI164" s="19"/>
      <c r="AJ164" s="20" t="str">
        <f t="shared" si="2"/>
        <v/>
      </c>
      <c r="AK164" s="21" t="str">
        <f>IF(B164="","",OR(K164="Not in use",K164="Low use")+AND(N164&lt;&gt;"",N164&lt;&gt;"TBD")+AND(ISNUMBER(U164),U164&lt;=EDATE('Scoring Settings'!$B$4,'Scoring Settings'!$B$8))+AND(ISNUMBER(L164),L164&lt;='Scoring Settings'!$B$7))</f>
        <v/>
      </c>
      <c r="AL164" s="17" t="str">
        <f>IF(B164="","",IF(K164="Not in use","Priority – Not in use",IF(AK164&gt;='Scoring Settings'!$B$9,"Decommission",IF(AK164=1,"Review","Retain"))))</f>
        <v/>
      </c>
      <c r="AM164" s="17" t="str">
        <f>IF(B164="","",IF(Z164="N","Easy",IF(OR(AND(ISNUMBER(AB164),AB164&gt;'Scoring Settings'!$B$11),AND(ISNUMBER(W164),W164&gt;'Scoring Settings'!$B$12),AND(ISNUMBER(M164),M164&lt;='Scoring Settings'!$B$13)),"High","Medium")))</f>
        <v/>
      </c>
      <c r="AN164" s="14"/>
      <c r="AO164" s="16"/>
      <c r="AP164" s="14"/>
      <c r="AQ164" s="22"/>
    </row>
    <row r="165" spans="1:43">
      <c r="A165" s="14"/>
      <c r="B165" s="14"/>
      <c r="C165" s="14"/>
      <c r="D165" s="14"/>
      <c r="E165" s="14"/>
      <c r="F165" s="14"/>
      <c r="G165" s="14"/>
      <c r="H165" s="14"/>
      <c r="I165" s="15"/>
      <c r="J165" s="16"/>
      <c r="K165" s="17" t="str">
        <f>IF(B165="","",IF(AND(I165="",J165=""),"Unknown",IF(OR(AND(ISNUMBER(I165),I165=0),AND(ISNUMBER(J165),J165&lt;=EDATE('Scoring Settings'!$B$4,-'Scoring Settings'!$B$5))),"Not in use",IF(AND(ISNUMBER(I165),I165&lt;'Scoring Settings'!$B$6),"Low use","Active"))))</f>
        <v/>
      </c>
      <c r="L165" s="14"/>
      <c r="M165" s="14"/>
      <c r="N165" s="14"/>
      <c r="O165" s="14"/>
      <c r="P165" s="14"/>
      <c r="Q165" s="18"/>
      <c r="R165" s="14"/>
      <c r="S165" s="14"/>
      <c r="T165" s="14"/>
      <c r="U165" s="16"/>
      <c r="V165" s="14"/>
      <c r="W165" s="15"/>
      <c r="X165" s="14"/>
      <c r="Y165" s="18"/>
      <c r="Z165" s="14"/>
      <c r="AA165" s="14"/>
      <c r="AB165" s="18"/>
      <c r="AC165" s="14"/>
      <c r="AD165" s="14"/>
      <c r="AE165" s="14"/>
      <c r="AF165" s="19"/>
      <c r="AG165" s="16"/>
      <c r="AH165" s="19"/>
      <c r="AI165" s="19"/>
      <c r="AJ165" s="20" t="str">
        <f t="shared" si="2"/>
        <v/>
      </c>
      <c r="AK165" s="21" t="str">
        <f>IF(B165="","",OR(K165="Not in use",K165="Low use")+AND(N165&lt;&gt;"",N165&lt;&gt;"TBD")+AND(ISNUMBER(U165),U165&lt;=EDATE('Scoring Settings'!$B$4,'Scoring Settings'!$B$8))+AND(ISNUMBER(L165),L165&lt;='Scoring Settings'!$B$7))</f>
        <v/>
      </c>
      <c r="AL165" s="17" t="str">
        <f>IF(B165="","",IF(K165="Not in use","Priority – Not in use",IF(AK165&gt;='Scoring Settings'!$B$9,"Decommission",IF(AK165=1,"Review","Retain"))))</f>
        <v/>
      </c>
      <c r="AM165" s="17" t="str">
        <f>IF(B165="","",IF(Z165="N","Easy",IF(OR(AND(ISNUMBER(AB165),AB165&gt;'Scoring Settings'!$B$11),AND(ISNUMBER(W165),W165&gt;'Scoring Settings'!$B$12),AND(ISNUMBER(M165),M165&lt;='Scoring Settings'!$B$13)),"High","Medium")))</f>
        <v/>
      </c>
      <c r="AN165" s="14"/>
      <c r="AO165" s="16"/>
      <c r="AP165" s="14"/>
      <c r="AQ165" s="22"/>
    </row>
    <row r="166" spans="1:43">
      <c r="A166" s="14"/>
      <c r="B166" s="14"/>
      <c r="C166" s="14"/>
      <c r="D166" s="14"/>
      <c r="E166" s="14"/>
      <c r="F166" s="14"/>
      <c r="G166" s="14"/>
      <c r="H166" s="14"/>
      <c r="I166" s="15"/>
      <c r="J166" s="16"/>
      <c r="K166" s="17" t="str">
        <f>IF(B166="","",IF(AND(I166="",J166=""),"Unknown",IF(OR(AND(ISNUMBER(I166),I166=0),AND(ISNUMBER(J166),J166&lt;=EDATE('Scoring Settings'!$B$4,-'Scoring Settings'!$B$5))),"Not in use",IF(AND(ISNUMBER(I166),I166&lt;'Scoring Settings'!$B$6),"Low use","Active"))))</f>
        <v/>
      </c>
      <c r="L166" s="14"/>
      <c r="M166" s="14"/>
      <c r="N166" s="14"/>
      <c r="O166" s="14"/>
      <c r="P166" s="14"/>
      <c r="Q166" s="18"/>
      <c r="R166" s="14"/>
      <c r="S166" s="14"/>
      <c r="T166" s="14"/>
      <c r="U166" s="16"/>
      <c r="V166" s="14"/>
      <c r="W166" s="15"/>
      <c r="X166" s="14"/>
      <c r="Y166" s="18"/>
      <c r="Z166" s="14"/>
      <c r="AA166" s="14"/>
      <c r="AB166" s="18"/>
      <c r="AC166" s="14"/>
      <c r="AD166" s="14"/>
      <c r="AE166" s="14"/>
      <c r="AF166" s="19"/>
      <c r="AG166" s="16"/>
      <c r="AH166" s="19"/>
      <c r="AI166" s="19"/>
      <c r="AJ166" s="20" t="str">
        <f t="shared" si="2"/>
        <v/>
      </c>
      <c r="AK166" s="21" t="str">
        <f>IF(B166="","",OR(K166="Not in use",K166="Low use")+AND(N166&lt;&gt;"",N166&lt;&gt;"TBD")+AND(ISNUMBER(U166),U166&lt;=EDATE('Scoring Settings'!$B$4,'Scoring Settings'!$B$8))+AND(ISNUMBER(L166),L166&lt;='Scoring Settings'!$B$7))</f>
        <v/>
      </c>
      <c r="AL166" s="17" t="str">
        <f>IF(B166="","",IF(K166="Not in use","Priority – Not in use",IF(AK166&gt;='Scoring Settings'!$B$9,"Decommission",IF(AK166=1,"Review","Retain"))))</f>
        <v/>
      </c>
      <c r="AM166" s="17" t="str">
        <f>IF(B166="","",IF(Z166="N","Easy",IF(OR(AND(ISNUMBER(AB166),AB166&gt;'Scoring Settings'!$B$11),AND(ISNUMBER(W166),W166&gt;'Scoring Settings'!$B$12),AND(ISNUMBER(M166),M166&lt;='Scoring Settings'!$B$13)),"High","Medium")))</f>
        <v/>
      </c>
      <c r="AN166" s="14"/>
      <c r="AO166" s="16"/>
      <c r="AP166" s="14"/>
      <c r="AQ166" s="22"/>
    </row>
    <row r="167" spans="1:43">
      <c r="A167" s="14"/>
      <c r="B167" s="14"/>
      <c r="C167" s="14"/>
      <c r="D167" s="14"/>
      <c r="E167" s="14"/>
      <c r="F167" s="14"/>
      <c r="G167" s="14"/>
      <c r="H167" s="14"/>
      <c r="I167" s="15"/>
      <c r="J167" s="16"/>
      <c r="K167" s="17" t="str">
        <f>IF(B167="","",IF(AND(I167="",J167=""),"Unknown",IF(OR(AND(ISNUMBER(I167),I167=0),AND(ISNUMBER(J167),J167&lt;=EDATE('Scoring Settings'!$B$4,-'Scoring Settings'!$B$5))),"Not in use",IF(AND(ISNUMBER(I167),I167&lt;'Scoring Settings'!$B$6),"Low use","Active"))))</f>
        <v/>
      </c>
      <c r="L167" s="14"/>
      <c r="M167" s="14"/>
      <c r="N167" s="14"/>
      <c r="O167" s="14"/>
      <c r="P167" s="14"/>
      <c r="Q167" s="18"/>
      <c r="R167" s="14"/>
      <c r="S167" s="14"/>
      <c r="T167" s="14"/>
      <c r="U167" s="16"/>
      <c r="V167" s="14"/>
      <c r="W167" s="15"/>
      <c r="X167" s="14"/>
      <c r="Y167" s="18"/>
      <c r="Z167" s="14"/>
      <c r="AA167" s="14"/>
      <c r="AB167" s="18"/>
      <c r="AC167" s="14"/>
      <c r="AD167" s="14"/>
      <c r="AE167" s="14"/>
      <c r="AF167" s="19"/>
      <c r="AG167" s="16"/>
      <c r="AH167" s="19"/>
      <c r="AI167" s="19"/>
      <c r="AJ167" s="20" t="str">
        <f t="shared" si="2"/>
        <v/>
      </c>
      <c r="AK167" s="21" t="str">
        <f>IF(B167="","",OR(K167="Not in use",K167="Low use")+AND(N167&lt;&gt;"",N167&lt;&gt;"TBD")+AND(ISNUMBER(U167),U167&lt;=EDATE('Scoring Settings'!$B$4,'Scoring Settings'!$B$8))+AND(ISNUMBER(L167),L167&lt;='Scoring Settings'!$B$7))</f>
        <v/>
      </c>
      <c r="AL167" s="17" t="str">
        <f>IF(B167="","",IF(K167="Not in use","Priority – Not in use",IF(AK167&gt;='Scoring Settings'!$B$9,"Decommission",IF(AK167=1,"Review","Retain"))))</f>
        <v/>
      </c>
      <c r="AM167" s="17" t="str">
        <f>IF(B167="","",IF(Z167="N","Easy",IF(OR(AND(ISNUMBER(AB167),AB167&gt;'Scoring Settings'!$B$11),AND(ISNUMBER(W167),W167&gt;'Scoring Settings'!$B$12),AND(ISNUMBER(M167),M167&lt;='Scoring Settings'!$B$13)),"High","Medium")))</f>
        <v/>
      </c>
      <c r="AN167" s="14"/>
      <c r="AO167" s="16"/>
      <c r="AP167" s="14"/>
      <c r="AQ167" s="22"/>
    </row>
    <row r="168" spans="1:43">
      <c r="A168" s="14"/>
      <c r="B168" s="14"/>
      <c r="C168" s="14"/>
      <c r="D168" s="14"/>
      <c r="E168" s="14"/>
      <c r="F168" s="14"/>
      <c r="G168" s="14"/>
      <c r="H168" s="14"/>
      <c r="I168" s="15"/>
      <c r="J168" s="16"/>
      <c r="K168" s="17" t="str">
        <f>IF(B168="","",IF(AND(I168="",J168=""),"Unknown",IF(OR(AND(ISNUMBER(I168),I168=0),AND(ISNUMBER(J168),J168&lt;=EDATE('Scoring Settings'!$B$4,-'Scoring Settings'!$B$5))),"Not in use",IF(AND(ISNUMBER(I168),I168&lt;'Scoring Settings'!$B$6),"Low use","Active"))))</f>
        <v/>
      </c>
      <c r="L168" s="14"/>
      <c r="M168" s="14"/>
      <c r="N168" s="14"/>
      <c r="O168" s="14"/>
      <c r="P168" s="14"/>
      <c r="Q168" s="18"/>
      <c r="R168" s="14"/>
      <c r="S168" s="14"/>
      <c r="T168" s="14"/>
      <c r="U168" s="16"/>
      <c r="V168" s="14"/>
      <c r="W168" s="15"/>
      <c r="X168" s="14"/>
      <c r="Y168" s="18"/>
      <c r="Z168" s="14"/>
      <c r="AA168" s="14"/>
      <c r="AB168" s="18"/>
      <c r="AC168" s="14"/>
      <c r="AD168" s="14"/>
      <c r="AE168" s="14"/>
      <c r="AF168" s="19"/>
      <c r="AG168" s="16"/>
      <c r="AH168" s="19"/>
      <c r="AI168" s="19"/>
      <c r="AJ168" s="20" t="str">
        <f t="shared" si="2"/>
        <v/>
      </c>
      <c r="AK168" s="21" t="str">
        <f>IF(B168="","",OR(K168="Not in use",K168="Low use")+AND(N168&lt;&gt;"",N168&lt;&gt;"TBD")+AND(ISNUMBER(U168),U168&lt;=EDATE('Scoring Settings'!$B$4,'Scoring Settings'!$B$8))+AND(ISNUMBER(L168),L168&lt;='Scoring Settings'!$B$7))</f>
        <v/>
      </c>
      <c r="AL168" s="17" t="str">
        <f>IF(B168="","",IF(K168="Not in use","Priority – Not in use",IF(AK168&gt;='Scoring Settings'!$B$9,"Decommission",IF(AK168=1,"Review","Retain"))))</f>
        <v/>
      </c>
      <c r="AM168" s="17" t="str">
        <f>IF(B168="","",IF(Z168="N","Easy",IF(OR(AND(ISNUMBER(AB168),AB168&gt;'Scoring Settings'!$B$11),AND(ISNUMBER(W168),W168&gt;'Scoring Settings'!$B$12),AND(ISNUMBER(M168),M168&lt;='Scoring Settings'!$B$13)),"High","Medium")))</f>
        <v/>
      </c>
      <c r="AN168" s="14"/>
      <c r="AO168" s="16"/>
      <c r="AP168" s="14"/>
      <c r="AQ168" s="22"/>
    </row>
    <row r="169" spans="1:43">
      <c r="A169" s="14"/>
      <c r="B169" s="14"/>
      <c r="C169" s="14"/>
      <c r="D169" s="14"/>
      <c r="E169" s="14"/>
      <c r="F169" s="14"/>
      <c r="G169" s="14"/>
      <c r="H169" s="14"/>
      <c r="I169" s="15"/>
      <c r="J169" s="16"/>
      <c r="K169" s="17" t="str">
        <f>IF(B169="","",IF(AND(I169="",J169=""),"Unknown",IF(OR(AND(ISNUMBER(I169),I169=0),AND(ISNUMBER(J169),J169&lt;=EDATE('Scoring Settings'!$B$4,-'Scoring Settings'!$B$5))),"Not in use",IF(AND(ISNUMBER(I169),I169&lt;'Scoring Settings'!$B$6),"Low use","Active"))))</f>
        <v/>
      </c>
      <c r="L169" s="14"/>
      <c r="M169" s="14"/>
      <c r="N169" s="14"/>
      <c r="O169" s="14"/>
      <c r="P169" s="14"/>
      <c r="Q169" s="18"/>
      <c r="R169" s="14"/>
      <c r="S169" s="14"/>
      <c r="T169" s="14"/>
      <c r="U169" s="16"/>
      <c r="V169" s="14"/>
      <c r="W169" s="15"/>
      <c r="X169" s="14"/>
      <c r="Y169" s="18"/>
      <c r="Z169" s="14"/>
      <c r="AA169" s="14"/>
      <c r="AB169" s="18"/>
      <c r="AC169" s="14"/>
      <c r="AD169" s="14"/>
      <c r="AE169" s="14"/>
      <c r="AF169" s="19"/>
      <c r="AG169" s="16"/>
      <c r="AH169" s="19"/>
      <c r="AI169" s="19"/>
      <c r="AJ169" s="20" t="str">
        <f t="shared" si="2"/>
        <v/>
      </c>
      <c r="AK169" s="21" t="str">
        <f>IF(B169="","",OR(K169="Not in use",K169="Low use")+AND(N169&lt;&gt;"",N169&lt;&gt;"TBD")+AND(ISNUMBER(U169),U169&lt;=EDATE('Scoring Settings'!$B$4,'Scoring Settings'!$B$8))+AND(ISNUMBER(L169),L169&lt;='Scoring Settings'!$B$7))</f>
        <v/>
      </c>
      <c r="AL169" s="17" t="str">
        <f>IF(B169="","",IF(K169="Not in use","Priority – Not in use",IF(AK169&gt;='Scoring Settings'!$B$9,"Decommission",IF(AK169=1,"Review","Retain"))))</f>
        <v/>
      </c>
      <c r="AM169" s="17" t="str">
        <f>IF(B169="","",IF(Z169="N","Easy",IF(OR(AND(ISNUMBER(AB169),AB169&gt;'Scoring Settings'!$B$11),AND(ISNUMBER(W169),W169&gt;'Scoring Settings'!$B$12),AND(ISNUMBER(M169),M169&lt;='Scoring Settings'!$B$13)),"High","Medium")))</f>
        <v/>
      </c>
      <c r="AN169" s="14"/>
      <c r="AO169" s="16"/>
      <c r="AP169" s="14"/>
      <c r="AQ169" s="22"/>
    </row>
    <row r="170" spans="1:43">
      <c r="A170" s="14"/>
      <c r="B170" s="14"/>
      <c r="C170" s="14"/>
      <c r="D170" s="14"/>
      <c r="E170" s="14"/>
      <c r="F170" s="14"/>
      <c r="G170" s="14"/>
      <c r="H170" s="14"/>
      <c r="I170" s="15"/>
      <c r="J170" s="16"/>
      <c r="K170" s="17" t="str">
        <f>IF(B170="","",IF(AND(I170="",J170=""),"Unknown",IF(OR(AND(ISNUMBER(I170),I170=0),AND(ISNUMBER(J170),J170&lt;=EDATE('Scoring Settings'!$B$4,-'Scoring Settings'!$B$5))),"Not in use",IF(AND(ISNUMBER(I170),I170&lt;'Scoring Settings'!$B$6),"Low use","Active"))))</f>
        <v/>
      </c>
      <c r="L170" s="14"/>
      <c r="M170" s="14"/>
      <c r="N170" s="14"/>
      <c r="O170" s="14"/>
      <c r="P170" s="14"/>
      <c r="Q170" s="18"/>
      <c r="R170" s="14"/>
      <c r="S170" s="14"/>
      <c r="T170" s="14"/>
      <c r="U170" s="16"/>
      <c r="V170" s="14"/>
      <c r="W170" s="15"/>
      <c r="X170" s="14"/>
      <c r="Y170" s="18"/>
      <c r="Z170" s="14"/>
      <c r="AA170" s="14"/>
      <c r="AB170" s="18"/>
      <c r="AC170" s="14"/>
      <c r="AD170" s="14"/>
      <c r="AE170" s="14"/>
      <c r="AF170" s="19"/>
      <c r="AG170" s="16"/>
      <c r="AH170" s="19"/>
      <c r="AI170" s="19"/>
      <c r="AJ170" s="20" t="str">
        <f t="shared" si="2"/>
        <v/>
      </c>
      <c r="AK170" s="21" t="str">
        <f>IF(B170="","",OR(K170="Not in use",K170="Low use")+AND(N170&lt;&gt;"",N170&lt;&gt;"TBD")+AND(ISNUMBER(U170),U170&lt;=EDATE('Scoring Settings'!$B$4,'Scoring Settings'!$B$8))+AND(ISNUMBER(L170),L170&lt;='Scoring Settings'!$B$7))</f>
        <v/>
      </c>
      <c r="AL170" s="17" t="str">
        <f>IF(B170="","",IF(K170="Not in use","Priority – Not in use",IF(AK170&gt;='Scoring Settings'!$B$9,"Decommission",IF(AK170=1,"Review","Retain"))))</f>
        <v/>
      </c>
      <c r="AM170" s="17" t="str">
        <f>IF(B170="","",IF(Z170="N","Easy",IF(OR(AND(ISNUMBER(AB170),AB170&gt;'Scoring Settings'!$B$11),AND(ISNUMBER(W170),W170&gt;'Scoring Settings'!$B$12),AND(ISNUMBER(M170),M170&lt;='Scoring Settings'!$B$13)),"High","Medium")))</f>
        <v/>
      </c>
      <c r="AN170" s="14"/>
      <c r="AO170" s="16"/>
      <c r="AP170" s="14"/>
      <c r="AQ170" s="22"/>
    </row>
    <row r="171" spans="1:43">
      <c r="A171" s="14"/>
      <c r="B171" s="14"/>
      <c r="C171" s="14"/>
      <c r="D171" s="14"/>
      <c r="E171" s="14"/>
      <c r="F171" s="14"/>
      <c r="G171" s="14"/>
      <c r="H171" s="14"/>
      <c r="I171" s="15"/>
      <c r="J171" s="16"/>
      <c r="K171" s="17" t="str">
        <f>IF(B171="","",IF(AND(I171="",J171=""),"Unknown",IF(OR(AND(ISNUMBER(I171),I171=0),AND(ISNUMBER(J171),J171&lt;=EDATE('Scoring Settings'!$B$4,-'Scoring Settings'!$B$5))),"Not in use",IF(AND(ISNUMBER(I171),I171&lt;'Scoring Settings'!$B$6),"Low use","Active"))))</f>
        <v/>
      </c>
      <c r="L171" s="14"/>
      <c r="M171" s="14"/>
      <c r="N171" s="14"/>
      <c r="O171" s="14"/>
      <c r="P171" s="14"/>
      <c r="Q171" s="18"/>
      <c r="R171" s="14"/>
      <c r="S171" s="14"/>
      <c r="T171" s="14"/>
      <c r="U171" s="16"/>
      <c r="V171" s="14"/>
      <c r="W171" s="15"/>
      <c r="X171" s="14"/>
      <c r="Y171" s="18"/>
      <c r="Z171" s="14"/>
      <c r="AA171" s="14"/>
      <c r="AB171" s="18"/>
      <c r="AC171" s="14"/>
      <c r="AD171" s="14"/>
      <c r="AE171" s="14"/>
      <c r="AF171" s="19"/>
      <c r="AG171" s="16"/>
      <c r="AH171" s="19"/>
      <c r="AI171" s="19"/>
      <c r="AJ171" s="20" t="str">
        <f t="shared" si="2"/>
        <v/>
      </c>
      <c r="AK171" s="21" t="str">
        <f>IF(B171="","",OR(K171="Not in use",K171="Low use")+AND(N171&lt;&gt;"",N171&lt;&gt;"TBD")+AND(ISNUMBER(U171),U171&lt;=EDATE('Scoring Settings'!$B$4,'Scoring Settings'!$B$8))+AND(ISNUMBER(L171),L171&lt;='Scoring Settings'!$B$7))</f>
        <v/>
      </c>
      <c r="AL171" s="17" t="str">
        <f>IF(B171="","",IF(K171="Not in use","Priority – Not in use",IF(AK171&gt;='Scoring Settings'!$B$9,"Decommission",IF(AK171=1,"Review","Retain"))))</f>
        <v/>
      </c>
      <c r="AM171" s="17" t="str">
        <f>IF(B171="","",IF(Z171="N","Easy",IF(OR(AND(ISNUMBER(AB171),AB171&gt;'Scoring Settings'!$B$11),AND(ISNUMBER(W171),W171&gt;'Scoring Settings'!$B$12),AND(ISNUMBER(M171),M171&lt;='Scoring Settings'!$B$13)),"High","Medium")))</f>
        <v/>
      </c>
      <c r="AN171" s="14"/>
      <c r="AO171" s="16"/>
      <c r="AP171" s="14"/>
      <c r="AQ171" s="22"/>
    </row>
    <row r="172" spans="1:43">
      <c r="A172" s="14"/>
      <c r="B172" s="14"/>
      <c r="C172" s="14"/>
      <c r="D172" s="14"/>
      <c r="E172" s="14"/>
      <c r="F172" s="14"/>
      <c r="G172" s="14"/>
      <c r="H172" s="14"/>
      <c r="I172" s="15"/>
      <c r="J172" s="16"/>
      <c r="K172" s="17" t="str">
        <f>IF(B172="","",IF(AND(I172="",J172=""),"Unknown",IF(OR(AND(ISNUMBER(I172),I172=0),AND(ISNUMBER(J172),J172&lt;=EDATE('Scoring Settings'!$B$4,-'Scoring Settings'!$B$5))),"Not in use",IF(AND(ISNUMBER(I172),I172&lt;'Scoring Settings'!$B$6),"Low use","Active"))))</f>
        <v/>
      </c>
      <c r="L172" s="14"/>
      <c r="M172" s="14"/>
      <c r="N172" s="14"/>
      <c r="O172" s="14"/>
      <c r="P172" s="14"/>
      <c r="Q172" s="18"/>
      <c r="R172" s="14"/>
      <c r="S172" s="14"/>
      <c r="T172" s="14"/>
      <c r="U172" s="16"/>
      <c r="V172" s="14"/>
      <c r="W172" s="15"/>
      <c r="X172" s="14"/>
      <c r="Y172" s="18"/>
      <c r="Z172" s="14"/>
      <c r="AA172" s="14"/>
      <c r="AB172" s="18"/>
      <c r="AC172" s="14"/>
      <c r="AD172" s="14"/>
      <c r="AE172" s="14"/>
      <c r="AF172" s="19"/>
      <c r="AG172" s="16"/>
      <c r="AH172" s="19"/>
      <c r="AI172" s="19"/>
      <c r="AJ172" s="20" t="str">
        <f t="shared" si="2"/>
        <v/>
      </c>
      <c r="AK172" s="21" t="str">
        <f>IF(B172="","",OR(K172="Not in use",K172="Low use")+AND(N172&lt;&gt;"",N172&lt;&gt;"TBD")+AND(ISNUMBER(U172),U172&lt;=EDATE('Scoring Settings'!$B$4,'Scoring Settings'!$B$8))+AND(ISNUMBER(L172),L172&lt;='Scoring Settings'!$B$7))</f>
        <v/>
      </c>
      <c r="AL172" s="17" t="str">
        <f>IF(B172="","",IF(K172="Not in use","Priority – Not in use",IF(AK172&gt;='Scoring Settings'!$B$9,"Decommission",IF(AK172=1,"Review","Retain"))))</f>
        <v/>
      </c>
      <c r="AM172" s="17" t="str">
        <f>IF(B172="","",IF(Z172="N","Easy",IF(OR(AND(ISNUMBER(AB172),AB172&gt;'Scoring Settings'!$B$11),AND(ISNUMBER(W172),W172&gt;'Scoring Settings'!$B$12),AND(ISNUMBER(M172),M172&lt;='Scoring Settings'!$B$13)),"High","Medium")))</f>
        <v/>
      </c>
      <c r="AN172" s="14"/>
      <c r="AO172" s="16"/>
      <c r="AP172" s="14"/>
      <c r="AQ172" s="22"/>
    </row>
    <row r="173" spans="1:43">
      <c r="A173" s="14"/>
      <c r="B173" s="14"/>
      <c r="C173" s="14"/>
      <c r="D173" s="14"/>
      <c r="E173" s="14"/>
      <c r="F173" s="14"/>
      <c r="G173" s="14"/>
      <c r="H173" s="14"/>
      <c r="I173" s="15"/>
      <c r="J173" s="16"/>
      <c r="K173" s="17" t="str">
        <f>IF(B173="","",IF(AND(I173="",J173=""),"Unknown",IF(OR(AND(ISNUMBER(I173),I173=0),AND(ISNUMBER(J173),J173&lt;=EDATE('Scoring Settings'!$B$4,-'Scoring Settings'!$B$5))),"Not in use",IF(AND(ISNUMBER(I173),I173&lt;'Scoring Settings'!$B$6),"Low use","Active"))))</f>
        <v/>
      </c>
      <c r="L173" s="14"/>
      <c r="M173" s="14"/>
      <c r="N173" s="14"/>
      <c r="O173" s="14"/>
      <c r="P173" s="14"/>
      <c r="Q173" s="18"/>
      <c r="R173" s="14"/>
      <c r="S173" s="14"/>
      <c r="T173" s="14"/>
      <c r="U173" s="16"/>
      <c r="V173" s="14"/>
      <c r="W173" s="15"/>
      <c r="X173" s="14"/>
      <c r="Y173" s="18"/>
      <c r="Z173" s="14"/>
      <c r="AA173" s="14"/>
      <c r="AB173" s="18"/>
      <c r="AC173" s="14"/>
      <c r="AD173" s="14"/>
      <c r="AE173" s="14"/>
      <c r="AF173" s="19"/>
      <c r="AG173" s="16"/>
      <c r="AH173" s="19"/>
      <c r="AI173" s="19"/>
      <c r="AJ173" s="20" t="str">
        <f t="shared" si="2"/>
        <v/>
      </c>
      <c r="AK173" s="21" t="str">
        <f>IF(B173="","",OR(K173="Not in use",K173="Low use")+AND(N173&lt;&gt;"",N173&lt;&gt;"TBD")+AND(ISNUMBER(U173),U173&lt;=EDATE('Scoring Settings'!$B$4,'Scoring Settings'!$B$8))+AND(ISNUMBER(L173),L173&lt;='Scoring Settings'!$B$7))</f>
        <v/>
      </c>
      <c r="AL173" s="17" t="str">
        <f>IF(B173="","",IF(K173="Not in use","Priority – Not in use",IF(AK173&gt;='Scoring Settings'!$B$9,"Decommission",IF(AK173=1,"Review","Retain"))))</f>
        <v/>
      </c>
      <c r="AM173" s="17" t="str">
        <f>IF(B173="","",IF(Z173="N","Easy",IF(OR(AND(ISNUMBER(AB173),AB173&gt;'Scoring Settings'!$B$11),AND(ISNUMBER(W173),W173&gt;'Scoring Settings'!$B$12),AND(ISNUMBER(M173),M173&lt;='Scoring Settings'!$B$13)),"High","Medium")))</f>
        <v/>
      </c>
      <c r="AN173" s="14"/>
      <c r="AO173" s="16"/>
      <c r="AP173" s="14"/>
      <c r="AQ173" s="22"/>
    </row>
    <row r="174" spans="1:43">
      <c r="A174" s="14"/>
      <c r="B174" s="14"/>
      <c r="C174" s="14"/>
      <c r="D174" s="14"/>
      <c r="E174" s="14"/>
      <c r="F174" s="14"/>
      <c r="G174" s="14"/>
      <c r="H174" s="14"/>
      <c r="I174" s="15"/>
      <c r="J174" s="16"/>
      <c r="K174" s="17" t="str">
        <f>IF(B174="","",IF(AND(I174="",J174=""),"Unknown",IF(OR(AND(ISNUMBER(I174),I174=0),AND(ISNUMBER(J174),J174&lt;=EDATE('Scoring Settings'!$B$4,-'Scoring Settings'!$B$5))),"Not in use",IF(AND(ISNUMBER(I174),I174&lt;'Scoring Settings'!$B$6),"Low use","Active"))))</f>
        <v/>
      </c>
      <c r="L174" s="14"/>
      <c r="M174" s="14"/>
      <c r="N174" s="14"/>
      <c r="O174" s="14"/>
      <c r="P174" s="14"/>
      <c r="Q174" s="18"/>
      <c r="R174" s="14"/>
      <c r="S174" s="14"/>
      <c r="T174" s="14"/>
      <c r="U174" s="16"/>
      <c r="V174" s="14"/>
      <c r="W174" s="15"/>
      <c r="X174" s="14"/>
      <c r="Y174" s="18"/>
      <c r="Z174" s="14"/>
      <c r="AA174" s="14"/>
      <c r="AB174" s="18"/>
      <c r="AC174" s="14"/>
      <c r="AD174" s="14"/>
      <c r="AE174" s="14"/>
      <c r="AF174" s="19"/>
      <c r="AG174" s="16"/>
      <c r="AH174" s="19"/>
      <c r="AI174" s="19"/>
      <c r="AJ174" s="20" t="str">
        <f t="shared" si="2"/>
        <v/>
      </c>
      <c r="AK174" s="21" t="str">
        <f>IF(B174="","",OR(K174="Not in use",K174="Low use")+AND(N174&lt;&gt;"",N174&lt;&gt;"TBD")+AND(ISNUMBER(U174),U174&lt;=EDATE('Scoring Settings'!$B$4,'Scoring Settings'!$B$8))+AND(ISNUMBER(L174),L174&lt;='Scoring Settings'!$B$7))</f>
        <v/>
      </c>
      <c r="AL174" s="17" t="str">
        <f>IF(B174="","",IF(K174="Not in use","Priority – Not in use",IF(AK174&gt;='Scoring Settings'!$B$9,"Decommission",IF(AK174=1,"Review","Retain"))))</f>
        <v/>
      </c>
      <c r="AM174" s="17" t="str">
        <f>IF(B174="","",IF(Z174="N","Easy",IF(OR(AND(ISNUMBER(AB174),AB174&gt;'Scoring Settings'!$B$11),AND(ISNUMBER(W174),W174&gt;'Scoring Settings'!$B$12),AND(ISNUMBER(M174),M174&lt;='Scoring Settings'!$B$13)),"High","Medium")))</f>
        <v/>
      </c>
      <c r="AN174" s="14"/>
      <c r="AO174" s="16"/>
      <c r="AP174" s="14"/>
      <c r="AQ174" s="22"/>
    </row>
    <row r="175" spans="1:43">
      <c r="A175" s="14"/>
      <c r="B175" s="14"/>
      <c r="C175" s="14"/>
      <c r="D175" s="14"/>
      <c r="E175" s="14"/>
      <c r="F175" s="14"/>
      <c r="G175" s="14"/>
      <c r="H175" s="14"/>
      <c r="I175" s="15"/>
      <c r="J175" s="16"/>
      <c r="K175" s="17" t="str">
        <f>IF(B175="","",IF(AND(I175="",J175=""),"Unknown",IF(OR(AND(ISNUMBER(I175),I175=0),AND(ISNUMBER(J175),J175&lt;=EDATE('Scoring Settings'!$B$4,-'Scoring Settings'!$B$5))),"Not in use",IF(AND(ISNUMBER(I175),I175&lt;'Scoring Settings'!$B$6),"Low use","Active"))))</f>
        <v/>
      </c>
      <c r="L175" s="14"/>
      <c r="M175" s="14"/>
      <c r="N175" s="14"/>
      <c r="O175" s="14"/>
      <c r="P175" s="14"/>
      <c r="Q175" s="18"/>
      <c r="R175" s="14"/>
      <c r="S175" s="14"/>
      <c r="T175" s="14"/>
      <c r="U175" s="16"/>
      <c r="V175" s="14"/>
      <c r="W175" s="15"/>
      <c r="X175" s="14"/>
      <c r="Y175" s="18"/>
      <c r="Z175" s="14"/>
      <c r="AA175" s="14"/>
      <c r="AB175" s="18"/>
      <c r="AC175" s="14"/>
      <c r="AD175" s="14"/>
      <c r="AE175" s="14"/>
      <c r="AF175" s="19"/>
      <c r="AG175" s="16"/>
      <c r="AH175" s="19"/>
      <c r="AI175" s="19"/>
      <c r="AJ175" s="20" t="str">
        <f t="shared" si="2"/>
        <v/>
      </c>
      <c r="AK175" s="21" t="str">
        <f>IF(B175="","",OR(K175="Not in use",K175="Low use")+AND(N175&lt;&gt;"",N175&lt;&gt;"TBD")+AND(ISNUMBER(U175),U175&lt;=EDATE('Scoring Settings'!$B$4,'Scoring Settings'!$B$8))+AND(ISNUMBER(L175),L175&lt;='Scoring Settings'!$B$7))</f>
        <v/>
      </c>
      <c r="AL175" s="17" t="str">
        <f>IF(B175="","",IF(K175="Not in use","Priority – Not in use",IF(AK175&gt;='Scoring Settings'!$B$9,"Decommission",IF(AK175=1,"Review","Retain"))))</f>
        <v/>
      </c>
      <c r="AM175" s="17" t="str">
        <f>IF(B175="","",IF(Z175="N","Easy",IF(OR(AND(ISNUMBER(AB175),AB175&gt;'Scoring Settings'!$B$11),AND(ISNUMBER(W175),W175&gt;'Scoring Settings'!$B$12),AND(ISNUMBER(M175),M175&lt;='Scoring Settings'!$B$13)),"High","Medium")))</f>
        <v/>
      </c>
      <c r="AN175" s="14"/>
      <c r="AO175" s="16"/>
      <c r="AP175" s="14"/>
      <c r="AQ175" s="22"/>
    </row>
    <row r="176" spans="1:43">
      <c r="A176" s="14"/>
      <c r="B176" s="14"/>
      <c r="C176" s="14"/>
      <c r="D176" s="14"/>
      <c r="E176" s="14"/>
      <c r="F176" s="14"/>
      <c r="G176" s="14"/>
      <c r="H176" s="14"/>
      <c r="I176" s="15"/>
      <c r="J176" s="16"/>
      <c r="K176" s="17" t="str">
        <f>IF(B176="","",IF(AND(I176="",J176=""),"Unknown",IF(OR(AND(ISNUMBER(I176),I176=0),AND(ISNUMBER(J176),J176&lt;=EDATE('Scoring Settings'!$B$4,-'Scoring Settings'!$B$5))),"Not in use",IF(AND(ISNUMBER(I176),I176&lt;'Scoring Settings'!$B$6),"Low use","Active"))))</f>
        <v/>
      </c>
      <c r="L176" s="14"/>
      <c r="M176" s="14"/>
      <c r="N176" s="14"/>
      <c r="O176" s="14"/>
      <c r="P176" s="14"/>
      <c r="Q176" s="18"/>
      <c r="R176" s="14"/>
      <c r="S176" s="14"/>
      <c r="T176" s="14"/>
      <c r="U176" s="16"/>
      <c r="V176" s="14"/>
      <c r="W176" s="15"/>
      <c r="X176" s="14"/>
      <c r="Y176" s="18"/>
      <c r="Z176" s="14"/>
      <c r="AA176" s="14"/>
      <c r="AB176" s="18"/>
      <c r="AC176" s="14"/>
      <c r="AD176" s="14"/>
      <c r="AE176" s="14"/>
      <c r="AF176" s="19"/>
      <c r="AG176" s="16"/>
      <c r="AH176" s="19"/>
      <c r="AI176" s="19"/>
      <c r="AJ176" s="20" t="str">
        <f t="shared" si="2"/>
        <v/>
      </c>
      <c r="AK176" s="21" t="str">
        <f>IF(B176="","",OR(K176="Not in use",K176="Low use")+AND(N176&lt;&gt;"",N176&lt;&gt;"TBD")+AND(ISNUMBER(U176),U176&lt;=EDATE('Scoring Settings'!$B$4,'Scoring Settings'!$B$8))+AND(ISNUMBER(L176),L176&lt;='Scoring Settings'!$B$7))</f>
        <v/>
      </c>
      <c r="AL176" s="17" t="str">
        <f>IF(B176="","",IF(K176="Not in use","Priority – Not in use",IF(AK176&gt;='Scoring Settings'!$B$9,"Decommission",IF(AK176=1,"Review","Retain"))))</f>
        <v/>
      </c>
      <c r="AM176" s="17" t="str">
        <f>IF(B176="","",IF(Z176="N","Easy",IF(OR(AND(ISNUMBER(AB176),AB176&gt;'Scoring Settings'!$B$11),AND(ISNUMBER(W176),W176&gt;'Scoring Settings'!$B$12),AND(ISNUMBER(M176),M176&lt;='Scoring Settings'!$B$13)),"High","Medium")))</f>
        <v/>
      </c>
      <c r="AN176" s="14"/>
      <c r="AO176" s="16"/>
      <c r="AP176" s="14"/>
      <c r="AQ176" s="22"/>
    </row>
    <row r="177" spans="1:43">
      <c r="A177" s="14"/>
      <c r="B177" s="14"/>
      <c r="C177" s="14"/>
      <c r="D177" s="14"/>
      <c r="E177" s="14"/>
      <c r="F177" s="14"/>
      <c r="G177" s="14"/>
      <c r="H177" s="14"/>
      <c r="I177" s="15"/>
      <c r="J177" s="16"/>
      <c r="K177" s="17" t="str">
        <f>IF(B177="","",IF(AND(I177="",J177=""),"Unknown",IF(OR(AND(ISNUMBER(I177),I177=0),AND(ISNUMBER(J177),J177&lt;=EDATE('Scoring Settings'!$B$4,-'Scoring Settings'!$B$5))),"Not in use",IF(AND(ISNUMBER(I177),I177&lt;'Scoring Settings'!$B$6),"Low use","Active"))))</f>
        <v/>
      </c>
      <c r="L177" s="14"/>
      <c r="M177" s="14"/>
      <c r="N177" s="14"/>
      <c r="O177" s="14"/>
      <c r="P177" s="14"/>
      <c r="Q177" s="18"/>
      <c r="R177" s="14"/>
      <c r="S177" s="14"/>
      <c r="T177" s="14"/>
      <c r="U177" s="16"/>
      <c r="V177" s="14"/>
      <c r="W177" s="15"/>
      <c r="X177" s="14"/>
      <c r="Y177" s="18"/>
      <c r="Z177" s="14"/>
      <c r="AA177" s="14"/>
      <c r="AB177" s="18"/>
      <c r="AC177" s="14"/>
      <c r="AD177" s="14"/>
      <c r="AE177" s="14"/>
      <c r="AF177" s="19"/>
      <c r="AG177" s="16"/>
      <c r="AH177" s="19"/>
      <c r="AI177" s="19"/>
      <c r="AJ177" s="20" t="str">
        <f t="shared" si="2"/>
        <v/>
      </c>
      <c r="AK177" s="21" t="str">
        <f>IF(B177="","",OR(K177="Not in use",K177="Low use")+AND(N177&lt;&gt;"",N177&lt;&gt;"TBD")+AND(ISNUMBER(U177),U177&lt;=EDATE('Scoring Settings'!$B$4,'Scoring Settings'!$B$8))+AND(ISNUMBER(L177),L177&lt;='Scoring Settings'!$B$7))</f>
        <v/>
      </c>
      <c r="AL177" s="17" t="str">
        <f>IF(B177="","",IF(K177="Not in use","Priority – Not in use",IF(AK177&gt;='Scoring Settings'!$B$9,"Decommission",IF(AK177=1,"Review","Retain"))))</f>
        <v/>
      </c>
      <c r="AM177" s="17" t="str">
        <f>IF(B177="","",IF(Z177="N","Easy",IF(OR(AND(ISNUMBER(AB177),AB177&gt;'Scoring Settings'!$B$11),AND(ISNUMBER(W177),W177&gt;'Scoring Settings'!$B$12),AND(ISNUMBER(M177),M177&lt;='Scoring Settings'!$B$13)),"High","Medium")))</f>
        <v/>
      </c>
      <c r="AN177" s="14"/>
      <c r="AO177" s="16"/>
      <c r="AP177" s="14"/>
      <c r="AQ177" s="22"/>
    </row>
    <row r="178" spans="1:43">
      <c r="A178" s="14"/>
      <c r="B178" s="14"/>
      <c r="C178" s="14"/>
      <c r="D178" s="14"/>
      <c r="E178" s="14"/>
      <c r="F178" s="14"/>
      <c r="G178" s="14"/>
      <c r="H178" s="14"/>
      <c r="I178" s="15"/>
      <c r="J178" s="16"/>
      <c r="K178" s="17" t="str">
        <f>IF(B178="","",IF(AND(I178="",J178=""),"Unknown",IF(OR(AND(ISNUMBER(I178),I178=0),AND(ISNUMBER(J178),J178&lt;=EDATE('Scoring Settings'!$B$4,-'Scoring Settings'!$B$5))),"Not in use",IF(AND(ISNUMBER(I178),I178&lt;'Scoring Settings'!$B$6),"Low use","Active"))))</f>
        <v/>
      </c>
      <c r="L178" s="14"/>
      <c r="M178" s="14"/>
      <c r="N178" s="14"/>
      <c r="O178" s="14"/>
      <c r="P178" s="14"/>
      <c r="Q178" s="18"/>
      <c r="R178" s="14"/>
      <c r="S178" s="14"/>
      <c r="T178" s="14"/>
      <c r="U178" s="16"/>
      <c r="V178" s="14"/>
      <c r="W178" s="15"/>
      <c r="X178" s="14"/>
      <c r="Y178" s="18"/>
      <c r="Z178" s="14"/>
      <c r="AA178" s="14"/>
      <c r="AB178" s="18"/>
      <c r="AC178" s="14"/>
      <c r="AD178" s="14"/>
      <c r="AE178" s="14"/>
      <c r="AF178" s="19"/>
      <c r="AG178" s="16"/>
      <c r="AH178" s="19"/>
      <c r="AI178" s="19"/>
      <c r="AJ178" s="20" t="str">
        <f t="shared" si="2"/>
        <v/>
      </c>
      <c r="AK178" s="21" t="str">
        <f>IF(B178="","",OR(K178="Not in use",K178="Low use")+AND(N178&lt;&gt;"",N178&lt;&gt;"TBD")+AND(ISNUMBER(U178),U178&lt;=EDATE('Scoring Settings'!$B$4,'Scoring Settings'!$B$8))+AND(ISNUMBER(L178),L178&lt;='Scoring Settings'!$B$7))</f>
        <v/>
      </c>
      <c r="AL178" s="17" t="str">
        <f>IF(B178="","",IF(K178="Not in use","Priority – Not in use",IF(AK178&gt;='Scoring Settings'!$B$9,"Decommission",IF(AK178=1,"Review","Retain"))))</f>
        <v/>
      </c>
      <c r="AM178" s="17" t="str">
        <f>IF(B178="","",IF(Z178="N","Easy",IF(OR(AND(ISNUMBER(AB178),AB178&gt;'Scoring Settings'!$B$11),AND(ISNUMBER(W178),W178&gt;'Scoring Settings'!$B$12),AND(ISNUMBER(M178),M178&lt;='Scoring Settings'!$B$13)),"High","Medium")))</f>
        <v/>
      </c>
      <c r="AN178" s="14"/>
      <c r="AO178" s="16"/>
      <c r="AP178" s="14"/>
      <c r="AQ178" s="22"/>
    </row>
    <row r="179" spans="1:43">
      <c r="A179" s="14"/>
      <c r="B179" s="14"/>
      <c r="C179" s="14"/>
      <c r="D179" s="14"/>
      <c r="E179" s="14"/>
      <c r="F179" s="14"/>
      <c r="G179" s="14"/>
      <c r="H179" s="14"/>
      <c r="I179" s="15"/>
      <c r="J179" s="16"/>
      <c r="K179" s="17" t="str">
        <f>IF(B179="","",IF(AND(I179="",J179=""),"Unknown",IF(OR(AND(ISNUMBER(I179),I179=0),AND(ISNUMBER(J179),J179&lt;=EDATE('Scoring Settings'!$B$4,-'Scoring Settings'!$B$5))),"Not in use",IF(AND(ISNUMBER(I179),I179&lt;'Scoring Settings'!$B$6),"Low use","Active"))))</f>
        <v/>
      </c>
      <c r="L179" s="14"/>
      <c r="M179" s="14"/>
      <c r="N179" s="14"/>
      <c r="O179" s="14"/>
      <c r="P179" s="14"/>
      <c r="Q179" s="18"/>
      <c r="R179" s="14"/>
      <c r="S179" s="14"/>
      <c r="T179" s="14"/>
      <c r="U179" s="16"/>
      <c r="V179" s="14"/>
      <c r="W179" s="15"/>
      <c r="X179" s="14"/>
      <c r="Y179" s="18"/>
      <c r="Z179" s="14"/>
      <c r="AA179" s="14"/>
      <c r="AB179" s="18"/>
      <c r="AC179" s="14"/>
      <c r="AD179" s="14"/>
      <c r="AE179" s="14"/>
      <c r="AF179" s="19"/>
      <c r="AG179" s="16"/>
      <c r="AH179" s="19"/>
      <c r="AI179" s="19"/>
      <c r="AJ179" s="20" t="str">
        <f t="shared" si="2"/>
        <v/>
      </c>
      <c r="AK179" s="21" t="str">
        <f>IF(B179="","",OR(K179="Not in use",K179="Low use")+AND(N179&lt;&gt;"",N179&lt;&gt;"TBD")+AND(ISNUMBER(U179),U179&lt;=EDATE('Scoring Settings'!$B$4,'Scoring Settings'!$B$8))+AND(ISNUMBER(L179),L179&lt;='Scoring Settings'!$B$7))</f>
        <v/>
      </c>
      <c r="AL179" s="17" t="str">
        <f>IF(B179="","",IF(K179="Not in use","Priority – Not in use",IF(AK179&gt;='Scoring Settings'!$B$9,"Decommission",IF(AK179=1,"Review","Retain"))))</f>
        <v/>
      </c>
      <c r="AM179" s="17" t="str">
        <f>IF(B179="","",IF(Z179="N","Easy",IF(OR(AND(ISNUMBER(AB179),AB179&gt;'Scoring Settings'!$B$11),AND(ISNUMBER(W179),W179&gt;'Scoring Settings'!$B$12),AND(ISNUMBER(M179),M179&lt;='Scoring Settings'!$B$13)),"High","Medium")))</f>
        <v/>
      </c>
      <c r="AN179" s="14"/>
      <c r="AO179" s="16"/>
      <c r="AP179" s="14"/>
      <c r="AQ179" s="22"/>
    </row>
    <row r="180" spans="1:43">
      <c r="A180" s="14"/>
      <c r="B180" s="14"/>
      <c r="C180" s="14"/>
      <c r="D180" s="14"/>
      <c r="E180" s="14"/>
      <c r="F180" s="14"/>
      <c r="G180" s="14"/>
      <c r="H180" s="14"/>
      <c r="I180" s="15"/>
      <c r="J180" s="16"/>
      <c r="K180" s="17" t="str">
        <f>IF(B180="","",IF(AND(I180="",J180=""),"Unknown",IF(OR(AND(ISNUMBER(I180),I180=0),AND(ISNUMBER(J180),J180&lt;=EDATE('Scoring Settings'!$B$4,-'Scoring Settings'!$B$5))),"Not in use",IF(AND(ISNUMBER(I180),I180&lt;'Scoring Settings'!$B$6),"Low use","Active"))))</f>
        <v/>
      </c>
      <c r="L180" s="14"/>
      <c r="M180" s="14"/>
      <c r="N180" s="14"/>
      <c r="O180" s="14"/>
      <c r="P180" s="14"/>
      <c r="Q180" s="18"/>
      <c r="R180" s="14"/>
      <c r="S180" s="14"/>
      <c r="T180" s="14"/>
      <c r="U180" s="16"/>
      <c r="V180" s="14"/>
      <c r="W180" s="15"/>
      <c r="X180" s="14"/>
      <c r="Y180" s="18"/>
      <c r="Z180" s="14"/>
      <c r="AA180" s="14"/>
      <c r="AB180" s="18"/>
      <c r="AC180" s="14"/>
      <c r="AD180" s="14"/>
      <c r="AE180" s="14"/>
      <c r="AF180" s="19"/>
      <c r="AG180" s="16"/>
      <c r="AH180" s="19"/>
      <c r="AI180" s="19"/>
      <c r="AJ180" s="20" t="str">
        <f t="shared" si="2"/>
        <v/>
      </c>
      <c r="AK180" s="21" t="str">
        <f>IF(B180="","",OR(K180="Not in use",K180="Low use")+AND(N180&lt;&gt;"",N180&lt;&gt;"TBD")+AND(ISNUMBER(U180),U180&lt;=EDATE('Scoring Settings'!$B$4,'Scoring Settings'!$B$8))+AND(ISNUMBER(L180),L180&lt;='Scoring Settings'!$B$7))</f>
        <v/>
      </c>
      <c r="AL180" s="17" t="str">
        <f>IF(B180="","",IF(K180="Not in use","Priority – Not in use",IF(AK180&gt;='Scoring Settings'!$B$9,"Decommission",IF(AK180=1,"Review","Retain"))))</f>
        <v/>
      </c>
      <c r="AM180" s="17" t="str">
        <f>IF(B180="","",IF(Z180="N","Easy",IF(OR(AND(ISNUMBER(AB180),AB180&gt;'Scoring Settings'!$B$11),AND(ISNUMBER(W180),W180&gt;'Scoring Settings'!$B$12),AND(ISNUMBER(M180),M180&lt;='Scoring Settings'!$B$13)),"High","Medium")))</f>
        <v/>
      </c>
      <c r="AN180" s="14"/>
      <c r="AO180" s="16"/>
      <c r="AP180" s="14"/>
      <c r="AQ180" s="22"/>
    </row>
    <row r="181" spans="1:43">
      <c r="A181" s="14"/>
      <c r="B181" s="14"/>
      <c r="C181" s="14"/>
      <c r="D181" s="14"/>
      <c r="E181" s="14"/>
      <c r="F181" s="14"/>
      <c r="G181" s="14"/>
      <c r="H181" s="14"/>
      <c r="I181" s="15"/>
      <c r="J181" s="16"/>
      <c r="K181" s="17" t="str">
        <f>IF(B181="","",IF(AND(I181="",J181=""),"Unknown",IF(OR(AND(ISNUMBER(I181),I181=0),AND(ISNUMBER(J181),J181&lt;=EDATE('Scoring Settings'!$B$4,-'Scoring Settings'!$B$5))),"Not in use",IF(AND(ISNUMBER(I181),I181&lt;'Scoring Settings'!$B$6),"Low use","Active"))))</f>
        <v/>
      </c>
      <c r="L181" s="14"/>
      <c r="M181" s="14"/>
      <c r="N181" s="14"/>
      <c r="O181" s="14"/>
      <c r="P181" s="14"/>
      <c r="Q181" s="18"/>
      <c r="R181" s="14"/>
      <c r="S181" s="14"/>
      <c r="T181" s="14"/>
      <c r="U181" s="16"/>
      <c r="V181" s="14"/>
      <c r="W181" s="15"/>
      <c r="X181" s="14"/>
      <c r="Y181" s="18"/>
      <c r="Z181" s="14"/>
      <c r="AA181" s="14"/>
      <c r="AB181" s="18"/>
      <c r="AC181" s="14"/>
      <c r="AD181" s="14"/>
      <c r="AE181" s="14"/>
      <c r="AF181" s="19"/>
      <c r="AG181" s="16"/>
      <c r="AH181" s="19"/>
      <c r="AI181" s="19"/>
      <c r="AJ181" s="20" t="str">
        <f t="shared" si="2"/>
        <v/>
      </c>
      <c r="AK181" s="21" t="str">
        <f>IF(B181="","",OR(K181="Not in use",K181="Low use")+AND(N181&lt;&gt;"",N181&lt;&gt;"TBD")+AND(ISNUMBER(U181),U181&lt;=EDATE('Scoring Settings'!$B$4,'Scoring Settings'!$B$8))+AND(ISNUMBER(L181),L181&lt;='Scoring Settings'!$B$7))</f>
        <v/>
      </c>
      <c r="AL181" s="17" t="str">
        <f>IF(B181="","",IF(K181="Not in use","Priority – Not in use",IF(AK181&gt;='Scoring Settings'!$B$9,"Decommission",IF(AK181=1,"Review","Retain"))))</f>
        <v/>
      </c>
      <c r="AM181" s="17" t="str">
        <f>IF(B181="","",IF(Z181="N","Easy",IF(OR(AND(ISNUMBER(AB181),AB181&gt;'Scoring Settings'!$B$11),AND(ISNUMBER(W181),W181&gt;'Scoring Settings'!$B$12),AND(ISNUMBER(M181),M181&lt;='Scoring Settings'!$B$13)),"High","Medium")))</f>
        <v/>
      </c>
      <c r="AN181" s="14"/>
      <c r="AO181" s="16"/>
      <c r="AP181" s="14"/>
      <c r="AQ181" s="22"/>
    </row>
    <row r="182" spans="1:43">
      <c r="A182" s="14"/>
      <c r="B182" s="14"/>
      <c r="C182" s="14"/>
      <c r="D182" s="14"/>
      <c r="E182" s="14"/>
      <c r="F182" s="14"/>
      <c r="G182" s="14"/>
      <c r="H182" s="14"/>
      <c r="I182" s="15"/>
      <c r="J182" s="16"/>
      <c r="K182" s="17" t="str">
        <f>IF(B182="","",IF(AND(I182="",J182=""),"Unknown",IF(OR(AND(ISNUMBER(I182),I182=0),AND(ISNUMBER(J182),J182&lt;=EDATE('Scoring Settings'!$B$4,-'Scoring Settings'!$B$5))),"Not in use",IF(AND(ISNUMBER(I182),I182&lt;'Scoring Settings'!$B$6),"Low use","Active"))))</f>
        <v/>
      </c>
      <c r="L182" s="14"/>
      <c r="M182" s="14"/>
      <c r="N182" s="14"/>
      <c r="O182" s="14"/>
      <c r="P182" s="14"/>
      <c r="Q182" s="18"/>
      <c r="R182" s="14"/>
      <c r="S182" s="14"/>
      <c r="T182" s="14"/>
      <c r="U182" s="16"/>
      <c r="V182" s="14"/>
      <c r="W182" s="15"/>
      <c r="X182" s="14"/>
      <c r="Y182" s="18"/>
      <c r="Z182" s="14"/>
      <c r="AA182" s="14"/>
      <c r="AB182" s="18"/>
      <c r="AC182" s="14"/>
      <c r="AD182" s="14"/>
      <c r="AE182" s="14"/>
      <c r="AF182" s="19"/>
      <c r="AG182" s="16"/>
      <c r="AH182" s="19"/>
      <c r="AI182" s="19"/>
      <c r="AJ182" s="20" t="str">
        <f t="shared" si="2"/>
        <v/>
      </c>
      <c r="AK182" s="21" t="str">
        <f>IF(B182="","",OR(K182="Not in use",K182="Low use")+AND(N182&lt;&gt;"",N182&lt;&gt;"TBD")+AND(ISNUMBER(U182),U182&lt;=EDATE('Scoring Settings'!$B$4,'Scoring Settings'!$B$8))+AND(ISNUMBER(L182),L182&lt;='Scoring Settings'!$B$7))</f>
        <v/>
      </c>
      <c r="AL182" s="17" t="str">
        <f>IF(B182="","",IF(K182="Not in use","Priority – Not in use",IF(AK182&gt;='Scoring Settings'!$B$9,"Decommission",IF(AK182=1,"Review","Retain"))))</f>
        <v/>
      </c>
      <c r="AM182" s="17" t="str">
        <f>IF(B182="","",IF(Z182="N","Easy",IF(OR(AND(ISNUMBER(AB182),AB182&gt;'Scoring Settings'!$B$11),AND(ISNUMBER(W182),W182&gt;'Scoring Settings'!$B$12),AND(ISNUMBER(M182),M182&lt;='Scoring Settings'!$B$13)),"High","Medium")))</f>
        <v/>
      </c>
      <c r="AN182" s="14"/>
      <c r="AO182" s="16"/>
      <c r="AP182" s="14"/>
      <c r="AQ182" s="22"/>
    </row>
    <row r="183" spans="1:43">
      <c r="A183" s="14"/>
      <c r="B183" s="14"/>
      <c r="C183" s="14"/>
      <c r="D183" s="14"/>
      <c r="E183" s="14"/>
      <c r="F183" s="14"/>
      <c r="G183" s="14"/>
      <c r="H183" s="14"/>
      <c r="I183" s="15"/>
      <c r="J183" s="16"/>
      <c r="K183" s="17" t="str">
        <f>IF(B183="","",IF(AND(I183="",J183=""),"Unknown",IF(OR(AND(ISNUMBER(I183),I183=0),AND(ISNUMBER(J183),J183&lt;=EDATE('Scoring Settings'!$B$4,-'Scoring Settings'!$B$5))),"Not in use",IF(AND(ISNUMBER(I183),I183&lt;'Scoring Settings'!$B$6),"Low use","Active"))))</f>
        <v/>
      </c>
      <c r="L183" s="14"/>
      <c r="M183" s="14"/>
      <c r="N183" s="14"/>
      <c r="O183" s="14"/>
      <c r="P183" s="14"/>
      <c r="Q183" s="18"/>
      <c r="R183" s="14"/>
      <c r="S183" s="14"/>
      <c r="T183" s="14"/>
      <c r="U183" s="16"/>
      <c r="V183" s="14"/>
      <c r="W183" s="15"/>
      <c r="X183" s="14"/>
      <c r="Y183" s="18"/>
      <c r="Z183" s="14"/>
      <c r="AA183" s="14"/>
      <c r="AB183" s="18"/>
      <c r="AC183" s="14"/>
      <c r="AD183" s="14"/>
      <c r="AE183" s="14"/>
      <c r="AF183" s="19"/>
      <c r="AG183" s="16"/>
      <c r="AH183" s="19"/>
      <c r="AI183" s="19"/>
      <c r="AJ183" s="20" t="str">
        <f t="shared" si="2"/>
        <v/>
      </c>
      <c r="AK183" s="21" t="str">
        <f>IF(B183="","",OR(K183="Not in use",K183="Low use")+AND(N183&lt;&gt;"",N183&lt;&gt;"TBD")+AND(ISNUMBER(U183),U183&lt;=EDATE('Scoring Settings'!$B$4,'Scoring Settings'!$B$8))+AND(ISNUMBER(L183),L183&lt;='Scoring Settings'!$B$7))</f>
        <v/>
      </c>
      <c r="AL183" s="17" t="str">
        <f>IF(B183="","",IF(K183="Not in use","Priority – Not in use",IF(AK183&gt;='Scoring Settings'!$B$9,"Decommission",IF(AK183=1,"Review","Retain"))))</f>
        <v/>
      </c>
      <c r="AM183" s="17" t="str">
        <f>IF(B183="","",IF(Z183="N","Easy",IF(OR(AND(ISNUMBER(AB183),AB183&gt;'Scoring Settings'!$B$11),AND(ISNUMBER(W183),W183&gt;'Scoring Settings'!$B$12),AND(ISNUMBER(M183),M183&lt;='Scoring Settings'!$B$13)),"High","Medium")))</f>
        <v/>
      </c>
      <c r="AN183" s="14"/>
      <c r="AO183" s="16"/>
      <c r="AP183" s="14"/>
      <c r="AQ183" s="22"/>
    </row>
    <row r="184" spans="1:43">
      <c r="A184" s="14"/>
      <c r="B184" s="14"/>
      <c r="C184" s="14"/>
      <c r="D184" s="14"/>
      <c r="E184" s="14"/>
      <c r="F184" s="14"/>
      <c r="G184" s="14"/>
      <c r="H184" s="14"/>
      <c r="I184" s="15"/>
      <c r="J184" s="16"/>
      <c r="K184" s="17" t="str">
        <f>IF(B184="","",IF(AND(I184="",J184=""),"Unknown",IF(OR(AND(ISNUMBER(I184),I184=0),AND(ISNUMBER(J184),J184&lt;=EDATE('Scoring Settings'!$B$4,-'Scoring Settings'!$B$5))),"Not in use",IF(AND(ISNUMBER(I184),I184&lt;'Scoring Settings'!$B$6),"Low use","Active"))))</f>
        <v/>
      </c>
      <c r="L184" s="14"/>
      <c r="M184" s="14"/>
      <c r="N184" s="14"/>
      <c r="O184" s="14"/>
      <c r="P184" s="14"/>
      <c r="Q184" s="18"/>
      <c r="R184" s="14"/>
      <c r="S184" s="14"/>
      <c r="T184" s="14"/>
      <c r="U184" s="16"/>
      <c r="V184" s="14"/>
      <c r="W184" s="15"/>
      <c r="X184" s="14"/>
      <c r="Y184" s="18"/>
      <c r="Z184" s="14"/>
      <c r="AA184" s="14"/>
      <c r="AB184" s="18"/>
      <c r="AC184" s="14"/>
      <c r="AD184" s="14"/>
      <c r="AE184" s="14"/>
      <c r="AF184" s="19"/>
      <c r="AG184" s="16"/>
      <c r="AH184" s="19"/>
      <c r="AI184" s="19"/>
      <c r="AJ184" s="20" t="str">
        <f t="shared" si="2"/>
        <v/>
      </c>
      <c r="AK184" s="21" t="str">
        <f>IF(B184="","",OR(K184="Not in use",K184="Low use")+AND(N184&lt;&gt;"",N184&lt;&gt;"TBD")+AND(ISNUMBER(U184),U184&lt;=EDATE('Scoring Settings'!$B$4,'Scoring Settings'!$B$8))+AND(ISNUMBER(L184),L184&lt;='Scoring Settings'!$B$7))</f>
        <v/>
      </c>
      <c r="AL184" s="17" t="str">
        <f>IF(B184="","",IF(K184="Not in use","Priority – Not in use",IF(AK184&gt;='Scoring Settings'!$B$9,"Decommission",IF(AK184=1,"Review","Retain"))))</f>
        <v/>
      </c>
      <c r="AM184" s="17" t="str">
        <f>IF(B184="","",IF(Z184="N","Easy",IF(OR(AND(ISNUMBER(AB184),AB184&gt;'Scoring Settings'!$B$11),AND(ISNUMBER(W184),W184&gt;'Scoring Settings'!$B$12),AND(ISNUMBER(M184),M184&lt;='Scoring Settings'!$B$13)),"High","Medium")))</f>
        <v/>
      </c>
      <c r="AN184" s="14"/>
      <c r="AO184" s="16"/>
      <c r="AP184" s="14"/>
      <c r="AQ184" s="22"/>
    </row>
    <row r="185" spans="1:43">
      <c r="A185" s="14"/>
      <c r="B185" s="14"/>
      <c r="C185" s="14"/>
      <c r="D185" s="14"/>
      <c r="E185" s="14"/>
      <c r="F185" s="14"/>
      <c r="G185" s="14"/>
      <c r="H185" s="14"/>
      <c r="I185" s="15"/>
      <c r="J185" s="16"/>
      <c r="K185" s="17" t="str">
        <f>IF(B185="","",IF(AND(I185="",J185=""),"Unknown",IF(OR(AND(ISNUMBER(I185),I185=0),AND(ISNUMBER(J185),J185&lt;=EDATE('Scoring Settings'!$B$4,-'Scoring Settings'!$B$5))),"Not in use",IF(AND(ISNUMBER(I185),I185&lt;'Scoring Settings'!$B$6),"Low use","Active"))))</f>
        <v/>
      </c>
      <c r="L185" s="14"/>
      <c r="M185" s="14"/>
      <c r="N185" s="14"/>
      <c r="O185" s="14"/>
      <c r="P185" s="14"/>
      <c r="Q185" s="18"/>
      <c r="R185" s="14"/>
      <c r="S185" s="14"/>
      <c r="T185" s="14"/>
      <c r="U185" s="16"/>
      <c r="V185" s="14"/>
      <c r="W185" s="15"/>
      <c r="X185" s="14"/>
      <c r="Y185" s="18"/>
      <c r="Z185" s="14"/>
      <c r="AA185" s="14"/>
      <c r="AB185" s="18"/>
      <c r="AC185" s="14"/>
      <c r="AD185" s="14"/>
      <c r="AE185" s="14"/>
      <c r="AF185" s="19"/>
      <c r="AG185" s="16"/>
      <c r="AH185" s="19"/>
      <c r="AI185" s="19"/>
      <c r="AJ185" s="20" t="str">
        <f t="shared" si="2"/>
        <v/>
      </c>
      <c r="AK185" s="21" t="str">
        <f>IF(B185="","",OR(K185="Not in use",K185="Low use")+AND(N185&lt;&gt;"",N185&lt;&gt;"TBD")+AND(ISNUMBER(U185),U185&lt;=EDATE('Scoring Settings'!$B$4,'Scoring Settings'!$B$8))+AND(ISNUMBER(L185),L185&lt;='Scoring Settings'!$B$7))</f>
        <v/>
      </c>
      <c r="AL185" s="17" t="str">
        <f>IF(B185="","",IF(K185="Not in use","Priority – Not in use",IF(AK185&gt;='Scoring Settings'!$B$9,"Decommission",IF(AK185=1,"Review","Retain"))))</f>
        <v/>
      </c>
      <c r="AM185" s="17" t="str">
        <f>IF(B185="","",IF(Z185="N","Easy",IF(OR(AND(ISNUMBER(AB185),AB185&gt;'Scoring Settings'!$B$11),AND(ISNUMBER(W185),W185&gt;'Scoring Settings'!$B$12),AND(ISNUMBER(M185),M185&lt;='Scoring Settings'!$B$13)),"High","Medium")))</f>
        <v/>
      </c>
      <c r="AN185" s="14"/>
      <c r="AO185" s="16"/>
      <c r="AP185" s="14"/>
      <c r="AQ185" s="22"/>
    </row>
    <row r="186" spans="1:43">
      <c r="A186" s="14"/>
      <c r="B186" s="14"/>
      <c r="C186" s="14"/>
      <c r="D186" s="14"/>
      <c r="E186" s="14"/>
      <c r="F186" s="14"/>
      <c r="G186" s="14"/>
      <c r="H186" s="14"/>
      <c r="I186" s="15"/>
      <c r="J186" s="16"/>
      <c r="K186" s="17" t="str">
        <f>IF(B186="","",IF(AND(I186="",J186=""),"Unknown",IF(OR(AND(ISNUMBER(I186),I186=0),AND(ISNUMBER(J186),J186&lt;=EDATE('Scoring Settings'!$B$4,-'Scoring Settings'!$B$5))),"Not in use",IF(AND(ISNUMBER(I186),I186&lt;'Scoring Settings'!$B$6),"Low use","Active"))))</f>
        <v/>
      </c>
      <c r="L186" s="14"/>
      <c r="M186" s="14"/>
      <c r="N186" s="14"/>
      <c r="O186" s="14"/>
      <c r="P186" s="14"/>
      <c r="Q186" s="18"/>
      <c r="R186" s="14"/>
      <c r="S186" s="14"/>
      <c r="T186" s="14"/>
      <c r="U186" s="16"/>
      <c r="V186" s="14"/>
      <c r="W186" s="15"/>
      <c r="X186" s="14"/>
      <c r="Y186" s="18"/>
      <c r="Z186" s="14"/>
      <c r="AA186" s="14"/>
      <c r="AB186" s="18"/>
      <c r="AC186" s="14"/>
      <c r="AD186" s="14"/>
      <c r="AE186" s="14"/>
      <c r="AF186" s="19"/>
      <c r="AG186" s="16"/>
      <c r="AH186" s="19"/>
      <c r="AI186" s="19"/>
      <c r="AJ186" s="20" t="str">
        <f t="shared" si="2"/>
        <v/>
      </c>
      <c r="AK186" s="21" t="str">
        <f>IF(B186="","",OR(K186="Not in use",K186="Low use")+AND(N186&lt;&gt;"",N186&lt;&gt;"TBD")+AND(ISNUMBER(U186),U186&lt;=EDATE('Scoring Settings'!$B$4,'Scoring Settings'!$B$8))+AND(ISNUMBER(L186),L186&lt;='Scoring Settings'!$B$7))</f>
        <v/>
      </c>
      <c r="AL186" s="17" t="str">
        <f>IF(B186="","",IF(K186="Not in use","Priority – Not in use",IF(AK186&gt;='Scoring Settings'!$B$9,"Decommission",IF(AK186=1,"Review","Retain"))))</f>
        <v/>
      </c>
      <c r="AM186" s="17" t="str">
        <f>IF(B186="","",IF(Z186="N","Easy",IF(OR(AND(ISNUMBER(AB186),AB186&gt;'Scoring Settings'!$B$11),AND(ISNUMBER(W186),W186&gt;'Scoring Settings'!$B$12),AND(ISNUMBER(M186),M186&lt;='Scoring Settings'!$B$13)),"High","Medium")))</f>
        <v/>
      </c>
      <c r="AN186" s="14"/>
      <c r="AO186" s="16"/>
      <c r="AP186" s="14"/>
      <c r="AQ186" s="22"/>
    </row>
    <row r="187" spans="1:43">
      <c r="A187" s="14"/>
      <c r="B187" s="14"/>
      <c r="C187" s="14"/>
      <c r="D187" s="14"/>
      <c r="E187" s="14"/>
      <c r="F187" s="14"/>
      <c r="G187" s="14"/>
      <c r="H187" s="14"/>
      <c r="I187" s="15"/>
      <c r="J187" s="16"/>
      <c r="K187" s="17" t="str">
        <f>IF(B187="","",IF(AND(I187="",J187=""),"Unknown",IF(OR(AND(ISNUMBER(I187),I187=0),AND(ISNUMBER(J187),J187&lt;=EDATE('Scoring Settings'!$B$4,-'Scoring Settings'!$B$5))),"Not in use",IF(AND(ISNUMBER(I187),I187&lt;'Scoring Settings'!$B$6),"Low use","Active"))))</f>
        <v/>
      </c>
      <c r="L187" s="14"/>
      <c r="M187" s="14"/>
      <c r="N187" s="14"/>
      <c r="O187" s="14"/>
      <c r="P187" s="14"/>
      <c r="Q187" s="18"/>
      <c r="R187" s="14"/>
      <c r="S187" s="14"/>
      <c r="T187" s="14"/>
      <c r="U187" s="16"/>
      <c r="V187" s="14"/>
      <c r="W187" s="15"/>
      <c r="X187" s="14"/>
      <c r="Y187" s="18"/>
      <c r="Z187" s="14"/>
      <c r="AA187" s="14"/>
      <c r="AB187" s="18"/>
      <c r="AC187" s="14"/>
      <c r="AD187" s="14"/>
      <c r="AE187" s="14"/>
      <c r="AF187" s="19"/>
      <c r="AG187" s="16"/>
      <c r="AH187" s="19"/>
      <c r="AI187" s="19"/>
      <c r="AJ187" s="20" t="str">
        <f t="shared" si="2"/>
        <v/>
      </c>
      <c r="AK187" s="21" t="str">
        <f>IF(B187="","",OR(K187="Not in use",K187="Low use")+AND(N187&lt;&gt;"",N187&lt;&gt;"TBD")+AND(ISNUMBER(U187),U187&lt;=EDATE('Scoring Settings'!$B$4,'Scoring Settings'!$B$8))+AND(ISNUMBER(L187),L187&lt;='Scoring Settings'!$B$7))</f>
        <v/>
      </c>
      <c r="AL187" s="17" t="str">
        <f>IF(B187="","",IF(K187="Not in use","Priority – Not in use",IF(AK187&gt;='Scoring Settings'!$B$9,"Decommission",IF(AK187=1,"Review","Retain"))))</f>
        <v/>
      </c>
      <c r="AM187" s="17" t="str">
        <f>IF(B187="","",IF(Z187="N","Easy",IF(OR(AND(ISNUMBER(AB187),AB187&gt;'Scoring Settings'!$B$11),AND(ISNUMBER(W187),W187&gt;'Scoring Settings'!$B$12),AND(ISNUMBER(M187),M187&lt;='Scoring Settings'!$B$13)),"High","Medium")))</f>
        <v/>
      </c>
      <c r="AN187" s="14"/>
      <c r="AO187" s="16"/>
      <c r="AP187" s="14"/>
      <c r="AQ187" s="22"/>
    </row>
    <row r="188" spans="1:43">
      <c r="A188" s="14"/>
      <c r="B188" s="14"/>
      <c r="C188" s="14"/>
      <c r="D188" s="14"/>
      <c r="E188" s="14"/>
      <c r="F188" s="14"/>
      <c r="G188" s="14"/>
      <c r="H188" s="14"/>
      <c r="I188" s="15"/>
      <c r="J188" s="16"/>
      <c r="K188" s="17" t="str">
        <f>IF(B188="","",IF(AND(I188="",J188=""),"Unknown",IF(OR(AND(ISNUMBER(I188),I188=0),AND(ISNUMBER(J188),J188&lt;=EDATE('Scoring Settings'!$B$4,-'Scoring Settings'!$B$5))),"Not in use",IF(AND(ISNUMBER(I188),I188&lt;'Scoring Settings'!$B$6),"Low use","Active"))))</f>
        <v/>
      </c>
      <c r="L188" s="14"/>
      <c r="M188" s="14"/>
      <c r="N188" s="14"/>
      <c r="O188" s="14"/>
      <c r="P188" s="14"/>
      <c r="Q188" s="18"/>
      <c r="R188" s="14"/>
      <c r="S188" s="14"/>
      <c r="T188" s="14"/>
      <c r="U188" s="16"/>
      <c r="V188" s="14"/>
      <c r="W188" s="15"/>
      <c r="X188" s="14"/>
      <c r="Y188" s="18"/>
      <c r="Z188" s="14"/>
      <c r="AA188" s="14"/>
      <c r="AB188" s="18"/>
      <c r="AC188" s="14"/>
      <c r="AD188" s="14"/>
      <c r="AE188" s="14"/>
      <c r="AF188" s="19"/>
      <c r="AG188" s="16"/>
      <c r="AH188" s="19"/>
      <c r="AI188" s="19"/>
      <c r="AJ188" s="20" t="str">
        <f t="shared" si="2"/>
        <v/>
      </c>
      <c r="AK188" s="21" t="str">
        <f>IF(B188="","",OR(K188="Not in use",K188="Low use")+AND(N188&lt;&gt;"",N188&lt;&gt;"TBD")+AND(ISNUMBER(U188),U188&lt;=EDATE('Scoring Settings'!$B$4,'Scoring Settings'!$B$8))+AND(ISNUMBER(L188),L188&lt;='Scoring Settings'!$B$7))</f>
        <v/>
      </c>
      <c r="AL188" s="17" t="str">
        <f>IF(B188="","",IF(K188="Not in use","Priority – Not in use",IF(AK188&gt;='Scoring Settings'!$B$9,"Decommission",IF(AK188=1,"Review","Retain"))))</f>
        <v/>
      </c>
      <c r="AM188" s="17" t="str">
        <f>IF(B188="","",IF(Z188="N","Easy",IF(OR(AND(ISNUMBER(AB188),AB188&gt;'Scoring Settings'!$B$11),AND(ISNUMBER(W188),W188&gt;'Scoring Settings'!$B$12),AND(ISNUMBER(M188),M188&lt;='Scoring Settings'!$B$13)),"High","Medium")))</f>
        <v/>
      </c>
      <c r="AN188" s="14"/>
      <c r="AO188" s="16"/>
      <c r="AP188" s="14"/>
      <c r="AQ188" s="22"/>
    </row>
    <row r="189" spans="1:43">
      <c r="A189" s="14"/>
      <c r="B189" s="14"/>
      <c r="C189" s="14"/>
      <c r="D189" s="14"/>
      <c r="E189" s="14"/>
      <c r="F189" s="14"/>
      <c r="G189" s="14"/>
      <c r="H189" s="14"/>
      <c r="I189" s="15"/>
      <c r="J189" s="16"/>
      <c r="K189" s="17" t="str">
        <f>IF(B189="","",IF(AND(I189="",J189=""),"Unknown",IF(OR(AND(ISNUMBER(I189),I189=0),AND(ISNUMBER(J189),J189&lt;=EDATE('Scoring Settings'!$B$4,-'Scoring Settings'!$B$5))),"Not in use",IF(AND(ISNUMBER(I189),I189&lt;'Scoring Settings'!$B$6),"Low use","Active"))))</f>
        <v/>
      </c>
      <c r="L189" s="14"/>
      <c r="M189" s="14"/>
      <c r="N189" s="14"/>
      <c r="O189" s="14"/>
      <c r="P189" s="14"/>
      <c r="Q189" s="18"/>
      <c r="R189" s="14"/>
      <c r="S189" s="14"/>
      <c r="T189" s="14"/>
      <c r="U189" s="16"/>
      <c r="V189" s="14"/>
      <c r="W189" s="15"/>
      <c r="X189" s="14"/>
      <c r="Y189" s="18"/>
      <c r="Z189" s="14"/>
      <c r="AA189" s="14"/>
      <c r="AB189" s="18"/>
      <c r="AC189" s="14"/>
      <c r="AD189" s="14"/>
      <c r="AE189" s="14"/>
      <c r="AF189" s="19"/>
      <c r="AG189" s="16"/>
      <c r="AH189" s="19"/>
      <c r="AI189" s="19"/>
      <c r="AJ189" s="20" t="str">
        <f t="shared" si="2"/>
        <v/>
      </c>
      <c r="AK189" s="21" t="str">
        <f>IF(B189="","",OR(K189="Not in use",K189="Low use")+AND(N189&lt;&gt;"",N189&lt;&gt;"TBD")+AND(ISNUMBER(U189),U189&lt;=EDATE('Scoring Settings'!$B$4,'Scoring Settings'!$B$8))+AND(ISNUMBER(L189),L189&lt;='Scoring Settings'!$B$7))</f>
        <v/>
      </c>
      <c r="AL189" s="17" t="str">
        <f>IF(B189="","",IF(K189="Not in use","Priority – Not in use",IF(AK189&gt;='Scoring Settings'!$B$9,"Decommission",IF(AK189=1,"Review","Retain"))))</f>
        <v/>
      </c>
      <c r="AM189" s="17" t="str">
        <f>IF(B189="","",IF(Z189="N","Easy",IF(OR(AND(ISNUMBER(AB189),AB189&gt;'Scoring Settings'!$B$11),AND(ISNUMBER(W189),W189&gt;'Scoring Settings'!$B$12),AND(ISNUMBER(M189),M189&lt;='Scoring Settings'!$B$13)),"High","Medium")))</f>
        <v/>
      </c>
      <c r="AN189" s="14"/>
      <c r="AO189" s="16"/>
      <c r="AP189" s="14"/>
      <c r="AQ189" s="22"/>
    </row>
    <row r="190" spans="1:43">
      <c r="A190" s="14"/>
      <c r="B190" s="14"/>
      <c r="C190" s="14"/>
      <c r="D190" s="14"/>
      <c r="E190" s="14"/>
      <c r="F190" s="14"/>
      <c r="G190" s="14"/>
      <c r="H190" s="14"/>
      <c r="I190" s="15"/>
      <c r="J190" s="16"/>
      <c r="K190" s="17" t="str">
        <f>IF(B190="","",IF(AND(I190="",J190=""),"Unknown",IF(OR(AND(ISNUMBER(I190),I190=0),AND(ISNUMBER(J190),J190&lt;=EDATE('Scoring Settings'!$B$4,-'Scoring Settings'!$B$5))),"Not in use",IF(AND(ISNUMBER(I190),I190&lt;'Scoring Settings'!$B$6),"Low use","Active"))))</f>
        <v/>
      </c>
      <c r="L190" s="14"/>
      <c r="M190" s="14"/>
      <c r="N190" s="14"/>
      <c r="O190" s="14"/>
      <c r="P190" s="14"/>
      <c r="Q190" s="18"/>
      <c r="R190" s="14"/>
      <c r="S190" s="14"/>
      <c r="T190" s="14"/>
      <c r="U190" s="16"/>
      <c r="V190" s="14"/>
      <c r="W190" s="15"/>
      <c r="X190" s="14"/>
      <c r="Y190" s="18"/>
      <c r="Z190" s="14"/>
      <c r="AA190" s="14"/>
      <c r="AB190" s="18"/>
      <c r="AC190" s="14"/>
      <c r="AD190" s="14"/>
      <c r="AE190" s="14"/>
      <c r="AF190" s="19"/>
      <c r="AG190" s="16"/>
      <c r="AH190" s="19"/>
      <c r="AI190" s="19"/>
      <c r="AJ190" s="20" t="str">
        <f t="shared" si="2"/>
        <v/>
      </c>
      <c r="AK190" s="21" t="str">
        <f>IF(B190="","",OR(K190="Not in use",K190="Low use")+AND(N190&lt;&gt;"",N190&lt;&gt;"TBD")+AND(ISNUMBER(U190),U190&lt;=EDATE('Scoring Settings'!$B$4,'Scoring Settings'!$B$8))+AND(ISNUMBER(L190),L190&lt;='Scoring Settings'!$B$7))</f>
        <v/>
      </c>
      <c r="AL190" s="17" t="str">
        <f>IF(B190="","",IF(K190="Not in use","Priority – Not in use",IF(AK190&gt;='Scoring Settings'!$B$9,"Decommission",IF(AK190=1,"Review","Retain"))))</f>
        <v/>
      </c>
      <c r="AM190" s="17" t="str">
        <f>IF(B190="","",IF(Z190="N","Easy",IF(OR(AND(ISNUMBER(AB190),AB190&gt;'Scoring Settings'!$B$11),AND(ISNUMBER(W190),W190&gt;'Scoring Settings'!$B$12),AND(ISNUMBER(M190),M190&lt;='Scoring Settings'!$B$13)),"High","Medium")))</f>
        <v/>
      </c>
      <c r="AN190" s="14"/>
      <c r="AO190" s="16"/>
      <c r="AP190" s="14"/>
      <c r="AQ190" s="22"/>
    </row>
    <row r="191" spans="1:43">
      <c r="A191" s="14"/>
      <c r="B191" s="14"/>
      <c r="C191" s="14"/>
      <c r="D191" s="14"/>
      <c r="E191" s="14"/>
      <c r="F191" s="14"/>
      <c r="G191" s="14"/>
      <c r="H191" s="14"/>
      <c r="I191" s="15"/>
      <c r="J191" s="16"/>
      <c r="K191" s="17" t="str">
        <f>IF(B191="","",IF(AND(I191="",J191=""),"Unknown",IF(OR(AND(ISNUMBER(I191),I191=0),AND(ISNUMBER(J191),J191&lt;=EDATE('Scoring Settings'!$B$4,-'Scoring Settings'!$B$5))),"Not in use",IF(AND(ISNUMBER(I191),I191&lt;'Scoring Settings'!$B$6),"Low use","Active"))))</f>
        <v/>
      </c>
      <c r="L191" s="14"/>
      <c r="M191" s="14"/>
      <c r="N191" s="14"/>
      <c r="O191" s="14"/>
      <c r="P191" s="14"/>
      <c r="Q191" s="18"/>
      <c r="R191" s="14"/>
      <c r="S191" s="14"/>
      <c r="T191" s="14"/>
      <c r="U191" s="16"/>
      <c r="V191" s="14"/>
      <c r="W191" s="15"/>
      <c r="X191" s="14"/>
      <c r="Y191" s="18"/>
      <c r="Z191" s="14"/>
      <c r="AA191" s="14"/>
      <c r="AB191" s="18"/>
      <c r="AC191" s="14"/>
      <c r="AD191" s="14"/>
      <c r="AE191" s="14"/>
      <c r="AF191" s="19"/>
      <c r="AG191" s="16"/>
      <c r="AH191" s="19"/>
      <c r="AI191" s="19"/>
      <c r="AJ191" s="20" t="str">
        <f t="shared" si="2"/>
        <v/>
      </c>
      <c r="AK191" s="21" t="str">
        <f>IF(B191="","",OR(K191="Not in use",K191="Low use")+AND(N191&lt;&gt;"",N191&lt;&gt;"TBD")+AND(ISNUMBER(U191),U191&lt;=EDATE('Scoring Settings'!$B$4,'Scoring Settings'!$B$8))+AND(ISNUMBER(L191),L191&lt;='Scoring Settings'!$B$7))</f>
        <v/>
      </c>
      <c r="AL191" s="17" t="str">
        <f>IF(B191="","",IF(K191="Not in use","Priority – Not in use",IF(AK191&gt;='Scoring Settings'!$B$9,"Decommission",IF(AK191=1,"Review","Retain"))))</f>
        <v/>
      </c>
      <c r="AM191" s="17" t="str">
        <f>IF(B191="","",IF(Z191="N","Easy",IF(OR(AND(ISNUMBER(AB191),AB191&gt;'Scoring Settings'!$B$11),AND(ISNUMBER(W191),W191&gt;'Scoring Settings'!$B$12),AND(ISNUMBER(M191),M191&lt;='Scoring Settings'!$B$13)),"High","Medium")))</f>
        <v/>
      </c>
      <c r="AN191" s="14"/>
      <c r="AO191" s="16"/>
      <c r="AP191" s="14"/>
      <c r="AQ191" s="22"/>
    </row>
    <row r="192" spans="1:43">
      <c r="A192" s="14"/>
      <c r="B192" s="14"/>
      <c r="C192" s="14"/>
      <c r="D192" s="14"/>
      <c r="E192" s="14"/>
      <c r="F192" s="14"/>
      <c r="G192" s="14"/>
      <c r="H192" s="14"/>
      <c r="I192" s="15"/>
      <c r="J192" s="16"/>
      <c r="K192" s="17" t="str">
        <f>IF(B192="","",IF(AND(I192="",J192=""),"Unknown",IF(OR(AND(ISNUMBER(I192),I192=0),AND(ISNUMBER(J192),J192&lt;=EDATE('Scoring Settings'!$B$4,-'Scoring Settings'!$B$5))),"Not in use",IF(AND(ISNUMBER(I192),I192&lt;'Scoring Settings'!$B$6),"Low use","Active"))))</f>
        <v/>
      </c>
      <c r="L192" s="14"/>
      <c r="M192" s="14"/>
      <c r="N192" s="14"/>
      <c r="O192" s="14"/>
      <c r="P192" s="14"/>
      <c r="Q192" s="18"/>
      <c r="R192" s="14"/>
      <c r="S192" s="14"/>
      <c r="T192" s="14"/>
      <c r="U192" s="16"/>
      <c r="V192" s="14"/>
      <c r="W192" s="15"/>
      <c r="X192" s="14"/>
      <c r="Y192" s="18"/>
      <c r="Z192" s="14"/>
      <c r="AA192" s="14"/>
      <c r="AB192" s="18"/>
      <c r="AC192" s="14"/>
      <c r="AD192" s="14"/>
      <c r="AE192" s="14"/>
      <c r="AF192" s="19"/>
      <c r="AG192" s="16"/>
      <c r="AH192" s="19"/>
      <c r="AI192" s="19"/>
      <c r="AJ192" s="20" t="str">
        <f t="shared" si="2"/>
        <v/>
      </c>
      <c r="AK192" s="21" t="str">
        <f>IF(B192="","",OR(K192="Not in use",K192="Low use")+AND(N192&lt;&gt;"",N192&lt;&gt;"TBD")+AND(ISNUMBER(U192),U192&lt;=EDATE('Scoring Settings'!$B$4,'Scoring Settings'!$B$8))+AND(ISNUMBER(L192),L192&lt;='Scoring Settings'!$B$7))</f>
        <v/>
      </c>
      <c r="AL192" s="17" t="str">
        <f>IF(B192="","",IF(K192="Not in use","Priority – Not in use",IF(AK192&gt;='Scoring Settings'!$B$9,"Decommission",IF(AK192=1,"Review","Retain"))))</f>
        <v/>
      </c>
      <c r="AM192" s="17" t="str">
        <f>IF(B192="","",IF(Z192="N","Easy",IF(OR(AND(ISNUMBER(AB192),AB192&gt;'Scoring Settings'!$B$11),AND(ISNUMBER(W192),W192&gt;'Scoring Settings'!$B$12),AND(ISNUMBER(M192),M192&lt;='Scoring Settings'!$B$13)),"High","Medium")))</f>
        <v/>
      </c>
      <c r="AN192" s="14"/>
      <c r="AO192" s="16"/>
      <c r="AP192" s="14"/>
      <c r="AQ192" s="22"/>
    </row>
    <row r="193" spans="1:43">
      <c r="A193" s="14"/>
      <c r="B193" s="14"/>
      <c r="C193" s="14"/>
      <c r="D193" s="14"/>
      <c r="E193" s="14"/>
      <c r="F193" s="14"/>
      <c r="G193" s="14"/>
      <c r="H193" s="14"/>
      <c r="I193" s="15"/>
      <c r="J193" s="16"/>
      <c r="K193" s="17" t="str">
        <f>IF(B193="","",IF(AND(I193="",J193=""),"Unknown",IF(OR(AND(ISNUMBER(I193),I193=0),AND(ISNUMBER(J193),J193&lt;=EDATE('Scoring Settings'!$B$4,-'Scoring Settings'!$B$5))),"Not in use",IF(AND(ISNUMBER(I193),I193&lt;'Scoring Settings'!$B$6),"Low use","Active"))))</f>
        <v/>
      </c>
      <c r="L193" s="14"/>
      <c r="M193" s="14"/>
      <c r="N193" s="14"/>
      <c r="O193" s="14"/>
      <c r="P193" s="14"/>
      <c r="Q193" s="18"/>
      <c r="R193" s="14"/>
      <c r="S193" s="14"/>
      <c r="T193" s="14"/>
      <c r="U193" s="16"/>
      <c r="V193" s="14"/>
      <c r="W193" s="15"/>
      <c r="X193" s="14"/>
      <c r="Y193" s="18"/>
      <c r="Z193" s="14"/>
      <c r="AA193" s="14"/>
      <c r="AB193" s="18"/>
      <c r="AC193" s="14"/>
      <c r="AD193" s="14"/>
      <c r="AE193" s="14"/>
      <c r="AF193" s="19"/>
      <c r="AG193" s="16"/>
      <c r="AH193" s="19"/>
      <c r="AI193" s="19"/>
      <c r="AJ193" s="20" t="str">
        <f t="shared" si="2"/>
        <v/>
      </c>
      <c r="AK193" s="21" t="str">
        <f>IF(B193="","",OR(K193="Not in use",K193="Low use")+AND(N193&lt;&gt;"",N193&lt;&gt;"TBD")+AND(ISNUMBER(U193),U193&lt;=EDATE('Scoring Settings'!$B$4,'Scoring Settings'!$B$8))+AND(ISNUMBER(L193),L193&lt;='Scoring Settings'!$B$7))</f>
        <v/>
      </c>
      <c r="AL193" s="17" t="str">
        <f>IF(B193="","",IF(K193="Not in use","Priority – Not in use",IF(AK193&gt;='Scoring Settings'!$B$9,"Decommission",IF(AK193=1,"Review","Retain"))))</f>
        <v/>
      </c>
      <c r="AM193" s="17" t="str">
        <f>IF(B193="","",IF(Z193="N","Easy",IF(OR(AND(ISNUMBER(AB193),AB193&gt;'Scoring Settings'!$B$11),AND(ISNUMBER(W193),W193&gt;'Scoring Settings'!$B$12),AND(ISNUMBER(M193),M193&lt;='Scoring Settings'!$B$13)),"High","Medium")))</f>
        <v/>
      </c>
      <c r="AN193" s="14"/>
      <c r="AO193" s="16"/>
      <c r="AP193" s="14"/>
      <c r="AQ193" s="22"/>
    </row>
    <row r="194" spans="1:43">
      <c r="A194" s="14"/>
      <c r="B194" s="14"/>
      <c r="C194" s="14"/>
      <c r="D194" s="14"/>
      <c r="E194" s="14"/>
      <c r="F194" s="14"/>
      <c r="G194" s="14"/>
      <c r="H194" s="14"/>
      <c r="I194" s="15"/>
      <c r="J194" s="16"/>
      <c r="K194" s="17" t="str">
        <f>IF(B194="","",IF(AND(I194="",J194=""),"Unknown",IF(OR(AND(ISNUMBER(I194),I194=0),AND(ISNUMBER(J194),J194&lt;=EDATE('Scoring Settings'!$B$4,-'Scoring Settings'!$B$5))),"Not in use",IF(AND(ISNUMBER(I194),I194&lt;'Scoring Settings'!$B$6),"Low use","Active"))))</f>
        <v/>
      </c>
      <c r="L194" s="14"/>
      <c r="M194" s="14"/>
      <c r="N194" s="14"/>
      <c r="O194" s="14"/>
      <c r="P194" s="14"/>
      <c r="Q194" s="18"/>
      <c r="R194" s="14"/>
      <c r="S194" s="14"/>
      <c r="T194" s="14"/>
      <c r="U194" s="16"/>
      <c r="V194" s="14"/>
      <c r="W194" s="15"/>
      <c r="X194" s="14"/>
      <c r="Y194" s="18"/>
      <c r="Z194" s="14"/>
      <c r="AA194" s="14"/>
      <c r="AB194" s="18"/>
      <c r="AC194" s="14"/>
      <c r="AD194" s="14"/>
      <c r="AE194" s="14"/>
      <c r="AF194" s="19"/>
      <c r="AG194" s="16"/>
      <c r="AH194" s="19"/>
      <c r="AI194" s="19"/>
      <c r="AJ194" s="20" t="str">
        <f t="shared" si="2"/>
        <v/>
      </c>
      <c r="AK194" s="21" t="str">
        <f>IF(B194="","",OR(K194="Not in use",K194="Low use")+AND(N194&lt;&gt;"",N194&lt;&gt;"TBD")+AND(ISNUMBER(U194),U194&lt;=EDATE('Scoring Settings'!$B$4,'Scoring Settings'!$B$8))+AND(ISNUMBER(L194),L194&lt;='Scoring Settings'!$B$7))</f>
        <v/>
      </c>
      <c r="AL194" s="17" t="str">
        <f>IF(B194="","",IF(K194="Not in use","Priority – Not in use",IF(AK194&gt;='Scoring Settings'!$B$9,"Decommission",IF(AK194=1,"Review","Retain"))))</f>
        <v/>
      </c>
      <c r="AM194" s="17" t="str">
        <f>IF(B194="","",IF(Z194="N","Easy",IF(OR(AND(ISNUMBER(AB194),AB194&gt;'Scoring Settings'!$B$11),AND(ISNUMBER(W194),W194&gt;'Scoring Settings'!$B$12),AND(ISNUMBER(M194),M194&lt;='Scoring Settings'!$B$13)),"High","Medium")))</f>
        <v/>
      </c>
      <c r="AN194" s="14"/>
      <c r="AO194" s="16"/>
      <c r="AP194" s="14"/>
      <c r="AQ194" s="22"/>
    </row>
    <row r="195" spans="1:43">
      <c r="A195" s="14"/>
      <c r="B195" s="14"/>
      <c r="C195" s="14"/>
      <c r="D195" s="14"/>
      <c r="E195" s="14"/>
      <c r="F195" s="14"/>
      <c r="G195" s="14"/>
      <c r="H195" s="14"/>
      <c r="I195" s="15"/>
      <c r="J195" s="16"/>
      <c r="K195" s="17" t="str">
        <f>IF(B195="","",IF(AND(I195="",J195=""),"Unknown",IF(OR(AND(ISNUMBER(I195),I195=0),AND(ISNUMBER(J195),J195&lt;=EDATE('Scoring Settings'!$B$4,-'Scoring Settings'!$B$5))),"Not in use",IF(AND(ISNUMBER(I195),I195&lt;'Scoring Settings'!$B$6),"Low use","Active"))))</f>
        <v/>
      </c>
      <c r="L195" s="14"/>
      <c r="M195" s="14"/>
      <c r="N195" s="14"/>
      <c r="O195" s="14"/>
      <c r="P195" s="14"/>
      <c r="Q195" s="18"/>
      <c r="R195" s="14"/>
      <c r="S195" s="14"/>
      <c r="T195" s="14"/>
      <c r="U195" s="16"/>
      <c r="V195" s="14"/>
      <c r="W195" s="15"/>
      <c r="X195" s="14"/>
      <c r="Y195" s="18"/>
      <c r="Z195" s="14"/>
      <c r="AA195" s="14"/>
      <c r="AB195" s="18"/>
      <c r="AC195" s="14"/>
      <c r="AD195" s="14"/>
      <c r="AE195" s="14"/>
      <c r="AF195" s="19"/>
      <c r="AG195" s="16"/>
      <c r="AH195" s="19"/>
      <c r="AI195" s="19"/>
      <c r="AJ195" s="20" t="str">
        <f t="shared" si="2"/>
        <v/>
      </c>
      <c r="AK195" s="21" t="str">
        <f>IF(B195="","",OR(K195="Not in use",K195="Low use")+AND(N195&lt;&gt;"",N195&lt;&gt;"TBD")+AND(ISNUMBER(U195),U195&lt;=EDATE('Scoring Settings'!$B$4,'Scoring Settings'!$B$8))+AND(ISNUMBER(L195),L195&lt;='Scoring Settings'!$B$7))</f>
        <v/>
      </c>
      <c r="AL195" s="17" t="str">
        <f>IF(B195="","",IF(K195="Not in use","Priority – Not in use",IF(AK195&gt;='Scoring Settings'!$B$9,"Decommission",IF(AK195=1,"Review","Retain"))))</f>
        <v/>
      </c>
      <c r="AM195" s="17" t="str">
        <f>IF(B195="","",IF(Z195="N","Easy",IF(OR(AND(ISNUMBER(AB195),AB195&gt;'Scoring Settings'!$B$11),AND(ISNUMBER(W195),W195&gt;'Scoring Settings'!$B$12),AND(ISNUMBER(M195),M195&lt;='Scoring Settings'!$B$13)),"High","Medium")))</f>
        <v/>
      </c>
      <c r="AN195" s="14"/>
      <c r="AO195" s="16"/>
      <c r="AP195" s="14"/>
      <c r="AQ195" s="22"/>
    </row>
    <row r="196" spans="1:43">
      <c r="A196" s="14"/>
      <c r="B196" s="14"/>
      <c r="C196" s="14"/>
      <c r="D196" s="14"/>
      <c r="E196" s="14"/>
      <c r="F196" s="14"/>
      <c r="G196" s="14"/>
      <c r="H196" s="14"/>
      <c r="I196" s="15"/>
      <c r="J196" s="16"/>
      <c r="K196" s="17" t="str">
        <f>IF(B196="","",IF(AND(I196="",J196=""),"Unknown",IF(OR(AND(ISNUMBER(I196),I196=0),AND(ISNUMBER(J196),J196&lt;=EDATE('Scoring Settings'!$B$4,-'Scoring Settings'!$B$5))),"Not in use",IF(AND(ISNUMBER(I196),I196&lt;'Scoring Settings'!$B$6),"Low use","Active"))))</f>
        <v/>
      </c>
      <c r="L196" s="14"/>
      <c r="M196" s="14"/>
      <c r="N196" s="14"/>
      <c r="O196" s="14"/>
      <c r="P196" s="14"/>
      <c r="Q196" s="18"/>
      <c r="R196" s="14"/>
      <c r="S196" s="14"/>
      <c r="T196" s="14"/>
      <c r="U196" s="16"/>
      <c r="V196" s="14"/>
      <c r="W196" s="15"/>
      <c r="X196" s="14"/>
      <c r="Y196" s="18"/>
      <c r="Z196" s="14"/>
      <c r="AA196" s="14"/>
      <c r="AB196" s="18"/>
      <c r="AC196" s="14"/>
      <c r="AD196" s="14"/>
      <c r="AE196" s="14"/>
      <c r="AF196" s="19"/>
      <c r="AG196" s="16"/>
      <c r="AH196" s="19"/>
      <c r="AI196" s="19"/>
      <c r="AJ196" s="20" t="str">
        <f t="shared" si="2"/>
        <v/>
      </c>
      <c r="AK196" s="21" t="str">
        <f>IF(B196="","",OR(K196="Not in use",K196="Low use")+AND(N196&lt;&gt;"",N196&lt;&gt;"TBD")+AND(ISNUMBER(U196),U196&lt;=EDATE('Scoring Settings'!$B$4,'Scoring Settings'!$B$8))+AND(ISNUMBER(L196),L196&lt;='Scoring Settings'!$B$7))</f>
        <v/>
      </c>
      <c r="AL196" s="17" t="str">
        <f>IF(B196="","",IF(K196="Not in use","Priority – Not in use",IF(AK196&gt;='Scoring Settings'!$B$9,"Decommission",IF(AK196=1,"Review","Retain"))))</f>
        <v/>
      </c>
      <c r="AM196" s="17" t="str">
        <f>IF(B196="","",IF(Z196="N","Easy",IF(OR(AND(ISNUMBER(AB196),AB196&gt;'Scoring Settings'!$B$11),AND(ISNUMBER(W196),W196&gt;'Scoring Settings'!$B$12),AND(ISNUMBER(M196),M196&lt;='Scoring Settings'!$B$13)),"High","Medium")))</f>
        <v/>
      </c>
      <c r="AN196" s="14"/>
      <c r="AO196" s="16"/>
      <c r="AP196" s="14"/>
      <c r="AQ196" s="22"/>
    </row>
    <row r="197" spans="1:43">
      <c r="A197" s="14"/>
      <c r="B197" s="14"/>
      <c r="C197" s="14"/>
      <c r="D197" s="14"/>
      <c r="E197" s="14"/>
      <c r="F197" s="14"/>
      <c r="G197" s="14"/>
      <c r="H197" s="14"/>
      <c r="I197" s="15"/>
      <c r="J197" s="16"/>
      <c r="K197" s="17" t="str">
        <f>IF(B197="","",IF(AND(I197="",J197=""),"Unknown",IF(OR(AND(ISNUMBER(I197),I197=0),AND(ISNUMBER(J197),J197&lt;=EDATE('Scoring Settings'!$B$4,-'Scoring Settings'!$B$5))),"Not in use",IF(AND(ISNUMBER(I197),I197&lt;'Scoring Settings'!$B$6),"Low use","Active"))))</f>
        <v/>
      </c>
      <c r="L197" s="14"/>
      <c r="M197" s="14"/>
      <c r="N197" s="14"/>
      <c r="O197" s="14"/>
      <c r="P197" s="14"/>
      <c r="Q197" s="18"/>
      <c r="R197" s="14"/>
      <c r="S197" s="14"/>
      <c r="T197" s="14"/>
      <c r="U197" s="16"/>
      <c r="V197" s="14"/>
      <c r="W197" s="15"/>
      <c r="X197" s="14"/>
      <c r="Y197" s="18"/>
      <c r="Z197" s="14"/>
      <c r="AA197" s="14"/>
      <c r="AB197" s="18"/>
      <c r="AC197" s="14"/>
      <c r="AD197" s="14"/>
      <c r="AE197" s="14"/>
      <c r="AF197" s="19"/>
      <c r="AG197" s="16"/>
      <c r="AH197" s="19"/>
      <c r="AI197" s="19"/>
      <c r="AJ197" s="20" t="str">
        <f t="shared" ref="AJ197:AJ260" si="3">IF(AND(ISNUMBER(AH197),ISNUMBER(AI197),N(AI197)&gt;0),AH197/AI197*12,"")</f>
        <v/>
      </c>
      <c r="AK197" s="21" t="str">
        <f>IF(B197="","",OR(K197="Not in use",K197="Low use")+AND(N197&lt;&gt;"",N197&lt;&gt;"TBD")+AND(ISNUMBER(U197),U197&lt;=EDATE('Scoring Settings'!$B$4,'Scoring Settings'!$B$8))+AND(ISNUMBER(L197),L197&lt;='Scoring Settings'!$B$7))</f>
        <v/>
      </c>
      <c r="AL197" s="17" t="str">
        <f>IF(B197="","",IF(K197="Not in use","Priority – Not in use",IF(AK197&gt;='Scoring Settings'!$B$9,"Decommission",IF(AK197=1,"Review","Retain"))))</f>
        <v/>
      </c>
      <c r="AM197" s="17" t="str">
        <f>IF(B197="","",IF(Z197="N","Easy",IF(OR(AND(ISNUMBER(AB197),AB197&gt;'Scoring Settings'!$B$11),AND(ISNUMBER(W197),W197&gt;'Scoring Settings'!$B$12),AND(ISNUMBER(M197),M197&lt;='Scoring Settings'!$B$13)),"High","Medium")))</f>
        <v/>
      </c>
      <c r="AN197" s="14"/>
      <c r="AO197" s="16"/>
      <c r="AP197" s="14"/>
      <c r="AQ197" s="22"/>
    </row>
    <row r="198" spans="1:43">
      <c r="A198" s="14"/>
      <c r="B198" s="14"/>
      <c r="C198" s="14"/>
      <c r="D198" s="14"/>
      <c r="E198" s="14"/>
      <c r="F198" s="14"/>
      <c r="G198" s="14"/>
      <c r="H198" s="14"/>
      <c r="I198" s="15"/>
      <c r="J198" s="16"/>
      <c r="K198" s="17" t="str">
        <f>IF(B198="","",IF(AND(I198="",J198=""),"Unknown",IF(OR(AND(ISNUMBER(I198),I198=0),AND(ISNUMBER(J198),J198&lt;=EDATE('Scoring Settings'!$B$4,-'Scoring Settings'!$B$5))),"Not in use",IF(AND(ISNUMBER(I198),I198&lt;'Scoring Settings'!$B$6),"Low use","Active"))))</f>
        <v/>
      </c>
      <c r="L198" s="14"/>
      <c r="M198" s="14"/>
      <c r="N198" s="14"/>
      <c r="O198" s="14"/>
      <c r="P198" s="14"/>
      <c r="Q198" s="18"/>
      <c r="R198" s="14"/>
      <c r="S198" s="14"/>
      <c r="T198" s="14"/>
      <c r="U198" s="16"/>
      <c r="V198" s="14"/>
      <c r="W198" s="15"/>
      <c r="X198" s="14"/>
      <c r="Y198" s="18"/>
      <c r="Z198" s="14"/>
      <c r="AA198" s="14"/>
      <c r="AB198" s="18"/>
      <c r="AC198" s="14"/>
      <c r="AD198" s="14"/>
      <c r="AE198" s="14"/>
      <c r="AF198" s="19"/>
      <c r="AG198" s="16"/>
      <c r="AH198" s="19"/>
      <c r="AI198" s="19"/>
      <c r="AJ198" s="20" t="str">
        <f t="shared" si="3"/>
        <v/>
      </c>
      <c r="AK198" s="21" t="str">
        <f>IF(B198="","",OR(K198="Not in use",K198="Low use")+AND(N198&lt;&gt;"",N198&lt;&gt;"TBD")+AND(ISNUMBER(U198),U198&lt;=EDATE('Scoring Settings'!$B$4,'Scoring Settings'!$B$8))+AND(ISNUMBER(L198),L198&lt;='Scoring Settings'!$B$7))</f>
        <v/>
      </c>
      <c r="AL198" s="17" t="str">
        <f>IF(B198="","",IF(K198="Not in use","Priority – Not in use",IF(AK198&gt;='Scoring Settings'!$B$9,"Decommission",IF(AK198=1,"Review","Retain"))))</f>
        <v/>
      </c>
      <c r="AM198" s="17" t="str">
        <f>IF(B198="","",IF(Z198="N","Easy",IF(OR(AND(ISNUMBER(AB198),AB198&gt;'Scoring Settings'!$B$11),AND(ISNUMBER(W198),W198&gt;'Scoring Settings'!$B$12),AND(ISNUMBER(M198),M198&lt;='Scoring Settings'!$B$13)),"High","Medium")))</f>
        <v/>
      </c>
      <c r="AN198" s="14"/>
      <c r="AO198" s="16"/>
      <c r="AP198" s="14"/>
      <c r="AQ198" s="22"/>
    </row>
    <row r="199" spans="1:43">
      <c r="A199" s="14"/>
      <c r="B199" s="14"/>
      <c r="C199" s="14"/>
      <c r="D199" s="14"/>
      <c r="E199" s="14"/>
      <c r="F199" s="14"/>
      <c r="G199" s="14"/>
      <c r="H199" s="14"/>
      <c r="I199" s="15"/>
      <c r="J199" s="16"/>
      <c r="K199" s="17" t="str">
        <f>IF(B199="","",IF(AND(I199="",J199=""),"Unknown",IF(OR(AND(ISNUMBER(I199),I199=0),AND(ISNUMBER(J199),J199&lt;=EDATE('Scoring Settings'!$B$4,-'Scoring Settings'!$B$5))),"Not in use",IF(AND(ISNUMBER(I199),I199&lt;'Scoring Settings'!$B$6),"Low use","Active"))))</f>
        <v/>
      </c>
      <c r="L199" s="14"/>
      <c r="M199" s="14"/>
      <c r="N199" s="14"/>
      <c r="O199" s="14"/>
      <c r="P199" s="14"/>
      <c r="Q199" s="18"/>
      <c r="R199" s="14"/>
      <c r="S199" s="14"/>
      <c r="T199" s="14"/>
      <c r="U199" s="16"/>
      <c r="V199" s="14"/>
      <c r="W199" s="15"/>
      <c r="X199" s="14"/>
      <c r="Y199" s="18"/>
      <c r="Z199" s="14"/>
      <c r="AA199" s="14"/>
      <c r="AB199" s="18"/>
      <c r="AC199" s="14"/>
      <c r="AD199" s="14"/>
      <c r="AE199" s="14"/>
      <c r="AF199" s="19"/>
      <c r="AG199" s="16"/>
      <c r="AH199" s="19"/>
      <c r="AI199" s="19"/>
      <c r="AJ199" s="20" t="str">
        <f t="shared" si="3"/>
        <v/>
      </c>
      <c r="AK199" s="21" t="str">
        <f>IF(B199="","",OR(K199="Not in use",K199="Low use")+AND(N199&lt;&gt;"",N199&lt;&gt;"TBD")+AND(ISNUMBER(U199),U199&lt;=EDATE('Scoring Settings'!$B$4,'Scoring Settings'!$B$8))+AND(ISNUMBER(L199),L199&lt;='Scoring Settings'!$B$7))</f>
        <v/>
      </c>
      <c r="AL199" s="17" t="str">
        <f>IF(B199="","",IF(K199="Not in use","Priority – Not in use",IF(AK199&gt;='Scoring Settings'!$B$9,"Decommission",IF(AK199=1,"Review","Retain"))))</f>
        <v/>
      </c>
      <c r="AM199" s="17" t="str">
        <f>IF(B199="","",IF(Z199="N","Easy",IF(OR(AND(ISNUMBER(AB199),AB199&gt;'Scoring Settings'!$B$11),AND(ISNUMBER(W199),W199&gt;'Scoring Settings'!$B$12),AND(ISNUMBER(M199),M199&lt;='Scoring Settings'!$B$13)),"High","Medium")))</f>
        <v/>
      </c>
      <c r="AN199" s="14"/>
      <c r="AO199" s="16"/>
      <c r="AP199" s="14"/>
      <c r="AQ199" s="22"/>
    </row>
    <row r="200" spans="1:43">
      <c r="A200" s="14"/>
      <c r="B200" s="14"/>
      <c r="C200" s="14"/>
      <c r="D200" s="14"/>
      <c r="E200" s="14"/>
      <c r="F200" s="14"/>
      <c r="G200" s="14"/>
      <c r="H200" s="14"/>
      <c r="I200" s="15"/>
      <c r="J200" s="16"/>
      <c r="K200" s="17" t="str">
        <f>IF(B200="","",IF(AND(I200="",J200=""),"Unknown",IF(OR(AND(ISNUMBER(I200),I200=0),AND(ISNUMBER(J200),J200&lt;=EDATE('Scoring Settings'!$B$4,-'Scoring Settings'!$B$5))),"Not in use",IF(AND(ISNUMBER(I200),I200&lt;'Scoring Settings'!$B$6),"Low use","Active"))))</f>
        <v/>
      </c>
      <c r="L200" s="14"/>
      <c r="M200" s="14"/>
      <c r="N200" s="14"/>
      <c r="O200" s="14"/>
      <c r="P200" s="14"/>
      <c r="Q200" s="18"/>
      <c r="R200" s="14"/>
      <c r="S200" s="14"/>
      <c r="T200" s="14"/>
      <c r="U200" s="16"/>
      <c r="V200" s="14"/>
      <c r="W200" s="15"/>
      <c r="X200" s="14"/>
      <c r="Y200" s="18"/>
      <c r="Z200" s="14"/>
      <c r="AA200" s="14"/>
      <c r="AB200" s="18"/>
      <c r="AC200" s="14"/>
      <c r="AD200" s="14"/>
      <c r="AE200" s="14"/>
      <c r="AF200" s="19"/>
      <c r="AG200" s="16"/>
      <c r="AH200" s="19"/>
      <c r="AI200" s="19"/>
      <c r="AJ200" s="20" t="str">
        <f t="shared" si="3"/>
        <v/>
      </c>
      <c r="AK200" s="21" t="str">
        <f>IF(B200="","",OR(K200="Not in use",K200="Low use")+AND(N200&lt;&gt;"",N200&lt;&gt;"TBD")+AND(ISNUMBER(U200),U200&lt;=EDATE('Scoring Settings'!$B$4,'Scoring Settings'!$B$8))+AND(ISNUMBER(L200),L200&lt;='Scoring Settings'!$B$7))</f>
        <v/>
      </c>
      <c r="AL200" s="17" t="str">
        <f>IF(B200="","",IF(K200="Not in use","Priority – Not in use",IF(AK200&gt;='Scoring Settings'!$B$9,"Decommission",IF(AK200=1,"Review","Retain"))))</f>
        <v/>
      </c>
      <c r="AM200" s="17" t="str">
        <f>IF(B200="","",IF(Z200="N","Easy",IF(OR(AND(ISNUMBER(AB200),AB200&gt;'Scoring Settings'!$B$11),AND(ISNUMBER(W200),W200&gt;'Scoring Settings'!$B$12),AND(ISNUMBER(M200),M200&lt;='Scoring Settings'!$B$13)),"High","Medium")))</f>
        <v/>
      </c>
      <c r="AN200" s="14"/>
      <c r="AO200" s="16"/>
      <c r="AP200" s="14"/>
      <c r="AQ200" s="22"/>
    </row>
    <row r="201" spans="1:43">
      <c r="A201" s="14"/>
      <c r="B201" s="14"/>
      <c r="C201" s="14"/>
      <c r="D201" s="14"/>
      <c r="E201" s="14"/>
      <c r="F201" s="14"/>
      <c r="G201" s="14"/>
      <c r="H201" s="14"/>
      <c r="I201" s="15"/>
      <c r="J201" s="16"/>
      <c r="K201" s="17" t="str">
        <f>IF(B201="","",IF(AND(I201="",J201=""),"Unknown",IF(OR(AND(ISNUMBER(I201),I201=0),AND(ISNUMBER(J201),J201&lt;=EDATE('Scoring Settings'!$B$4,-'Scoring Settings'!$B$5))),"Not in use",IF(AND(ISNUMBER(I201),I201&lt;'Scoring Settings'!$B$6),"Low use","Active"))))</f>
        <v/>
      </c>
      <c r="L201" s="14"/>
      <c r="M201" s="14"/>
      <c r="N201" s="14"/>
      <c r="O201" s="14"/>
      <c r="P201" s="14"/>
      <c r="Q201" s="18"/>
      <c r="R201" s="14"/>
      <c r="S201" s="14"/>
      <c r="T201" s="14"/>
      <c r="U201" s="16"/>
      <c r="V201" s="14"/>
      <c r="W201" s="15"/>
      <c r="X201" s="14"/>
      <c r="Y201" s="18"/>
      <c r="Z201" s="14"/>
      <c r="AA201" s="14"/>
      <c r="AB201" s="18"/>
      <c r="AC201" s="14"/>
      <c r="AD201" s="14"/>
      <c r="AE201" s="14"/>
      <c r="AF201" s="19"/>
      <c r="AG201" s="16"/>
      <c r="AH201" s="19"/>
      <c r="AI201" s="19"/>
      <c r="AJ201" s="20" t="str">
        <f t="shared" si="3"/>
        <v/>
      </c>
      <c r="AK201" s="21" t="str">
        <f>IF(B201="","",OR(K201="Not in use",K201="Low use")+AND(N201&lt;&gt;"",N201&lt;&gt;"TBD")+AND(ISNUMBER(U201),U201&lt;=EDATE('Scoring Settings'!$B$4,'Scoring Settings'!$B$8))+AND(ISNUMBER(L201),L201&lt;='Scoring Settings'!$B$7))</f>
        <v/>
      </c>
      <c r="AL201" s="17" t="str">
        <f>IF(B201="","",IF(K201="Not in use","Priority – Not in use",IF(AK201&gt;='Scoring Settings'!$B$9,"Decommission",IF(AK201=1,"Review","Retain"))))</f>
        <v/>
      </c>
      <c r="AM201" s="17" t="str">
        <f>IF(B201="","",IF(Z201="N","Easy",IF(OR(AND(ISNUMBER(AB201),AB201&gt;'Scoring Settings'!$B$11),AND(ISNUMBER(W201),W201&gt;'Scoring Settings'!$B$12),AND(ISNUMBER(M201),M201&lt;='Scoring Settings'!$B$13)),"High","Medium")))</f>
        <v/>
      </c>
      <c r="AN201" s="14"/>
      <c r="AO201" s="16"/>
      <c r="AP201" s="14"/>
      <c r="AQ201" s="22"/>
    </row>
    <row r="202" spans="1:43">
      <c r="A202" s="14"/>
      <c r="B202" s="14"/>
      <c r="C202" s="14"/>
      <c r="D202" s="14"/>
      <c r="E202" s="14"/>
      <c r="F202" s="14"/>
      <c r="G202" s="14"/>
      <c r="H202" s="14"/>
      <c r="I202" s="15"/>
      <c r="J202" s="16"/>
      <c r="K202" s="17" t="str">
        <f>IF(B202="","",IF(AND(I202="",J202=""),"Unknown",IF(OR(AND(ISNUMBER(I202),I202=0),AND(ISNUMBER(J202),J202&lt;=EDATE('Scoring Settings'!$B$4,-'Scoring Settings'!$B$5))),"Not in use",IF(AND(ISNUMBER(I202),I202&lt;'Scoring Settings'!$B$6),"Low use","Active"))))</f>
        <v/>
      </c>
      <c r="L202" s="14"/>
      <c r="M202" s="14"/>
      <c r="N202" s="14"/>
      <c r="O202" s="14"/>
      <c r="P202" s="14"/>
      <c r="Q202" s="18"/>
      <c r="R202" s="14"/>
      <c r="S202" s="14"/>
      <c r="T202" s="14"/>
      <c r="U202" s="16"/>
      <c r="V202" s="14"/>
      <c r="W202" s="15"/>
      <c r="X202" s="14"/>
      <c r="Y202" s="18"/>
      <c r="Z202" s="14"/>
      <c r="AA202" s="14"/>
      <c r="AB202" s="18"/>
      <c r="AC202" s="14"/>
      <c r="AD202" s="14"/>
      <c r="AE202" s="14"/>
      <c r="AF202" s="19"/>
      <c r="AG202" s="16"/>
      <c r="AH202" s="19"/>
      <c r="AI202" s="19"/>
      <c r="AJ202" s="20" t="str">
        <f t="shared" si="3"/>
        <v/>
      </c>
      <c r="AK202" s="21" t="str">
        <f>IF(B202="","",OR(K202="Not in use",K202="Low use")+AND(N202&lt;&gt;"",N202&lt;&gt;"TBD")+AND(ISNUMBER(U202),U202&lt;=EDATE('Scoring Settings'!$B$4,'Scoring Settings'!$B$8))+AND(ISNUMBER(L202),L202&lt;='Scoring Settings'!$B$7))</f>
        <v/>
      </c>
      <c r="AL202" s="17" t="str">
        <f>IF(B202="","",IF(K202="Not in use","Priority – Not in use",IF(AK202&gt;='Scoring Settings'!$B$9,"Decommission",IF(AK202=1,"Review","Retain"))))</f>
        <v/>
      </c>
      <c r="AM202" s="17" t="str">
        <f>IF(B202="","",IF(Z202="N","Easy",IF(OR(AND(ISNUMBER(AB202),AB202&gt;'Scoring Settings'!$B$11),AND(ISNUMBER(W202),W202&gt;'Scoring Settings'!$B$12),AND(ISNUMBER(M202),M202&lt;='Scoring Settings'!$B$13)),"High","Medium")))</f>
        <v/>
      </c>
      <c r="AN202" s="14"/>
      <c r="AO202" s="16"/>
      <c r="AP202" s="14"/>
      <c r="AQ202" s="22"/>
    </row>
    <row r="203" spans="1:43">
      <c r="A203" s="14"/>
      <c r="B203" s="14"/>
      <c r="C203" s="14"/>
      <c r="D203" s="14"/>
      <c r="E203" s="14"/>
      <c r="F203" s="14"/>
      <c r="G203" s="14"/>
      <c r="H203" s="14"/>
      <c r="I203" s="15"/>
      <c r="J203" s="16"/>
      <c r="K203" s="17" t="str">
        <f>IF(B203="","",IF(AND(I203="",J203=""),"Unknown",IF(OR(AND(ISNUMBER(I203),I203=0),AND(ISNUMBER(J203),J203&lt;=EDATE('Scoring Settings'!$B$4,-'Scoring Settings'!$B$5))),"Not in use",IF(AND(ISNUMBER(I203),I203&lt;'Scoring Settings'!$B$6),"Low use","Active"))))</f>
        <v/>
      </c>
      <c r="L203" s="14"/>
      <c r="M203" s="14"/>
      <c r="N203" s="14"/>
      <c r="O203" s="14"/>
      <c r="P203" s="14"/>
      <c r="Q203" s="18"/>
      <c r="R203" s="14"/>
      <c r="S203" s="14"/>
      <c r="T203" s="14"/>
      <c r="U203" s="16"/>
      <c r="V203" s="14"/>
      <c r="W203" s="15"/>
      <c r="X203" s="14"/>
      <c r="Y203" s="18"/>
      <c r="Z203" s="14"/>
      <c r="AA203" s="14"/>
      <c r="AB203" s="18"/>
      <c r="AC203" s="14"/>
      <c r="AD203" s="14"/>
      <c r="AE203" s="14"/>
      <c r="AF203" s="19"/>
      <c r="AG203" s="16"/>
      <c r="AH203" s="19"/>
      <c r="AI203" s="19"/>
      <c r="AJ203" s="20" t="str">
        <f t="shared" si="3"/>
        <v/>
      </c>
      <c r="AK203" s="21" t="str">
        <f>IF(B203="","",OR(K203="Not in use",K203="Low use")+AND(N203&lt;&gt;"",N203&lt;&gt;"TBD")+AND(ISNUMBER(U203),U203&lt;=EDATE('Scoring Settings'!$B$4,'Scoring Settings'!$B$8))+AND(ISNUMBER(L203),L203&lt;='Scoring Settings'!$B$7))</f>
        <v/>
      </c>
      <c r="AL203" s="17" t="str">
        <f>IF(B203="","",IF(K203="Not in use","Priority – Not in use",IF(AK203&gt;='Scoring Settings'!$B$9,"Decommission",IF(AK203=1,"Review","Retain"))))</f>
        <v/>
      </c>
      <c r="AM203" s="17" t="str">
        <f>IF(B203="","",IF(Z203="N","Easy",IF(OR(AND(ISNUMBER(AB203),AB203&gt;'Scoring Settings'!$B$11),AND(ISNUMBER(W203),W203&gt;'Scoring Settings'!$B$12),AND(ISNUMBER(M203),M203&lt;='Scoring Settings'!$B$13)),"High","Medium")))</f>
        <v/>
      </c>
      <c r="AN203" s="14"/>
      <c r="AO203" s="16"/>
      <c r="AP203" s="14"/>
      <c r="AQ203" s="22"/>
    </row>
    <row r="204" spans="1:43">
      <c r="A204" s="14"/>
      <c r="B204" s="14"/>
      <c r="C204" s="14"/>
      <c r="D204" s="14"/>
      <c r="E204" s="14"/>
      <c r="F204" s="14"/>
      <c r="G204" s="14"/>
      <c r="H204" s="14"/>
      <c r="I204" s="15"/>
      <c r="J204" s="16"/>
      <c r="K204" s="17" t="str">
        <f>IF(B204="","",IF(AND(I204="",J204=""),"Unknown",IF(OR(AND(ISNUMBER(I204),I204=0),AND(ISNUMBER(J204),J204&lt;=EDATE('Scoring Settings'!$B$4,-'Scoring Settings'!$B$5))),"Not in use",IF(AND(ISNUMBER(I204),I204&lt;'Scoring Settings'!$B$6),"Low use","Active"))))</f>
        <v/>
      </c>
      <c r="L204" s="14"/>
      <c r="M204" s="14"/>
      <c r="N204" s="14"/>
      <c r="O204" s="14"/>
      <c r="P204" s="14"/>
      <c r="Q204" s="18"/>
      <c r="R204" s="14"/>
      <c r="S204" s="14"/>
      <c r="T204" s="14"/>
      <c r="U204" s="16"/>
      <c r="V204" s="14"/>
      <c r="W204" s="15"/>
      <c r="X204" s="14"/>
      <c r="Y204" s="18"/>
      <c r="Z204" s="14"/>
      <c r="AA204" s="14"/>
      <c r="AB204" s="18"/>
      <c r="AC204" s="14"/>
      <c r="AD204" s="14"/>
      <c r="AE204" s="14"/>
      <c r="AF204" s="19"/>
      <c r="AG204" s="16"/>
      <c r="AH204" s="19"/>
      <c r="AI204" s="19"/>
      <c r="AJ204" s="20" t="str">
        <f t="shared" si="3"/>
        <v/>
      </c>
      <c r="AK204" s="21" t="str">
        <f>IF(B204="","",OR(K204="Not in use",K204="Low use")+AND(N204&lt;&gt;"",N204&lt;&gt;"TBD")+AND(ISNUMBER(U204),U204&lt;=EDATE('Scoring Settings'!$B$4,'Scoring Settings'!$B$8))+AND(ISNUMBER(L204),L204&lt;='Scoring Settings'!$B$7))</f>
        <v/>
      </c>
      <c r="AL204" s="17" t="str">
        <f>IF(B204="","",IF(K204="Not in use","Priority – Not in use",IF(AK204&gt;='Scoring Settings'!$B$9,"Decommission",IF(AK204=1,"Review","Retain"))))</f>
        <v/>
      </c>
      <c r="AM204" s="17" t="str">
        <f>IF(B204="","",IF(Z204="N","Easy",IF(OR(AND(ISNUMBER(AB204),AB204&gt;'Scoring Settings'!$B$11),AND(ISNUMBER(W204),W204&gt;'Scoring Settings'!$B$12),AND(ISNUMBER(M204),M204&lt;='Scoring Settings'!$B$13)),"High","Medium")))</f>
        <v/>
      </c>
      <c r="AN204" s="14"/>
      <c r="AO204" s="16"/>
      <c r="AP204" s="14"/>
      <c r="AQ204" s="22"/>
    </row>
    <row r="205" spans="1:43">
      <c r="A205" s="14"/>
      <c r="B205" s="14"/>
      <c r="C205" s="14"/>
      <c r="D205" s="14"/>
      <c r="E205" s="14"/>
      <c r="F205" s="14"/>
      <c r="G205" s="14"/>
      <c r="H205" s="14"/>
      <c r="I205" s="15"/>
      <c r="J205" s="16"/>
      <c r="K205" s="17" t="str">
        <f>IF(B205="","",IF(AND(I205="",J205=""),"Unknown",IF(OR(AND(ISNUMBER(I205),I205=0),AND(ISNUMBER(J205),J205&lt;=EDATE('Scoring Settings'!$B$4,-'Scoring Settings'!$B$5))),"Not in use",IF(AND(ISNUMBER(I205),I205&lt;'Scoring Settings'!$B$6),"Low use","Active"))))</f>
        <v/>
      </c>
      <c r="L205" s="14"/>
      <c r="M205" s="14"/>
      <c r="N205" s="14"/>
      <c r="O205" s="14"/>
      <c r="P205" s="14"/>
      <c r="Q205" s="18"/>
      <c r="R205" s="14"/>
      <c r="S205" s="14"/>
      <c r="T205" s="14"/>
      <c r="U205" s="16"/>
      <c r="V205" s="14"/>
      <c r="W205" s="15"/>
      <c r="X205" s="14"/>
      <c r="Y205" s="18"/>
      <c r="Z205" s="14"/>
      <c r="AA205" s="14"/>
      <c r="AB205" s="18"/>
      <c r="AC205" s="14"/>
      <c r="AD205" s="14"/>
      <c r="AE205" s="14"/>
      <c r="AF205" s="19"/>
      <c r="AG205" s="16"/>
      <c r="AH205" s="19"/>
      <c r="AI205" s="19"/>
      <c r="AJ205" s="20" t="str">
        <f t="shared" si="3"/>
        <v/>
      </c>
      <c r="AK205" s="21" t="str">
        <f>IF(B205="","",OR(K205="Not in use",K205="Low use")+AND(N205&lt;&gt;"",N205&lt;&gt;"TBD")+AND(ISNUMBER(U205),U205&lt;=EDATE('Scoring Settings'!$B$4,'Scoring Settings'!$B$8))+AND(ISNUMBER(L205),L205&lt;='Scoring Settings'!$B$7))</f>
        <v/>
      </c>
      <c r="AL205" s="17" t="str">
        <f>IF(B205="","",IF(K205="Not in use","Priority – Not in use",IF(AK205&gt;='Scoring Settings'!$B$9,"Decommission",IF(AK205=1,"Review","Retain"))))</f>
        <v/>
      </c>
      <c r="AM205" s="17" t="str">
        <f>IF(B205="","",IF(Z205="N","Easy",IF(OR(AND(ISNUMBER(AB205),AB205&gt;'Scoring Settings'!$B$11),AND(ISNUMBER(W205),W205&gt;'Scoring Settings'!$B$12),AND(ISNUMBER(M205),M205&lt;='Scoring Settings'!$B$13)),"High","Medium")))</f>
        <v/>
      </c>
      <c r="AN205" s="14"/>
      <c r="AO205" s="16"/>
      <c r="AP205" s="14"/>
      <c r="AQ205" s="22"/>
    </row>
    <row r="206" spans="1:43">
      <c r="A206" s="14"/>
      <c r="B206" s="14"/>
      <c r="C206" s="14"/>
      <c r="D206" s="14"/>
      <c r="E206" s="14"/>
      <c r="F206" s="14"/>
      <c r="G206" s="14"/>
      <c r="H206" s="14"/>
      <c r="I206" s="15"/>
      <c r="J206" s="16"/>
      <c r="K206" s="17" t="str">
        <f>IF(B206="","",IF(AND(I206="",J206=""),"Unknown",IF(OR(AND(ISNUMBER(I206),I206=0),AND(ISNUMBER(J206),J206&lt;=EDATE('Scoring Settings'!$B$4,-'Scoring Settings'!$B$5))),"Not in use",IF(AND(ISNUMBER(I206),I206&lt;'Scoring Settings'!$B$6),"Low use","Active"))))</f>
        <v/>
      </c>
      <c r="L206" s="14"/>
      <c r="M206" s="14"/>
      <c r="N206" s="14"/>
      <c r="O206" s="14"/>
      <c r="P206" s="14"/>
      <c r="Q206" s="18"/>
      <c r="R206" s="14"/>
      <c r="S206" s="14"/>
      <c r="T206" s="14"/>
      <c r="U206" s="16"/>
      <c r="V206" s="14"/>
      <c r="W206" s="15"/>
      <c r="X206" s="14"/>
      <c r="Y206" s="18"/>
      <c r="Z206" s="14"/>
      <c r="AA206" s="14"/>
      <c r="AB206" s="18"/>
      <c r="AC206" s="14"/>
      <c r="AD206" s="14"/>
      <c r="AE206" s="14"/>
      <c r="AF206" s="19"/>
      <c r="AG206" s="16"/>
      <c r="AH206" s="19"/>
      <c r="AI206" s="19"/>
      <c r="AJ206" s="20" t="str">
        <f t="shared" si="3"/>
        <v/>
      </c>
      <c r="AK206" s="21" t="str">
        <f>IF(B206="","",OR(K206="Not in use",K206="Low use")+AND(N206&lt;&gt;"",N206&lt;&gt;"TBD")+AND(ISNUMBER(U206),U206&lt;=EDATE('Scoring Settings'!$B$4,'Scoring Settings'!$B$8))+AND(ISNUMBER(L206),L206&lt;='Scoring Settings'!$B$7))</f>
        <v/>
      </c>
      <c r="AL206" s="17" t="str">
        <f>IF(B206="","",IF(K206="Not in use","Priority – Not in use",IF(AK206&gt;='Scoring Settings'!$B$9,"Decommission",IF(AK206=1,"Review","Retain"))))</f>
        <v/>
      </c>
      <c r="AM206" s="17" t="str">
        <f>IF(B206="","",IF(Z206="N","Easy",IF(OR(AND(ISNUMBER(AB206),AB206&gt;'Scoring Settings'!$B$11),AND(ISNUMBER(W206),W206&gt;'Scoring Settings'!$B$12),AND(ISNUMBER(M206),M206&lt;='Scoring Settings'!$B$13)),"High","Medium")))</f>
        <v/>
      </c>
      <c r="AN206" s="14"/>
      <c r="AO206" s="16"/>
      <c r="AP206" s="14"/>
      <c r="AQ206" s="22"/>
    </row>
    <row r="207" spans="1:43">
      <c r="A207" s="14"/>
      <c r="B207" s="14"/>
      <c r="C207" s="14"/>
      <c r="D207" s="14"/>
      <c r="E207" s="14"/>
      <c r="F207" s="14"/>
      <c r="G207" s="14"/>
      <c r="H207" s="14"/>
      <c r="I207" s="15"/>
      <c r="J207" s="16"/>
      <c r="K207" s="17" t="str">
        <f>IF(B207="","",IF(AND(I207="",J207=""),"Unknown",IF(OR(AND(ISNUMBER(I207),I207=0),AND(ISNUMBER(J207),J207&lt;=EDATE('Scoring Settings'!$B$4,-'Scoring Settings'!$B$5))),"Not in use",IF(AND(ISNUMBER(I207),I207&lt;'Scoring Settings'!$B$6),"Low use","Active"))))</f>
        <v/>
      </c>
      <c r="L207" s="14"/>
      <c r="M207" s="14"/>
      <c r="N207" s="14"/>
      <c r="O207" s="14"/>
      <c r="P207" s="14"/>
      <c r="Q207" s="18"/>
      <c r="R207" s="14"/>
      <c r="S207" s="14"/>
      <c r="T207" s="14"/>
      <c r="U207" s="16"/>
      <c r="V207" s="14"/>
      <c r="W207" s="15"/>
      <c r="X207" s="14"/>
      <c r="Y207" s="18"/>
      <c r="Z207" s="14"/>
      <c r="AA207" s="14"/>
      <c r="AB207" s="18"/>
      <c r="AC207" s="14"/>
      <c r="AD207" s="14"/>
      <c r="AE207" s="14"/>
      <c r="AF207" s="19"/>
      <c r="AG207" s="16"/>
      <c r="AH207" s="19"/>
      <c r="AI207" s="19"/>
      <c r="AJ207" s="20" t="str">
        <f t="shared" si="3"/>
        <v/>
      </c>
      <c r="AK207" s="21" t="str">
        <f>IF(B207="","",OR(K207="Not in use",K207="Low use")+AND(N207&lt;&gt;"",N207&lt;&gt;"TBD")+AND(ISNUMBER(U207),U207&lt;=EDATE('Scoring Settings'!$B$4,'Scoring Settings'!$B$8))+AND(ISNUMBER(L207),L207&lt;='Scoring Settings'!$B$7))</f>
        <v/>
      </c>
      <c r="AL207" s="17" t="str">
        <f>IF(B207="","",IF(K207="Not in use","Priority – Not in use",IF(AK207&gt;='Scoring Settings'!$B$9,"Decommission",IF(AK207=1,"Review","Retain"))))</f>
        <v/>
      </c>
      <c r="AM207" s="17" t="str">
        <f>IF(B207="","",IF(Z207="N","Easy",IF(OR(AND(ISNUMBER(AB207),AB207&gt;'Scoring Settings'!$B$11),AND(ISNUMBER(W207),W207&gt;'Scoring Settings'!$B$12),AND(ISNUMBER(M207),M207&lt;='Scoring Settings'!$B$13)),"High","Medium")))</f>
        <v/>
      </c>
      <c r="AN207" s="14"/>
      <c r="AO207" s="16"/>
      <c r="AP207" s="14"/>
      <c r="AQ207" s="22"/>
    </row>
    <row r="208" spans="1:43">
      <c r="A208" s="14"/>
      <c r="B208" s="14"/>
      <c r="C208" s="14"/>
      <c r="D208" s="14"/>
      <c r="E208" s="14"/>
      <c r="F208" s="14"/>
      <c r="G208" s="14"/>
      <c r="H208" s="14"/>
      <c r="I208" s="15"/>
      <c r="J208" s="16"/>
      <c r="K208" s="17" t="str">
        <f>IF(B208="","",IF(AND(I208="",J208=""),"Unknown",IF(OR(AND(ISNUMBER(I208),I208=0),AND(ISNUMBER(J208),J208&lt;=EDATE('Scoring Settings'!$B$4,-'Scoring Settings'!$B$5))),"Not in use",IF(AND(ISNUMBER(I208),I208&lt;'Scoring Settings'!$B$6),"Low use","Active"))))</f>
        <v/>
      </c>
      <c r="L208" s="14"/>
      <c r="M208" s="14"/>
      <c r="N208" s="14"/>
      <c r="O208" s="14"/>
      <c r="P208" s="14"/>
      <c r="Q208" s="18"/>
      <c r="R208" s="14"/>
      <c r="S208" s="14"/>
      <c r="T208" s="14"/>
      <c r="U208" s="16"/>
      <c r="V208" s="14"/>
      <c r="W208" s="15"/>
      <c r="X208" s="14"/>
      <c r="Y208" s="18"/>
      <c r="Z208" s="14"/>
      <c r="AA208" s="14"/>
      <c r="AB208" s="18"/>
      <c r="AC208" s="14"/>
      <c r="AD208" s="14"/>
      <c r="AE208" s="14"/>
      <c r="AF208" s="19"/>
      <c r="AG208" s="16"/>
      <c r="AH208" s="19"/>
      <c r="AI208" s="19"/>
      <c r="AJ208" s="20" t="str">
        <f t="shared" si="3"/>
        <v/>
      </c>
      <c r="AK208" s="21" t="str">
        <f>IF(B208="","",OR(K208="Not in use",K208="Low use")+AND(N208&lt;&gt;"",N208&lt;&gt;"TBD")+AND(ISNUMBER(U208),U208&lt;=EDATE('Scoring Settings'!$B$4,'Scoring Settings'!$B$8))+AND(ISNUMBER(L208),L208&lt;='Scoring Settings'!$B$7))</f>
        <v/>
      </c>
      <c r="AL208" s="17" t="str">
        <f>IF(B208="","",IF(K208="Not in use","Priority – Not in use",IF(AK208&gt;='Scoring Settings'!$B$9,"Decommission",IF(AK208=1,"Review","Retain"))))</f>
        <v/>
      </c>
      <c r="AM208" s="17" t="str">
        <f>IF(B208="","",IF(Z208="N","Easy",IF(OR(AND(ISNUMBER(AB208),AB208&gt;'Scoring Settings'!$B$11),AND(ISNUMBER(W208),W208&gt;'Scoring Settings'!$B$12),AND(ISNUMBER(M208),M208&lt;='Scoring Settings'!$B$13)),"High","Medium")))</f>
        <v/>
      </c>
      <c r="AN208" s="14"/>
      <c r="AO208" s="16"/>
      <c r="AP208" s="14"/>
      <c r="AQ208" s="22"/>
    </row>
    <row r="209" spans="1:43">
      <c r="A209" s="14"/>
      <c r="B209" s="14"/>
      <c r="C209" s="14"/>
      <c r="D209" s="14"/>
      <c r="E209" s="14"/>
      <c r="F209" s="14"/>
      <c r="G209" s="14"/>
      <c r="H209" s="14"/>
      <c r="I209" s="15"/>
      <c r="J209" s="16"/>
      <c r="K209" s="17" t="str">
        <f>IF(B209="","",IF(AND(I209="",J209=""),"Unknown",IF(OR(AND(ISNUMBER(I209),I209=0),AND(ISNUMBER(J209),J209&lt;=EDATE('Scoring Settings'!$B$4,-'Scoring Settings'!$B$5))),"Not in use",IF(AND(ISNUMBER(I209),I209&lt;'Scoring Settings'!$B$6),"Low use","Active"))))</f>
        <v/>
      </c>
      <c r="L209" s="14"/>
      <c r="M209" s="14"/>
      <c r="N209" s="14"/>
      <c r="O209" s="14"/>
      <c r="P209" s="14"/>
      <c r="Q209" s="18"/>
      <c r="R209" s="14"/>
      <c r="S209" s="14"/>
      <c r="T209" s="14"/>
      <c r="U209" s="16"/>
      <c r="V209" s="14"/>
      <c r="W209" s="15"/>
      <c r="X209" s="14"/>
      <c r="Y209" s="18"/>
      <c r="Z209" s="14"/>
      <c r="AA209" s="14"/>
      <c r="AB209" s="18"/>
      <c r="AC209" s="14"/>
      <c r="AD209" s="14"/>
      <c r="AE209" s="14"/>
      <c r="AF209" s="19"/>
      <c r="AG209" s="16"/>
      <c r="AH209" s="19"/>
      <c r="AI209" s="19"/>
      <c r="AJ209" s="20" t="str">
        <f t="shared" si="3"/>
        <v/>
      </c>
      <c r="AK209" s="21" t="str">
        <f>IF(B209="","",OR(K209="Not in use",K209="Low use")+AND(N209&lt;&gt;"",N209&lt;&gt;"TBD")+AND(ISNUMBER(U209),U209&lt;=EDATE('Scoring Settings'!$B$4,'Scoring Settings'!$B$8))+AND(ISNUMBER(L209),L209&lt;='Scoring Settings'!$B$7))</f>
        <v/>
      </c>
      <c r="AL209" s="17" t="str">
        <f>IF(B209="","",IF(K209="Not in use","Priority – Not in use",IF(AK209&gt;='Scoring Settings'!$B$9,"Decommission",IF(AK209=1,"Review","Retain"))))</f>
        <v/>
      </c>
      <c r="AM209" s="17" t="str">
        <f>IF(B209="","",IF(Z209="N","Easy",IF(OR(AND(ISNUMBER(AB209),AB209&gt;'Scoring Settings'!$B$11),AND(ISNUMBER(W209),W209&gt;'Scoring Settings'!$B$12),AND(ISNUMBER(M209),M209&lt;='Scoring Settings'!$B$13)),"High","Medium")))</f>
        <v/>
      </c>
      <c r="AN209" s="14"/>
      <c r="AO209" s="16"/>
      <c r="AP209" s="14"/>
      <c r="AQ209" s="22"/>
    </row>
    <row r="210" spans="1:43">
      <c r="A210" s="14"/>
      <c r="B210" s="14"/>
      <c r="C210" s="14"/>
      <c r="D210" s="14"/>
      <c r="E210" s="14"/>
      <c r="F210" s="14"/>
      <c r="G210" s="14"/>
      <c r="H210" s="14"/>
      <c r="I210" s="15"/>
      <c r="J210" s="16"/>
      <c r="K210" s="17" t="str">
        <f>IF(B210="","",IF(AND(I210="",J210=""),"Unknown",IF(OR(AND(ISNUMBER(I210),I210=0),AND(ISNUMBER(J210),J210&lt;=EDATE('Scoring Settings'!$B$4,-'Scoring Settings'!$B$5))),"Not in use",IF(AND(ISNUMBER(I210),I210&lt;'Scoring Settings'!$B$6),"Low use","Active"))))</f>
        <v/>
      </c>
      <c r="L210" s="14"/>
      <c r="M210" s="14"/>
      <c r="N210" s="14"/>
      <c r="O210" s="14"/>
      <c r="P210" s="14"/>
      <c r="Q210" s="18"/>
      <c r="R210" s="14"/>
      <c r="S210" s="14"/>
      <c r="T210" s="14"/>
      <c r="U210" s="16"/>
      <c r="V210" s="14"/>
      <c r="W210" s="15"/>
      <c r="X210" s="14"/>
      <c r="Y210" s="18"/>
      <c r="Z210" s="14"/>
      <c r="AA210" s="14"/>
      <c r="AB210" s="18"/>
      <c r="AC210" s="14"/>
      <c r="AD210" s="14"/>
      <c r="AE210" s="14"/>
      <c r="AF210" s="19"/>
      <c r="AG210" s="16"/>
      <c r="AH210" s="19"/>
      <c r="AI210" s="19"/>
      <c r="AJ210" s="20" t="str">
        <f t="shared" si="3"/>
        <v/>
      </c>
      <c r="AK210" s="21" t="str">
        <f>IF(B210="","",OR(K210="Not in use",K210="Low use")+AND(N210&lt;&gt;"",N210&lt;&gt;"TBD")+AND(ISNUMBER(U210),U210&lt;=EDATE('Scoring Settings'!$B$4,'Scoring Settings'!$B$8))+AND(ISNUMBER(L210),L210&lt;='Scoring Settings'!$B$7))</f>
        <v/>
      </c>
      <c r="AL210" s="17" t="str">
        <f>IF(B210="","",IF(K210="Not in use","Priority – Not in use",IF(AK210&gt;='Scoring Settings'!$B$9,"Decommission",IF(AK210=1,"Review","Retain"))))</f>
        <v/>
      </c>
      <c r="AM210" s="17" t="str">
        <f>IF(B210="","",IF(Z210="N","Easy",IF(OR(AND(ISNUMBER(AB210),AB210&gt;'Scoring Settings'!$B$11),AND(ISNUMBER(W210),W210&gt;'Scoring Settings'!$B$12),AND(ISNUMBER(M210),M210&lt;='Scoring Settings'!$B$13)),"High","Medium")))</f>
        <v/>
      </c>
      <c r="AN210" s="14"/>
      <c r="AO210" s="16"/>
      <c r="AP210" s="14"/>
      <c r="AQ210" s="22"/>
    </row>
    <row r="211" spans="1:43">
      <c r="A211" s="14"/>
      <c r="B211" s="14"/>
      <c r="C211" s="14"/>
      <c r="D211" s="14"/>
      <c r="E211" s="14"/>
      <c r="F211" s="14"/>
      <c r="G211" s="14"/>
      <c r="H211" s="14"/>
      <c r="I211" s="15"/>
      <c r="J211" s="16"/>
      <c r="K211" s="17" t="str">
        <f>IF(B211="","",IF(AND(I211="",J211=""),"Unknown",IF(OR(AND(ISNUMBER(I211),I211=0),AND(ISNUMBER(J211),J211&lt;=EDATE('Scoring Settings'!$B$4,-'Scoring Settings'!$B$5))),"Not in use",IF(AND(ISNUMBER(I211),I211&lt;'Scoring Settings'!$B$6),"Low use","Active"))))</f>
        <v/>
      </c>
      <c r="L211" s="14"/>
      <c r="M211" s="14"/>
      <c r="N211" s="14"/>
      <c r="O211" s="14"/>
      <c r="P211" s="14"/>
      <c r="Q211" s="18"/>
      <c r="R211" s="14"/>
      <c r="S211" s="14"/>
      <c r="T211" s="14"/>
      <c r="U211" s="16"/>
      <c r="V211" s="14"/>
      <c r="W211" s="15"/>
      <c r="X211" s="14"/>
      <c r="Y211" s="18"/>
      <c r="Z211" s="14"/>
      <c r="AA211" s="14"/>
      <c r="AB211" s="18"/>
      <c r="AC211" s="14"/>
      <c r="AD211" s="14"/>
      <c r="AE211" s="14"/>
      <c r="AF211" s="19"/>
      <c r="AG211" s="16"/>
      <c r="AH211" s="19"/>
      <c r="AI211" s="19"/>
      <c r="AJ211" s="20" t="str">
        <f t="shared" si="3"/>
        <v/>
      </c>
      <c r="AK211" s="21" t="str">
        <f>IF(B211="","",OR(K211="Not in use",K211="Low use")+AND(N211&lt;&gt;"",N211&lt;&gt;"TBD")+AND(ISNUMBER(U211),U211&lt;=EDATE('Scoring Settings'!$B$4,'Scoring Settings'!$B$8))+AND(ISNUMBER(L211),L211&lt;='Scoring Settings'!$B$7))</f>
        <v/>
      </c>
      <c r="AL211" s="17" t="str">
        <f>IF(B211="","",IF(K211="Not in use","Priority – Not in use",IF(AK211&gt;='Scoring Settings'!$B$9,"Decommission",IF(AK211=1,"Review","Retain"))))</f>
        <v/>
      </c>
      <c r="AM211" s="17" t="str">
        <f>IF(B211="","",IF(Z211="N","Easy",IF(OR(AND(ISNUMBER(AB211),AB211&gt;'Scoring Settings'!$B$11),AND(ISNUMBER(W211),W211&gt;'Scoring Settings'!$B$12),AND(ISNUMBER(M211),M211&lt;='Scoring Settings'!$B$13)),"High","Medium")))</f>
        <v/>
      </c>
      <c r="AN211" s="14"/>
      <c r="AO211" s="16"/>
      <c r="AP211" s="14"/>
      <c r="AQ211" s="22"/>
    </row>
    <row r="212" spans="1:43">
      <c r="A212" s="14"/>
      <c r="B212" s="14"/>
      <c r="C212" s="14"/>
      <c r="D212" s="14"/>
      <c r="E212" s="14"/>
      <c r="F212" s="14"/>
      <c r="G212" s="14"/>
      <c r="H212" s="14"/>
      <c r="I212" s="15"/>
      <c r="J212" s="16"/>
      <c r="K212" s="17" t="str">
        <f>IF(B212="","",IF(AND(I212="",J212=""),"Unknown",IF(OR(AND(ISNUMBER(I212),I212=0),AND(ISNUMBER(J212),J212&lt;=EDATE('Scoring Settings'!$B$4,-'Scoring Settings'!$B$5))),"Not in use",IF(AND(ISNUMBER(I212),I212&lt;'Scoring Settings'!$B$6),"Low use","Active"))))</f>
        <v/>
      </c>
      <c r="L212" s="14"/>
      <c r="M212" s="14"/>
      <c r="N212" s="14"/>
      <c r="O212" s="14"/>
      <c r="P212" s="14"/>
      <c r="Q212" s="18"/>
      <c r="R212" s="14"/>
      <c r="S212" s="14"/>
      <c r="T212" s="14"/>
      <c r="U212" s="16"/>
      <c r="V212" s="14"/>
      <c r="W212" s="15"/>
      <c r="X212" s="14"/>
      <c r="Y212" s="18"/>
      <c r="Z212" s="14"/>
      <c r="AA212" s="14"/>
      <c r="AB212" s="18"/>
      <c r="AC212" s="14"/>
      <c r="AD212" s="14"/>
      <c r="AE212" s="14"/>
      <c r="AF212" s="19"/>
      <c r="AG212" s="16"/>
      <c r="AH212" s="19"/>
      <c r="AI212" s="19"/>
      <c r="AJ212" s="20" t="str">
        <f t="shared" si="3"/>
        <v/>
      </c>
      <c r="AK212" s="21" t="str">
        <f>IF(B212="","",OR(K212="Not in use",K212="Low use")+AND(N212&lt;&gt;"",N212&lt;&gt;"TBD")+AND(ISNUMBER(U212),U212&lt;=EDATE('Scoring Settings'!$B$4,'Scoring Settings'!$B$8))+AND(ISNUMBER(L212),L212&lt;='Scoring Settings'!$B$7))</f>
        <v/>
      </c>
      <c r="AL212" s="17" t="str">
        <f>IF(B212="","",IF(K212="Not in use","Priority – Not in use",IF(AK212&gt;='Scoring Settings'!$B$9,"Decommission",IF(AK212=1,"Review","Retain"))))</f>
        <v/>
      </c>
      <c r="AM212" s="17" t="str">
        <f>IF(B212="","",IF(Z212="N","Easy",IF(OR(AND(ISNUMBER(AB212),AB212&gt;'Scoring Settings'!$B$11),AND(ISNUMBER(W212),W212&gt;'Scoring Settings'!$B$12),AND(ISNUMBER(M212),M212&lt;='Scoring Settings'!$B$13)),"High","Medium")))</f>
        <v/>
      </c>
      <c r="AN212" s="14"/>
      <c r="AO212" s="16"/>
      <c r="AP212" s="14"/>
      <c r="AQ212" s="22"/>
    </row>
    <row r="213" spans="1:43">
      <c r="A213" s="14"/>
      <c r="B213" s="14"/>
      <c r="C213" s="14"/>
      <c r="D213" s="14"/>
      <c r="E213" s="14"/>
      <c r="F213" s="14"/>
      <c r="G213" s="14"/>
      <c r="H213" s="14"/>
      <c r="I213" s="15"/>
      <c r="J213" s="16"/>
      <c r="K213" s="17" t="str">
        <f>IF(B213="","",IF(AND(I213="",J213=""),"Unknown",IF(OR(AND(ISNUMBER(I213),I213=0),AND(ISNUMBER(J213),J213&lt;=EDATE('Scoring Settings'!$B$4,-'Scoring Settings'!$B$5))),"Not in use",IF(AND(ISNUMBER(I213),I213&lt;'Scoring Settings'!$B$6),"Low use","Active"))))</f>
        <v/>
      </c>
      <c r="L213" s="14"/>
      <c r="M213" s="14"/>
      <c r="N213" s="14"/>
      <c r="O213" s="14"/>
      <c r="P213" s="14"/>
      <c r="Q213" s="18"/>
      <c r="R213" s="14"/>
      <c r="S213" s="14"/>
      <c r="T213" s="14"/>
      <c r="U213" s="16"/>
      <c r="V213" s="14"/>
      <c r="W213" s="15"/>
      <c r="X213" s="14"/>
      <c r="Y213" s="18"/>
      <c r="Z213" s="14"/>
      <c r="AA213" s="14"/>
      <c r="AB213" s="18"/>
      <c r="AC213" s="14"/>
      <c r="AD213" s="14"/>
      <c r="AE213" s="14"/>
      <c r="AF213" s="19"/>
      <c r="AG213" s="16"/>
      <c r="AH213" s="19"/>
      <c r="AI213" s="19"/>
      <c r="AJ213" s="20" t="str">
        <f t="shared" si="3"/>
        <v/>
      </c>
      <c r="AK213" s="21" t="str">
        <f>IF(B213="","",OR(K213="Not in use",K213="Low use")+AND(N213&lt;&gt;"",N213&lt;&gt;"TBD")+AND(ISNUMBER(U213),U213&lt;=EDATE('Scoring Settings'!$B$4,'Scoring Settings'!$B$8))+AND(ISNUMBER(L213),L213&lt;='Scoring Settings'!$B$7))</f>
        <v/>
      </c>
      <c r="AL213" s="17" t="str">
        <f>IF(B213="","",IF(K213="Not in use","Priority – Not in use",IF(AK213&gt;='Scoring Settings'!$B$9,"Decommission",IF(AK213=1,"Review","Retain"))))</f>
        <v/>
      </c>
      <c r="AM213" s="17" t="str">
        <f>IF(B213="","",IF(Z213="N","Easy",IF(OR(AND(ISNUMBER(AB213),AB213&gt;'Scoring Settings'!$B$11),AND(ISNUMBER(W213),W213&gt;'Scoring Settings'!$B$12),AND(ISNUMBER(M213),M213&lt;='Scoring Settings'!$B$13)),"High","Medium")))</f>
        <v/>
      </c>
      <c r="AN213" s="14"/>
      <c r="AO213" s="16"/>
      <c r="AP213" s="14"/>
      <c r="AQ213" s="22"/>
    </row>
    <row r="214" spans="1:43">
      <c r="A214" s="14"/>
      <c r="B214" s="14"/>
      <c r="C214" s="14"/>
      <c r="D214" s="14"/>
      <c r="E214" s="14"/>
      <c r="F214" s="14"/>
      <c r="G214" s="14"/>
      <c r="H214" s="14"/>
      <c r="I214" s="15"/>
      <c r="J214" s="16"/>
      <c r="K214" s="17" t="str">
        <f>IF(B214="","",IF(AND(I214="",J214=""),"Unknown",IF(OR(AND(ISNUMBER(I214),I214=0),AND(ISNUMBER(J214),J214&lt;=EDATE('Scoring Settings'!$B$4,-'Scoring Settings'!$B$5))),"Not in use",IF(AND(ISNUMBER(I214),I214&lt;'Scoring Settings'!$B$6),"Low use","Active"))))</f>
        <v/>
      </c>
      <c r="L214" s="14"/>
      <c r="M214" s="14"/>
      <c r="N214" s="14"/>
      <c r="O214" s="14"/>
      <c r="P214" s="14"/>
      <c r="Q214" s="18"/>
      <c r="R214" s="14"/>
      <c r="S214" s="14"/>
      <c r="T214" s="14"/>
      <c r="U214" s="16"/>
      <c r="V214" s="14"/>
      <c r="W214" s="15"/>
      <c r="X214" s="14"/>
      <c r="Y214" s="18"/>
      <c r="Z214" s="14"/>
      <c r="AA214" s="14"/>
      <c r="AB214" s="18"/>
      <c r="AC214" s="14"/>
      <c r="AD214" s="14"/>
      <c r="AE214" s="14"/>
      <c r="AF214" s="19"/>
      <c r="AG214" s="16"/>
      <c r="AH214" s="19"/>
      <c r="AI214" s="19"/>
      <c r="AJ214" s="20" t="str">
        <f t="shared" si="3"/>
        <v/>
      </c>
      <c r="AK214" s="21" t="str">
        <f>IF(B214="","",OR(K214="Not in use",K214="Low use")+AND(N214&lt;&gt;"",N214&lt;&gt;"TBD")+AND(ISNUMBER(U214),U214&lt;=EDATE('Scoring Settings'!$B$4,'Scoring Settings'!$B$8))+AND(ISNUMBER(L214),L214&lt;='Scoring Settings'!$B$7))</f>
        <v/>
      </c>
      <c r="AL214" s="17" t="str">
        <f>IF(B214="","",IF(K214="Not in use","Priority – Not in use",IF(AK214&gt;='Scoring Settings'!$B$9,"Decommission",IF(AK214=1,"Review","Retain"))))</f>
        <v/>
      </c>
      <c r="AM214" s="17" t="str">
        <f>IF(B214="","",IF(Z214="N","Easy",IF(OR(AND(ISNUMBER(AB214),AB214&gt;'Scoring Settings'!$B$11),AND(ISNUMBER(W214),W214&gt;'Scoring Settings'!$B$12),AND(ISNUMBER(M214),M214&lt;='Scoring Settings'!$B$13)),"High","Medium")))</f>
        <v/>
      </c>
      <c r="AN214" s="14"/>
      <c r="AO214" s="16"/>
      <c r="AP214" s="14"/>
      <c r="AQ214" s="22"/>
    </row>
    <row r="215" spans="1:43">
      <c r="A215" s="14"/>
      <c r="B215" s="14"/>
      <c r="C215" s="14"/>
      <c r="D215" s="14"/>
      <c r="E215" s="14"/>
      <c r="F215" s="14"/>
      <c r="G215" s="14"/>
      <c r="H215" s="14"/>
      <c r="I215" s="15"/>
      <c r="J215" s="16"/>
      <c r="K215" s="17" t="str">
        <f>IF(B215="","",IF(AND(I215="",J215=""),"Unknown",IF(OR(AND(ISNUMBER(I215),I215=0),AND(ISNUMBER(J215),J215&lt;=EDATE('Scoring Settings'!$B$4,-'Scoring Settings'!$B$5))),"Not in use",IF(AND(ISNUMBER(I215),I215&lt;'Scoring Settings'!$B$6),"Low use","Active"))))</f>
        <v/>
      </c>
      <c r="L215" s="14"/>
      <c r="M215" s="14"/>
      <c r="N215" s="14"/>
      <c r="O215" s="14"/>
      <c r="P215" s="14"/>
      <c r="Q215" s="18"/>
      <c r="R215" s="14"/>
      <c r="S215" s="14"/>
      <c r="T215" s="14"/>
      <c r="U215" s="16"/>
      <c r="V215" s="14"/>
      <c r="W215" s="15"/>
      <c r="X215" s="14"/>
      <c r="Y215" s="18"/>
      <c r="Z215" s="14"/>
      <c r="AA215" s="14"/>
      <c r="AB215" s="18"/>
      <c r="AC215" s="14"/>
      <c r="AD215" s="14"/>
      <c r="AE215" s="14"/>
      <c r="AF215" s="19"/>
      <c r="AG215" s="16"/>
      <c r="AH215" s="19"/>
      <c r="AI215" s="19"/>
      <c r="AJ215" s="20" t="str">
        <f t="shared" si="3"/>
        <v/>
      </c>
      <c r="AK215" s="21" t="str">
        <f>IF(B215="","",OR(K215="Not in use",K215="Low use")+AND(N215&lt;&gt;"",N215&lt;&gt;"TBD")+AND(ISNUMBER(U215),U215&lt;=EDATE('Scoring Settings'!$B$4,'Scoring Settings'!$B$8))+AND(ISNUMBER(L215),L215&lt;='Scoring Settings'!$B$7))</f>
        <v/>
      </c>
      <c r="AL215" s="17" t="str">
        <f>IF(B215="","",IF(K215="Not in use","Priority – Not in use",IF(AK215&gt;='Scoring Settings'!$B$9,"Decommission",IF(AK215=1,"Review","Retain"))))</f>
        <v/>
      </c>
      <c r="AM215" s="17" t="str">
        <f>IF(B215="","",IF(Z215="N","Easy",IF(OR(AND(ISNUMBER(AB215),AB215&gt;'Scoring Settings'!$B$11),AND(ISNUMBER(W215),W215&gt;'Scoring Settings'!$B$12),AND(ISNUMBER(M215),M215&lt;='Scoring Settings'!$B$13)),"High","Medium")))</f>
        <v/>
      </c>
      <c r="AN215" s="14"/>
      <c r="AO215" s="16"/>
      <c r="AP215" s="14"/>
      <c r="AQ215" s="22"/>
    </row>
    <row r="216" spans="1:43">
      <c r="A216" s="14"/>
      <c r="B216" s="14"/>
      <c r="C216" s="14"/>
      <c r="D216" s="14"/>
      <c r="E216" s="14"/>
      <c r="F216" s="14"/>
      <c r="G216" s="14"/>
      <c r="H216" s="14"/>
      <c r="I216" s="15"/>
      <c r="J216" s="16"/>
      <c r="K216" s="17" t="str">
        <f>IF(B216="","",IF(AND(I216="",J216=""),"Unknown",IF(OR(AND(ISNUMBER(I216),I216=0),AND(ISNUMBER(J216),J216&lt;=EDATE('Scoring Settings'!$B$4,-'Scoring Settings'!$B$5))),"Not in use",IF(AND(ISNUMBER(I216),I216&lt;'Scoring Settings'!$B$6),"Low use","Active"))))</f>
        <v/>
      </c>
      <c r="L216" s="14"/>
      <c r="M216" s="14"/>
      <c r="N216" s="14"/>
      <c r="O216" s="14"/>
      <c r="P216" s="14"/>
      <c r="Q216" s="18"/>
      <c r="R216" s="14"/>
      <c r="S216" s="14"/>
      <c r="T216" s="14"/>
      <c r="U216" s="16"/>
      <c r="V216" s="14"/>
      <c r="W216" s="15"/>
      <c r="X216" s="14"/>
      <c r="Y216" s="18"/>
      <c r="Z216" s="14"/>
      <c r="AA216" s="14"/>
      <c r="AB216" s="18"/>
      <c r="AC216" s="14"/>
      <c r="AD216" s="14"/>
      <c r="AE216" s="14"/>
      <c r="AF216" s="19"/>
      <c r="AG216" s="16"/>
      <c r="AH216" s="19"/>
      <c r="AI216" s="19"/>
      <c r="AJ216" s="20" t="str">
        <f t="shared" si="3"/>
        <v/>
      </c>
      <c r="AK216" s="21" t="str">
        <f>IF(B216="","",OR(K216="Not in use",K216="Low use")+AND(N216&lt;&gt;"",N216&lt;&gt;"TBD")+AND(ISNUMBER(U216),U216&lt;=EDATE('Scoring Settings'!$B$4,'Scoring Settings'!$B$8))+AND(ISNUMBER(L216),L216&lt;='Scoring Settings'!$B$7))</f>
        <v/>
      </c>
      <c r="AL216" s="17" t="str">
        <f>IF(B216="","",IF(K216="Not in use","Priority – Not in use",IF(AK216&gt;='Scoring Settings'!$B$9,"Decommission",IF(AK216=1,"Review","Retain"))))</f>
        <v/>
      </c>
      <c r="AM216" s="17" t="str">
        <f>IF(B216="","",IF(Z216="N","Easy",IF(OR(AND(ISNUMBER(AB216),AB216&gt;'Scoring Settings'!$B$11),AND(ISNUMBER(W216),W216&gt;'Scoring Settings'!$B$12),AND(ISNUMBER(M216),M216&lt;='Scoring Settings'!$B$13)),"High","Medium")))</f>
        <v/>
      </c>
      <c r="AN216" s="14"/>
      <c r="AO216" s="16"/>
      <c r="AP216" s="14"/>
      <c r="AQ216" s="22"/>
    </row>
    <row r="217" spans="1:43">
      <c r="A217" s="14"/>
      <c r="B217" s="14"/>
      <c r="C217" s="14"/>
      <c r="D217" s="14"/>
      <c r="E217" s="14"/>
      <c r="F217" s="14"/>
      <c r="G217" s="14"/>
      <c r="H217" s="14"/>
      <c r="I217" s="15"/>
      <c r="J217" s="16"/>
      <c r="K217" s="17" t="str">
        <f>IF(B217="","",IF(AND(I217="",J217=""),"Unknown",IF(OR(AND(ISNUMBER(I217),I217=0),AND(ISNUMBER(J217),J217&lt;=EDATE('Scoring Settings'!$B$4,-'Scoring Settings'!$B$5))),"Not in use",IF(AND(ISNUMBER(I217),I217&lt;'Scoring Settings'!$B$6),"Low use","Active"))))</f>
        <v/>
      </c>
      <c r="L217" s="14"/>
      <c r="M217" s="14"/>
      <c r="N217" s="14"/>
      <c r="O217" s="14"/>
      <c r="P217" s="14"/>
      <c r="Q217" s="18"/>
      <c r="R217" s="14"/>
      <c r="S217" s="14"/>
      <c r="T217" s="14"/>
      <c r="U217" s="16"/>
      <c r="V217" s="14"/>
      <c r="W217" s="15"/>
      <c r="X217" s="14"/>
      <c r="Y217" s="18"/>
      <c r="Z217" s="14"/>
      <c r="AA217" s="14"/>
      <c r="AB217" s="18"/>
      <c r="AC217" s="14"/>
      <c r="AD217" s="14"/>
      <c r="AE217" s="14"/>
      <c r="AF217" s="19"/>
      <c r="AG217" s="16"/>
      <c r="AH217" s="19"/>
      <c r="AI217" s="19"/>
      <c r="AJ217" s="20" t="str">
        <f t="shared" si="3"/>
        <v/>
      </c>
      <c r="AK217" s="21" t="str">
        <f>IF(B217="","",OR(K217="Not in use",K217="Low use")+AND(N217&lt;&gt;"",N217&lt;&gt;"TBD")+AND(ISNUMBER(U217),U217&lt;=EDATE('Scoring Settings'!$B$4,'Scoring Settings'!$B$8))+AND(ISNUMBER(L217),L217&lt;='Scoring Settings'!$B$7))</f>
        <v/>
      </c>
      <c r="AL217" s="17" t="str">
        <f>IF(B217="","",IF(K217="Not in use","Priority – Not in use",IF(AK217&gt;='Scoring Settings'!$B$9,"Decommission",IF(AK217=1,"Review","Retain"))))</f>
        <v/>
      </c>
      <c r="AM217" s="17" t="str">
        <f>IF(B217="","",IF(Z217="N","Easy",IF(OR(AND(ISNUMBER(AB217),AB217&gt;'Scoring Settings'!$B$11),AND(ISNUMBER(W217),W217&gt;'Scoring Settings'!$B$12),AND(ISNUMBER(M217),M217&lt;='Scoring Settings'!$B$13)),"High","Medium")))</f>
        <v/>
      </c>
      <c r="AN217" s="14"/>
      <c r="AO217" s="16"/>
      <c r="AP217" s="14"/>
      <c r="AQ217" s="22"/>
    </row>
    <row r="218" spans="1:43">
      <c r="A218" s="14"/>
      <c r="B218" s="14"/>
      <c r="C218" s="14"/>
      <c r="D218" s="14"/>
      <c r="E218" s="14"/>
      <c r="F218" s="14"/>
      <c r="G218" s="14"/>
      <c r="H218" s="14"/>
      <c r="I218" s="15"/>
      <c r="J218" s="16"/>
      <c r="K218" s="17" t="str">
        <f>IF(B218="","",IF(AND(I218="",J218=""),"Unknown",IF(OR(AND(ISNUMBER(I218),I218=0),AND(ISNUMBER(J218),J218&lt;=EDATE('Scoring Settings'!$B$4,-'Scoring Settings'!$B$5))),"Not in use",IF(AND(ISNUMBER(I218),I218&lt;'Scoring Settings'!$B$6),"Low use","Active"))))</f>
        <v/>
      </c>
      <c r="L218" s="14"/>
      <c r="M218" s="14"/>
      <c r="N218" s="14"/>
      <c r="O218" s="14"/>
      <c r="P218" s="14"/>
      <c r="Q218" s="18"/>
      <c r="R218" s="14"/>
      <c r="S218" s="14"/>
      <c r="T218" s="14"/>
      <c r="U218" s="16"/>
      <c r="V218" s="14"/>
      <c r="W218" s="15"/>
      <c r="X218" s="14"/>
      <c r="Y218" s="18"/>
      <c r="Z218" s="14"/>
      <c r="AA218" s="14"/>
      <c r="AB218" s="18"/>
      <c r="AC218" s="14"/>
      <c r="AD218" s="14"/>
      <c r="AE218" s="14"/>
      <c r="AF218" s="19"/>
      <c r="AG218" s="16"/>
      <c r="AH218" s="19"/>
      <c r="AI218" s="19"/>
      <c r="AJ218" s="20" t="str">
        <f t="shared" si="3"/>
        <v/>
      </c>
      <c r="AK218" s="21" t="str">
        <f>IF(B218="","",OR(K218="Not in use",K218="Low use")+AND(N218&lt;&gt;"",N218&lt;&gt;"TBD")+AND(ISNUMBER(U218),U218&lt;=EDATE('Scoring Settings'!$B$4,'Scoring Settings'!$B$8))+AND(ISNUMBER(L218),L218&lt;='Scoring Settings'!$B$7))</f>
        <v/>
      </c>
      <c r="AL218" s="17" t="str">
        <f>IF(B218="","",IF(K218="Not in use","Priority – Not in use",IF(AK218&gt;='Scoring Settings'!$B$9,"Decommission",IF(AK218=1,"Review","Retain"))))</f>
        <v/>
      </c>
      <c r="AM218" s="17" t="str">
        <f>IF(B218="","",IF(Z218="N","Easy",IF(OR(AND(ISNUMBER(AB218),AB218&gt;'Scoring Settings'!$B$11),AND(ISNUMBER(W218),W218&gt;'Scoring Settings'!$B$12),AND(ISNUMBER(M218),M218&lt;='Scoring Settings'!$B$13)),"High","Medium")))</f>
        <v/>
      </c>
      <c r="AN218" s="14"/>
      <c r="AO218" s="16"/>
      <c r="AP218" s="14"/>
      <c r="AQ218" s="22"/>
    </row>
    <row r="219" spans="1:43">
      <c r="A219" s="14"/>
      <c r="B219" s="14"/>
      <c r="C219" s="14"/>
      <c r="D219" s="14"/>
      <c r="E219" s="14"/>
      <c r="F219" s="14"/>
      <c r="G219" s="14"/>
      <c r="H219" s="14"/>
      <c r="I219" s="15"/>
      <c r="J219" s="16"/>
      <c r="K219" s="17" t="str">
        <f>IF(B219="","",IF(AND(I219="",J219=""),"Unknown",IF(OR(AND(ISNUMBER(I219),I219=0),AND(ISNUMBER(J219),J219&lt;=EDATE('Scoring Settings'!$B$4,-'Scoring Settings'!$B$5))),"Not in use",IF(AND(ISNUMBER(I219),I219&lt;'Scoring Settings'!$B$6),"Low use","Active"))))</f>
        <v/>
      </c>
      <c r="L219" s="14"/>
      <c r="M219" s="14"/>
      <c r="N219" s="14"/>
      <c r="O219" s="14"/>
      <c r="P219" s="14"/>
      <c r="Q219" s="18"/>
      <c r="R219" s="14"/>
      <c r="S219" s="14"/>
      <c r="T219" s="14"/>
      <c r="U219" s="16"/>
      <c r="V219" s="14"/>
      <c r="W219" s="15"/>
      <c r="X219" s="14"/>
      <c r="Y219" s="18"/>
      <c r="Z219" s="14"/>
      <c r="AA219" s="14"/>
      <c r="AB219" s="18"/>
      <c r="AC219" s="14"/>
      <c r="AD219" s="14"/>
      <c r="AE219" s="14"/>
      <c r="AF219" s="19"/>
      <c r="AG219" s="16"/>
      <c r="AH219" s="19"/>
      <c r="AI219" s="19"/>
      <c r="AJ219" s="20" t="str">
        <f t="shared" si="3"/>
        <v/>
      </c>
      <c r="AK219" s="21" t="str">
        <f>IF(B219="","",OR(K219="Not in use",K219="Low use")+AND(N219&lt;&gt;"",N219&lt;&gt;"TBD")+AND(ISNUMBER(U219),U219&lt;=EDATE('Scoring Settings'!$B$4,'Scoring Settings'!$B$8))+AND(ISNUMBER(L219),L219&lt;='Scoring Settings'!$B$7))</f>
        <v/>
      </c>
      <c r="AL219" s="17" t="str">
        <f>IF(B219="","",IF(K219="Not in use","Priority – Not in use",IF(AK219&gt;='Scoring Settings'!$B$9,"Decommission",IF(AK219=1,"Review","Retain"))))</f>
        <v/>
      </c>
      <c r="AM219" s="17" t="str">
        <f>IF(B219="","",IF(Z219="N","Easy",IF(OR(AND(ISNUMBER(AB219),AB219&gt;'Scoring Settings'!$B$11),AND(ISNUMBER(W219),W219&gt;'Scoring Settings'!$B$12),AND(ISNUMBER(M219),M219&lt;='Scoring Settings'!$B$13)),"High","Medium")))</f>
        <v/>
      </c>
      <c r="AN219" s="14"/>
      <c r="AO219" s="16"/>
      <c r="AP219" s="14"/>
      <c r="AQ219" s="22"/>
    </row>
    <row r="220" spans="1:43">
      <c r="A220" s="14"/>
      <c r="B220" s="14"/>
      <c r="C220" s="14"/>
      <c r="D220" s="14"/>
      <c r="E220" s="14"/>
      <c r="F220" s="14"/>
      <c r="G220" s="14"/>
      <c r="H220" s="14"/>
      <c r="I220" s="15"/>
      <c r="J220" s="16"/>
      <c r="K220" s="17" t="str">
        <f>IF(B220="","",IF(AND(I220="",J220=""),"Unknown",IF(OR(AND(ISNUMBER(I220),I220=0),AND(ISNUMBER(J220),J220&lt;=EDATE('Scoring Settings'!$B$4,-'Scoring Settings'!$B$5))),"Not in use",IF(AND(ISNUMBER(I220),I220&lt;'Scoring Settings'!$B$6),"Low use","Active"))))</f>
        <v/>
      </c>
      <c r="L220" s="14"/>
      <c r="M220" s="14"/>
      <c r="N220" s="14"/>
      <c r="O220" s="14"/>
      <c r="P220" s="14"/>
      <c r="Q220" s="18"/>
      <c r="R220" s="14"/>
      <c r="S220" s="14"/>
      <c r="T220" s="14"/>
      <c r="U220" s="16"/>
      <c r="V220" s="14"/>
      <c r="W220" s="15"/>
      <c r="X220" s="14"/>
      <c r="Y220" s="18"/>
      <c r="Z220" s="14"/>
      <c r="AA220" s="14"/>
      <c r="AB220" s="18"/>
      <c r="AC220" s="14"/>
      <c r="AD220" s="14"/>
      <c r="AE220" s="14"/>
      <c r="AF220" s="19"/>
      <c r="AG220" s="16"/>
      <c r="AH220" s="19"/>
      <c r="AI220" s="19"/>
      <c r="AJ220" s="20" t="str">
        <f t="shared" si="3"/>
        <v/>
      </c>
      <c r="AK220" s="21" t="str">
        <f>IF(B220="","",OR(K220="Not in use",K220="Low use")+AND(N220&lt;&gt;"",N220&lt;&gt;"TBD")+AND(ISNUMBER(U220),U220&lt;=EDATE('Scoring Settings'!$B$4,'Scoring Settings'!$B$8))+AND(ISNUMBER(L220),L220&lt;='Scoring Settings'!$B$7))</f>
        <v/>
      </c>
      <c r="AL220" s="17" t="str">
        <f>IF(B220="","",IF(K220="Not in use","Priority – Not in use",IF(AK220&gt;='Scoring Settings'!$B$9,"Decommission",IF(AK220=1,"Review","Retain"))))</f>
        <v/>
      </c>
      <c r="AM220" s="17" t="str">
        <f>IF(B220="","",IF(Z220="N","Easy",IF(OR(AND(ISNUMBER(AB220),AB220&gt;'Scoring Settings'!$B$11),AND(ISNUMBER(W220),W220&gt;'Scoring Settings'!$B$12),AND(ISNUMBER(M220),M220&lt;='Scoring Settings'!$B$13)),"High","Medium")))</f>
        <v/>
      </c>
      <c r="AN220" s="14"/>
      <c r="AO220" s="16"/>
      <c r="AP220" s="14"/>
      <c r="AQ220" s="22"/>
    </row>
    <row r="221" spans="1:43">
      <c r="A221" s="14"/>
      <c r="B221" s="14"/>
      <c r="C221" s="14"/>
      <c r="D221" s="14"/>
      <c r="E221" s="14"/>
      <c r="F221" s="14"/>
      <c r="G221" s="14"/>
      <c r="H221" s="14"/>
      <c r="I221" s="15"/>
      <c r="J221" s="16"/>
      <c r="K221" s="17" t="str">
        <f>IF(B221="","",IF(AND(I221="",J221=""),"Unknown",IF(OR(AND(ISNUMBER(I221),I221=0),AND(ISNUMBER(J221),J221&lt;=EDATE('Scoring Settings'!$B$4,-'Scoring Settings'!$B$5))),"Not in use",IF(AND(ISNUMBER(I221),I221&lt;'Scoring Settings'!$B$6),"Low use","Active"))))</f>
        <v/>
      </c>
      <c r="L221" s="14"/>
      <c r="M221" s="14"/>
      <c r="N221" s="14"/>
      <c r="O221" s="14"/>
      <c r="P221" s="14"/>
      <c r="Q221" s="18"/>
      <c r="R221" s="14"/>
      <c r="S221" s="14"/>
      <c r="T221" s="14"/>
      <c r="U221" s="16"/>
      <c r="V221" s="14"/>
      <c r="W221" s="15"/>
      <c r="X221" s="14"/>
      <c r="Y221" s="18"/>
      <c r="Z221" s="14"/>
      <c r="AA221" s="14"/>
      <c r="AB221" s="18"/>
      <c r="AC221" s="14"/>
      <c r="AD221" s="14"/>
      <c r="AE221" s="14"/>
      <c r="AF221" s="19"/>
      <c r="AG221" s="16"/>
      <c r="AH221" s="19"/>
      <c r="AI221" s="19"/>
      <c r="AJ221" s="20" t="str">
        <f t="shared" si="3"/>
        <v/>
      </c>
      <c r="AK221" s="21" t="str">
        <f>IF(B221="","",OR(K221="Not in use",K221="Low use")+AND(N221&lt;&gt;"",N221&lt;&gt;"TBD")+AND(ISNUMBER(U221),U221&lt;=EDATE('Scoring Settings'!$B$4,'Scoring Settings'!$B$8))+AND(ISNUMBER(L221),L221&lt;='Scoring Settings'!$B$7))</f>
        <v/>
      </c>
      <c r="AL221" s="17" t="str">
        <f>IF(B221="","",IF(K221="Not in use","Priority – Not in use",IF(AK221&gt;='Scoring Settings'!$B$9,"Decommission",IF(AK221=1,"Review","Retain"))))</f>
        <v/>
      </c>
      <c r="AM221" s="17" t="str">
        <f>IF(B221="","",IF(Z221="N","Easy",IF(OR(AND(ISNUMBER(AB221),AB221&gt;'Scoring Settings'!$B$11),AND(ISNUMBER(W221),W221&gt;'Scoring Settings'!$B$12),AND(ISNUMBER(M221),M221&lt;='Scoring Settings'!$B$13)),"High","Medium")))</f>
        <v/>
      </c>
      <c r="AN221" s="14"/>
      <c r="AO221" s="16"/>
      <c r="AP221" s="14"/>
      <c r="AQ221" s="22"/>
    </row>
    <row r="222" spans="1:43">
      <c r="A222" s="14"/>
      <c r="B222" s="14"/>
      <c r="C222" s="14"/>
      <c r="D222" s="14"/>
      <c r="E222" s="14"/>
      <c r="F222" s="14"/>
      <c r="G222" s="14"/>
      <c r="H222" s="14"/>
      <c r="I222" s="15"/>
      <c r="J222" s="16"/>
      <c r="K222" s="17" t="str">
        <f>IF(B222="","",IF(AND(I222="",J222=""),"Unknown",IF(OR(AND(ISNUMBER(I222),I222=0),AND(ISNUMBER(J222),J222&lt;=EDATE('Scoring Settings'!$B$4,-'Scoring Settings'!$B$5))),"Not in use",IF(AND(ISNUMBER(I222),I222&lt;'Scoring Settings'!$B$6),"Low use","Active"))))</f>
        <v/>
      </c>
      <c r="L222" s="14"/>
      <c r="M222" s="14"/>
      <c r="N222" s="14"/>
      <c r="O222" s="14"/>
      <c r="P222" s="14"/>
      <c r="Q222" s="18"/>
      <c r="R222" s="14"/>
      <c r="S222" s="14"/>
      <c r="T222" s="14"/>
      <c r="U222" s="16"/>
      <c r="V222" s="14"/>
      <c r="W222" s="15"/>
      <c r="X222" s="14"/>
      <c r="Y222" s="18"/>
      <c r="Z222" s="14"/>
      <c r="AA222" s="14"/>
      <c r="AB222" s="18"/>
      <c r="AC222" s="14"/>
      <c r="AD222" s="14"/>
      <c r="AE222" s="14"/>
      <c r="AF222" s="19"/>
      <c r="AG222" s="16"/>
      <c r="AH222" s="19"/>
      <c r="AI222" s="19"/>
      <c r="AJ222" s="20" t="str">
        <f t="shared" si="3"/>
        <v/>
      </c>
      <c r="AK222" s="21" t="str">
        <f>IF(B222="","",OR(K222="Not in use",K222="Low use")+AND(N222&lt;&gt;"",N222&lt;&gt;"TBD")+AND(ISNUMBER(U222),U222&lt;=EDATE('Scoring Settings'!$B$4,'Scoring Settings'!$B$8))+AND(ISNUMBER(L222),L222&lt;='Scoring Settings'!$B$7))</f>
        <v/>
      </c>
      <c r="AL222" s="17" t="str">
        <f>IF(B222="","",IF(K222="Not in use","Priority – Not in use",IF(AK222&gt;='Scoring Settings'!$B$9,"Decommission",IF(AK222=1,"Review","Retain"))))</f>
        <v/>
      </c>
      <c r="AM222" s="17" t="str">
        <f>IF(B222="","",IF(Z222="N","Easy",IF(OR(AND(ISNUMBER(AB222),AB222&gt;'Scoring Settings'!$B$11),AND(ISNUMBER(W222),W222&gt;'Scoring Settings'!$B$12),AND(ISNUMBER(M222),M222&lt;='Scoring Settings'!$B$13)),"High","Medium")))</f>
        <v/>
      </c>
      <c r="AN222" s="14"/>
      <c r="AO222" s="16"/>
      <c r="AP222" s="14"/>
      <c r="AQ222" s="22"/>
    </row>
    <row r="223" spans="1:43">
      <c r="A223" s="14"/>
      <c r="B223" s="14"/>
      <c r="C223" s="14"/>
      <c r="D223" s="14"/>
      <c r="E223" s="14"/>
      <c r="F223" s="14"/>
      <c r="G223" s="14"/>
      <c r="H223" s="14"/>
      <c r="I223" s="15"/>
      <c r="J223" s="16"/>
      <c r="K223" s="17" t="str">
        <f>IF(B223="","",IF(AND(I223="",J223=""),"Unknown",IF(OR(AND(ISNUMBER(I223),I223=0),AND(ISNUMBER(J223),J223&lt;=EDATE('Scoring Settings'!$B$4,-'Scoring Settings'!$B$5))),"Not in use",IF(AND(ISNUMBER(I223),I223&lt;'Scoring Settings'!$B$6),"Low use","Active"))))</f>
        <v/>
      </c>
      <c r="L223" s="14"/>
      <c r="M223" s="14"/>
      <c r="N223" s="14"/>
      <c r="O223" s="14"/>
      <c r="P223" s="14"/>
      <c r="Q223" s="18"/>
      <c r="R223" s="14"/>
      <c r="S223" s="14"/>
      <c r="T223" s="14"/>
      <c r="U223" s="16"/>
      <c r="V223" s="14"/>
      <c r="W223" s="15"/>
      <c r="X223" s="14"/>
      <c r="Y223" s="18"/>
      <c r="Z223" s="14"/>
      <c r="AA223" s="14"/>
      <c r="AB223" s="18"/>
      <c r="AC223" s="14"/>
      <c r="AD223" s="14"/>
      <c r="AE223" s="14"/>
      <c r="AF223" s="19"/>
      <c r="AG223" s="16"/>
      <c r="AH223" s="19"/>
      <c r="AI223" s="19"/>
      <c r="AJ223" s="20" t="str">
        <f t="shared" si="3"/>
        <v/>
      </c>
      <c r="AK223" s="21" t="str">
        <f>IF(B223="","",OR(K223="Not in use",K223="Low use")+AND(N223&lt;&gt;"",N223&lt;&gt;"TBD")+AND(ISNUMBER(U223),U223&lt;=EDATE('Scoring Settings'!$B$4,'Scoring Settings'!$B$8))+AND(ISNUMBER(L223),L223&lt;='Scoring Settings'!$B$7))</f>
        <v/>
      </c>
      <c r="AL223" s="17" t="str">
        <f>IF(B223="","",IF(K223="Not in use","Priority – Not in use",IF(AK223&gt;='Scoring Settings'!$B$9,"Decommission",IF(AK223=1,"Review","Retain"))))</f>
        <v/>
      </c>
      <c r="AM223" s="17" t="str">
        <f>IF(B223="","",IF(Z223="N","Easy",IF(OR(AND(ISNUMBER(AB223),AB223&gt;'Scoring Settings'!$B$11),AND(ISNUMBER(W223),W223&gt;'Scoring Settings'!$B$12),AND(ISNUMBER(M223),M223&lt;='Scoring Settings'!$B$13)),"High","Medium")))</f>
        <v/>
      </c>
      <c r="AN223" s="14"/>
      <c r="AO223" s="16"/>
      <c r="AP223" s="14"/>
      <c r="AQ223" s="22"/>
    </row>
    <row r="224" spans="1:43">
      <c r="A224" s="14"/>
      <c r="B224" s="14"/>
      <c r="C224" s="14"/>
      <c r="D224" s="14"/>
      <c r="E224" s="14"/>
      <c r="F224" s="14"/>
      <c r="G224" s="14"/>
      <c r="H224" s="14"/>
      <c r="I224" s="15"/>
      <c r="J224" s="16"/>
      <c r="K224" s="17" t="str">
        <f>IF(B224="","",IF(AND(I224="",J224=""),"Unknown",IF(OR(AND(ISNUMBER(I224),I224=0),AND(ISNUMBER(J224),J224&lt;=EDATE('Scoring Settings'!$B$4,-'Scoring Settings'!$B$5))),"Not in use",IF(AND(ISNUMBER(I224),I224&lt;'Scoring Settings'!$B$6),"Low use","Active"))))</f>
        <v/>
      </c>
      <c r="L224" s="14"/>
      <c r="M224" s="14"/>
      <c r="N224" s="14"/>
      <c r="O224" s="14"/>
      <c r="P224" s="14"/>
      <c r="Q224" s="18"/>
      <c r="R224" s="14"/>
      <c r="S224" s="14"/>
      <c r="T224" s="14"/>
      <c r="U224" s="16"/>
      <c r="V224" s="14"/>
      <c r="W224" s="15"/>
      <c r="X224" s="14"/>
      <c r="Y224" s="18"/>
      <c r="Z224" s="14"/>
      <c r="AA224" s="14"/>
      <c r="AB224" s="18"/>
      <c r="AC224" s="14"/>
      <c r="AD224" s="14"/>
      <c r="AE224" s="14"/>
      <c r="AF224" s="19"/>
      <c r="AG224" s="16"/>
      <c r="AH224" s="19"/>
      <c r="AI224" s="19"/>
      <c r="AJ224" s="20" t="str">
        <f t="shared" si="3"/>
        <v/>
      </c>
      <c r="AK224" s="21" t="str">
        <f>IF(B224="","",OR(K224="Not in use",K224="Low use")+AND(N224&lt;&gt;"",N224&lt;&gt;"TBD")+AND(ISNUMBER(U224),U224&lt;=EDATE('Scoring Settings'!$B$4,'Scoring Settings'!$B$8))+AND(ISNUMBER(L224),L224&lt;='Scoring Settings'!$B$7))</f>
        <v/>
      </c>
      <c r="AL224" s="17" t="str">
        <f>IF(B224="","",IF(K224="Not in use","Priority – Not in use",IF(AK224&gt;='Scoring Settings'!$B$9,"Decommission",IF(AK224=1,"Review","Retain"))))</f>
        <v/>
      </c>
      <c r="AM224" s="17" t="str">
        <f>IF(B224="","",IF(Z224="N","Easy",IF(OR(AND(ISNUMBER(AB224),AB224&gt;'Scoring Settings'!$B$11),AND(ISNUMBER(W224),W224&gt;'Scoring Settings'!$B$12),AND(ISNUMBER(M224),M224&lt;='Scoring Settings'!$B$13)),"High","Medium")))</f>
        <v/>
      </c>
      <c r="AN224" s="14"/>
      <c r="AO224" s="16"/>
      <c r="AP224" s="14"/>
      <c r="AQ224" s="22"/>
    </row>
    <row r="225" spans="1:43">
      <c r="A225" s="14"/>
      <c r="B225" s="14"/>
      <c r="C225" s="14"/>
      <c r="D225" s="14"/>
      <c r="E225" s="14"/>
      <c r="F225" s="14"/>
      <c r="G225" s="14"/>
      <c r="H225" s="14"/>
      <c r="I225" s="15"/>
      <c r="J225" s="16"/>
      <c r="K225" s="17" t="str">
        <f>IF(B225="","",IF(AND(I225="",J225=""),"Unknown",IF(OR(AND(ISNUMBER(I225),I225=0),AND(ISNUMBER(J225),J225&lt;=EDATE('Scoring Settings'!$B$4,-'Scoring Settings'!$B$5))),"Not in use",IF(AND(ISNUMBER(I225),I225&lt;'Scoring Settings'!$B$6),"Low use","Active"))))</f>
        <v/>
      </c>
      <c r="L225" s="14"/>
      <c r="M225" s="14"/>
      <c r="N225" s="14"/>
      <c r="O225" s="14"/>
      <c r="P225" s="14"/>
      <c r="Q225" s="18"/>
      <c r="R225" s="14"/>
      <c r="S225" s="14"/>
      <c r="T225" s="14"/>
      <c r="U225" s="16"/>
      <c r="V225" s="14"/>
      <c r="W225" s="15"/>
      <c r="X225" s="14"/>
      <c r="Y225" s="18"/>
      <c r="Z225" s="14"/>
      <c r="AA225" s="14"/>
      <c r="AB225" s="18"/>
      <c r="AC225" s="14"/>
      <c r="AD225" s="14"/>
      <c r="AE225" s="14"/>
      <c r="AF225" s="19"/>
      <c r="AG225" s="16"/>
      <c r="AH225" s="19"/>
      <c r="AI225" s="19"/>
      <c r="AJ225" s="20" t="str">
        <f t="shared" si="3"/>
        <v/>
      </c>
      <c r="AK225" s="21" t="str">
        <f>IF(B225="","",OR(K225="Not in use",K225="Low use")+AND(N225&lt;&gt;"",N225&lt;&gt;"TBD")+AND(ISNUMBER(U225),U225&lt;=EDATE('Scoring Settings'!$B$4,'Scoring Settings'!$B$8))+AND(ISNUMBER(L225),L225&lt;='Scoring Settings'!$B$7))</f>
        <v/>
      </c>
      <c r="AL225" s="17" t="str">
        <f>IF(B225="","",IF(K225="Not in use","Priority – Not in use",IF(AK225&gt;='Scoring Settings'!$B$9,"Decommission",IF(AK225=1,"Review","Retain"))))</f>
        <v/>
      </c>
      <c r="AM225" s="17" t="str">
        <f>IF(B225="","",IF(Z225="N","Easy",IF(OR(AND(ISNUMBER(AB225),AB225&gt;'Scoring Settings'!$B$11),AND(ISNUMBER(W225),W225&gt;'Scoring Settings'!$B$12),AND(ISNUMBER(M225),M225&lt;='Scoring Settings'!$B$13)),"High","Medium")))</f>
        <v/>
      </c>
      <c r="AN225" s="14"/>
      <c r="AO225" s="16"/>
      <c r="AP225" s="14"/>
      <c r="AQ225" s="22"/>
    </row>
    <row r="226" spans="1:43">
      <c r="A226" s="14"/>
      <c r="B226" s="14"/>
      <c r="C226" s="14"/>
      <c r="D226" s="14"/>
      <c r="E226" s="14"/>
      <c r="F226" s="14"/>
      <c r="G226" s="14"/>
      <c r="H226" s="14"/>
      <c r="I226" s="15"/>
      <c r="J226" s="16"/>
      <c r="K226" s="17" t="str">
        <f>IF(B226="","",IF(AND(I226="",J226=""),"Unknown",IF(OR(AND(ISNUMBER(I226),I226=0),AND(ISNUMBER(J226),J226&lt;=EDATE('Scoring Settings'!$B$4,-'Scoring Settings'!$B$5))),"Not in use",IF(AND(ISNUMBER(I226),I226&lt;'Scoring Settings'!$B$6),"Low use","Active"))))</f>
        <v/>
      </c>
      <c r="L226" s="14"/>
      <c r="M226" s="14"/>
      <c r="N226" s="14"/>
      <c r="O226" s="14"/>
      <c r="P226" s="14"/>
      <c r="Q226" s="18"/>
      <c r="R226" s="14"/>
      <c r="S226" s="14"/>
      <c r="T226" s="14"/>
      <c r="U226" s="16"/>
      <c r="V226" s="14"/>
      <c r="W226" s="15"/>
      <c r="X226" s="14"/>
      <c r="Y226" s="18"/>
      <c r="Z226" s="14"/>
      <c r="AA226" s="14"/>
      <c r="AB226" s="18"/>
      <c r="AC226" s="14"/>
      <c r="AD226" s="14"/>
      <c r="AE226" s="14"/>
      <c r="AF226" s="19"/>
      <c r="AG226" s="16"/>
      <c r="AH226" s="19"/>
      <c r="AI226" s="19"/>
      <c r="AJ226" s="20" t="str">
        <f t="shared" si="3"/>
        <v/>
      </c>
      <c r="AK226" s="21" t="str">
        <f>IF(B226="","",OR(K226="Not in use",K226="Low use")+AND(N226&lt;&gt;"",N226&lt;&gt;"TBD")+AND(ISNUMBER(U226),U226&lt;=EDATE('Scoring Settings'!$B$4,'Scoring Settings'!$B$8))+AND(ISNUMBER(L226),L226&lt;='Scoring Settings'!$B$7))</f>
        <v/>
      </c>
      <c r="AL226" s="17" t="str">
        <f>IF(B226="","",IF(K226="Not in use","Priority – Not in use",IF(AK226&gt;='Scoring Settings'!$B$9,"Decommission",IF(AK226=1,"Review","Retain"))))</f>
        <v/>
      </c>
      <c r="AM226" s="17" t="str">
        <f>IF(B226="","",IF(Z226="N","Easy",IF(OR(AND(ISNUMBER(AB226),AB226&gt;'Scoring Settings'!$B$11),AND(ISNUMBER(W226),W226&gt;'Scoring Settings'!$B$12),AND(ISNUMBER(M226),M226&lt;='Scoring Settings'!$B$13)),"High","Medium")))</f>
        <v/>
      </c>
      <c r="AN226" s="14"/>
      <c r="AO226" s="16"/>
      <c r="AP226" s="14"/>
      <c r="AQ226" s="22"/>
    </row>
    <row r="227" spans="1:43">
      <c r="A227" s="14"/>
      <c r="B227" s="14"/>
      <c r="C227" s="14"/>
      <c r="D227" s="14"/>
      <c r="E227" s="14"/>
      <c r="F227" s="14"/>
      <c r="G227" s="14"/>
      <c r="H227" s="14"/>
      <c r="I227" s="15"/>
      <c r="J227" s="16"/>
      <c r="K227" s="17" t="str">
        <f>IF(B227="","",IF(AND(I227="",J227=""),"Unknown",IF(OR(AND(ISNUMBER(I227),I227=0),AND(ISNUMBER(J227),J227&lt;=EDATE('Scoring Settings'!$B$4,-'Scoring Settings'!$B$5))),"Not in use",IF(AND(ISNUMBER(I227),I227&lt;'Scoring Settings'!$B$6),"Low use","Active"))))</f>
        <v/>
      </c>
      <c r="L227" s="14"/>
      <c r="M227" s="14"/>
      <c r="N227" s="14"/>
      <c r="O227" s="14"/>
      <c r="P227" s="14"/>
      <c r="Q227" s="18"/>
      <c r="R227" s="14"/>
      <c r="S227" s="14"/>
      <c r="T227" s="14"/>
      <c r="U227" s="16"/>
      <c r="V227" s="14"/>
      <c r="W227" s="15"/>
      <c r="X227" s="14"/>
      <c r="Y227" s="18"/>
      <c r="Z227" s="14"/>
      <c r="AA227" s="14"/>
      <c r="AB227" s="18"/>
      <c r="AC227" s="14"/>
      <c r="AD227" s="14"/>
      <c r="AE227" s="14"/>
      <c r="AF227" s="19"/>
      <c r="AG227" s="16"/>
      <c r="AH227" s="19"/>
      <c r="AI227" s="19"/>
      <c r="AJ227" s="20" t="str">
        <f t="shared" si="3"/>
        <v/>
      </c>
      <c r="AK227" s="21" t="str">
        <f>IF(B227="","",OR(K227="Not in use",K227="Low use")+AND(N227&lt;&gt;"",N227&lt;&gt;"TBD")+AND(ISNUMBER(U227),U227&lt;=EDATE('Scoring Settings'!$B$4,'Scoring Settings'!$B$8))+AND(ISNUMBER(L227),L227&lt;='Scoring Settings'!$B$7))</f>
        <v/>
      </c>
      <c r="AL227" s="17" t="str">
        <f>IF(B227="","",IF(K227="Not in use","Priority – Not in use",IF(AK227&gt;='Scoring Settings'!$B$9,"Decommission",IF(AK227=1,"Review","Retain"))))</f>
        <v/>
      </c>
      <c r="AM227" s="17" t="str">
        <f>IF(B227="","",IF(Z227="N","Easy",IF(OR(AND(ISNUMBER(AB227),AB227&gt;'Scoring Settings'!$B$11),AND(ISNUMBER(W227),W227&gt;'Scoring Settings'!$B$12),AND(ISNUMBER(M227),M227&lt;='Scoring Settings'!$B$13)),"High","Medium")))</f>
        <v/>
      </c>
      <c r="AN227" s="14"/>
      <c r="AO227" s="16"/>
      <c r="AP227" s="14"/>
      <c r="AQ227" s="22"/>
    </row>
    <row r="228" spans="1:43">
      <c r="A228" s="14"/>
      <c r="B228" s="14"/>
      <c r="C228" s="14"/>
      <c r="D228" s="14"/>
      <c r="E228" s="14"/>
      <c r="F228" s="14"/>
      <c r="G228" s="14"/>
      <c r="H228" s="14"/>
      <c r="I228" s="15"/>
      <c r="J228" s="16"/>
      <c r="K228" s="17" t="str">
        <f>IF(B228="","",IF(AND(I228="",J228=""),"Unknown",IF(OR(AND(ISNUMBER(I228),I228=0),AND(ISNUMBER(J228),J228&lt;=EDATE('Scoring Settings'!$B$4,-'Scoring Settings'!$B$5))),"Not in use",IF(AND(ISNUMBER(I228),I228&lt;'Scoring Settings'!$B$6),"Low use","Active"))))</f>
        <v/>
      </c>
      <c r="L228" s="14"/>
      <c r="M228" s="14"/>
      <c r="N228" s="14"/>
      <c r="O228" s="14"/>
      <c r="P228" s="14"/>
      <c r="Q228" s="18"/>
      <c r="R228" s="14"/>
      <c r="S228" s="14"/>
      <c r="T228" s="14"/>
      <c r="U228" s="16"/>
      <c r="V228" s="14"/>
      <c r="W228" s="15"/>
      <c r="X228" s="14"/>
      <c r="Y228" s="18"/>
      <c r="Z228" s="14"/>
      <c r="AA228" s="14"/>
      <c r="AB228" s="18"/>
      <c r="AC228" s="14"/>
      <c r="AD228" s="14"/>
      <c r="AE228" s="14"/>
      <c r="AF228" s="19"/>
      <c r="AG228" s="16"/>
      <c r="AH228" s="19"/>
      <c r="AI228" s="19"/>
      <c r="AJ228" s="20" t="str">
        <f t="shared" si="3"/>
        <v/>
      </c>
      <c r="AK228" s="21" t="str">
        <f>IF(B228="","",OR(K228="Not in use",K228="Low use")+AND(N228&lt;&gt;"",N228&lt;&gt;"TBD")+AND(ISNUMBER(U228),U228&lt;=EDATE('Scoring Settings'!$B$4,'Scoring Settings'!$B$8))+AND(ISNUMBER(L228),L228&lt;='Scoring Settings'!$B$7))</f>
        <v/>
      </c>
      <c r="AL228" s="17" t="str">
        <f>IF(B228="","",IF(K228="Not in use","Priority – Not in use",IF(AK228&gt;='Scoring Settings'!$B$9,"Decommission",IF(AK228=1,"Review","Retain"))))</f>
        <v/>
      </c>
      <c r="AM228" s="17" t="str">
        <f>IF(B228="","",IF(Z228="N","Easy",IF(OR(AND(ISNUMBER(AB228),AB228&gt;'Scoring Settings'!$B$11),AND(ISNUMBER(W228),W228&gt;'Scoring Settings'!$B$12),AND(ISNUMBER(M228),M228&lt;='Scoring Settings'!$B$13)),"High","Medium")))</f>
        <v/>
      </c>
      <c r="AN228" s="14"/>
      <c r="AO228" s="16"/>
      <c r="AP228" s="14"/>
      <c r="AQ228" s="22"/>
    </row>
    <row r="229" spans="1:43">
      <c r="A229" s="14"/>
      <c r="B229" s="14"/>
      <c r="C229" s="14"/>
      <c r="D229" s="14"/>
      <c r="E229" s="14"/>
      <c r="F229" s="14"/>
      <c r="G229" s="14"/>
      <c r="H229" s="14"/>
      <c r="I229" s="15"/>
      <c r="J229" s="16"/>
      <c r="K229" s="17" t="str">
        <f>IF(B229="","",IF(AND(I229="",J229=""),"Unknown",IF(OR(AND(ISNUMBER(I229),I229=0),AND(ISNUMBER(J229),J229&lt;=EDATE('Scoring Settings'!$B$4,-'Scoring Settings'!$B$5))),"Not in use",IF(AND(ISNUMBER(I229),I229&lt;'Scoring Settings'!$B$6),"Low use","Active"))))</f>
        <v/>
      </c>
      <c r="L229" s="14"/>
      <c r="M229" s="14"/>
      <c r="N229" s="14"/>
      <c r="O229" s="14"/>
      <c r="P229" s="14"/>
      <c r="Q229" s="18"/>
      <c r="R229" s="14"/>
      <c r="S229" s="14"/>
      <c r="T229" s="14"/>
      <c r="U229" s="16"/>
      <c r="V229" s="14"/>
      <c r="W229" s="15"/>
      <c r="X229" s="14"/>
      <c r="Y229" s="18"/>
      <c r="Z229" s="14"/>
      <c r="AA229" s="14"/>
      <c r="AB229" s="18"/>
      <c r="AC229" s="14"/>
      <c r="AD229" s="14"/>
      <c r="AE229" s="14"/>
      <c r="AF229" s="19"/>
      <c r="AG229" s="16"/>
      <c r="AH229" s="19"/>
      <c r="AI229" s="19"/>
      <c r="AJ229" s="20" t="str">
        <f t="shared" si="3"/>
        <v/>
      </c>
      <c r="AK229" s="21" t="str">
        <f>IF(B229="","",OR(K229="Not in use",K229="Low use")+AND(N229&lt;&gt;"",N229&lt;&gt;"TBD")+AND(ISNUMBER(U229),U229&lt;=EDATE('Scoring Settings'!$B$4,'Scoring Settings'!$B$8))+AND(ISNUMBER(L229),L229&lt;='Scoring Settings'!$B$7))</f>
        <v/>
      </c>
      <c r="AL229" s="17" t="str">
        <f>IF(B229="","",IF(K229="Not in use","Priority – Not in use",IF(AK229&gt;='Scoring Settings'!$B$9,"Decommission",IF(AK229=1,"Review","Retain"))))</f>
        <v/>
      </c>
      <c r="AM229" s="17" t="str">
        <f>IF(B229="","",IF(Z229="N","Easy",IF(OR(AND(ISNUMBER(AB229),AB229&gt;'Scoring Settings'!$B$11),AND(ISNUMBER(W229),W229&gt;'Scoring Settings'!$B$12),AND(ISNUMBER(M229),M229&lt;='Scoring Settings'!$B$13)),"High","Medium")))</f>
        <v/>
      </c>
      <c r="AN229" s="14"/>
      <c r="AO229" s="16"/>
      <c r="AP229" s="14"/>
      <c r="AQ229" s="22"/>
    </row>
    <row r="230" spans="1:43">
      <c r="A230" s="14"/>
      <c r="B230" s="14"/>
      <c r="C230" s="14"/>
      <c r="D230" s="14"/>
      <c r="E230" s="14"/>
      <c r="F230" s="14"/>
      <c r="G230" s="14"/>
      <c r="H230" s="14"/>
      <c r="I230" s="15"/>
      <c r="J230" s="16"/>
      <c r="K230" s="17" t="str">
        <f>IF(B230="","",IF(AND(I230="",J230=""),"Unknown",IF(OR(AND(ISNUMBER(I230),I230=0),AND(ISNUMBER(J230),J230&lt;=EDATE('Scoring Settings'!$B$4,-'Scoring Settings'!$B$5))),"Not in use",IF(AND(ISNUMBER(I230),I230&lt;'Scoring Settings'!$B$6),"Low use","Active"))))</f>
        <v/>
      </c>
      <c r="L230" s="14"/>
      <c r="M230" s="14"/>
      <c r="N230" s="14"/>
      <c r="O230" s="14"/>
      <c r="P230" s="14"/>
      <c r="Q230" s="18"/>
      <c r="R230" s="14"/>
      <c r="S230" s="14"/>
      <c r="T230" s="14"/>
      <c r="U230" s="16"/>
      <c r="V230" s="14"/>
      <c r="W230" s="15"/>
      <c r="X230" s="14"/>
      <c r="Y230" s="18"/>
      <c r="Z230" s="14"/>
      <c r="AA230" s="14"/>
      <c r="AB230" s="18"/>
      <c r="AC230" s="14"/>
      <c r="AD230" s="14"/>
      <c r="AE230" s="14"/>
      <c r="AF230" s="19"/>
      <c r="AG230" s="16"/>
      <c r="AH230" s="19"/>
      <c r="AI230" s="19"/>
      <c r="AJ230" s="20" t="str">
        <f t="shared" si="3"/>
        <v/>
      </c>
      <c r="AK230" s="21" t="str">
        <f>IF(B230="","",OR(K230="Not in use",K230="Low use")+AND(N230&lt;&gt;"",N230&lt;&gt;"TBD")+AND(ISNUMBER(U230),U230&lt;=EDATE('Scoring Settings'!$B$4,'Scoring Settings'!$B$8))+AND(ISNUMBER(L230),L230&lt;='Scoring Settings'!$B$7))</f>
        <v/>
      </c>
      <c r="AL230" s="17" t="str">
        <f>IF(B230="","",IF(K230="Not in use","Priority – Not in use",IF(AK230&gt;='Scoring Settings'!$B$9,"Decommission",IF(AK230=1,"Review","Retain"))))</f>
        <v/>
      </c>
      <c r="AM230" s="17" t="str">
        <f>IF(B230="","",IF(Z230="N","Easy",IF(OR(AND(ISNUMBER(AB230),AB230&gt;'Scoring Settings'!$B$11),AND(ISNUMBER(W230),W230&gt;'Scoring Settings'!$B$12),AND(ISNUMBER(M230),M230&lt;='Scoring Settings'!$B$13)),"High","Medium")))</f>
        <v/>
      </c>
      <c r="AN230" s="14"/>
      <c r="AO230" s="16"/>
      <c r="AP230" s="14"/>
      <c r="AQ230" s="22"/>
    </row>
    <row r="231" spans="1:43">
      <c r="A231" s="14"/>
      <c r="B231" s="14"/>
      <c r="C231" s="14"/>
      <c r="D231" s="14"/>
      <c r="E231" s="14"/>
      <c r="F231" s="14"/>
      <c r="G231" s="14"/>
      <c r="H231" s="14"/>
      <c r="I231" s="15"/>
      <c r="J231" s="16"/>
      <c r="K231" s="17" t="str">
        <f>IF(B231="","",IF(AND(I231="",J231=""),"Unknown",IF(OR(AND(ISNUMBER(I231),I231=0),AND(ISNUMBER(J231),J231&lt;=EDATE('Scoring Settings'!$B$4,-'Scoring Settings'!$B$5))),"Not in use",IF(AND(ISNUMBER(I231),I231&lt;'Scoring Settings'!$B$6),"Low use","Active"))))</f>
        <v/>
      </c>
      <c r="L231" s="14"/>
      <c r="M231" s="14"/>
      <c r="N231" s="14"/>
      <c r="O231" s="14"/>
      <c r="P231" s="14"/>
      <c r="Q231" s="18"/>
      <c r="R231" s="14"/>
      <c r="S231" s="14"/>
      <c r="T231" s="14"/>
      <c r="U231" s="16"/>
      <c r="V231" s="14"/>
      <c r="W231" s="15"/>
      <c r="X231" s="14"/>
      <c r="Y231" s="18"/>
      <c r="Z231" s="14"/>
      <c r="AA231" s="14"/>
      <c r="AB231" s="18"/>
      <c r="AC231" s="14"/>
      <c r="AD231" s="14"/>
      <c r="AE231" s="14"/>
      <c r="AF231" s="19"/>
      <c r="AG231" s="16"/>
      <c r="AH231" s="19"/>
      <c r="AI231" s="19"/>
      <c r="AJ231" s="20" t="str">
        <f t="shared" si="3"/>
        <v/>
      </c>
      <c r="AK231" s="21" t="str">
        <f>IF(B231="","",OR(K231="Not in use",K231="Low use")+AND(N231&lt;&gt;"",N231&lt;&gt;"TBD")+AND(ISNUMBER(U231),U231&lt;=EDATE('Scoring Settings'!$B$4,'Scoring Settings'!$B$8))+AND(ISNUMBER(L231),L231&lt;='Scoring Settings'!$B$7))</f>
        <v/>
      </c>
      <c r="AL231" s="17" t="str">
        <f>IF(B231="","",IF(K231="Not in use","Priority – Not in use",IF(AK231&gt;='Scoring Settings'!$B$9,"Decommission",IF(AK231=1,"Review","Retain"))))</f>
        <v/>
      </c>
      <c r="AM231" s="17" t="str">
        <f>IF(B231="","",IF(Z231="N","Easy",IF(OR(AND(ISNUMBER(AB231),AB231&gt;'Scoring Settings'!$B$11),AND(ISNUMBER(W231),W231&gt;'Scoring Settings'!$B$12),AND(ISNUMBER(M231),M231&lt;='Scoring Settings'!$B$13)),"High","Medium")))</f>
        <v/>
      </c>
      <c r="AN231" s="14"/>
      <c r="AO231" s="16"/>
      <c r="AP231" s="14"/>
      <c r="AQ231" s="22"/>
    </row>
    <row r="232" spans="1:43">
      <c r="A232" s="14"/>
      <c r="B232" s="14"/>
      <c r="C232" s="14"/>
      <c r="D232" s="14"/>
      <c r="E232" s="14"/>
      <c r="F232" s="14"/>
      <c r="G232" s="14"/>
      <c r="H232" s="14"/>
      <c r="I232" s="15"/>
      <c r="J232" s="16"/>
      <c r="K232" s="17" t="str">
        <f>IF(B232="","",IF(AND(I232="",J232=""),"Unknown",IF(OR(AND(ISNUMBER(I232),I232=0),AND(ISNUMBER(J232),J232&lt;=EDATE('Scoring Settings'!$B$4,-'Scoring Settings'!$B$5))),"Not in use",IF(AND(ISNUMBER(I232),I232&lt;'Scoring Settings'!$B$6),"Low use","Active"))))</f>
        <v/>
      </c>
      <c r="L232" s="14"/>
      <c r="M232" s="14"/>
      <c r="N232" s="14"/>
      <c r="O232" s="14"/>
      <c r="P232" s="14"/>
      <c r="Q232" s="18"/>
      <c r="R232" s="14"/>
      <c r="S232" s="14"/>
      <c r="T232" s="14"/>
      <c r="U232" s="16"/>
      <c r="V232" s="14"/>
      <c r="W232" s="15"/>
      <c r="X232" s="14"/>
      <c r="Y232" s="18"/>
      <c r="Z232" s="14"/>
      <c r="AA232" s="14"/>
      <c r="AB232" s="18"/>
      <c r="AC232" s="14"/>
      <c r="AD232" s="14"/>
      <c r="AE232" s="14"/>
      <c r="AF232" s="19"/>
      <c r="AG232" s="16"/>
      <c r="AH232" s="19"/>
      <c r="AI232" s="19"/>
      <c r="AJ232" s="20" t="str">
        <f t="shared" si="3"/>
        <v/>
      </c>
      <c r="AK232" s="21" t="str">
        <f>IF(B232="","",OR(K232="Not in use",K232="Low use")+AND(N232&lt;&gt;"",N232&lt;&gt;"TBD")+AND(ISNUMBER(U232),U232&lt;=EDATE('Scoring Settings'!$B$4,'Scoring Settings'!$B$8))+AND(ISNUMBER(L232),L232&lt;='Scoring Settings'!$B$7))</f>
        <v/>
      </c>
      <c r="AL232" s="17" t="str">
        <f>IF(B232="","",IF(K232="Not in use","Priority – Not in use",IF(AK232&gt;='Scoring Settings'!$B$9,"Decommission",IF(AK232=1,"Review","Retain"))))</f>
        <v/>
      </c>
      <c r="AM232" s="17" t="str">
        <f>IF(B232="","",IF(Z232="N","Easy",IF(OR(AND(ISNUMBER(AB232),AB232&gt;'Scoring Settings'!$B$11),AND(ISNUMBER(W232),W232&gt;'Scoring Settings'!$B$12),AND(ISNUMBER(M232),M232&lt;='Scoring Settings'!$B$13)),"High","Medium")))</f>
        <v/>
      </c>
      <c r="AN232" s="14"/>
      <c r="AO232" s="16"/>
      <c r="AP232" s="14"/>
      <c r="AQ232" s="22"/>
    </row>
    <row r="233" spans="1:43">
      <c r="A233" s="14"/>
      <c r="B233" s="14"/>
      <c r="C233" s="14"/>
      <c r="D233" s="14"/>
      <c r="E233" s="14"/>
      <c r="F233" s="14"/>
      <c r="G233" s="14"/>
      <c r="H233" s="14"/>
      <c r="I233" s="15"/>
      <c r="J233" s="16"/>
      <c r="K233" s="17" t="str">
        <f>IF(B233="","",IF(AND(I233="",J233=""),"Unknown",IF(OR(AND(ISNUMBER(I233),I233=0),AND(ISNUMBER(J233),J233&lt;=EDATE('Scoring Settings'!$B$4,-'Scoring Settings'!$B$5))),"Not in use",IF(AND(ISNUMBER(I233),I233&lt;'Scoring Settings'!$B$6),"Low use","Active"))))</f>
        <v/>
      </c>
      <c r="L233" s="14"/>
      <c r="M233" s="14"/>
      <c r="N233" s="14"/>
      <c r="O233" s="14"/>
      <c r="P233" s="14"/>
      <c r="Q233" s="18"/>
      <c r="R233" s="14"/>
      <c r="S233" s="14"/>
      <c r="T233" s="14"/>
      <c r="U233" s="16"/>
      <c r="V233" s="14"/>
      <c r="W233" s="15"/>
      <c r="X233" s="14"/>
      <c r="Y233" s="18"/>
      <c r="Z233" s="14"/>
      <c r="AA233" s="14"/>
      <c r="AB233" s="18"/>
      <c r="AC233" s="14"/>
      <c r="AD233" s="14"/>
      <c r="AE233" s="14"/>
      <c r="AF233" s="19"/>
      <c r="AG233" s="16"/>
      <c r="AH233" s="19"/>
      <c r="AI233" s="19"/>
      <c r="AJ233" s="20" t="str">
        <f t="shared" si="3"/>
        <v/>
      </c>
      <c r="AK233" s="21" t="str">
        <f>IF(B233="","",OR(K233="Not in use",K233="Low use")+AND(N233&lt;&gt;"",N233&lt;&gt;"TBD")+AND(ISNUMBER(U233),U233&lt;=EDATE('Scoring Settings'!$B$4,'Scoring Settings'!$B$8))+AND(ISNUMBER(L233),L233&lt;='Scoring Settings'!$B$7))</f>
        <v/>
      </c>
      <c r="AL233" s="17" t="str">
        <f>IF(B233="","",IF(K233="Not in use","Priority – Not in use",IF(AK233&gt;='Scoring Settings'!$B$9,"Decommission",IF(AK233=1,"Review","Retain"))))</f>
        <v/>
      </c>
      <c r="AM233" s="17" t="str">
        <f>IF(B233="","",IF(Z233="N","Easy",IF(OR(AND(ISNUMBER(AB233),AB233&gt;'Scoring Settings'!$B$11),AND(ISNUMBER(W233),W233&gt;'Scoring Settings'!$B$12),AND(ISNUMBER(M233),M233&lt;='Scoring Settings'!$B$13)),"High","Medium")))</f>
        <v/>
      </c>
      <c r="AN233" s="14"/>
      <c r="AO233" s="16"/>
      <c r="AP233" s="14"/>
      <c r="AQ233" s="22"/>
    </row>
    <row r="234" spans="1:43">
      <c r="A234" s="14"/>
      <c r="B234" s="14"/>
      <c r="C234" s="14"/>
      <c r="D234" s="14"/>
      <c r="E234" s="14"/>
      <c r="F234" s="14"/>
      <c r="G234" s="14"/>
      <c r="H234" s="14"/>
      <c r="I234" s="15"/>
      <c r="J234" s="16"/>
      <c r="K234" s="17" t="str">
        <f>IF(B234="","",IF(AND(I234="",J234=""),"Unknown",IF(OR(AND(ISNUMBER(I234),I234=0),AND(ISNUMBER(J234),J234&lt;=EDATE('Scoring Settings'!$B$4,-'Scoring Settings'!$B$5))),"Not in use",IF(AND(ISNUMBER(I234),I234&lt;'Scoring Settings'!$B$6),"Low use","Active"))))</f>
        <v/>
      </c>
      <c r="L234" s="14"/>
      <c r="M234" s="14"/>
      <c r="N234" s="14"/>
      <c r="O234" s="14"/>
      <c r="P234" s="14"/>
      <c r="Q234" s="18"/>
      <c r="R234" s="14"/>
      <c r="S234" s="14"/>
      <c r="T234" s="14"/>
      <c r="U234" s="16"/>
      <c r="V234" s="14"/>
      <c r="W234" s="15"/>
      <c r="X234" s="14"/>
      <c r="Y234" s="18"/>
      <c r="Z234" s="14"/>
      <c r="AA234" s="14"/>
      <c r="AB234" s="18"/>
      <c r="AC234" s="14"/>
      <c r="AD234" s="14"/>
      <c r="AE234" s="14"/>
      <c r="AF234" s="19"/>
      <c r="AG234" s="16"/>
      <c r="AH234" s="19"/>
      <c r="AI234" s="19"/>
      <c r="AJ234" s="20" t="str">
        <f t="shared" si="3"/>
        <v/>
      </c>
      <c r="AK234" s="21" t="str">
        <f>IF(B234="","",OR(K234="Not in use",K234="Low use")+AND(N234&lt;&gt;"",N234&lt;&gt;"TBD")+AND(ISNUMBER(U234),U234&lt;=EDATE('Scoring Settings'!$B$4,'Scoring Settings'!$B$8))+AND(ISNUMBER(L234),L234&lt;='Scoring Settings'!$B$7))</f>
        <v/>
      </c>
      <c r="AL234" s="17" t="str">
        <f>IF(B234="","",IF(K234="Not in use","Priority – Not in use",IF(AK234&gt;='Scoring Settings'!$B$9,"Decommission",IF(AK234=1,"Review","Retain"))))</f>
        <v/>
      </c>
      <c r="AM234" s="17" t="str">
        <f>IF(B234="","",IF(Z234="N","Easy",IF(OR(AND(ISNUMBER(AB234),AB234&gt;'Scoring Settings'!$B$11),AND(ISNUMBER(W234),W234&gt;'Scoring Settings'!$B$12),AND(ISNUMBER(M234),M234&lt;='Scoring Settings'!$B$13)),"High","Medium")))</f>
        <v/>
      </c>
      <c r="AN234" s="14"/>
      <c r="AO234" s="16"/>
      <c r="AP234" s="14"/>
      <c r="AQ234" s="22"/>
    </row>
    <row r="235" spans="1:43">
      <c r="A235" s="14"/>
      <c r="B235" s="14"/>
      <c r="C235" s="14"/>
      <c r="D235" s="14"/>
      <c r="E235" s="14"/>
      <c r="F235" s="14"/>
      <c r="G235" s="14"/>
      <c r="H235" s="14"/>
      <c r="I235" s="15"/>
      <c r="J235" s="16"/>
      <c r="K235" s="17" t="str">
        <f>IF(B235="","",IF(AND(I235="",J235=""),"Unknown",IF(OR(AND(ISNUMBER(I235),I235=0),AND(ISNUMBER(J235),J235&lt;=EDATE('Scoring Settings'!$B$4,-'Scoring Settings'!$B$5))),"Not in use",IF(AND(ISNUMBER(I235),I235&lt;'Scoring Settings'!$B$6),"Low use","Active"))))</f>
        <v/>
      </c>
      <c r="L235" s="14"/>
      <c r="M235" s="14"/>
      <c r="N235" s="14"/>
      <c r="O235" s="14"/>
      <c r="P235" s="14"/>
      <c r="Q235" s="18"/>
      <c r="R235" s="14"/>
      <c r="S235" s="14"/>
      <c r="T235" s="14"/>
      <c r="U235" s="16"/>
      <c r="V235" s="14"/>
      <c r="W235" s="15"/>
      <c r="X235" s="14"/>
      <c r="Y235" s="18"/>
      <c r="Z235" s="14"/>
      <c r="AA235" s="14"/>
      <c r="AB235" s="18"/>
      <c r="AC235" s="14"/>
      <c r="AD235" s="14"/>
      <c r="AE235" s="14"/>
      <c r="AF235" s="19"/>
      <c r="AG235" s="16"/>
      <c r="AH235" s="19"/>
      <c r="AI235" s="19"/>
      <c r="AJ235" s="20" t="str">
        <f t="shared" si="3"/>
        <v/>
      </c>
      <c r="AK235" s="21" t="str">
        <f>IF(B235="","",OR(K235="Not in use",K235="Low use")+AND(N235&lt;&gt;"",N235&lt;&gt;"TBD")+AND(ISNUMBER(U235),U235&lt;=EDATE('Scoring Settings'!$B$4,'Scoring Settings'!$B$8))+AND(ISNUMBER(L235),L235&lt;='Scoring Settings'!$B$7))</f>
        <v/>
      </c>
      <c r="AL235" s="17" t="str">
        <f>IF(B235="","",IF(K235="Not in use","Priority – Not in use",IF(AK235&gt;='Scoring Settings'!$B$9,"Decommission",IF(AK235=1,"Review","Retain"))))</f>
        <v/>
      </c>
      <c r="AM235" s="17" t="str">
        <f>IF(B235="","",IF(Z235="N","Easy",IF(OR(AND(ISNUMBER(AB235),AB235&gt;'Scoring Settings'!$B$11),AND(ISNUMBER(W235),W235&gt;'Scoring Settings'!$B$12),AND(ISNUMBER(M235),M235&lt;='Scoring Settings'!$B$13)),"High","Medium")))</f>
        <v/>
      </c>
      <c r="AN235" s="14"/>
      <c r="AO235" s="16"/>
      <c r="AP235" s="14"/>
      <c r="AQ235" s="22"/>
    </row>
    <row r="236" spans="1:43">
      <c r="A236" s="14"/>
      <c r="B236" s="14"/>
      <c r="C236" s="14"/>
      <c r="D236" s="14"/>
      <c r="E236" s="14"/>
      <c r="F236" s="14"/>
      <c r="G236" s="14"/>
      <c r="H236" s="14"/>
      <c r="I236" s="15"/>
      <c r="J236" s="16"/>
      <c r="K236" s="17" t="str">
        <f>IF(B236="","",IF(AND(I236="",J236=""),"Unknown",IF(OR(AND(ISNUMBER(I236),I236=0),AND(ISNUMBER(J236),J236&lt;=EDATE('Scoring Settings'!$B$4,-'Scoring Settings'!$B$5))),"Not in use",IF(AND(ISNUMBER(I236),I236&lt;'Scoring Settings'!$B$6),"Low use","Active"))))</f>
        <v/>
      </c>
      <c r="L236" s="14"/>
      <c r="M236" s="14"/>
      <c r="N236" s="14"/>
      <c r="O236" s="14"/>
      <c r="P236" s="14"/>
      <c r="Q236" s="18"/>
      <c r="R236" s="14"/>
      <c r="S236" s="14"/>
      <c r="T236" s="14"/>
      <c r="U236" s="16"/>
      <c r="V236" s="14"/>
      <c r="W236" s="15"/>
      <c r="X236" s="14"/>
      <c r="Y236" s="18"/>
      <c r="Z236" s="14"/>
      <c r="AA236" s="14"/>
      <c r="AB236" s="18"/>
      <c r="AC236" s="14"/>
      <c r="AD236" s="14"/>
      <c r="AE236" s="14"/>
      <c r="AF236" s="19"/>
      <c r="AG236" s="16"/>
      <c r="AH236" s="19"/>
      <c r="AI236" s="19"/>
      <c r="AJ236" s="20" t="str">
        <f t="shared" si="3"/>
        <v/>
      </c>
      <c r="AK236" s="21" t="str">
        <f>IF(B236="","",OR(K236="Not in use",K236="Low use")+AND(N236&lt;&gt;"",N236&lt;&gt;"TBD")+AND(ISNUMBER(U236),U236&lt;=EDATE('Scoring Settings'!$B$4,'Scoring Settings'!$B$8))+AND(ISNUMBER(L236),L236&lt;='Scoring Settings'!$B$7))</f>
        <v/>
      </c>
      <c r="AL236" s="17" t="str">
        <f>IF(B236="","",IF(K236="Not in use","Priority – Not in use",IF(AK236&gt;='Scoring Settings'!$B$9,"Decommission",IF(AK236=1,"Review","Retain"))))</f>
        <v/>
      </c>
      <c r="AM236" s="17" t="str">
        <f>IF(B236="","",IF(Z236="N","Easy",IF(OR(AND(ISNUMBER(AB236),AB236&gt;'Scoring Settings'!$B$11),AND(ISNUMBER(W236),W236&gt;'Scoring Settings'!$B$12),AND(ISNUMBER(M236),M236&lt;='Scoring Settings'!$B$13)),"High","Medium")))</f>
        <v/>
      </c>
      <c r="AN236" s="14"/>
      <c r="AO236" s="16"/>
      <c r="AP236" s="14"/>
      <c r="AQ236" s="22"/>
    </row>
    <row r="237" spans="1:43">
      <c r="A237" s="14"/>
      <c r="B237" s="14"/>
      <c r="C237" s="14"/>
      <c r="D237" s="14"/>
      <c r="E237" s="14"/>
      <c r="F237" s="14"/>
      <c r="G237" s="14"/>
      <c r="H237" s="14"/>
      <c r="I237" s="15"/>
      <c r="J237" s="16"/>
      <c r="K237" s="17" t="str">
        <f>IF(B237="","",IF(AND(I237="",J237=""),"Unknown",IF(OR(AND(ISNUMBER(I237),I237=0),AND(ISNUMBER(J237),J237&lt;=EDATE('Scoring Settings'!$B$4,-'Scoring Settings'!$B$5))),"Not in use",IF(AND(ISNUMBER(I237),I237&lt;'Scoring Settings'!$B$6),"Low use","Active"))))</f>
        <v/>
      </c>
      <c r="L237" s="14"/>
      <c r="M237" s="14"/>
      <c r="N237" s="14"/>
      <c r="O237" s="14"/>
      <c r="P237" s="14"/>
      <c r="Q237" s="18"/>
      <c r="R237" s="14"/>
      <c r="S237" s="14"/>
      <c r="T237" s="14"/>
      <c r="U237" s="16"/>
      <c r="V237" s="14"/>
      <c r="W237" s="15"/>
      <c r="X237" s="14"/>
      <c r="Y237" s="18"/>
      <c r="Z237" s="14"/>
      <c r="AA237" s="14"/>
      <c r="AB237" s="18"/>
      <c r="AC237" s="14"/>
      <c r="AD237" s="14"/>
      <c r="AE237" s="14"/>
      <c r="AF237" s="19"/>
      <c r="AG237" s="16"/>
      <c r="AH237" s="19"/>
      <c r="AI237" s="19"/>
      <c r="AJ237" s="20" t="str">
        <f t="shared" si="3"/>
        <v/>
      </c>
      <c r="AK237" s="21" t="str">
        <f>IF(B237="","",OR(K237="Not in use",K237="Low use")+AND(N237&lt;&gt;"",N237&lt;&gt;"TBD")+AND(ISNUMBER(U237),U237&lt;=EDATE('Scoring Settings'!$B$4,'Scoring Settings'!$B$8))+AND(ISNUMBER(L237),L237&lt;='Scoring Settings'!$B$7))</f>
        <v/>
      </c>
      <c r="AL237" s="17" t="str">
        <f>IF(B237="","",IF(K237="Not in use","Priority – Not in use",IF(AK237&gt;='Scoring Settings'!$B$9,"Decommission",IF(AK237=1,"Review","Retain"))))</f>
        <v/>
      </c>
      <c r="AM237" s="17" t="str">
        <f>IF(B237="","",IF(Z237="N","Easy",IF(OR(AND(ISNUMBER(AB237),AB237&gt;'Scoring Settings'!$B$11),AND(ISNUMBER(W237),W237&gt;'Scoring Settings'!$B$12),AND(ISNUMBER(M237),M237&lt;='Scoring Settings'!$B$13)),"High","Medium")))</f>
        <v/>
      </c>
      <c r="AN237" s="14"/>
      <c r="AO237" s="16"/>
      <c r="AP237" s="14"/>
      <c r="AQ237" s="22"/>
    </row>
    <row r="238" spans="1:43">
      <c r="A238" s="14"/>
      <c r="B238" s="14"/>
      <c r="C238" s="14"/>
      <c r="D238" s="14"/>
      <c r="E238" s="14"/>
      <c r="F238" s="14"/>
      <c r="G238" s="14"/>
      <c r="H238" s="14"/>
      <c r="I238" s="15"/>
      <c r="J238" s="16"/>
      <c r="K238" s="17" t="str">
        <f>IF(B238="","",IF(AND(I238="",J238=""),"Unknown",IF(OR(AND(ISNUMBER(I238),I238=0),AND(ISNUMBER(J238),J238&lt;=EDATE('Scoring Settings'!$B$4,-'Scoring Settings'!$B$5))),"Not in use",IF(AND(ISNUMBER(I238),I238&lt;'Scoring Settings'!$B$6),"Low use","Active"))))</f>
        <v/>
      </c>
      <c r="L238" s="14"/>
      <c r="M238" s="14"/>
      <c r="N238" s="14"/>
      <c r="O238" s="14"/>
      <c r="P238" s="14"/>
      <c r="Q238" s="18"/>
      <c r="R238" s="14"/>
      <c r="S238" s="14"/>
      <c r="T238" s="14"/>
      <c r="U238" s="16"/>
      <c r="V238" s="14"/>
      <c r="W238" s="15"/>
      <c r="X238" s="14"/>
      <c r="Y238" s="18"/>
      <c r="Z238" s="14"/>
      <c r="AA238" s="14"/>
      <c r="AB238" s="18"/>
      <c r="AC238" s="14"/>
      <c r="AD238" s="14"/>
      <c r="AE238" s="14"/>
      <c r="AF238" s="19"/>
      <c r="AG238" s="16"/>
      <c r="AH238" s="19"/>
      <c r="AI238" s="19"/>
      <c r="AJ238" s="20" t="str">
        <f t="shared" si="3"/>
        <v/>
      </c>
      <c r="AK238" s="21" t="str">
        <f>IF(B238="","",OR(K238="Not in use",K238="Low use")+AND(N238&lt;&gt;"",N238&lt;&gt;"TBD")+AND(ISNUMBER(U238),U238&lt;=EDATE('Scoring Settings'!$B$4,'Scoring Settings'!$B$8))+AND(ISNUMBER(L238),L238&lt;='Scoring Settings'!$B$7))</f>
        <v/>
      </c>
      <c r="AL238" s="17" t="str">
        <f>IF(B238="","",IF(K238="Not in use","Priority – Not in use",IF(AK238&gt;='Scoring Settings'!$B$9,"Decommission",IF(AK238=1,"Review","Retain"))))</f>
        <v/>
      </c>
      <c r="AM238" s="17" t="str">
        <f>IF(B238="","",IF(Z238="N","Easy",IF(OR(AND(ISNUMBER(AB238),AB238&gt;'Scoring Settings'!$B$11),AND(ISNUMBER(W238),W238&gt;'Scoring Settings'!$B$12),AND(ISNUMBER(M238),M238&lt;='Scoring Settings'!$B$13)),"High","Medium")))</f>
        <v/>
      </c>
      <c r="AN238" s="14"/>
      <c r="AO238" s="16"/>
      <c r="AP238" s="14"/>
      <c r="AQ238" s="22"/>
    </row>
    <row r="239" spans="1:43">
      <c r="A239" s="14"/>
      <c r="B239" s="14"/>
      <c r="C239" s="14"/>
      <c r="D239" s="14"/>
      <c r="E239" s="14"/>
      <c r="F239" s="14"/>
      <c r="G239" s="14"/>
      <c r="H239" s="14"/>
      <c r="I239" s="15"/>
      <c r="J239" s="16"/>
      <c r="K239" s="17" t="str">
        <f>IF(B239="","",IF(AND(I239="",J239=""),"Unknown",IF(OR(AND(ISNUMBER(I239),I239=0),AND(ISNUMBER(J239),J239&lt;=EDATE('Scoring Settings'!$B$4,-'Scoring Settings'!$B$5))),"Not in use",IF(AND(ISNUMBER(I239),I239&lt;'Scoring Settings'!$B$6),"Low use","Active"))))</f>
        <v/>
      </c>
      <c r="L239" s="14"/>
      <c r="M239" s="14"/>
      <c r="N239" s="14"/>
      <c r="O239" s="14"/>
      <c r="P239" s="14"/>
      <c r="Q239" s="18"/>
      <c r="R239" s="14"/>
      <c r="S239" s="14"/>
      <c r="T239" s="14"/>
      <c r="U239" s="16"/>
      <c r="V239" s="14"/>
      <c r="W239" s="15"/>
      <c r="X239" s="14"/>
      <c r="Y239" s="18"/>
      <c r="Z239" s="14"/>
      <c r="AA239" s="14"/>
      <c r="AB239" s="18"/>
      <c r="AC239" s="14"/>
      <c r="AD239" s="14"/>
      <c r="AE239" s="14"/>
      <c r="AF239" s="19"/>
      <c r="AG239" s="16"/>
      <c r="AH239" s="19"/>
      <c r="AI239" s="19"/>
      <c r="AJ239" s="20" t="str">
        <f t="shared" si="3"/>
        <v/>
      </c>
      <c r="AK239" s="21" t="str">
        <f>IF(B239="","",OR(K239="Not in use",K239="Low use")+AND(N239&lt;&gt;"",N239&lt;&gt;"TBD")+AND(ISNUMBER(U239),U239&lt;=EDATE('Scoring Settings'!$B$4,'Scoring Settings'!$B$8))+AND(ISNUMBER(L239),L239&lt;='Scoring Settings'!$B$7))</f>
        <v/>
      </c>
      <c r="AL239" s="17" t="str">
        <f>IF(B239="","",IF(K239="Not in use","Priority – Not in use",IF(AK239&gt;='Scoring Settings'!$B$9,"Decommission",IF(AK239=1,"Review","Retain"))))</f>
        <v/>
      </c>
      <c r="AM239" s="17" t="str">
        <f>IF(B239="","",IF(Z239="N","Easy",IF(OR(AND(ISNUMBER(AB239),AB239&gt;'Scoring Settings'!$B$11),AND(ISNUMBER(W239),W239&gt;'Scoring Settings'!$B$12),AND(ISNUMBER(M239),M239&lt;='Scoring Settings'!$B$13)),"High","Medium")))</f>
        <v/>
      </c>
      <c r="AN239" s="14"/>
      <c r="AO239" s="16"/>
      <c r="AP239" s="14"/>
      <c r="AQ239" s="22"/>
    </row>
    <row r="240" spans="1:43">
      <c r="A240" s="14"/>
      <c r="B240" s="14"/>
      <c r="C240" s="14"/>
      <c r="D240" s="14"/>
      <c r="E240" s="14"/>
      <c r="F240" s="14"/>
      <c r="G240" s="14"/>
      <c r="H240" s="14"/>
      <c r="I240" s="15"/>
      <c r="J240" s="16"/>
      <c r="K240" s="17" t="str">
        <f>IF(B240="","",IF(AND(I240="",J240=""),"Unknown",IF(OR(AND(ISNUMBER(I240),I240=0),AND(ISNUMBER(J240),J240&lt;=EDATE('Scoring Settings'!$B$4,-'Scoring Settings'!$B$5))),"Not in use",IF(AND(ISNUMBER(I240),I240&lt;'Scoring Settings'!$B$6),"Low use","Active"))))</f>
        <v/>
      </c>
      <c r="L240" s="14"/>
      <c r="M240" s="14"/>
      <c r="N240" s="14"/>
      <c r="O240" s="14"/>
      <c r="P240" s="14"/>
      <c r="Q240" s="18"/>
      <c r="R240" s="14"/>
      <c r="S240" s="14"/>
      <c r="T240" s="14"/>
      <c r="U240" s="16"/>
      <c r="V240" s="14"/>
      <c r="W240" s="15"/>
      <c r="X240" s="14"/>
      <c r="Y240" s="18"/>
      <c r="Z240" s="14"/>
      <c r="AA240" s="14"/>
      <c r="AB240" s="18"/>
      <c r="AC240" s="14"/>
      <c r="AD240" s="14"/>
      <c r="AE240" s="14"/>
      <c r="AF240" s="19"/>
      <c r="AG240" s="16"/>
      <c r="AH240" s="19"/>
      <c r="AI240" s="19"/>
      <c r="AJ240" s="20" t="str">
        <f t="shared" si="3"/>
        <v/>
      </c>
      <c r="AK240" s="21" t="str">
        <f>IF(B240="","",OR(K240="Not in use",K240="Low use")+AND(N240&lt;&gt;"",N240&lt;&gt;"TBD")+AND(ISNUMBER(U240),U240&lt;=EDATE('Scoring Settings'!$B$4,'Scoring Settings'!$B$8))+AND(ISNUMBER(L240),L240&lt;='Scoring Settings'!$B$7))</f>
        <v/>
      </c>
      <c r="AL240" s="17" t="str">
        <f>IF(B240="","",IF(K240="Not in use","Priority – Not in use",IF(AK240&gt;='Scoring Settings'!$B$9,"Decommission",IF(AK240=1,"Review","Retain"))))</f>
        <v/>
      </c>
      <c r="AM240" s="17" t="str">
        <f>IF(B240="","",IF(Z240="N","Easy",IF(OR(AND(ISNUMBER(AB240),AB240&gt;'Scoring Settings'!$B$11),AND(ISNUMBER(W240),W240&gt;'Scoring Settings'!$B$12),AND(ISNUMBER(M240),M240&lt;='Scoring Settings'!$B$13)),"High","Medium")))</f>
        <v/>
      </c>
      <c r="AN240" s="14"/>
      <c r="AO240" s="16"/>
      <c r="AP240" s="14"/>
      <c r="AQ240" s="22"/>
    </row>
    <row r="241" spans="1:43">
      <c r="A241" s="14"/>
      <c r="B241" s="14"/>
      <c r="C241" s="14"/>
      <c r="D241" s="14"/>
      <c r="E241" s="14"/>
      <c r="F241" s="14"/>
      <c r="G241" s="14"/>
      <c r="H241" s="14"/>
      <c r="I241" s="15"/>
      <c r="J241" s="16"/>
      <c r="K241" s="17" t="str">
        <f>IF(B241="","",IF(AND(I241="",J241=""),"Unknown",IF(OR(AND(ISNUMBER(I241),I241=0),AND(ISNUMBER(J241),J241&lt;=EDATE('Scoring Settings'!$B$4,-'Scoring Settings'!$B$5))),"Not in use",IF(AND(ISNUMBER(I241),I241&lt;'Scoring Settings'!$B$6),"Low use","Active"))))</f>
        <v/>
      </c>
      <c r="L241" s="14"/>
      <c r="M241" s="14"/>
      <c r="N241" s="14"/>
      <c r="O241" s="14"/>
      <c r="P241" s="14"/>
      <c r="Q241" s="18"/>
      <c r="R241" s="14"/>
      <c r="S241" s="14"/>
      <c r="T241" s="14"/>
      <c r="U241" s="16"/>
      <c r="V241" s="14"/>
      <c r="W241" s="15"/>
      <c r="X241" s="14"/>
      <c r="Y241" s="18"/>
      <c r="Z241" s="14"/>
      <c r="AA241" s="14"/>
      <c r="AB241" s="18"/>
      <c r="AC241" s="14"/>
      <c r="AD241" s="14"/>
      <c r="AE241" s="14"/>
      <c r="AF241" s="19"/>
      <c r="AG241" s="16"/>
      <c r="AH241" s="19"/>
      <c r="AI241" s="19"/>
      <c r="AJ241" s="20" t="str">
        <f t="shared" si="3"/>
        <v/>
      </c>
      <c r="AK241" s="21" t="str">
        <f>IF(B241="","",OR(K241="Not in use",K241="Low use")+AND(N241&lt;&gt;"",N241&lt;&gt;"TBD")+AND(ISNUMBER(U241),U241&lt;=EDATE('Scoring Settings'!$B$4,'Scoring Settings'!$B$8))+AND(ISNUMBER(L241),L241&lt;='Scoring Settings'!$B$7))</f>
        <v/>
      </c>
      <c r="AL241" s="17" t="str">
        <f>IF(B241="","",IF(K241="Not in use","Priority – Not in use",IF(AK241&gt;='Scoring Settings'!$B$9,"Decommission",IF(AK241=1,"Review","Retain"))))</f>
        <v/>
      </c>
      <c r="AM241" s="17" t="str">
        <f>IF(B241="","",IF(Z241="N","Easy",IF(OR(AND(ISNUMBER(AB241),AB241&gt;'Scoring Settings'!$B$11),AND(ISNUMBER(W241),W241&gt;'Scoring Settings'!$B$12),AND(ISNUMBER(M241),M241&lt;='Scoring Settings'!$B$13)),"High","Medium")))</f>
        <v/>
      </c>
      <c r="AN241" s="14"/>
      <c r="AO241" s="16"/>
      <c r="AP241" s="14"/>
      <c r="AQ241" s="22"/>
    </row>
    <row r="242" spans="1:43">
      <c r="A242" s="14"/>
      <c r="B242" s="14"/>
      <c r="C242" s="14"/>
      <c r="D242" s="14"/>
      <c r="E242" s="14"/>
      <c r="F242" s="14"/>
      <c r="G242" s="14"/>
      <c r="H242" s="14"/>
      <c r="I242" s="15"/>
      <c r="J242" s="16"/>
      <c r="K242" s="17" t="str">
        <f>IF(B242="","",IF(AND(I242="",J242=""),"Unknown",IF(OR(AND(ISNUMBER(I242),I242=0),AND(ISNUMBER(J242),J242&lt;=EDATE('Scoring Settings'!$B$4,-'Scoring Settings'!$B$5))),"Not in use",IF(AND(ISNUMBER(I242),I242&lt;'Scoring Settings'!$B$6),"Low use","Active"))))</f>
        <v/>
      </c>
      <c r="L242" s="14"/>
      <c r="M242" s="14"/>
      <c r="N242" s="14"/>
      <c r="O242" s="14"/>
      <c r="P242" s="14"/>
      <c r="Q242" s="18"/>
      <c r="R242" s="14"/>
      <c r="S242" s="14"/>
      <c r="T242" s="14"/>
      <c r="U242" s="16"/>
      <c r="V242" s="14"/>
      <c r="W242" s="15"/>
      <c r="X242" s="14"/>
      <c r="Y242" s="18"/>
      <c r="Z242" s="14"/>
      <c r="AA242" s="14"/>
      <c r="AB242" s="18"/>
      <c r="AC242" s="14"/>
      <c r="AD242" s="14"/>
      <c r="AE242" s="14"/>
      <c r="AF242" s="19"/>
      <c r="AG242" s="16"/>
      <c r="AH242" s="19"/>
      <c r="AI242" s="19"/>
      <c r="AJ242" s="20" t="str">
        <f t="shared" si="3"/>
        <v/>
      </c>
      <c r="AK242" s="21" t="str">
        <f>IF(B242="","",OR(K242="Not in use",K242="Low use")+AND(N242&lt;&gt;"",N242&lt;&gt;"TBD")+AND(ISNUMBER(U242),U242&lt;=EDATE('Scoring Settings'!$B$4,'Scoring Settings'!$B$8))+AND(ISNUMBER(L242),L242&lt;='Scoring Settings'!$B$7))</f>
        <v/>
      </c>
      <c r="AL242" s="17" t="str">
        <f>IF(B242="","",IF(K242="Not in use","Priority – Not in use",IF(AK242&gt;='Scoring Settings'!$B$9,"Decommission",IF(AK242=1,"Review","Retain"))))</f>
        <v/>
      </c>
      <c r="AM242" s="17" t="str">
        <f>IF(B242="","",IF(Z242="N","Easy",IF(OR(AND(ISNUMBER(AB242),AB242&gt;'Scoring Settings'!$B$11),AND(ISNUMBER(W242),W242&gt;'Scoring Settings'!$B$12),AND(ISNUMBER(M242),M242&lt;='Scoring Settings'!$B$13)),"High","Medium")))</f>
        <v/>
      </c>
      <c r="AN242" s="14"/>
      <c r="AO242" s="16"/>
      <c r="AP242" s="14"/>
      <c r="AQ242" s="22"/>
    </row>
    <row r="243" spans="1:43">
      <c r="A243" s="14"/>
      <c r="B243" s="14"/>
      <c r="C243" s="14"/>
      <c r="D243" s="14"/>
      <c r="E243" s="14"/>
      <c r="F243" s="14"/>
      <c r="G243" s="14"/>
      <c r="H243" s="14"/>
      <c r="I243" s="15"/>
      <c r="J243" s="16"/>
      <c r="K243" s="17" t="str">
        <f>IF(B243="","",IF(AND(I243="",J243=""),"Unknown",IF(OR(AND(ISNUMBER(I243),I243=0),AND(ISNUMBER(J243),J243&lt;=EDATE('Scoring Settings'!$B$4,-'Scoring Settings'!$B$5))),"Not in use",IF(AND(ISNUMBER(I243),I243&lt;'Scoring Settings'!$B$6),"Low use","Active"))))</f>
        <v/>
      </c>
      <c r="L243" s="14"/>
      <c r="M243" s="14"/>
      <c r="N243" s="14"/>
      <c r="O243" s="14"/>
      <c r="P243" s="14"/>
      <c r="Q243" s="18"/>
      <c r="R243" s="14"/>
      <c r="S243" s="14"/>
      <c r="T243" s="14"/>
      <c r="U243" s="16"/>
      <c r="V243" s="14"/>
      <c r="W243" s="15"/>
      <c r="X243" s="14"/>
      <c r="Y243" s="18"/>
      <c r="Z243" s="14"/>
      <c r="AA243" s="14"/>
      <c r="AB243" s="18"/>
      <c r="AC243" s="14"/>
      <c r="AD243" s="14"/>
      <c r="AE243" s="14"/>
      <c r="AF243" s="19"/>
      <c r="AG243" s="16"/>
      <c r="AH243" s="19"/>
      <c r="AI243" s="19"/>
      <c r="AJ243" s="20" t="str">
        <f t="shared" si="3"/>
        <v/>
      </c>
      <c r="AK243" s="21" t="str">
        <f>IF(B243="","",OR(K243="Not in use",K243="Low use")+AND(N243&lt;&gt;"",N243&lt;&gt;"TBD")+AND(ISNUMBER(U243),U243&lt;=EDATE('Scoring Settings'!$B$4,'Scoring Settings'!$B$8))+AND(ISNUMBER(L243),L243&lt;='Scoring Settings'!$B$7))</f>
        <v/>
      </c>
      <c r="AL243" s="17" t="str">
        <f>IF(B243="","",IF(K243="Not in use","Priority – Not in use",IF(AK243&gt;='Scoring Settings'!$B$9,"Decommission",IF(AK243=1,"Review","Retain"))))</f>
        <v/>
      </c>
      <c r="AM243" s="17" t="str">
        <f>IF(B243="","",IF(Z243="N","Easy",IF(OR(AND(ISNUMBER(AB243),AB243&gt;'Scoring Settings'!$B$11),AND(ISNUMBER(W243),W243&gt;'Scoring Settings'!$B$12),AND(ISNUMBER(M243),M243&lt;='Scoring Settings'!$B$13)),"High","Medium")))</f>
        <v/>
      </c>
      <c r="AN243" s="14"/>
      <c r="AO243" s="16"/>
      <c r="AP243" s="14"/>
      <c r="AQ243" s="22"/>
    </row>
    <row r="244" spans="1:43">
      <c r="A244" s="14"/>
      <c r="B244" s="14"/>
      <c r="C244" s="14"/>
      <c r="D244" s="14"/>
      <c r="E244" s="14"/>
      <c r="F244" s="14"/>
      <c r="G244" s="14"/>
      <c r="H244" s="14"/>
      <c r="I244" s="15"/>
      <c r="J244" s="16"/>
      <c r="K244" s="17" t="str">
        <f>IF(B244="","",IF(AND(I244="",J244=""),"Unknown",IF(OR(AND(ISNUMBER(I244),I244=0),AND(ISNUMBER(J244),J244&lt;=EDATE('Scoring Settings'!$B$4,-'Scoring Settings'!$B$5))),"Not in use",IF(AND(ISNUMBER(I244),I244&lt;'Scoring Settings'!$B$6),"Low use","Active"))))</f>
        <v/>
      </c>
      <c r="L244" s="14"/>
      <c r="M244" s="14"/>
      <c r="N244" s="14"/>
      <c r="O244" s="14"/>
      <c r="P244" s="14"/>
      <c r="Q244" s="18"/>
      <c r="R244" s="14"/>
      <c r="S244" s="14"/>
      <c r="T244" s="14"/>
      <c r="U244" s="16"/>
      <c r="V244" s="14"/>
      <c r="W244" s="15"/>
      <c r="X244" s="14"/>
      <c r="Y244" s="18"/>
      <c r="Z244" s="14"/>
      <c r="AA244" s="14"/>
      <c r="AB244" s="18"/>
      <c r="AC244" s="14"/>
      <c r="AD244" s="14"/>
      <c r="AE244" s="14"/>
      <c r="AF244" s="19"/>
      <c r="AG244" s="16"/>
      <c r="AH244" s="19"/>
      <c r="AI244" s="19"/>
      <c r="AJ244" s="20" t="str">
        <f t="shared" si="3"/>
        <v/>
      </c>
      <c r="AK244" s="21" t="str">
        <f>IF(B244="","",OR(K244="Not in use",K244="Low use")+AND(N244&lt;&gt;"",N244&lt;&gt;"TBD")+AND(ISNUMBER(U244),U244&lt;=EDATE('Scoring Settings'!$B$4,'Scoring Settings'!$B$8))+AND(ISNUMBER(L244),L244&lt;='Scoring Settings'!$B$7))</f>
        <v/>
      </c>
      <c r="AL244" s="17" t="str">
        <f>IF(B244="","",IF(K244="Not in use","Priority – Not in use",IF(AK244&gt;='Scoring Settings'!$B$9,"Decommission",IF(AK244=1,"Review","Retain"))))</f>
        <v/>
      </c>
      <c r="AM244" s="17" t="str">
        <f>IF(B244="","",IF(Z244="N","Easy",IF(OR(AND(ISNUMBER(AB244),AB244&gt;'Scoring Settings'!$B$11),AND(ISNUMBER(W244),W244&gt;'Scoring Settings'!$B$12),AND(ISNUMBER(M244),M244&lt;='Scoring Settings'!$B$13)),"High","Medium")))</f>
        <v/>
      </c>
      <c r="AN244" s="14"/>
      <c r="AO244" s="16"/>
      <c r="AP244" s="14"/>
      <c r="AQ244" s="22"/>
    </row>
    <row r="245" spans="1:43">
      <c r="A245" s="14"/>
      <c r="B245" s="14"/>
      <c r="C245" s="14"/>
      <c r="D245" s="14"/>
      <c r="E245" s="14"/>
      <c r="F245" s="14"/>
      <c r="G245" s="14"/>
      <c r="H245" s="14"/>
      <c r="I245" s="15"/>
      <c r="J245" s="16"/>
      <c r="K245" s="17" t="str">
        <f>IF(B245="","",IF(AND(I245="",J245=""),"Unknown",IF(OR(AND(ISNUMBER(I245),I245=0),AND(ISNUMBER(J245),J245&lt;=EDATE('Scoring Settings'!$B$4,-'Scoring Settings'!$B$5))),"Not in use",IF(AND(ISNUMBER(I245),I245&lt;'Scoring Settings'!$B$6),"Low use","Active"))))</f>
        <v/>
      </c>
      <c r="L245" s="14"/>
      <c r="M245" s="14"/>
      <c r="N245" s="14"/>
      <c r="O245" s="14"/>
      <c r="P245" s="14"/>
      <c r="Q245" s="18"/>
      <c r="R245" s="14"/>
      <c r="S245" s="14"/>
      <c r="T245" s="14"/>
      <c r="U245" s="16"/>
      <c r="V245" s="14"/>
      <c r="W245" s="15"/>
      <c r="X245" s="14"/>
      <c r="Y245" s="18"/>
      <c r="Z245" s="14"/>
      <c r="AA245" s="14"/>
      <c r="AB245" s="18"/>
      <c r="AC245" s="14"/>
      <c r="AD245" s="14"/>
      <c r="AE245" s="14"/>
      <c r="AF245" s="19"/>
      <c r="AG245" s="16"/>
      <c r="AH245" s="19"/>
      <c r="AI245" s="19"/>
      <c r="AJ245" s="20" t="str">
        <f t="shared" si="3"/>
        <v/>
      </c>
      <c r="AK245" s="21" t="str">
        <f>IF(B245="","",OR(K245="Not in use",K245="Low use")+AND(N245&lt;&gt;"",N245&lt;&gt;"TBD")+AND(ISNUMBER(U245),U245&lt;=EDATE('Scoring Settings'!$B$4,'Scoring Settings'!$B$8))+AND(ISNUMBER(L245),L245&lt;='Scoring Settings'!$B$7))</f>
        <v/>
      </c>
      <c r="AL245" s="17" t="str">
        <f>IF(B245="","",IF(K245="Not in use","Priority – Not in use",IF(AK245&gt;='Scoring Settings'!$B$9,"Decommission",IF(AK245=1,"Review","Retain"))))</f>
        <v/>
      </c>
      <c r="AM245" s="17" t="str">
        <f>IF(B245="","",IF(Z245="N","Easy",IF(OR(AND(ISNUMBER(AB245),AB245&gt;'Scoring Settings'!$B$11),AND(ISNUMBER(W245),W245&gt;'Scoring Settings'!$B$12),AND(ISNUMBER(M245),M245&lt;='Scoring Settings'!$B$13)),"High","Medium")))</f>
        <v/>
      </c>
      <c r="AN245" s="14"/>
      <c r="AO245" s="16"/>
      <c r="AP245" s="14"/>
      <c r="AQ245" s="22"/>
    </row>
    <row r="246" spans="1:43">
      <c r="A246" s="14"/>
      <c r="B246" s="14"/>
      <c r="C246" s="14"/>
      <c r="D246" s="14"/>
      <c r="E246" s="14"/>
      <c r="F246" s="14"/>
      <c r="G246" s="14"/>
      <c r="H246" s="14"/>
      <c r="I246" s="15"/>
      <c r="J246" s="16"/>
      <c r="K246" s="17" t="str">
        <f>IF(B246="","",IF(AND(I246="",J246=""),"Unknown",IF(OR(AND(ISNUMBER(I246),I246=0),AND(ISNUMBER(J246),J246&lt;=EDATE('Scoring Settings'!$B$4,-'Scoring Settings'!$B$5))),"Not in use",IF(AND(ISNUMBER(I246),I246&lt;'Scoring Settings'!$B$6),"Low use","Active"))))</f>
        <v/>
      </c>
      <c r="L246" s="14"/>
      <c r="M246" s="14"/>
      <c r="N246" s="14"/>
      <c r="O246" s="14"/>
      <c r="P246" s="14"/>
      <c r="Q246" s="18"/>
      <c r="R246" s="14"/>
      <c r="S246" s="14"/>
      <c r="T246" s="14"/>
      <c r="U246" s="16"/>
      <c r="V246" s="14"/>
      <c r="W246" s="15"/>
      <c r="X246" s="14"/>
      <c r="Y246" s="18"/>
      <c r="Z246" s="14"/>
      <c r="AA246" s="14"/>
      <c r="AB246" s="18"/>
      <c r="AC246" s="14"/>
      <c r="AD246" s="14"/>
      <c r="AE246" s="14"/>
      <c r="AF246" s="19"/>
      <c r="AG246" s="16"/>
      <c r="AH246" s="19"/>
      <c r="AI246" s="19"/>
      <c r="AJ246" s="20" t="str">
        <f t="shared" si="3"/>
        <v/>
      </c>
      <c r="AK246" s="21" t="str">
        <f>IF(B246="","",OR(K246="Not in use",K246="Low use")+AND(N246&lt;&gt;"",N246&lt;&gt;"TBD")+AND(ISNUMBER(U246),U246&lt;=EDATE('Scoring Settings'!$B$4,'Scoring Settings'!$B$8))+AND(ISNUMBER(L246),L246&lt;='Scoring Settings'!$B$7))</f>
        <v/>
      </c>
      <c r="AL246" s="17" t="str">
        <f>IF(B246="","",IF(K246="Not in use","Priority – Not in use",IF(AK246&gt;='Scoring Settings'!$B$9,"Decommission",IF(AK246=1,"Review","Retain"))))</f>
        <v/>
      </c>
      <c r="AM246" s="17" t="str">
        <f>IF(B246="","",IF(Z246="N","Easy",IF(OR(AND(ISNUMBER(AB246),AB246&gt;'Scoring Settings'!$B$11),AND(ISNUMBER(W246),W246&gt;'Scoring Settings'!$B$12),AND(ISNUMBER(M246),M246&lt;='Scoring Settings'!$B$13)),"High","Medium")))</f>
        <v/>
      </c>
      <c r="AN246" s="14"/>
      <c r="AO246" s="16"/>
      <c r="AP246" s="14"/>
      <c r="AQ246" s="22"/>
    </row>
    <row r="247" spans="1:43">
      <c r="A247" s="14"/>
      <c r="B247" s="14"/>
      <c r="C247" s="14"/>
      <c r="D247" s="14"/>
      <c r="E247" s="14"/>
      <c r="F247" s="14"/>
      <c r="G247" s="14"/>
      <c r="H247" s="14"/>
      <c r="I247" s="15"/>
      <c r="J247" s="16"/>
      <c r="K247" s="17" t="str">
        <f>IF(B247="","",IF(AND(I247="",J247=""),"Unknown",IF(OR(AND(ISNUMBER(I247),I247=0),AND(ISNUMBER(J247),J247&lt;=EDATE('Scoring Settings'!$B$4,-'Scoring Settings'!$B$5))),"Not in use",IF(AND(ISNUMBER(I247),I247&lt;'Scoring Settings'!$B$6),"Low use","Active"))))</f>
        <v/>
      </c>
      <c r="L247" s="14"/>
      <c r="M247" s="14"/>
      <c r="N247" s="14"/>
      <c r="O247" s="14"/>
      <c r="P247" s="14"/>
      <c r="Q247" s="18"/>
      <c r="R247" s="14"/>
      <c r="S247" s="14"/>
      <c r="T247" s="14"/>
      <c r="U247" s="16"/>
      <c r="V247" s="14"/>
      <c r="W247" s="15"/>
      <c r="X247" s="14"/>
      <c r="Y247" s="18"/>
      <c r="Z247" s="14"/>
      <c r="AA247" s="14"/>
      <c r="AB247" s="18"/>
      <c r="AC247" s="14"/>
      <c r="AD247" s="14"/>
      <c r="AE247" s="14"/>
      <c r="AF247" s="19"/>
      <c r="AG247" s="16"/>
      <c r="AH247" s="19"/>
      <c r="AI247" s="19"/>
      <c r="AJ247" s="20" t="str">
        <f t="shared" si="3"/>
        <v/>
      </c>
      <c r="AK247" s="21" t="str">
        <f>IF(B247="","",OR(K247="Not in use",K247="Low use")+AND(N247&lt;&gt;"",N247&lt;&gt;"TBD")+AND(ISNUMBER(U247),U247&lt;=EDATE('Scoring Settings'!$B$4,'Scoring Settings'!$B$8))+AND(ISNUMBER(L247),L247&lt;='Scoring Settings'!$B$7))</f>
        <v/>
      </c>
      <c r="AL247" s="17" t="str">
        <f>IF(B247="","",IF(K247="Not in use","Priority – Not in use",IF(AK247&gt;='Scoring Settings'!$B$9,"Decommission",IF(AK247=1,"Review","Retain"))))</f>
        <v/>
      </c>
      <c r="AM247" s="17" t="str">
        <f>IF(B247="","",IF(Z247="N","Easy",IF(OR(AND(ISNUMBER(AB247),AB247&gt;'Scoring Settings'!$B$11),AND(ISNUMBER(W247),W247&gt;'Scoring Settings'!$B$12),AND(ISNUMBER(M247),M247&lt;='Scoring Settings'!$B$13)),"High","Medium")))</f>
        <v/>
      </c>
      <c r="AN247" s="14"/>
      <c r="AO247" s="16"/>
      <c r="AP247" s="14"/>
      <c r="AQ247" s="22"/>
    </row>
    <row r="248" spans="1:43">
      <c r="A248" s="14"/>
      <c r="B248" s="14"/>
      <c r="C248" s="14"/>
      <c r="D248" s="14"/>
      <c r="E248" s="14"/>
      <c r="F248" s="14"/>
      <c r="G248" s="14"/>
      <c r="H248" s="14"/>
      <c r="I248" s="15"/>
      <c r="J248" s="16"/>
      <c r="K248" s="17" t="str">
        <f>IF(B248="","",IF(AND(I248="",J248=""),"Unknown",IF(OR(AND(ISNUMBER(I248),I248=0),AND(ISNUMBER(J248),J248&lt;=EDATE('Scoring Settings'!$B$4,-'Scoring Settings'!$B$5))),"Not in use",IF(AND(ISNUMBER(I248),I248&lt;'Scoring Settings'!$B$6),"Low use","Active"))))</f>
        <v/>
      </c>
      <c r="L248" s="14"/>
      <c r="M248" s="14"/>
      <c r="N248" s="14"/>
      <c r="O248" s="14"/>
      <c r="P248" s="14"/>
      <c r="Q248" s="18"/>
      <c r="R248" s="14"/>
      <c r="S248" s="14"/>
      <c r="T248" s="14"/>
      <c r="U248" s="16"/>
      <c r="V248" s="14"/>
      <c r="W248" s="15"/>
      <c r="X248" s="14"/>
      <c r="Y248" s="18"/>
      <c r="Z248" s="14"/>
      <c r="AA248" s="14"/>
      <c r="AB248" s="18"/>
      <c r="AC248" s="14"/>
      <c r="AD248" s="14"/>
      <c r="AE248" s="14"/>
      <c r="AF248" s="19"/>
      <c r="AG248" s="16"/>
      <c r="AH248" s="19"/>
      <c r="AI248" s="19"/>
      <c r="AJ248" s="20" t="str">
        <f t="shared" si="3"/>
        <v/>
      </c>
      <c r="AK248" s="21" t="str">
        <f>IF(B248="","",OR(K248="Not in use",K248="Low use")+AND(N248&lt;&gt;"",N248&lt;&gt;"TBD")+AND(ISNUMBER(U248),U248&lt;=EDATE('Scoring Settings'!$B$4,'Scoring Settings'!$B$8))+AND(ISNUMBER(L248),L248&lt;='Scoring Settings'!$B$7))</f>
        <v/>
      </c>
      <c r="AL248" s="17" t="str">
        <f>IF(B248="","",IF(K248="Not in use","Priority – Not in use",IF(AK248&gt;='Scoring Settings'!$B$9,"Decommission",IF(AK248=1,"Review","Retain"))))</f>
        <v/>
      </c>
      <c r="AM248" s="17" t="str">
        <f>IF(B248="","",IF(Z248="N","Easy",IF(OR(AND(ISNUMBER(AB248),AB248&gt;'Scoring Settings'!$B$11),AND(ISNUMBER(W248),W248&gt;'Scoring Settings'!$B$12),AND(ISNUMBER(M248),M248&lt;='Scoring Settings'!$B$13)),"High","Medium")))</f>
        <v/>
      </c>
      <c r="AN248" s="14"/>
      <c r="AO248" s="16"/>
      <c r="AP248" s="14"/>
      <c r="AQ248" s="22"/>
    </row>
    <row r="249" spans="1:43">
      <c r="A249" s="14"/>
      <c r="B249" s="14"/>
      <c r="C249" s="14"/>
      <c r="D249" s="14"/>
      <c r="E249" s="14"/>
      <c r="F249" s="14"/>
      <c r="G249" s="14"/>
      <c r="H249" s="14"/>
      <c r="I249" s="15"/>
      <c r="J249" s="16"/>
      <c r="K249" s="17" t="str">
        <f>IF(B249="","",IF(AND(I249="",J249=""),"Unknown",IF(OR(AND(ISNUMBER(I249),I249=0),AND(ISNUMBER(J249),J249&lt;=EDATE('Scoring Settings'!$B$4,-'Scoring Settings'!$B$5))),"Not in use",IF(AND(ISNUMBER(I249),I249&lt;'Scoring Settings'!$B$6),"Low use","Active"))))</f>
        <v/>
      </c>
      <c r="L249" s="14"/>
      <c r="M249" s="14"/>
      <c r="N249" s="14"/>
      <c r="O249" s="14"/>
      <c r="P249" s="14"/>
      <c r="Q249" s="18"/>
      <c r="R249" s="14"/>
      <c r="S249" s="14"/>
      <c r="T249" s="14"/>
      <c r="U249" s="16"/>
      <c r="V249" s="14"/>
      <c r="W249" s="15"/>
      <c r="X249" s="14"/>
      <c r="Y249" s="18"/>
      <c r="Z249" s="14"/>
      <c r="AA249" s="14"/>
      <c r="AB249" s="18"/>
      <c r="AC249" s="14"/>
      <c r="AD249" s="14"/>
      <c r="AE249" s="14"/>
      <c r="AF249" s="19"/>
      <c r="AG249" s="16"/>
      <c r="AH249" s="19"/>
      <c r="AI249" s="19"/>
      <c r="AJ249" s="20" t="str">
        <f t="shared" si="3"/>
        <v/>
      </c>
      <c r="AK249" s="21" t="str">
        <f>IF(B249="","",OR(K249="Not in use",K249="Low use")+AND(N249&lt;&gt;"",N249&lt;&gt;"TBD")+AND(ISNUMBER(U249),U249&lt;=EDATE('Scoring Settings'!$B$4,'Scoring Settings'!$B$8))+AND(ISNUMBER(L249),L249&lt;='Scoring Settings'!$B$7))</f>
        <v/>
      </c>
      <c r="AL249" s="17" t="str">
        <f>IF(B249="","",IF(K249="Not in use","Priority – Not in use",IF(AK249&gt;='Scoring Settings'!$B$9,"Decommission",IF(AK249=1,"Review","Retain"))))</f>
        <v/>
      </c>
      <c r="AM249" s="17" t="str">
        <f>IF(B249="","",IF(Z249="N","Easy",IF(OR(AND(ISNUMBER(AB249),AB249&gt;'Scoring Settings'!$B$11),AND(ISNUMBER(W249),W249&gt;'Scoring Settings'!$B$12),AND(ISNUMBER(M249),M249&lt;='Scoring Settings'!$B$13)),"High","Medium")))</f>
        <v/>
      </c>
      <c r="AN249" s="14"/>
      <c r="AO249" s="16"/>
      <c r="AP249" s="14"/>
      <c r="AQ249" s="22"/>
    </row>
    <row r="250" spans="1:43">
      <c r="A250" s="14"/>
      <c r="B250" s="14"/>
      <c r="C250" s="14"/>
      <c r="D250" s="14"/>
      <c r="E250" s="14"/>
      <c r="F250" s="14"/>
      <c r="G250" s="14"/>
      <c r="H250" s="14"/>
      <c r="I250" s="15"/>
      <c r="J250" s="16"/>
      <c r="K250" s="17" t="str">
        <f>IF(B250="","",IF(AND(I250="",J250=""),"Unknown",IF(OR(AND(ISNUMBER(I250),I250=0),AND(ISNUMBER(J250),J250&lt;=EDATE('Scoring Settings'!$B$4,-'Scoring Settings'!$B$5))),"Not in use",IF(AND(ISNUMBER(I250),I250&lt;'Scoring Settings'!$B$6),"Low use","Active"))))</f>
        <v/>
      </c>
      <c r="L250" s="14"/>
      <c r="M250" s="14"/>
      <c r="N250" s="14"/>
      <c r="O250" s="14"/>
      <c r="P250" s="14"/>
      <c r="Q250" s="18"/>
      <c r="R250" s="14"/>
      <c r="S250" s="14"/>
      <c r="T250" s="14"/>
      <c r="U250" s="16"/>
      <c r="V250" s="14"/>
      <c r="W250" s="15"/>
      <c r="X250" s="14"/>
      <c r="Y250" s="18"/>
      <c r="Z250" s="14"/>
      <c r="AA250" s="14"/>
      <c r="AB250" s="18"/>
      <c r="AC250" s="14"/>
      <c r="AD250" s="14"/>
      <c r="AE250" s="14"/>
      <c r="AF250" s="19"/>
      <c r="AG250" s="16"/>
      <c r="AH250" s="19"/>
      <c r="AI250" s="19"/>
      <c r="AJ250" s="20" t="str">
        <f t="shared" si="3"/>
        <v/>
      </c>
      <c r="AK250" s="21" t="str">
        <f>IF(B250="","",OR(K250="Not in use",K250="Low use")+AND(N250&lt;&gt;"",N250&lt;&gt;"TBD")+AND(ISNUMBER(U250),U250&lt;=EDATE('Scoring Settings'!$B$4,'Scoring Settings'!$B$8))+AND(ISNUMBER(L250),L250&lt;='Scoring Settings'!$B$7))</f>
        <v/>
      </c>
      <c r="AL250" s="17" t="str">
        <f>IF(B250="","",IF(K250="Not in use","Priority – Not in use",IF(AK250&gt;='Scoring Settings'!$B$9,"Decommission",IF(AK250=1,"Review","Retain"))))</f>
        <v/>
      </c>
      <c r="AM250" s="17" t="str">
        <f>IF(B250="","",IF(Z250="N","Easy",IF(OR(AND(ISNUMBER(AB250),AB250&gt;'Scoring Settings'!$B$11),AND(ISNUMBER(W250),W250&gt;'Scoring Settings'!$B$12),AND(ISNUMBER(M250),M250&lt;='Scoring Settings'!$B$13)),"High","Medium")))</f>
        <v/>
      </c>
      <c r="AN250" s="14"/>
      <c r="AO250" s="16"/>
      <c r="AP250" s="14"/>
      <c r="AQ250" s="22"/>
    </row>
    <row r="251" spans="1:43">
      <c r="A251" s="14"/>
      <c r="B251" s="14"/>
      <c r="C251" s="14"/>
      <c r="D251" s="14"/>
      <c r="E251" s="14"/>
      <c r="F251" s="14"/>
      <c r="G251" s="14"/>
      <c r="H251" s="14"/>
      <c r="I251" s="15"/>
      <c r="J251" s="16"/>
      <c r="K251" s="17" t="str">
        <f>IF(B251="","",IF(AND(I251="",J251=""),"Unknown",IF(OR(AND(ISNUMBER(I251),I251=0),AND(ISNUMBER(J251),J251&lt;=EDATE('Scoring Settings'!$B$4,-'Scoring Settings'!$B$5))),"Not in use",IF(AND(ISNUMBER(I251),I251&lt;'Scoring Settings'!$B$6),"Low use","Active"))))</f>
        <v/>
      </c>
      <c r="L251" s="14"/>
      <c r="M251" s="14"/>
      <c r="N251" s="14"/>
      <c r="O251" s="14"/>
      <c r="P251" s="14"/>
      <c r="Q251" s="18"/>
      <c r="R251" s="14"/>
      <c r="S251" s="14"/>
      <c r="T251" s="14"/>
      <c r="U251" s="16"/>
      <c r="V251" s="14"/>
      <c r="W251" s="15"/>
      <c r="X251" s="14"/>
      <c r="Y251" s="18"/>
      <c r="Z251" s="14"/>
      <c r="AA251" s="14"/>
      <c r="AB251" s="18"/>
      <c r="AC251" s="14"/>
      <c r="AD251" s="14"/>
      <c r="AE251" s="14"/>
      <c r="AF251" s="19"/>
      <c r="AG251" s="16"/>
      <c r="AH251" s="19"/>
      <c r="AI251" s="19"/>
      <c r="AJ251" s="20" t="str">
        <f t="shared" si="3"/>
        <v/>
      </c>
      <c r="AK251" s="21" t="str">
        <f>IF(B251="","",OR(K251="Not in use",K251="Low use")+AND(N251&lt;&gt;"",N251&lt;&gt;"TBD")+AND(ISNUMBER(U251),U251&lt;=EDATE('Scoring Settings'!$B$4,'Scoring Settings'!$B$8))+AND(ISNUMBER(L251),L251&lt;='Scoring Settings'!$B$7))</f>
        <v/>
      </c>
      <c r="AL251" s="17" t="str">
        <f>IF(B251="","",IF(K251="Not in use","Priority – Not in use",IF(AK251&gt;='Scoring Settings'!$B$9,"Decommission",IF(AK251=1,"Review","Retain"))))</f>
        <v/>
      </c>
      <c r="AM251" s="17" t="str">
        <f>IF(B251="","",IF(Z251="N","Easy",IF(OR(AND(ISNUMBER(AB251),AB251&gt;'Scoring Settings'!$B$11),AND(ISNUMBER(W251),W251&gt;'Scoring Settings'!$B$12),AND(ISNUMBER(M251),M251&lt;='Scoring Settings'!$B$13)),"High","Medium")))</f>
        <v/>
      </c>
      <c r="AN251" s="14"/>
      <c r="AO251" s="16"/>
      <c r="AP251" s="14"/>
      <c r="AQ251" s="22"/>
    </row>
    <row r="252" spans="1:43">
      <c r="A252" s="14"/>
      <c r="B252" s="14"/>
      <c r="C252" s="14"/>
      <c r="D252" s="14"/>
      <c r="E252" s="14"/>
      <c r="F252" s="14"/>
      <c r="G252" s="14"/>
      <c r="H252" s="14"/>
      <c r="I252" s="15"/>
      <c r="J252" s="16"/>
      <c r="K252" s="17" t="str">
        <f>IF(B252="","",IF(AND(I252="",J252=""),"Unknown",IF(OR(AND(ISNUMBER(I252),I252=0),AND(ISNUMBER(J252),J252&lt;=EDATE('Scoring Settings'!$B$4,-'Scoring Settings'!$B$5))),"Not in use",IF(AND(ISNUMBER(I252),I252&lt;'Scoring Settings'!$B$6),"Low use","Active"))))</f>
        <v/>
      </c>
      <c r="L252" s="14"/>
      <c r="M252" s="14"/>
      <c r="N252" s="14"/>
      <c r="O252" s="14"/>
      <c r="P252" s="14"/>
      <c r="Q252" s="18"/>
      <c r="R252" s="14"/>
      <c r="S252" s="14"/>
      <c r="T252" s="14"/>
      <c r="U252" s="16"/>
      <c r="V252" s="14"/>
      <c r="W252" s="15"/>
      <c r="X252" s="14"/>
      <c r="Y252" s="18"/>
      <c r="Z252" s="14"/>
      <c r="AA252" s="14"/>
      <c r="AB252" s="18"/>
      <c r="AC252" s="14"/>
      <c r="AD252" s="14"/>
      <c r="AE252" s="14"/>
      <c r="AF252" s="19"/>
      <c r="AG252" s="16"/>
      <c r="AH252" s="19"/>
      <c r="AI252" s="19"/>
      <c r="AJ252" s="20" t="str">
        <f t="shared" si="3"/>
        <v/>
      </c>
      <c r="AK252" s="21" t="str">
        <f>IF(B252="","",OR(K252="Not in use",K252="Low use")+AND(N252&lt;&gt;"",N252&lt;&gt;"TBD")+AND(ISNUMBER(U252),U252&lt;=EDATE('Scoring Settings'!$B$4,'Scoring Settings'!$B$8))+AND(ISNUMBER(L252),L252&lt;='Scoring Settings'!$B$7))</f>
        <v/>
      </c>
      <c r="AL252" s="17" t="str">
        <f>IF(B252="","",IF(K252="Not in use","Priority – Not in use",IF(AK252&gt;='Scoring Settings'!$B$9,"Decommission",IF(AK252=1,"Review","Retain"))))</f>
        <v/>
      </c>
      <c r="AM252" s="17" t="str">
        <f>IF(B252="","",IF(Z252="N","Easy",IF(OR(AND(ISNUMBER(AB252),AB252&gt;'Scoring Settings'!$B$11),AND(ISNUMBER(W252),W252&gt;'Scoring Settings'!$B$12),AND(ISNUMBER(M252),M252&lt;='Scoring Settings'!$B$13)),"High","Medium")))</f>
        <v/>
      </c>
      <c r="AN252" s="14"/>
      <c r="AO252" s="16"/>
      <c r="AP252" s="14"/>
      <c r="AQ252" s="22"/>
    </row>
    <row r="253" spans="1:43">
      <c r="A253" s="14"/>
      <c r="B253" s="14"/>
      <c r="C253" s="14"/>
      <c r="D253" s="14"/>
      <c r="E253" s="14"/>
      <c r="F253" s="14"/>
      <c r="G253" s="14"/>
      <c r="H253" s="14"/>
      <c r="I253" s="15"/>
      <c r="J253" s="16"/>
      <c r="K253" s="17" t="str">
        <f>IF(B253="","",IF(AND(I253="",J253=""),"Unknown",IF(OR(AND(ISNUMBER(I253),I253=0),AND(ISNUMBER(J253),J253&lt;=EDATE('Scoring Settings'!$B$4,-'Scoring Settings'!$B$5))),"Not in use",IF(AND(ISNUMBER(I253),I253&lt;'Scoring Settings'!$B$6),"Low use","Active"))))</f>
        <v/>
      </c>
      <c r="L253" s="14"/>
      <c r="M253" s="14"/>
      <c r="N253" s="14"/>
      <c r="O253" s="14"/>
      <c r="P253" s="14"/>
      <c r="Q253" s="18"/>
      <c r="R253" s="14"/>
      <c r="S253" s="14"/>
      <c r="T253" s="14"/>
      <c r="U253" s="16"/>
      <c r="V253" s="14"/>
      <c r="W253" s="15"/>
      <c r="X253" s="14"/>
      <c r="Y253" s="18"/>
      <c r="Z253" s="14"/>
      <c r="AA253" s="14"/>
      <c r="AB253" s="18"/>
      <c r="AC253" s="14"/>
      <c r="AD253" s="14"/>
      <c r="AE253" s="14"/>
      <c r="AF253" s="19"/>
      <c r="AG253" s="16"/>
      <c r="AH253" s="19"/>
      <c r="AI253" s="19"/>
      <c r="AJ253" s="20" t="str">
        <f t="shared" si="3"/>
        <v/>
      </c>
      <c r="AK253" s="21" t="str">
        <f>IF(B253="","",OR(K253="Not in use",K253="Low use")+AND(N253&lt;&gt;"",N253&lt;&gt;"TBD")+AND(ISNUMBER(U253),U253&lt;=EDATE('Scoring Settings'!$B$4,'Scoring Settings'!$B$8))+AND(ISNUMBER(L253),L253&lt;='Scoring Settings'!$B$7))</f>
        <v/>
      </c>
      <c r="AL253" s="17" t="str">
        <f>IF(B253="","",IF(K253="Not in use","Priority – Not in use",IF(AK253&gt;='Scoring Settings'!$B$9,"Decommission",IF(AK253=1,"Review","Retain"))))</f>
        <v/>
      </c>
      <c r="AM253" s="17" t="str">
        <f>IF(B253="","",IF(Z253="N","Easy",IF(OR(AND(ISNUMBER(AB253),AB253&gt;'Scoring Settings'!$B$11),AND(ISNUMBER(W253),W253&gt;'Scoring Settings'!$B$12),AND(ISNUMBER(M253),M253&lt;='Scoring Settings'!$B$13)),"High","Medium")))</f>
        <v/>
      </c>
      <c r="AN253" s="14"/>
      <c r="AO253" s="16"/>
      <c r="AP253" s="14"/>
      <c r="AQ253" s="22"/>
    </row>
    <row r="254" spans="1:43">
      <c r="A254" s="14"/>
      <c r="B254" s="14"/>
      <c r="C254" s="14"/>
      <c r="D254" s="14"/>
      <c r="E254" s="14"/>
      <c r="F254" s="14"/>
      <c r="G254" s="14"/>
      <c r="H254" s="14"/>
      <c r="I254" s="15"/>
      <c r="J254" s="16"/>
      <c r="K254" s="17" t="str">
        <f>IF(B254="","",IF(AND(I254="",J254=""),"Unknown",IF(OR(AND(ISNUMBER(I254),I254=0),AND(ISNUMBER(J254),J254&lt;=EDATE('Scoring Settings'!$B$4,-'Scoring Settings'!$B$5))),"Not in use",IF(AND(ISNUMBER(I254),I254&lt;'Scoring Settings'!$B$6),"Low use","Active"))))</f>
        <v/>
      </c>
      <c r="L254" s="14"/>
      <c r="M254" s="14"/>
      <c r="N254" s="14"/>
      <c r="O254" s="14"/>
      <c r="P254" s="14"/>
      <c r="Q254" s="18"/>
      <c r="R254" s="14"/>
      <c r="S254" s="14"/>
      <c r="T254" s="14"/>
      <c r="U254" s="16"/>
      <c r="V254" s="14"/>
      <c r="W254" s="15"/>
      <c r="X254" s="14"/>
      <c r="Y254" s="18"/>
      <c r="Z254" s="14"/>
      <c r="AA254" s="14"/>
      <c r="AB254" s="18"/>
      <c r="AC254" s="14"/>
      <c r="AD254" s="14"/>
      <c r="AE254" s="14"/>
      <c r="AF254" s="19"/>
      <c r="AG254" s="16"/>
      <c r="AH254" s="19"/>
      <c r="AI254" s="19"/>
      <c r="AJ254" s="20" t="str">
        <f t="shared" si="3"/>
        <v/>
      </c>
      <c r="AK254" s="21" t="str">
        <f>IF(B254="","",OR(K254="Not in use",K254="Low use")+AND(N254&lt;&gt;"",N254&lt;&gt;"TBD")+AND(ISNUMBER(U254),U254&lt;=EDATE('Scoring Settings'!$B$4,'Scoring Settings'!$B$8))+AND(ISNUMBER(L254),L254&lt;='Scoring Settings'!$B$7))</f>
        <v/>
      </c>
      <c r="AL254" s="17" t="str">
        <f>IF(B254="","",IF(K254="Not in use","Priority – Not in use",IF(AK254&gt;='Scoring Settings'!$B$9,"Decommission",IF(AK254=1,"Review","Retain"))))</f>
        <v/>
      </c>
      <c r="AM254" s="17" t="str">
        <f>IF(B254="","",IF(Z254="N","Easy",IF(OR(AND(ISNUMBER(AB254),AB254&gt;'Scoring Settings'!$B$11),AND(ISNUMBER(W254),W254&gt;'Scoring Settings'!$B$12),AND(ISNUMBER(M254),M254&lt;='Scoring Settings'!$B$13)),"High","Medium")))</f>
        <v/>
      </c>
      <c r="AN254" s="14"/>
      <c r="AO254" s="16"/>
      <c r="AP254" s="14"/>
      <c r="AQ254" s="22"/>
    </row>
    <row r="255" spans="1:43">
      <c r="A255" s="14"/>
      <c r="B255" s="14"/>
      <c r="C255" s="14"/>
      <c r="D255" s="14"/>
      <c r="E255" s="14"/>
      <c r="F255" s="14"/>
      <c r="G255" s="14"/>
      <c r="H255" s="14"/>
      <c r="I255" s="15"/>
      <c r="J255" s="16"/>
      <c r="K255" s="17" t="str">
        <f>IF(B255="","",IF(AND(I255="",J255=""),"Unknown",IF(OR(AND(ISNUMBER(I255),I255=0),AND(ISNUMBER(J255),J255&lt;=EDATE('Scoring Settings'!$B$4,-'Scoring Settings'!$B$5))),"Not in use",IF(AND(ISNUMBER(I255),I255&lt;'Scoring Settings'!$B$6),"Low use","Active"))))</f>
        <v/>
      </c>
      <c r="L255" s="14"/>
      <c r="M255" s="14"/>
      <c r="N255" s="14"/>
      <c r="O255" s="14"/>
      <c r="P255" s="14"/>
      <c r="Q255" s="18"/>
      <c r="R255" s="14"/>
      <c r="S255" s="14"/>
      <c r="T255" s="14"/>
      <c r="U255" s="16"/>
      <c r="V255" s="14"/>
      <c r="W255" s="15"/>
      <c r="X255" s="14"/>
      <c r="Y255" s="18"/>
      <c r="Z255" s="14"/>
      <c r="AA255" s="14"/>
      <c r="AB255" s="18"/>
      <c r="AC255" s="14"/>
      <c r="AD255" s="14"/>
      <c r="AE255" s="14"/>
      <c r="AF255" s="19"/>
      <c r="AG255" s="16"/>
      <c r="AH255" s="19"/>
      <c r="AI255" s="19"/>
      <c r="AJ255" s="20" t="str">
        <f t="shared" si="3"/>
        <v/>
      </c>
      <c r="AK255" s="21" t="str">
        <f>IF(B255="","",OR(K255="Not in use",K255="Low use")+AND(N255&lt;&gt;"",N255&lt;&gt;"TBD")+AND(ISNUMBER(U255),U255&lt;=EDATE('Scoring Settings'!$B$4,'Scoring Settings'!$B$8))+AND(ISNUMBER(L255),L255&lt;='Scoring Settings'!$B$7))</f>
        <v/>
      </c>
      <c r="AL255" s="17" t="str">
        <f>IF(B255="","",IF(K255="Not in use","Priority – Not in use",IF(AK255&gt;='Scoring Settings'!$B$9,"Decommission",IF(AK255=1,"Review","Retain"))))</f>
        <v/>
      </c>
      <c r="AM255" s="17" t="str">
        <f>IF(B255="","",IF(Z255="N","Easy",IF(OR(AND(ISNUMBER(AB255),AB255&gt;'Scoring Settings'!$B$11),AND(ISNUMBER(W255),W255&gt;'Scoring Settings'!$B$12),AND(ISNUMBER(M255),M255&lt;='Scoring Settings'!$B$13)),"High","Medium")))</f>
        <v/>
      </c>
      <c r="AN255" s="14"/>
      <c r="AO255" s="16"/>
      <c r="AP255" s="14"/>
      <c r="AQ255" s="22"/>
    </row>
    <row r="256" spans="1:43">
      <c r="A256" s="14"/>
      <c r="B256" s="14"/>
      <c r="C256" s="14"/>
      <c r="D256" s="14"/>
      <c r="E256" s="14"/>
      <c r="F256" s="14"/>
      <c r="G256" s="14"/>
      <c r="H256" s="14"/>
      <c r="I256" s="15"/>
      <c r="J256" s="16"/>
      <c r="K256" s="17" t="str">
        <f>IF(B256="","",IF(AND(I256="",J256=""),"Unknown",IF(OR(AND(ISNUMBER(I256),I256=0),AND(ISNUMBER(J256),J256&lt;=EDATE('Scoring Settings'!$B$4,-'Scoring Settings'!$B$5))),"Not in use",IF(AND(ISNUMBER(I256),I256&lt;'Scoring Settings'!$B$6),"Low use","Active"))))</f>
        <v/>
      </c>
      <c r="L256" s="14"/>
      <c r="M256" s="14"/>
      <c r="N256" s="14"/>
      <c r="O256" s="14"/>
      <c r="P256" s="14"/>
      <c r="Q256" s="18"/>
      <c r="R256" s="14"/>
      <c r="S256" s="14"/>
      <c r="T256" s="14"/>
      <c r="U256" s="16"/>
      <c r="V256" s="14"/>
      <c r="W256" s="15"/>
      <c r="X256" s="14"/>
      <c r="Y256" s="18"/>
      <c r="Z256" s="14"/>
      <c r="AA256" s="14"/>
      <c r="AB256" s="18"/>
      <c r="AC256" s="14"/>
      <c r="AD256" s="14"/>
      <c r="AE256" s="14"/>
      <c r="AF256" s="19"/>
      <c r="AG256" s="16"/>
      <c r="AH256" s="19"/>
      <c r="AI256" s="19"/>
      <c r="AJ256" s="20" t="str">
        <f t="shared" si="3"/>
        <v/>
      </c>
      <c r="AK256" s="21" t="str">
        <f>IF(B256="","",OR(K256="Not in use",K256="Low use")+AND(N256&lt;&gt;"",N256&lt;&gt;"TBD")+AND(ISNUMBER(U256),U256&lt;=EDATE('Scoring Settings'!$B$4,'Scoring Settings'!$B$8))+AND(ISNUMBER(L256),L256&lt;='Scoring Settings'!$B$7))</f>
        <v/>
      </c>
      <c r="AL256" s="17" t="str">
        <f>IF(B256="","",IF(K256="Not in use","Priority – Not in use",IF(AK256&gt;='Scoring Settings'!$B$9,"Decommission",IF(AK256=1,"Review","Retain"))))</f>
        <v/>
      </c>
      <c r="AM256" s="17" t="str">
        <f>IF(B256="","",IF(Z256="N","Easy",IF(OR(AND(ISNUMBER(AB256),AB256&gt;'Scoring Settings'!$B$11),AND(ISNUMBER(W256),W256&gt;'Scoring Settings'!$B$12),AND(ISNUMBER(M256),M256&lt;='Scoring Settings'!$B$13)),"High","Medium")))</f>
        <v/>
      </c>
      <c r="AN256" s="14"/>
      <c r="AO256" s="16"/>
      <c r="AP256" s="14"/>
      <c r="AQ256" s="22"/>
    </row>
    <row r="257" spans="1:43">
      <c r="A257" s="14"/>
      <c r="B257" s="14"/>
      <c r="C257" s="14"/>
      <c r="D257" s="14"/>
      <c r="E257" s="14"/>
      <c r="F257" s="14"/>
      <c r="G257" s="14"/>
      <c r="H257" s="14"/>
      <c r="I257" s="15"/>
      <c r="J257" s="16"/>
      <c r="K257" s="17" t="str">
        <f>IF(B257="","",IF(AND(I257="",J257=""),"Unknown",IF(OR(AND(ISNUMBER(I257),I257=0),AND(ISNUMBER(J257),J257&lt;=EDATE('Scoring Settings'!$B$4,-'Scoring Settings'!$B$5))),"Not in use",IF(AND(ISNUMBER(I257),I257&lt;'Scoring Settings'!$B$6),"Low use","Active"))))</f>
        <v/>
      </c>
      <c r="L257" s="14"/>
      <c r="M257" s="14"/>
      <c r="N257" s="14"/>
      <c r="O257" s="14"/>
      <c r="P257" s="14"/>
      <c r="Q257" s="18"/>
      <c r="R257" s="14"/>
      <c r="S257" s="14"/>
      <c r="T257" s="14"/>
      <c r="U257" s="16"/>
      <c r="V257" s="14"/>
      <c r="W257" s="15"/>
      <c r="X257" s="14"/>
      <c r="Y257" s="18"/>
      <c r="Z257" s="14"/>
      <c r="AA257" s="14"/>
      <c r="AB257" s="18"/>
      <c r="AC257" s="14"/>
      <c r="AD257" s="14"/>
      <c r="AE257" s="14"/>
      <c r="AF257" s="19"/>
      <c r="AG257" s="16"/>
      <c r="AH257" s="19"/>
      <c r="AI257" s="19"/>
      <c r="AJ257" s="20" t="str">
        <f t="shared" si="3"/>
        <v/>
      </c>
      <c r="AK257" s="21" t="str">
        <f>IF(B257="","",OR(K257="Not in use",K257="Low use")+AND(N257&lt;&gt;"",N257&lt;&gt;"TBD")+AND(ISNUMBER(U257),U257&lt;=EDATE('Scoring Settings'!$B$4,'Scoring Settings'!$B$8))+AND(ISNUMBER(L257),L257&lt;='Scoring Settings'!$B$7))</f>
        <v/>
      </c>
      <c r="AL257" s="17" t="str">
        <f>IF(B257="","",IF(K257="Not in use","Priority – Not in use",IF(AK257&gt;='Scoring Settings'!$B$9,"Decommission",IF(AK257=1,"Review","Retain"))))</f>
        <v/>
      </c>
      <c r="AM257" s="17" t="str">
        <f>IF(B257="","",IF(Z257="N","Easy",IF(OR(AND(ISNUMBER(AB257),AB257&gt;'Scoring Settings'!$B$11),AND(ISNUMBER(W257),W257&gt;'Scoring Settings'!$B$12),AND(ISNUMBER(M257),M257&lt;='Scoring Settings'!$B$13)),"High","Medium")))</f>
        <v/>
      </c>
      <c r="AN257" s="14"/>
      <c r="AO257" s="16"/>
      <c r="AP257" s="14"/>
      <c r="AQ257" s="22"/>
    </row>
    <row r="258" spans="1:43">
      <c r="A258" s="14"/>
      <c r="B258" s="14"/>
      <c r="C258" s="14"/>
      <c r="D258" s="14"/>
      <c r="E258" s="14"/>
      <c r="F258" s="14"/>
      <c r="G258" s="14"/>
      <c r="H258" s="14"/>
      <c r="I258" s="15"/>
      <c r="J258" s="16"/>
      <c r="K258" s="17" t="str">
        <f>IF(B258="","",IF(AND(I258="",J258=""),"Unknown",IF(OR(AND(ISNUMBER(I258),I258=0),AND(ISNUMBER(J258),J258&lt;=EDATE('Scoring Settings'!$B$4,-'Scoring Settings'!$B$5))),"Not in use",IF(AND(ISNUMBER(I258),I258&lt;'Scoring Settings'!$B$6),"Low use","Active"))))</f>
        <v/>
      </c>
      <c r="L258" s="14"/>
      <c r="M258" s="14"/>
      <c r="N258" s="14"/>
      <c r="O258" s="14"/>
      <c r="P258" s="14"/>
      <c r="Q258" s="18"/>
      <c r="R258" s="14"/>
      <c r="S258" s="14"/>
      <c r="T258" s="14"/>
      <c r="U258" s="16"/>
      <c r="V258" s="14"/>
      <c r="W258" s="15"/>
      <c r="X258" s="14"/>
      <c r="Y258" s="18"/>
      <c r="Z258" s="14"/>
      <c r="AA258" s="14"/>
      <c r="AB258" s="18"/>
      <c r="AC258" s="14"/>
      <c r="AD258" s="14"/>
      <c r="AE258" s="14"/>
      <c r="AF258" s="19"/>
      <c r="AG258" s="16"/>
      <c r="AH258" s="19"/>
      <c r="AI258" s="19"/>
      <c r="AJ258" s="20" t="str">
        <f t="shared" si="3"/>
        <v/>
      </c>
      <c r="AK258" s="21" t="str">
        <f>IF(B258="","",OR(K258="Not in use",K258="Low use")+AND(N258&lt;&gt;"",N258&lt;&gt;"TBD")+AND(ISNUMBER(U258),U258&lt;=EDATE('Scoring Settings'!$B$4,'Scoring Settings'!$B$8))+AND(ISNUMBER(L258),L258&lt;='Scoring Settings'!$B$7))</f>
        <v/>
      </c>
      <c r="AL258" s="17" t="str">
        <f>IF(B258="","",IF(K258="Not in use","Priority – Not in use",IF(AK258&gt;='Scoring Settings'!$B$9,"Decommission",IF(AK258=1,"Review","Retain"))))</f>
        <v/>
      </c>
      <c r="AM258" s="17" t="str">
        <f>IF(B258="","",IF(Z258="N","Easy",IF(OR(AND(ISNUMBER(AB258),AB258&gt;'Scoring Settings'!$B$11),AND(ISNUMBER(W258),W258&gt;'Scoring Settings'!$B$12),AND(ISNUMBER(M258),M258&lt;='Scoring Settings'!$B$13)),"High","Medium")))</f>
        <v/>
      </c>
      <c r="AN258" s="14"/>
      <c r="AO258" s="16"/>
      <c r="AP258" s="14"/>
      <c r="AQ258" s="22"/>
    </row>
    <row r="259" spans="1:43">
      <c r="A259" s="14"/>
      <c r="B259" s="14"/>
      <c r="C259" s="14"/>
      <c r="D259" s="14"/>
      <c r="E259" s="14"/>
      <c r="F259" s="14"/>
      <c r="G259" s="14"/>
      <c r="H259" s="14"/>
      <c r="I259" s="15"/>
      <c r="J259" s="16"/>
      <c r="K259" s="17" t="str">
        <f>IF(B259="","",IF(AND(I259="",J259=""),"Unknown",IF(OR(AND(ISNUMBER(I259),I259=0),AND(ISNUMBER(J259),J259&lt;=EDATE('Scoring Settings'!$B$4,-'Scoring Settings'!$B$5))),"Not in use",IF(AND(ISNUMBER(I259),I259&lt;'Scoring Settings'!$B$6),"Low use","Active"))))</f>
        <v/>
      </c>
      <c r="L259" s="14"/>
      <c r="M259" s="14"/>
      <c r="N259" s="14"/>
      <c r="O259" s="14"/>
      <c r="P259" s="14"/>
      <c r="Q259" s="18"/>
      <c r="R259" s="14"/>
      <c r="S259" s="14"/>
      <c r="T259" s="14"/>
      <c r="U259" s="16"/>
      <c r="V259" s="14"/>
      <c r="W259" s="15"/>
      <c r="X259" s="14"/>
      <c r="Y259" s="18"/>
      <c r="Z259" s="14"/>
      <c r="AA259" s="14"/>
      <c r="AB259" s="18"/>
      <c r="AC259" s="14"/>
      <c r="AD259" s="14"/>
      <c r="AE259" s="14"/>
      <c r="AF259" s="19"/>
      <c r="AG259" s="16"/>
      <c r="AH259" s="19"/>
      <c r="AI259" s="19"/>
      <c r="AJ259" s="20" t="str">
        <f t="shared" si="3"/>
        <v/>
      </c>
      <c r="AK259" s="21" t="str">
        <f>IF(B259="","",OR(K259="Not in use",K259="Low use")+AND(N259&lt;&gt;"",N259&lt;&gt;"TBD")+AND(ISNUMBER(U259),U259&lt;=EDATE('Scoring Settings'!$B$4,'Scoring Settings'!$B$8))+AND(ISNUMBER(L259),L259&lt;='Scoring Settings'!$B$7))</f>
        <v/>
      </c>
      <c r="AL259" s="17" t="str">
        <f>IF(B259="","",IF(K259="Not in use","Priority – Not in use",IF(AK259&gt;='Scoring Settings'!$B$9,"Decommission",IF(AK259=1,"Review","Retain"))))</f>
        <v/>
      </c>
      <c r="AM259" s="17" t="str">
        <f>IF(B259="","",IF(Z259="N","Easy",IF(OR(AND(ISNUMBER(AB259),AB259&gt;'Scoring Settings'!$B$11),AND(ISNUMBER(W259),W259&gt;'Scoring Settings'!$B$12),AND(ISNUMBER(M259),M259&lt;='Scoring Settings'!$B$13)),"High","Medium")))</f>
        <v/>
      </c>
      <c r="AN259" s="14"/>
      <c r="AO259" s="16"/>
      <c r="AP259" s="14"/>
      <c r="AQ259" s="22"/>
    </row>
    <row r="260" spans="1:43">
      <c r="A260" s="14"/>
      <c r="B260" s="14"/>
      <c r="C260" s="14"/>
      <c r="D260" s="14"/>
      <c r="E260" s="14"/>
      <c r="F260" s="14"/>
      <c r="G260" s="14"/>
      <c r="H260" s="14"/>
      <c r="I260" s="15"/>
      <c r="J260" s="16"/>
      <c r="K260" s="17" t="str">
        <f>IF(B260="","",IF(AND(I260="",J260=""),"Unknown",IF(OR(AND(ISNUMBER(I260),I260=0),AND(ISNUMBER(J260),J260&lt;=EDATE('Scoring Settings'!$B$4,-'Scoring Settings'!$B$5))),"Not in use",IF(AND(ISNUMBER(I260),I260&lt;'Scoring Settings'!$B$6),"Low use","Active"))))</f>
        <v/>
      </c>
      <c r="L260" s="14"/>
      <c r="M260" s="14"/>
      <c r="N260" s="14"/>
      <c r="O260" s="14"/>
      <c r="P260" s="14"/>
      <c r="Q260" s="18"/>
      <c r="R260" s="14"/>
      <c r="S260" s="14"/>
      <c r="T260" s="14"/>
      <c r="U260" s="16"/>
      <c r="V260" s="14"/>
      <c r="W260" s="15"/>
      <c r="X260" s="14"/>
      <c r="Y260" s="18"/>
      <c r="Z260" s="14"/>
      <c r="AA260" s="14"/>
      <c r="AB260" s="18"/>
      <c r="AC260" s="14"/>
      <c r="AD260" s="14"/>
      <c r="AE260" s="14"/>
      <c r="AF260" s="19"/>
      <c r="AG260" s="16"/>
      <c r="AH260" s="19"/>
      <c r="AI260" s="19"/>
      <c r="AJ260" s="20" t="str">
        <f t="shared" si="3"/>
        <v/>
      </c>
      <c r="AK260" s="21" t="str">
        <f>IF(B260="","",OR(K260="Not in use",K260="Low use")+AND(N260&lt;&gt;"",N260&lt;&gt;"TBD")+AND(ISNUMBER(U260),U260&lt;=EDATE('Scoring Settings'!$B$4,'Scoring Settings'!$B$8))+AND(ISNUMBER(L260),L260&lt;='Scoring Settings'!$B$7))</f>
        <v/>
      </c>
      <c r="AL260" s="17" t="str">
        <f>IF(B260="","",IF(K260="Not in use","Priority – Not in use",IF(AK260&gt;='Scoring Settings'!$B$9,"Decommission",IF(AK260=1,"Review","Retain"))))</f>
        <v/>
      </c>
      <c r="AM260" s="17" t="str">
        <f>IF(B260="","",IF(Z260="N","Easy",IF(OR(AND(ISNUMBER(AB260),AB260&gt;'Scoring Settings'!$B$11),AND(ISNUMBER(W260),W260&gt;'Scoring Settings'!$B$12),AND(ISNUMBER(M260),M260&lt;='Scoring Settings'!$B$13)),"High","Medium")))</f>
        <v/>
      </c>
      <c r="AN260" s="14"/>
      <c r="AO260" s="16"/>
      <c r="AP260" s="14"/>
      <c r="AQ260" s="22"/>
    </row>
    <row r="261" spans="1:43">
      <c r="A261" s="14"/>
      <c r="B261" s="14"/>
      <c r="C261" s="14"/>
      <c r="D261" s="14"/>
      <c r="E261" s="14"/>
      <c r="F261" s="14"/>
      <c r="G261" s="14"/>
      <c r="H261" s="14"/>
      <c r="I261" s="15"/>
      <c r="J261" s="16"/>
      <c r="K261" s="17" t="str">
        <f>IF(B261="","",IF(AND(I261="",J261=""),"Unknown",IF(OR(AND(ISNUMBER(I261),I261=0),AND(ISNUMBER(J261),J261&lt;=EDATE('Scoring Settings'!$B$4,-'Scoring Settings'!$B$5))),"Not in use",IF(AND(ISNUMBER(I261),I261&lt;'Scoring Settings'!$B$6),"Low use","Active"))))</f>
        <v/>
      </c>
      <c r="L261" s="14"/>
      <c r="M261" s="14"/>
      <c r="N261" s="14"/>
      <c r="O261" s="14"/>
      <c r="P261" s="14"/>
      <c r="Q261" s="18"/>
      <c r="R261" s="14"/>
      <c r="S261" s="14"/>
      <c r="T261" s="14"/>
      <c r="U261" s="16"/>
      <c r="V261" s="14"/>
      <c r="W261" s="15"/>
      <c r="X261" s="14"/>
      <c r="Y261" s="18"/>
      <c r="Z261" s="14"/>
      <c r="AA261" s="14"/>
      <c r="AB261" s="18"/>
      <c r="AC261" s="14"/>
      <c r="AD261" s="14"/>
      <c r="AE261" s="14"/>
      <c r="AF261" s="19"/>
      <c r="AG261" s="16"/>
      <c r="AH261" s="19"/>
      <c r="AI261" s="19"/>
      <c r="AJ261" s="20" t="str">
        <f t="shared" ref="AJ261:AJ324" si="4">IF(AND(ISNUMBER(AH261),ISNUMBER(AI261),N(AI261)&gt;0),AH261/AI261*12,"")</f>
        <v/>
      </c>
      <c r="AK261" s="21" t="str">
        <f>IF(B261="","",OR(K261="Not in use",K261="Low use")+AND(N261&lt;&gt;"",N261&lt;&gt;"TBD")+AND(ISNUMBER(U261),U261&lt;=EDATE('Scoring Settings'!$B$4,'Scoring Settings'!$B$8))+AND(ISNUMBER(L261),L261&lt;='Scoring Settings'!$B$7))</f>
        <v/>
      </c>
      <c r="AL261" s="17" t="str">
        <f>IF(B261="","",IF(K261="Not in use","Priority – Not in use",IF(AK261&gt;='Scoring Settings'!$B$9,"Decommission",IF(AK261=1,"Review","Retain"))))</f>
        <v/>
      </c>
      <c r="AM261" s="17" t="str">
        <f>IF(B261="","",IF(Z261="N","Easy",IF(OR(AND(ISNUMBER(AB261),AB261&gt;'Scoring Settings'!$B$11),AND(ISNUMBER(W261),W261&gt;'Scoring Settings'!$B$12),AND(ISNUMBER(M261),M261&lt;='Scoring Settings'!$B$13)),"High","Medium")))</f>
        <v/>
      </c>
      <c r="AN261" s="14"/>
      <c r="AO261" s="16"/>
      <c r="AP261" s="14"/>
      <c r="AQ261" s="22"/>
    </row>
    <row r="262" spans="1:43">
      <c r="A262" s="14"/>
      <c r="B262" s="14"/>
      <c r="C262" s="14"/>
      <c r="D262" s="14"/>
      <c r="E262" s="14"/>
      <c r="F262" s="14"/>
      <c r="G262" s="14"/>
      <c r="H262" s="14"/>
      <c r="I262" s="15"/>
      <c r="J262" s="16"/>
      <c r="K262" s="17" t="str">
        <f>IF(B262="","",IF(AND(I262="",J262=""),"Unknown",IF(OR(AND(ISNUMBER(I262),I262=0),AND(ISNUMBER(J262),J262&lt;=EDATE('Scoring Settings'!$B$4,-'Scoring Settings'!$B$5))),"Not in use",IF(AND(ISNUMBER(I262),I262&lt;'Scoring Settings'!$B$6),"Low use","Active"))))</f>
        <v/>
      </c>
      <c r="L262" s="14"/>
      <c r="M262" s="14"/>
      <c r="N262" s="14"/>
      <c r="O262" s="14"/>
      <c r="P262" s="14"/>
      <c r="Q262" s="18"/>
      <c r="R262" s="14"/>
      <c r="S262" s="14"/>
      <c r="T262" s="14"/>
      <c r="U262" s="16"/>
      <c r="V262" s="14"/>
      <c r="W262" s="15"/>
      <c r="X262" s="14"/>
      <c r="Y262" s="18"/>
      <c r="Z262" s="14"/>
      <c r="AA262" s="14"/>
      <c r="AB262" s="18"/>
      <c r="AC262" s="14"/>
      <c r="AD262" s="14"/>
      <c r="AE262" s="14"/>
      <c r="AF262" s="19"/>
      <c r="AG262" s="16"/>
      <c r="AH262" s="19"/>
      <c r="AI262" s="19"/>
      <c r="AJ262" s="20" t="str">
        <f t="shared" si="4"/>
        <v/>
      </c>
      <c r="AK262" s="21" t="str">
        <f>IF(B262="","",OR(K262="Not in use",K262="Low use")+AND(N262&lt;&gt;"",N262&lt;&gt;"TBD")+AND(ISNUMBER(U262),U262&lt;=EDATE('Scoring Settings'!$B$4,'Scoring Settings'!$B$8))+AND(ISNUMBER(L262),L262&lt;='Scoring Settings'!$B$7))</f>
        <v/>
      </c>
      <c r="AL262" s="17" t="str">
        <f>IF(B262="","",IF(K262="Not in use","Priority – Not in use",IF(AK262&gt;='Scoring Settings'!$B$9,"Decommission",IF(AK262=1,"Review","Retain"))))</f>
        <v/>
      </c>
      <c r="AM262" s="17" t="str">
        <f>IF(B262="","",IF(Z262="N","Easy",IF(OR(AND(ISNUMBER(AB262),AB262&gt;'Scoring Settings'!$B$11),AND(ISNUMBER(W262),W262&gt;'Scoring Settings'!$B$12),AND(ISNUMBER(M262),M262&lt;='Scoring Settings'!$B$13)),"High","Medium")))</f>
        <v/>
      </c>
      <c r="AN262" s="14"/>
      <c r="AO262" s="16"/>
      <c r="AP262" s="14"/>
      <c r="AQ262" s="22"/>
    </row>
    <row r="263" spans="1:43">
      <c r="A263" s="14"/>
      <c r="B263" s="14"/>
      <c r="C263" s="14"/>
      <c r="D263" s="14"/>
      <c r="E263" s="14"/>
      <c r="F263" s="14"/>
      <c r="G263" s="14"/>
      <c r="H263" s="14"/>
      <c r="I263" s="15"/>
      <c r="J263" s="16"/>
      <c r="K263" s="17" t="str">
        <f>IF(B263="","",IF(AND(I263="",J263=""),"Unknown",IF(OR(AND(ISNUMBER(I263),I263=0),AND(ISNUMBER(J263),J263&lt;=EDATE('Scoring Settings'!$B$4,-'Scoring Settings'!$B$5))),"Not in use",IF(AND(ISNUMBER(I263),I263&lt;'Scoring Settings'!$B$6),"Low use","Active"))))</f>
        <v/>
      </c>
      <c r="L263" s="14"/>
      <c r="M263" s="14"/>
      <c r="N263" s="14"/>
      <c r="O263" s="14"/>
      <c r="P263" s="14"/>
      <c r="Q263" s="18"/>
      <c r="R263" s="14"/>
      <c r="S263" s="14"/>
      <c r="T263" s="14"/>
      <c r="U263" s="16"/>
      <c r="V263" s="14"/>
      <c r="W263" s="15"/>
      <c r="X263" s="14"/>
      <c r="Y263" s="18"/>
      <c r="Z263" s="14"/>
      <c r="AA263" s="14"/>
      <c r="AB263" s="18"/>
      <c r="AC263" s="14"/>
      <c r="AD263" s="14"/>
      <c r="AE263" s="14"/>
      <c r="AF263" s="19"/>
      <c r="AG263" s="16"/>
      <c r="AH263" s="19"/>
      <c r="AI263" s="19"/>
      <c r="AJ263" s="20" t="str">
        <f t="shared" si="4"/>
        <v/>
      </c>
      <c r="AK263" s="21" t="str">
        <f>IF(B263="","",OR(K263="Not in use",K263="Low use")+AND(N263&lt;&gt;"",N263&lt;&gt;"TBD")+AND(ISNUMBER(U263),U263&lt;=EDATE('Scoring Settings'!$B$4,'Scoring Settings'!$B$8))+AND(ISNUMBER(L263),L263&lt;='Scoring Settings'!$B$7))</f>
        <v/>
      </c>
      <c r="AL263" s="17" t="str">
        <f>IF(B263="","",IF(K263="Not in use","Priority – Not in use",IF(AK263&gt;='Scoring Settings'!$B$9,"Decommission",IF(AK263=1,"Review","Retain"))))</f>
        <v/>
      </c>
      <c r="AM263" s="17" t="str">
        <f>IF(B263="","",IF(Z263="N","Easy",IF(OR(AND(ISNUMBER(AB263),AB263&gt;'Scoring Settings'!$B$11),AND(ISNUMBER(W263),W263&gt;'Scoring Settings'!$B$12),AND(ISNUMBER(M263),M263&lt;='Scoring Settings'!$B$13)),"High","Medium")))</f>
        <v/>
      </c>
      <c r="AN263" s="14"/>
      <c r="AO263" s="16"/>
      <c r="AP263" s="14"/>
      <c r="AQ263" s="22"/>
    </row>
    <row r="264" spans="1:43">
      <c r="A264" s="14"/>
      <c r="B264" s="14"/>
      <c r="C264" s="14"/>
      <c r="D264" s="14"/>
      <c r="E264" s="14"/>
      <c r="F264" s="14"/>
      <c r="G264" s="14"/>
      <c r="H264" s="14"/>
      <c r="I264" s="15"/>
      <c r="J264" s="16"/>
      <c r="K264" s="17" t="str">
        <f>IF(B264="","",IF(AND(I264="",J264=""),"Unknown",IF(OR(AND(ISNUMBER(I264),I264=0),AND(ISNUMBER(J264),J264&lt;=EDATE('Scoring Settings'!$B$4,-'Scoring Settings'!$B$5))),"Not in use",IF(AND(ISNUMBER(I264),I264&lt;'Scoring Settings'!$B$6),"Low use","Active"))))</f>
        <v/>
      </c>
      <c r="L264" s="14"/>
      <c r="M264" s="14"/>
      <c r="N264" s="14"/>
      <c r="O264" s="14"/>
      <c r="P264" s="14"/>
      <c r="Q264" s="18"/>
      <c r="R264" s="14"/>
      <c r="S264" s="14"/>
      <c r="T264" s="14"/>
      <c r="U264" s="16"/>
      <c r="V264" s="14"/>
      <c r="W264" s="15"/>
      <c r="X264" s="14"/>
      <c r="Y264" s="18"/>
      <c r="Z264" s="14"/>
      <c r="AA264" s="14"/>
      <c r="AB264" s="18"/>
      <c r="AC264" s="14"/>
      <c r="AD264" s="14"/>
      <c r="AE264" s="14"/>
      <c r="AF264" s="19"/>
      <c r="AG264" s="16"/>
      <c r="AH264" s="19"/>
      <c r="AI264" s="19"/>
      <c r="AJ264" s="20" t="str">
        <f t="shared" si="4"/>
        <v/>
      </c>
      <c r="AK264" s="21" t="str">
        <f>IF(B264="","",OR(K264="Not in use",K264="Low use")+AND(N264&lt;&gt;"",N264&lt;&gt;"TBD")+AND(ISNUMBER(U264),U264&lt;=EDATE('Scoring Settings'!$B$4,'Scoring Settings'!$B$8))+AND(ISNUMBER(L264),L264&lt;='Scoring Settings'!$B$7))</f>
        <v/>
      </c>
      <c r="AL264" s="17" t="str">
        <f>IF(B264="","",IF(K264="Not in use","Priority – Not in use",IF(AK264&gt;='Scoring Settings'!$B$9,"Decommission",IF(AK264=1,"Review","Retain"))))</f>
        <v/>
      </c>
      <c r="AM264" s="17" t="str">
        <f>IF(B264="","",IF(Z264="N","Easy",IF(OR(AND(ISNUMBER(AB264),AB264&gt;'Scoring Settings'!$B$11),AND(ISNUMBER(W264),W264&gt;'Scoring Settings'!$B$12),AND(ISNUMBER(M264),M264&lt;='Scoring Settings'!$B$13)),"High","Medium")))</f>
        <v/>
      </c>
      <c r="AN264" s="14"/>
      <c r="AO264" s="16"/>
      <c r="AP264" s="14"/>
      <c r="AQ264" s="22"/>
    </row>
    <row r="265" spans="1:43">
      <c r="A265" s="14"/>
      <c r="B265" s="14"/>
      <c r="C265" s="14"/>
      <c r="D265" s="14"/>
      <c r="E265" s="14"/>
      <c r="F265" s="14"/>
      <c r="G265" s="14"/>
      <c r="H265" s="14"/>
      <c r="I265" s="15"/>
      <c r="J265" s="16"/>
      <c r="K265" s="17" t="str">
        <f>IF(B265="","",IF(AND(I265="",J265=""),"Unknown",IF(OR(AND(ISNUMBER(I265),I265=0),AND(ISNUMBER(J265),J265&lt;=EDATE('Scoring Settings'!$B$4,-'Scoring Settings'!$B$5))),"Not in use",IF(AND(ISNUMBER(I265),I265&lt;'Scoring Settings'!$B$6),"Low use","Active"))))</f>
        <v/>
      </c>
      <c r="L265" s="14"/>
      <c r="M265" s="14"/>
      <c r="N265" s="14"/>
      <c r="O265" s="14"/>
      <c r="P265" s="14"/>
      <c r="Q265" s="18"/>
      <c r="R265" s="14"/>
      <c r="S265" s="14"/>
      <c r="T265" s="14"/>
      <c r="U265" s="16"/>
      <c r="V265" s="14"/>
      <c r="W265" s="15"/>
      <c r="X265" s="14"/>
      <c r="Y265" s="18"/>
      <c r="Z265" s="14"/>
      <c r="AA265" s="14"/>
      <c r="AB265" s="18"/>
      <c r="AC265" s="14"/>
      <c r="AD265" s="14"/>
      <c r="AE265" s="14"/>
      <c r="AF265" s="19"/>
      <c r="AG265" s="16"/>
      <c r="AH265" s="19"/>
      <c r="AI265" s="19"/>
      <c r="AJ265" s="20" t="str">
        <f t="shared" si="4"/>
        <v/>
      </c>
      <c r="AK265" s="21" t="str">
        <f>IF(B265="","",OR(K265="Not in use",K265="Low use")+AND(N265&lt;&gt;"",N265&lt;&gt;"TBD")+AND(ISNUMBER(U265),U265&lt;=EDATE('Scoring Settings'!$B$4,'Scoring Settings'!$B$8))+AND(ISNUMBER(L265),L265&lt;='Scoring Settings'!$B$7))</f>
        <v/>
      </c>
      <c r="AL265" s="17" t="str">
        <f>IF(B265="","",IF(K265="Not in use","Priority – Not in use",IF(AK265&gt;='Scoring Settings'!$B$9,"Decommission",IF(AK265=1,"Review","Retain"))))</f>
        <v/>
      </c>
      <c r="AM265" s="17" t="str">
        <f>IF(B265="","",IF(Z265="N","Easy",IF(OR(AND(ISNUMBER(AB265),AB265&gt;'Scoring Settings'!$B$11),AND(ISNUMBER(W265),W265&gt;'Scoring Settings'!$B$12),AND(ISNUMBER(M265),M265&lt;='Scoring Settings'!$B$13)),"High","Medium")))</f>
        <v/>
      </c>
      <c r="AN265" s="14"/>
      <c r="AO265" s="16"/>
      <c r="AP265" s="14"/>
      <c r="AQ265" s="22"/>
    </row>
    <row r="266" spans="1:43">
      <c r="A266" s="14"/>
      <c r="B266" s="14"/>
      <c r="C266" s="14"/>
      <c r="D266" s="14"/>
      <c r="E266" s="14"/>
      <c r="F266" s="14"/>
      <c r="G266" s="14"/>
      <c r="H266" s="14"/>
      <c r="I266" s="15"/>
      <c r="J266" s="16"/>
      <c r="K266" s="17" t="str">
        <f>IF(B266="","",IF(AND(I266="",J266=""),"Unknown",IF(OR(AND(ISNUMBER(I266),I266=0),AND(ISNUMBER(J266),J266&lt;=EDATE('Scoring Settings'!$B$4,-'Scoring Settings'!$B$5))),"Not in use",IF(AND(ISNUMBER(I266),I266&lt;'Scoring Settings'!$B$6),"Low use","Active"))))</f>
        <v/>
      </c>
      <c r="L266" s="14"/>
      <c r="M266" s="14"/>
      <c r="N266" s="14"/>
      <c r="O266" s="14"/>
      <c r="P266" s="14"/>
      <c r="Q266" s="18"/>
      <c r="R266" s="14"/>
      <c r="S266" s="14"/>
      <c r="T266" s="14"/>
      <c r="U266" s="16"/>
      <c r="V266" s="14"/>
      <c r="W266" s="15"/>
      <c r="X266" s="14"/>
      <c r="Y266" s="18"/>
      <c r="Z266" s="14"/>
      <c r="AA266" s="14"/>
      <c r="AB266" s="18"/>
      <c r="AC266" s="14"/>
      <c r="AD266" s="14"/>
      <c r="AE266" s="14"/>
      <c r="AF266" s="19"/>
      <c r="AG266" s="16"/>
      <c r="AH266" s="19"/>
      <c r="AI266" s="19"/>
      <c r="AJ266" s="20" t="str">
        <f t="shared" si="4"/>
        <v/>
      </c>
      <c r="AK266" s="21" t="str">
        <f>IF(B266="","",OR(K266="Not in use",K266="Low use")+AND(N266&lt;&gt;"",N266&lt;&gt;"TBD")+AND(ISNUMBER(U266),U266&lt;=EDATE('Scoring Settings'!$B$4,'Scoring Settings'!$B$8))+AND(ISNUMBER(L266),L266&lt;='Scoring Settings'!$B$7))</f>
        <v/>
      </c>
      <c r="AL266" s="17" t="str">
        <f>IF(B266="","",IF(K266="Not in use","Priority – Not in use",IF(AK266&gt;='Scoring Settings'!$B$9,"Decommission",IF(AK266=1,"Review","Retain"))))</f>
        <v/>
      </c>
      <c r="AM266" s="17" t="str">
        <f>IF(B266="","",IF(Z266="N","Easy",IF(OR(AND(ISNUMBER(AB266),AB266&gt;'Scoring Settings'!$B$11),AND(ISNUMBER(W266),W266&gt;'Scoring Settings'!$B$12),AND(ISNUMBER(M266),M266&lt;='Scoring Settings'!$B$13)),"High","Medium")))</f>
        <v/>
      </c>
      <c r="AN266" s="14"/>
      <c r="AO266" s="16"/>
      <c r="AP266" s="14"/>
      <c r="AQ266" s="22"/>
    </row>
    <row r="267" spans="1:43">
      <c r="A267" s="14"/>
      <c r="B267" s="14"/>
      <c r="C267" s="14"/>
      <c r="D267" s="14"/>
      <c r="E267" s="14"/>
      <c r="F267" s="14"/>
      <c r="G267" s="14"/>
      <c r="H267" s="14"/>
      <c r="I267" s="15"/>
      <c r="J267" s="16"/>
      <c r="K267" s="17" t="str">
        <f>IF(B267="","",IF(AND(I267="",J267=""),"Unknown",IF(OR(AND(ISNUMBER(I267),I267=0),AND(ISNUMBER(J267),J267&lt;=EDATE('Scoring Settings'!$B$4,-'Scoring Settings'!$B$5))),"Not in use",IF(AND(ISNUMBER(I267),I267&lt;'Scoring Settings'!$B$6),"Low use","Active"))))</f>
        <v/>
      </c>
      <c r="L267" s="14"/>
      <c r="M267" s="14"/>
      <c r="N267" s="14"/>
      <c r="O267" s="14"/>
      <c r="P267" s="14"/>
      <c r="Q267" s="18"/>
      <c r="R267" s="14"/>
      <c r="S267" s="14"/>
      <c r="T267" s="14"/>
      <c r="U267" s="16"/>
      <c r="V267" s="14"/>
      <c r="W267" s="15"/>
      <c r="X267" s="14"/>
      <c r="Y267" s="18"/>
      <c r="Z267" s="14"/>
      <c r="AA267" s="14"/>
      <c r="AB267" s="18"/>
      <c r="AC267" s="14"/>
      <c r="AD267" s="14"/>
      <c r="AE267" s="14"/>
      <c r="AF267" s="19"/>
      <c r="AG267" s="16"/>
      <c r="AH267" s="19"/>
      <c r="AI267" s="19"/>
      <c r="AJ267" s="20" t="str">
        <f t="shared" si="4"/>
        <v/>
      </c>
      <c r="AK267" s="21" t="str">
        <f>IF(B267="","",OR(K267="Not in use",K267="Low use")+AND(N267&lt;&gt;"",N267&lt;&gt;"TBD")+AND(ISNUMBER(U267),U267&lt;=EDATE('Scoring Settings'!$B$4,'Scoring Settings'!$B$8))+AND(ISNUMBER(L267),L267&lt;='Scoring Settings'!$B$7))</f>
        <v/>
      </c>
      <c r="AL267" s="17" t="str">
        <f>IF(B267="","",IF(K267="Not in use","Priority – Not in use",IF(AK267&gt;='Scoring Settings'!$B$9,"Decommission",IF(AK267=1,"Review","Retain"))))</f>
        <v/>
      </c>
      <c r="AM267" s="17" t="str">
        <f>IF(B267="","",IF(Z267="N","Easy",IF(OR(AND(ISNUMBER(AB267),AB267&gt;'Scoring Settings'!$B$11),AND(ISNUMBER(W267),W267&gt;'Scoring Settings'!$B$12),AND(ISNUMBER(M267),M267&lt;='Scoring Settings'!$B$13)),"High","Medium")))</f>
        <v/>
      </c>
      <c r="AN267" s="14"/>
      <c r="AO267" s="16"/>
      <c r="AP267" s="14"/>
      <c r="AQ267" s="22"/>
    </row>
    <row r="268" spans="1:43">
      <c r="A268" s="14"/>
      <c r="B268" s="14"/>
      <c r="C268" s="14"/>
      <c r="D268" s="14"/>
      <c r="E268" s="14"/>
      <c r="F268" s="14"/>
      <c r="G268" s="14"/>
      <c r="H268" s="14"/>
      <c r="I268" s="15"/>
      <c r="J268" s="16"/>
      <c r="K268" s="17" t="str">
        <f>IF(B268="","",IF(AND(I268="",J268=""),"Unknown",IF(OR(AND(ISNUMBER(I268),I268=0),AND(ISNUMBER(J268),J268&lt;=EDATE('Scoring Settings'!$B$4,-'Scoring Settings'!$B$5))),"Not in use",IF(AND(ISNUMBER(I268),I268&lt;'Scoring Settings'!$B$6),"Low use","Active"))))</f>
        <v/>
      </c>
      <c r="L268" s="14"/>
      <c r="M268" s="14"/>
      <c r="N268" s="14"/>
      <c r="O268" s="14"/>
      <c r="P268" s="14"/>
      <c r="Q268" s="18"/>
      <c r="R268" s="14"/>
      <c r="S268" s="14"/>
      <c r="T268" s="14"/>
      <c r="U268" s="16"/>
      <c r="V268" s="14"/>
      <c r="W268" s="15"/>
      <c r="X268" s="14"/>
      <c r="Y268" s="18"/>
      <c r="Z268" s="14"/>
      <c r="AA268" s="14"/>
      <c r="AB268" s="18"/>
      <c r="AC268" s="14"/>
      <c r="AD268" s="14"/>
      <c r="AE268" s="14"/>
      <c r="AF268" s="19"/>
      <c r="AG268" s="16"/>
      <c r="AH268" s="19"/>
      <c r="AI268" s="19"/>
      <c r="AJ268" s="20" t="str">
        <f t="shared" si="4"/>
        <v/>
      </c>
      <c r="AK268" s="21" t="str">
        <f>IF(B268="","",OR(K268="Not in use",K268="Low use")+AND(N268&lt;&gt;"",N268&lt;&gt;"TBD")+AND(ISNUMBER(U268),U268&lt;=EDATE('Scoring Settings'!$B$4,'Scoring Settings'!$B$8))+AND(ISNUMBER(L268),L268&lt;='Scoring Settings'!$B$7))</f>
        <v/>
      </c>
      <c r="AL268" s="17" t="str">
        <f>IF(B268="","",IF(K268="Not in use","Priority – Not in use",IF(AK268&gt;='Scoring Settings'!$B$9,"Decommission",IF(AK268=1,"Review","Retain"))))</f>
        <v/>
      </c>
      <c r="AM268" s="17" t="str">
        <f>IF(B268="","",IF(Z268="N","Easy",IF(OR(AND(ISNUMBER(AB268),AB268&gt;'Scoring Settings'!$B$11),AND(ISNUMBER(W268),W268&gt;'Scoring Settings'!$B$12),AND(ISNUMBER(M268),M268&lt;='Scoring Settings'!$B$13)),"High","Medium")))</f>
        <v/>
      </c>
      <c r="AN268" s="14"/>
      <c r="AO268" s="16"/>
      <c r="AP268" s="14"/>
      <c r="AQ268" s="22"/>
    </row>
    <row r="269" spans="1:43">
      <c r="A269" s="14"/>
      <c r="B269" s="14"/>
      <c r="C269" s="14"/>
      <c r="D269" s="14"/>
      <c r="E269" s="14"/>
      <c r="F269" s="14"/>
      <c r="G269" s="14"/>
      <c r="H269" s="14"/>
      <c r="I269" s="15"/>
      <c r="J269" s="16"/>
      <c r="K269" s="17" t="str">
        <f>IF(B269="","",IF(AND(I269="",J269=""),"Unknown",IF(OR(AND(ISNUMBER(I269),I269=0),AND(ISNUMBER(J269),J269&lt;=EDATE('Scoring Settings'!$B$4,-'Scoring Settings'!$B$5))),"Not in use",IF(AND(ISNUMBER(I269),I269&lt;'Scoring Settings'!$B$6),"Low use","Active"))))</f>
        <v/>
      </c>
      <c r="L269" s="14"/>
      <c r="M269" s="14"/>
      <c r="N269" s="14"/>
      <c r="O269" s="14"/>
      <c r="P269" s="14"/>
      <c r="Q269" s="18"/>
      <c r="R269" s="14"/>
      <c r="S269" s="14"/>
      <c r="T269" s="14"/>
      <c r="U269" s="16"/>
      <c r="V269" s="14"/>
      <c r="W269" s="15"/>
      <c r="X269" s="14"/>
      <c r="Y269" s="18"/>
      <c r="Z269" s="14"/>
      <c r="AA269" s="14"/>
      <c r="AB269" s="18"/>
      <c r="AC269" s="14"/>
      <c r="AD269" s="14"/>
      <c r="AE269" s="14"/>
      <c r="AF269" s="19"/>
      <c r="AG269" s="16"/>
      <c r="AH269" s="19"/>
      <c r="AI269" s="19"/>
      <c r="AJ269" s="20" t="str">
        <f t="shared" si="4"/>
        <v/>
      </c>
      <c r="AK269" s="21" t="str">
        <f>IF(B269="","",OR(K269="Not in use",K269="Low use")+AND(N269&lt;&gt;"",N269&lt;&gt;"TBD")+AND(ISNUMBER(U269),U269&lt;=EDATE('Scoring Settings'!$B$4,'Scoring Settings'!$B$8))+AND(ISNUMBER(L269),L269&lt;='Scoring Settings'!$B$7))</f>
        <v/>
      </c>
      <c r="AL269" s="17" t="str">
        <f>IF(B269="","",IF(K269="Not in use","Priority – Not in use",IF(AK269&gt;='Scoring Settings'!$B$9,"Decommission",IF(AK269=1,"Review","Retain"))))</f>
        <v/>
      </c>
      <c r="AM269" s="17" t="str">
        <f>IF(B269="","",IF(Z269="N","Easy",IF(OR(AND(ISNUMBER(AB269),AB269&gt;'Scoring Settings'!$B$11),AND(ISNUMBER(W269),W269&gt;'Scoring Settings'!$B$12),AND(ISNUMBER(M269),M269&lt;='Scoring Settings'!$B$13)),"High","Medium")))</f>
        <v/>
      </c>
      <c r="AN269" s="14"/>
      <c r="AO269" s="16"/>
      <c r="AP269" s="14"/>
      <c r="AQ269" s="22"/>
    </row>
    <row r="270" spans="1:43">
      <c r="A270" s="14"/>
      <c r="B270" s="14"/>
      <c r="C270" s="14"/>
      <c r="D270" s="14"/>
      <c r="E270" s="14"/>
      <c r="F270" s="14"/>
      <c r="G270" s="14"/>
      <c r="H270" s="14"/>
      <c r="I270" s="15"/>
      <c r="J270" s="16"/>
      <c r="K270" s="17" t="str">
        <f>IF(B270="","",IF(AND(I270="",J270=""),"Unknown",IF(OR(AND(ISNUMBER(I270),I270=0),AND(ISNUMBER(J270),J270&lt;=EDATE('Scoring Settings'!$B$4,-'Scoring Settings'!$B$5))),"Not in use",IF(AND(ISNUMBER(I270),I270&lt;'Scoring Settings'!$B$6),"Low use","Active"))))</f>
        <v/>
      </c>
      <c r="L270" s="14"/>
      <c r="M270" s="14"/>
      <c r="N270" s="14"/>
      <c r="O270" s="14"/>
      <c r="P270" s="14"/>
      <c r="Q270" s="18"/>
      <c r="R270" s="14"/>
      <c r="S270" s="14"/>
      <c r="T270" s="14"/>
      <c r="U270" s="16"/>
      <c r="V270" s="14"/>
      <c r="W270" s="15"/>
      <c r="X270" s="14"/>
      <c r="Y270" s="18"/>
      <c r="Z270" s="14"/>
      <c r="AA270" s="14"/>
      <c r="AB270" s="18"/>
      <c r="AC270" s="14"/>
      <c r="AD270" s="14"/>
      <c r="AE270" s="14"/>
      <c r="AF270" s="19"/>
      <c r="AG270" s="16"/>
      <c r="AH270" s="19"/>
      <c r="AI270" s="19"/>
      <c r="AJ270" s="20" t="str">
        <f t="shared" si="4"/>
        <v/>
      </c>
      <c r="AK270" s="21" t="str">
        <f>IF(B270="","",OR(K270="Not in use",K270="Low use")+AND(N270&lt;&gt;"",N270&lt;&gt;"TBD")+AND(ISNUMBER(U270),U270&lt;=EDATE('Scoring Settings'!$B$4,'Scoring Settings'!$B$8))+AND(ISNUMBER(L270),L270&lt;='Scoring Settings'!$B$7))</f>
        <v/>
      </c>
      <c r="AL270" s="17" t="str">
        <f>IF(B270="","",IF(K270="Not in use","Priority – Not in use",IF(AK270&gt;='Scoring Settings'!$B$9,"Decommission",IF(AK270=1,"Review","Retain"))))</f>
        <v/>
      </c>
      <c r="AM270" s="17" t="str">
        <f>IF(B270="","",IF(Z270="N","Easy",IF(OR(AND(ISNUMBER(AB270),AB270&gt;'Scoring Settings'!$B$11),AND(ISNUMBER(W270),W270&gt;'Scoring Settings'!$B$12),AND(ISNUMBER(M270),M270&lt;='Scoring Settings'!$B$13)),"High","Medium")))</f>
        <v/>
      </c>
      <c r="AN270" s="14"/>
      <c r="AO270" s="16"/>
      <c r="AP270" s="14"/>
      <c r="AQ270" s="22"/>
    </row>
    <row r="271" spans="1:43">
      <c r="A271" s="14"/>
      <c r="B271" s="14"/>
      <c r="C271" s="14"/>
      <c r="D271" s="14"/>
      <c r="E271" s="14"/>
      <c r="F271" s="14"/>
      <c r="G271" s="14"/>
      <c r="H271" s="14"/>
      <c r="I271" s="15"/>
      <c r="J271" s="16"/>
      <c r="K271" s="17" t="str">
        <f>IF(B271="","",IF(AND(I271="",J271=""),"Unknown",IF(OR(AND(ISNUMBER(I271),I271=0),AND(ISNUMBER(J271),J271&lt;=EDATE('Scoring Settings'!$B$4,-'Scoring Settings'!$B$5))),"Not in use",IF(AND(ISNUMBER(I271),I271&lt;'Scoring Settings'!$B$6),"Low use","Active"))))</f>
        <v/>
      </c>
      <c r="L271" s="14"/>
      <c r="M271" s="14"/>
      <c r="N271" s="14"/>
      <c r="O271" s="14"/>
      <c r="P271" s="14"/>
      <c r="Q271" s="18"/>
      <c r="R271" s="14"/>
      <c r="S271" s="14"/>
      <c r="T271" s="14"/>
      <c r="U271" s="16"/>
      <c r="V271" s="14"/>
      <c r="W271" s="15"/>
      <c r="X271" s="14"/>
      <c r="Y271" s="18"/>
      <c r="Z271" s="14"/>
      <c r="AA271" s="14"/>
      <c r="AB271" s="18"/>
      <c r="AC271" s="14"/>
      <c r="AD271" s="14"/>
      <c r="AE271" s="14"/>
      <c r="AF271" s="19"/>
      <c r="AG271" s="16"/>
      <c r="AH271" s="19"/>
      <c r="AI271" s="19"/>
      <c r="AJ271" s="20" t="str">
        <f t="shared" si="4"/>
        <v/>
      </c>
      <c r="AK271" s="21" t="str">
        <f>IF(B271="","",OR(K271="Not in use",K271="Low use")+AND(N271&lt;&gt;"",N271&lt;&gt;"TBD")+AND(ISNUMBER(U271),U271&lt;=EDATE('Scoring Settings'!$B$4,'Scoring Settings'!$B$8))+AND(ISNUMBER(L271),L271&lt;='Scoring Settings'!$B$7))</f>
        <v/>
      </c>
      <c r="AL271" s="17" t="str">
        <f>IF(B271="","",IF(K271="Not in use","Priority – Not in use",IF(AK271&gt;='Scoring Settings'!$B$9,"Decommission",IF(AK271=1,"Review","Retain"))))</f>
        <v/>
      </c>
      <c r="AM271" s="17" t="str">
        <f>IF(B271="","",IF(Z271="N","Easy",IF(OR(AND(ISNUMBER(AB271),AB271&gt;'Scoring Settings'!$B$11),AND(ISNUMBER(W271),W271&gt;'Scoring Settings'!$B$12),AND(ISNUMBER(M271),M271&lt;='Scoring Settings'!$B$13)),"High","Medium")))</f>
        <v/>
      </c>
      <c r="AN271" s="14"/>
      <c r="AO271" s="16"/>
      <c r="AP271" s="14"/>
      <c r="AQ271" s="22"/>
    </row>
    <row r="272" spans="1:43">
      <c r="A272" s="14"/>
      <c r="B272" s="14"/>
      <c r="C272" s="14"/>
      <c r="D272" s="14"/>
      <c r="E272" s="14"/>
      <c r="F272" s="14"/>
      <c r="G272" s="14"/>
      <c r="H272" s="14"/>
      <c r="I272" s="15"/>
      <c r="J272" s="16"/>
      <c r="K272" s="17" t="str">
        <f>IF(B272="","",IF(AND(I272="",J272=""),"Unknown",IF(OR(AND(ISNUMBER(I272),I272=0),AND(ISNUMBER(J272),J272&lt;=EDATE('Scoring Settings'!$B$4,-'Scoring Settings'!$B$5))),"Not in use",IF(AND(ISNUMBER(I272),I272&lt;'Scoring Settings'!$B$6),"Low use","Active"))))</f>
        <v/>
      </c>
      <c r="L272" s="14"/>
      <c r="M272" s="14"/>
      <c r="N272" s="14"/>
      <c r="O272" s="14"/>
      <c r="P272" s="14"/>
      <c r="Q272" s="18"/>
      <c r="R272" s="14"/>
      <c r="S272" s="14"/>
      <c r="T272" s="14"/>
      <c r="U272" s="16"/>
      <c r="V272" s="14"/>
      <c r="W272" s="15"/>
      <c r="X272" s="14"/>
      <c r="Y272" s="18"/>
      <c r="Z272" s="14"/>
      <c r="AA272" s="14"/>
      <c r="AB272" s="18"/>
      <c r="AC272" s="14"/>
      <c r="AD272" s="14"/>
      <c r="AE272" s="14"/>
      <c r="AF272" s="19"/>
      <c r="AG272" s="16"/>
      <c r="AH272" s="19"/>
      <c r="AI272" s="19"/>
      <c r="AJ272" s="20" t="str">
        <f t="shared" si="4"/>
        <v/>
      </c>
      <c r="AK272" s="21" t="str">
        <f>IF(B272="","",OR(K272="Not in use",K272="Low use")+AND(N272&lt;&gt;"",N272&lt;&gt;"TBD")+AND(ISNUMBER(U272),U272&lt;=EDATE('Scoring Settings'!$B$4,'Scoring Settings'!$B$8))+AND(ISNUMBER(L272),L272&lt;='Scoring Settings'!$B$7))</f>
        <v/>
      </c>
      <c r="AL272" s="17" t="str">
        <f>IF(B272="","",IF(K272="Not in use","Priority – Not in use",IF(AK272&gt;='Scoring Settings'!$B$9,"Decommission",IF(AK272=1,"Review","Retain"))))</f>
        <v/>
      </c>
      <c r="AM272" s="17" t="str">
        <f>IF(B272="","",IF(Z272="N","Easy",IF(OR(AND(ISNUMBER(AB272),AB272&gt;'Scoring Settings'!$B$11),AND(ISNUMBER(W272),W272&gt;'Scoring Settings'!$B$12),AND(ISNUMBER(M272),M272&lt;='Scoring Settings'!$B$13)),"High","Medium")))</f>
        <v/>
      </c>
      <c r="AN272" s="14"/>
      <c r="AO272" s="16"/>
      <c r="AP272" s="14"/>
      <c r="AQ272" s="22"/>
    </row>
    <row r="273" spans="1:43">
      <c r="A273" s="14"/>
      <c r="B273" s="14"/>
      <c r="C273" s="14"/>
      <c r="D273" s="14"/>
      <c r="E273" s="14"/>
      <c r="F273" s="14"/>
      <c r="G273" s="14"/>
      <c r="H273" s="14"/>
      <c r="I273" s="15"/>
      <c r="J273" s="16"/>
      <c r="K273" s="17" t="str">
        <f>IF(B273="","",IF(AND(I273="",J273=""),"Unknown",IF(OR(AND(ISNUMBER(I273),I273=0),AND(ISNUMBER(J273),J273&lt;=EDATE('Scoring Settings'!$B$4,-'Scoring Settings'!$B$5))),"Not in use",IF(AND(ISNUMBER(I273),I273&lt;'Scoring Settings'!$B$6),"Low use","Active"))))</f>
        <v/>
      </c>
      <c r="L273" s="14"/>
      <c r="M273" s="14"/>
      <c r="N273" s="14"/>
      <c r="O273" s="14"/>
      <c r="P273" s="14"/>
      <c r="Q273" s="18"/>
      <c r="R273" s="14"/>
      <c r="S273" s="14"/>
      <c r="T273" s="14"/>
      <c r="U273" s="16"/>
      <c r="V273" s="14"/>
      <c r="W273" s="15"/>
      <c r="X273" s="14"/>
      <c r="Y273" s="18"/>
      <c r="Z273" s="14"/>
      <c r="AA273" s="14"/>
      <c r="AB273" s="18"/>
      <c r="AC273" s="14"/>
      <c r="AD273" s="14"/>
      <c r="AE273" s="14"/>
      <c r="AF273" s="19"/>
      <c r="AG273" s="16"/>
      <c r="AH273" s="19"/>
      <c r="AI273" s="19"/>
      <c r="AJ273" s="20" t="str">
        <f t="shared" si="4"/>
        <v/>
      </c>
      <c r="AK273" s="21" t="str">
        <f>IF(B273="","",OR(K273="Not in use",K273="Low use")+AND(N273&lt;&gt;"",N273&lt;&gt;"TBD")+AND(ISNUMBER(U273),U273&lt;=EDATE('Scoring Settings'!$B$4,'Scoring Settings'!$B$8))+AND(ISNUMBER(L273),L273&lt;='Scoring Settings'!$B$7))</f>
        <v/>
      </c>
      <c r="AL273" s="17" t="str">
        <f>IF(B273="","",IF(K273="Not in use","Priority – Not in use",IF(AK273&gt;='Scoring Settings'!$B$9,"Decommission",IF(AK273=1,"Review","Retain"))))</f>
        <v/>
      </c>
      <c r="AM273" s="17" t="str">
        <f>IF(B273="","",IF(Z273="N","Easy",IF(OR(AND(ISNUMBER(AB273),AB273&gt;'Scoring Settings'!$B$11),AND(ISNUMBER(W273),W273&gt;'Scoring Settings'!$B$12),AND(ISNUMBER(M273),M273&lt;='Scoring Settings'!$B$13)),"High","Medium")))</f>
        <v/>
      </c>
      <c r="AN273" s="14"/>
      <c r="AO273" s="16"/>
      <c r="AP273" s="14"/>
      <c r="AQ273" s="22"/>
    </row>
    <row r="274" spans="1:43">
      <c r="A274" s="14"/>
      <c r="B274" s="14"/>
      <c r="C274" s="14"/>
      <c r="D274" s="14"/>
      <c r="E274" s="14"/>
      <c r="F274" s="14"/>
      <c r="G274" s="14"/>
      <c r="H274" s="14"/>
      <c r="I274" s="15"/>
      <c r="J274" s="16"/>
      <c r="K274" s="17" t="str">
        <f>IF(B274="","",IF(AND(I274="",J274=""),"Unknown",IF(OR(AND(ISNUMBER(I274),I274=0),AND(ISNUMBER(J274),J274&lt;=EDATE('Scoring Settings'!$B$4,-'Scoring Settings'!$B$5))),"Not in use",IF(AND(ISNUMBER(I274),I274&lt;'Scoring Settings'!$B$6),"Low use","Active"))))</f>
        <v/>
      </c>
      <c r="L274" s="14"/>
      <c r="M274" s="14"/>
      <c r="N274" s="14"/>
      <c r="O274" s="14"/>
      <c r="P274" s="14"/>
      <c r="Q274" s="18"/>
      <c r="R274" s="14"/>
      <c r="S274" s="14"/>
      <c r="T274" s="14"/>
      <c r="U274" s="16"/>
      <c r="V274" s="14"/>
      <c r="W274" s="15"/>
      <c r="X274" s="14"/>
      <c r="Y274" s="18"/>
      <c r="Z274" s="14"/>
      <c r="AA274" s="14"/>
      <c r="AB274" s="18"/>
      <c r="AC274" s="14"/>
      <c r="AD274" s="14"/>
      <c r="AE274" s="14"/>
      <c r="AF274" s="19"/>
      <c r="AG274" s="16"/>
      <c r="AH274" s="19"/>
      <c r="AI274" s="19"/>
      <c r="AJ274" s="20" t="str">
        <f t="shared" si="4"/>
        <v/>
      </c>
      <c r="AK274" s="21" t="str">
        <f>IF(B274="","",OR(K274="Not in use",K274="Low use")+AND(N274&lt;&gt;"",N274&lt;&gt;"TBD")+AND(ISNUMBER(U274),U274&lt;=EDATE('Scoring Settings'!$B$4,'Scoring Settings'!$B$8))+AND(ISNUMBER(L274),L274&lt;='Scoring Settings'!$B$7))</f>
        <v/>
      </c>
      <c r="AL274" s="17" t="str">
        <f>IF(B274="","",IF(K274="Not in use","Priority – Not in use",IF(AK274&gt;='Scoring Settings'!$B$9,"Decommission",IF(AK274=1,"Review","Retain"))))</f>
        <v/>
      </c>
      <c r="AM274" s="17" t="str">
        <f>IF(B274="","",IF(Z274="N","Easy",IF(OR(AND(ISNUMBER(AB274),AB274&gt;'Scoring Settings'!$B$11),AND(ISNUMBER(W274),W274&gt;'Scoring Settings'!$B$12),AND(ISNUMBER(M274),M274&lt;='Scoring Settings'!$B$13)),"High","Medium")))</f>
        <v/>
      </c>
      <c r="AN274" s="14"/>
      <c r="AO274" s="16"/>
      <c r="AP274" s="14"/>
      <c r="AQ274" s="22"/>
    </row>
    <row r="275" spans="1:43">
      <c r="A275" s="14"/>
      <c r="B275" s="14"/>
      <c r="C275" s="14"/>
      <c r="D275" s="14"/>
      <c r="E275" s="14"/>
      <c r="F275" s="14"/>
      <c r="G275" s="14"/>
      <c r="H275" s="14"/>
      <c r="I275" s="15"/>
      <c r="J275" s="16"/>
      <c r="K275" s="17" t="str">
        <f>IF(B275="","",IF(AND(I275="",J275=""),"Unknown",IF(OR(AND(ISNUMBER(I275),I275=0),AND(ISNUMBER(J275),J275&lt;=EDATE('Scoring Settings'!$B$4,-'Scoring Settings'!$B$5))),"Not in use",IF(AND(ISNUMBER(I275),I275&lt;'Scoring Settings'!$B$6),"Low use","Active"))))</f>
        <v/>
      </c>
      <c r="L275" s="14"/>
      <c r="M275" s="14"/>
      <c r="N275" s="14"/>
      <c r="O275" s="14"/>
      <c r="P275" s="14"/>
      <c r="Q275" s="18"/>
      <c r="R275" s="14"/>
      <c r="S275" s="14"/>
      <c r="T275" s="14"/>
      <c r="U275" s="16"/>
      <c r="V275" s="14"/>
      <c r="W275" s="15"/>
      <c r="X275" s="14"/>
      <c r="Y275" s="18"/>
      <c r="Z275" s="14"/>
      <c r="AA275" s="14"/>
      <c r="AB275" s="18"/>
      <c r="AC275" s="14"/>
      <c r="AD275" s="14"/>
      <c r="AE275" s="14"/>
      <c r="AF275" s="19"/>
      <c r="AG275" s="16"/>
      <c r="AH275" s="19"/>
      <c r="AI275" s="19"/>
      <c r="AJ275" s="20" t="str">
        <f t="shared" si="4"/>
        <v/>
      </c>
      <c r="AK275" s="21" t="str">
        <f>IF(B275="","",OR(K275="Not in use",K275="Low use")+AND(N275&lt;&gt;"",N275&lt;&gt;"TBD")+AND(ISNUMBER(U275),U275&lt;=EDATE('Scoring Settings'!$B$4,'Scoring Settings'!$B$8))+AND(ISNUMBER(L275),L275&lt;='Scoring Settings'!$B$7))</f>
        <v/>
      </c>
      <c r="AL275" s="17" t="str">
        <f>IF(B275="","",IF(K275="Not in use","Priority – Not in use",IF(AK275&gt;='Scoring Settings'!$B$9,"Decommission",IF(AK275=1,"Review","Retain"))))</f>
        <v/>
      </c>
      <c r="AM275" s="17" t="str">
        <f>IF(B275="","",IF(Z275="N","Easy",IF(OR(AND(ISNUMBER(AB275),AB275&gt;'Scoring Settings'!$B$11),AND(ISNUMBER(W275),W275&gt;'Scoring Settings'!$B$12),AND(ISNUMBER(M275),M275&lt;='Scoring Settings'!$B$13)),"High","Medium")))</f>
        <v/>
      </c>
      <c r="AN275" s="14"/>
      <c r="AO275" s="16"/>
      <c r="AP275" s="14"/>
      <c r="AQ275" s="22"/>
    </row>
    <row r="276" spans="1:43">
      <c r="A276" s="14"/>
      <c r="B276" s="14"/>
      <c r="C276" s="14"/>
      <c r="D276" s="14"/>
      <c r="E276" s="14"/>
      <c r="F276" s="14"/>
      <c r="G276" s="14"/>
      <c r="H276" s="14"/>
      <c r="I276" s="15"/>
      <c r="J276" s="16"/>
      <c r="K276" s="17" t="str">
        <f>IF(B276="","",IF(AND(I276="",J276=""),"Unknown",IF(OR(AND(ISNUMBER(I276),I276=0),AND(ISNUMBER(J276),J276&lt;=EDATE('Scoring Settings'!$B$4,-'Scoring Settings'!$B$5))),"Not in use",IF(AND(ISNUMBER(I276),I276&lt;'Scoring Settings'!$B$6),"Low use","Active"))))</f>
        <v/>
      </c>
      <c r="L276" s="14"/>
      <c r="M276" s="14"/>
      <c r="N276" s="14"/>
      <c r="O276" s="14"/>
      <c r="P276" s="14"/>
      <c r="Q276" s="18"/>
      <c r="R276" s="14"/>
      <c r="S276" s="14"/>
      <c r="T276" s="14"/>
      <c r="U276" s="16"/>
      <c r="V276" s="14"/>
      <c r="W276" s="15"/>
      <c r="X276" s="14"/>
      <c r="Y276" s="18"/>
      <c r="Z276" s="14"/>
      <c r="AA276" s="14"/>
      <c r="AB276" s="18"/>
      <c r="AC276" s="14"/>
      <c r="AD276" s="14"/>
      <c r="AE276" s="14"/>
      <c r="AF276" s="19"/>
      <c r="AG276" s="16"/>
      <c r="AH276" s="19"/>
      <c r="AI276" s="19"/>
      <c r="AJ276" s="20" t="str">
        <f t="shared" si="4"/>
        <v/>
      </c>
      <c r="AK276" s="21" t="str">
        <f>IF(B276="","",OR(K276="Not in use",K276="Low use")+AND(N276&lt;&gt;"",N276&lt;&gt;"TBD")+AND(ISNUMBER(U276),U276&lt;=EDATE('Scoring Settings'!$B$4,'Scoring Settings'!$B$8))+AND(ISNUMBER(L276),L276&lt;='Scoring Settings'!$B$7))</f>
        <v/>
      </c>
      <c r="AL276" s="17" t="str">
        <f>IF(B276="","",IF(K276="Not in use","Priority – Not in use",IF(AK276&gt;='Scoring Settings'!$B$9,"Decommission",IF(AK276=1,"Review","Retain"))))</f>
        <v/>
      </c>
      <c r="AM276" s="17" t="str">
        <f>IF(B276="","",IF(Z276="N","Easy",IF(OR(AND(ISNUMBER(AB276),AB276&gt;'Scoring Settings'!$B$11),AND(ISNUMBER(W276),W276&gt;'Scoring Settings'!$B$12),AND(ISNUMBER(M276),M276&lt;='Scoring Settings'!$B$13)),"High","Medium")))</f>
        <v/>
      </c>
      <c r="AN276" s="14"/>
      <c r="AO276" s="16"/>
      <c r="AP276" s="14"/>
      <c r="AQ276" s="22"/>
    </row>
    <row r="277" spans="1:43">
      <c r="A277" s="14"/>
      <c r="B277" s="14"/>
      <c r="C277" s="14"/>
      <c r="D277" s="14"/>
      <c r="E277" s="14"/>
      <c r="F277" s="14"/>
      <c r="G277" s="14"/>
      <c r="H277" s="14"/>
      <c r="I277" s="15"/>
      <c r="J277" s="16"/>
      <c r="K277" s="17" t="str">
        <f>IF(B277="","",IF(AND(I277="",J277=""),"Unknown",IF(OR(AND(ISNUMBER(I277),I277=0),AND(ISNUMBER(J277),J277&lt;=EDATE('Scoring Settings'!$B$4,-'Scoring Settings'!$B$5))),"Not in use",IF(AND(ISNUMBER(I277),I277&lt;'Scoring Settings'!$B$6),"Low use","Active"))))</f>
        <v/>
      </c>
      <c r="L277" s="14"/>
      <c r="M277" s="14"/>
      <c r="N277" s="14"/>
      <c r="O277" s="14"/>
      <c r="P277" s="14"/>
      <c r="Q277" s="18"/>
      <c r="R277" s="14"/>
      <c r="S277" s="14"/>
      <c r="T277" s="14"/>
      <c r="U277" s="16"/>
      <c r="V277" s="14"/>
      <c r="W277" s="15"/>
      <c r="X277" s="14"/>
      <c r="Y277" s="18"/>
      <c r="Z277" s="14"/>
      <c r="AA277" s="14"/>
      <c r="AB277" s="18"/>
      <c r="AC277" s="14"/>
      <c r="AD277" s="14"/>
      <c r="AE277" s="14"/>
      <c r="AF277" s="19"/>
      <c r="AG277" s="16"/>
      <c r="AH277" s="19"/>
      <c r="AI277" s="19"/>
      <c r="AJ277" s="20" t="str">
        <f t="shared" si="4"/>
        <v/>
      </c>
      <c r="AK277" s="21" t="str">
        <f>IF(B277="","",OR(K277="Not in use",K277="Low use")+AND(N277&lt;&gt;"",N277&lt;&gt;"TBD")+AND(ISNUMBER(U277),U277&lt;=EDATE('Scoring Settings'!$B$4,'Scoring Settings'!$B$8))+AND(ISNUMBER(L277),L277&lt;='Scoring Settings'!$B$7))</f>
        <v/>
      </c>
      <c r="AL277" s="17" t="str">
        <f>IF(B277="","",IF(K277="Not in use","Priority – Not in use",IF(AK277&gt;='Scoring Settings'!$B$9,"Decommission",IF(AK277=1,"Review","Retain"))))</f>
        <v/>
      </c>
      <c r="AM277" s="17" t="str">
        <f>IF(B277="","",IF(Z277="N","Easy",IF(OR(AND(ISNUMBER(AB277),AB277&gt;'Scoring Settings'!$B$11),AND(ISNUMBER(W277),W277&gt;'Scoring Settings'!$B$12),AND(ISNUMBER(M277),M277&lt;='Scoring Settings'!$B$13)),"High","Medium")))</f>
        <v/>
      </c>
      <c r="AN277" s="14"/>
      <c r="AO277" s="16"/>
      <c r="AP277" s="14"/>
      <c r="AQ277" s="22"/>
    </row>
    <row r="278" spans="1:43">
      <c r="A278" s="14"/>
      <c r="B278" s="14"/>
      <c r="C278" s="14"/>
      <c r="D278" s="14"/>
      <c r="E278" s="14"/>
      <c r="F278" s="14"/>
      <c r="G278" s="14"/>
      <c r="H278" s="14"/>
      <c r="I278" s="15"/>
      <c r="J278" s="16"/>
      <c r="K278" s="17" t="str">
        <f>IF(B278="","",IF(AND(I278="",J278=""),"Unknown",IF(OR(AND(ISNUMBER(I278),I278=0),AND(ISNUMBER(J278),J278&lt;=EDATE('Scoring Settings'!$B$4,-'Scoring Settings'!$B$5))),"Not in use",IF(AND(ISNUMBER(I278),I278&lt;'Scoring Settings'!$B$6),"Low use","Active"))))</f>
        <v/>
      </c>
      <c r="L278" s="14"/>
      <c r="M278" s="14"/>
      <c r="N278" s="14"/>
      <c r="O278" s="14"/>
      <c r="P278" s="14"/>
      <c r="Q278" s="18"/>
      <c r="R278" s="14"/>
      <c r="S278" s="14"/>
      <c r="T278" s="14"/>
      <c r="U278" s="16"/>
      <c r="V278" s="14"/>
      <c r="W278" s="15"/>
      <c r="X278" s="14"/>
      <c r="Y278" s="18"/>
      <c r="Z278" s="14"/>
      <c r="AA278" s="14"/>
      <c r="AB278" s="18"/>
      <c r="AC278" s="14"/>
      <c r="AD278" s="14"/>
      <c r="AE278" s="14"/>
      <c r="AF278" s="19"/>
      <c r="AG278" s="16"/>
      <c r="AH278" s="19"/>
      <c r="AI278" s="19"/>
      <c r="AJ278" s="20" t="str">
        <f t="shared" si="4"/>
        <v/>
      </c>
      <c r="AK278" s="21" t="str">
        <f>IF(B278="","",OR(K278="Not in use",K278="Low use")+AND(N278&lt;&gt;"",N278&lt;&gt;"TBD")+AND(ISNUMBER(U278),U278&lt;=EDATE('Scoring Settings'!$B$4,'Scoring Settings'!$B$8))+AND(ISNUMBER(L278),L278&lt;='Scoring Settings'!$B$7))</f>
        <v/>
      </c>
      <c r="AL278" s="17" t="str">
        <f>IF(B278="","",IF(K278="Not in use","Priority – Not in use",IF(AK278&gt;='Scoring Settings'!$B$9,"Decommission",IF(AK278=1,"Review","Retain"))))</f>
        <v/>
      </c>
      <c r="AM278" s="17" t="str">
        <f>IF(B278="","",IF(Z278="N","Easy",IF(OR(AND(ISNUMBER(AB278),AB278&gt;'Scoring Settings'!$B$11),AND(ISNUMBER(W278),W278&gt;'Scoring Settings'!$B$12),AND(ISNUMBER(M278),M278&lt;='Scoring Settings'!$B$13)),"High","Medium")))</f>
        <v/>
      </c>
      <c r="AN278" s="14"/>
      <c r="AO278" s="16"/>
      <c r="AP278" s="14"/>
      <c r="AQ278" s="22"/>
    </row>
    <row r="279" spans="1:43">
      <c r="A279" s="14"/>
      <c r="B279" s="14"/>
      <c r="C279" s="14"/>
      <c r="D279" s="14"/>
      <c r="E279" s="14"/>
      <c r="F279" s="14"/>
      <c r="G279" s="14"/>
      <c r="H279" s="14"/>
      <c r="I279" s="15"/>
      <c r="J279" s="16"/>
      <c r="K279" s="17" t="str">
        <f>IF(B279="","",IF(AND(I279="",J279=""),"Unknown",IF(OR(AND(ISNUMBER(I279),I279=0),AND(ISNUMBER(J279),J279&lt;=EDATE('Scoring Settings'!$B$4,-'Scoring Settings'!$B$5))),"Not in use",IF(AND(ISNUMBER(I279),I279&lt;'Scoring Settings'!$B$6),"Low use","Active"))))</f>
        <v/>
      </c>
      <c r="L279" s="14"/>
      <c r="M279" s="14"/>
      <c r="N279" s="14"/>
      <c r="O279" s="14"/>
      <c r="P279" s="14"/>
      <c r="Q279" s="18"/>
      <c r="R279" s="14"/>
      <c r="S279" s="14"/>
      <c r="T279" s="14"/>
      <c r="U279" s="16"/>
      <c r="V279" s="14"/>
      <c r="W279" s="15"/>
      <c r="X279" s="14"/>
      <c r="Y279" s="18"/>
      <c r="Z279" s="14"/>
      <c r="AA279" s="14"/>
      <c r="AB279" s="18"/>
      <c r="AC279" s="14"/>
      <c r="AD279" s="14"/>
      <c r="AE279" s="14"/>
      <c r="AF279" s="19"/>
      <c r="AG279" s="16"/>
      <c r="AH279" s="19"/>
      <c r="AI279" s="19"/>
      <c r="AJ279" s="20" t="str">
        <f t="shared" si="4"/>
        <v/>
      </c>
      <c r="AK279" s="21" t="str">
        <f>IF(B279="","",OR(K279="Not in use",K279="Low use")+AND(N279&lt;&gt;"",N279&lt;&gt;"TBD")+AND(ISNUMBER(U279),U279&lt;=EDATE('Scoring Settings'!$B$4,'Scoring Settings'!$B$8))+AND(ISNUMBER(L279),L279&lt;='Scoring Settings'!$B$7))</f>
        <v/>
      </c>
      <c r="AL279" s="17" t="str">
        <f>IF(B279="","",IF(K279="Not in use","Priority – Not in use",IF(AK279&gt;='Scoring Settings'!$B$9,"Decommission",IF(AK279=1,"Review","Retain"))))</f>
        <v/>
      </c>
      <c r="AM279" s="17" t="str">
        <f>IF(B279="","",IF(Z279="N","Easy",IF(OR(AND(ISNUMBER(AB279),AB279&gt;'Scoring Settings'!$B$11),AND(ISNUMBER(W279),W279&gt;'Scoring Settings'!$B$12),AND(ISNUMBER(M279),M279&lt;='Scoring Settings'!$B$13)),"High","Medium")))</f>
        <v/>
      </c>
      <c r="AN279" s="14"/>
      <c r="AO279" s="16"/>
      <c r="AP279" s="14"/>
      <c r="AQ279" s="22"/>
    </row>
    <row r="280" spans="1:43">
      <c r="A280" s="14"/>
      <c r="B280" s="14"/>
      <c r="C280" s="14"/>
      <c r="D280" s="14"/>
      <c r="E280" s="14"/>
      <c r="F280" s="14"/>
      <c r="G280" s="14"/>
      <c r="H280" s="14"/>
      <c r="I280" s="15"/>
      <c r="J280" s="16"/>
      <c r="K280" s="17" t="str">
        <f>IF(B280="","",IF(AND(I280="",J280=""),"Unknown",IF(OR(AND(ISNUMBER(I280),I280=0),AND(ISNUMBER(J280),J280&lt;=EDATE('Scoring Settings'!$B$4,-'Scoring Settings'!$B$5))),"Not in use",IF(AND(ISNUMBER(I280),I280&lt;'Scoring Settings'!$B$6),"Low use","Active"))))</f>
        <v/>
      </c>
      <c r="L280" s="14"/>
      <c r="M280" s="14"/>
      <c r="N280" s="14"/>
      <c r="O280" s="14"/>
      <c r="P280" s="14"/>
      <c r="Q280" s="18"/>
      <c r="R280" s="14"/>
      <c r="S280" s="14"/>
      <c r="T280" s="14"/>
      <c r="U280" s="16"/>
      <c r="V280" s="14"/>
      <c r="W280" s="15"/>
      <c r="X280" s="14"/>
      <c r="Y280" s="18"/>
      <c r="Z280" s="14"/>
      <c r="AA280" s="14"/>
      <c r="AB280" s="18"/>
      <c r="AC280" s="14"/>
      <c r="AD280" s="14"/>
      <c r="AE280" s="14"/>
      <c r="AF280" s="19"/>
      <c r="AG280" s="16"/>
      <c r="AH280" s="19"/>
      <c r="AI280" s="19"/>
      <c r="AJ280" s="20" t="str">
        <f t="shared" si="4"/>
        <v/>
      </c>
      <c r="AK280" s="21" t="str">
        <f>IF(B280="","",OR(K280="Not in use",K280="Low use")+AND(N280&lt;&gt;"",N280&lt;&gt;"TBD")+AND(ISNUMBER(U280),U280&lt;=EDATE('Scoring Settings'!$B$4,'Scoring Settings'!$B$8))+AND(ISNUMBER(L280),L280&lt;='Scoring Settings'!$B$7))</f>
        <v/>
      </c>
      <c r="AL280" s="17" t="str">
        <f>IF(B280="","",IF(K280="Not in use","Priority – Not in use",IF(AK280&gt;='Scoring Settings'!$B$9,"Decommission",IF(AK280=1,"Review","Retain"))))</f>
        <v/>
      </c>
      <c r="AM280" s="17" t="str">
        <f>IF(B280="","",IF(Z280="N","Easy",IF(OR(AND(ISNUMBER(AB280),AB280&gt;'Scoring Settings'!$B$11),AND(ISNUMBER(W280),W280&gt;'Scoring Settings'!$B$12),AND(ISNUMBER(M280),M280&lt;='Scoring Settings'!$B$13)),"High","Medium")))</f>
        <v/>
      </c>
      <c r="AN280" s="14"/>
      <c r="AO280" s="16"/>
      <c r="AP280" s="14"/>
      <c r="AQ280" s="22"/>
    </row>
    <row r="281" spans="1:43">
      <c r="A281" s="14"/>
      <c r="B281" s="14"/>
      <c r="C281" s="14"/>
      <c r="D281" s="14"/>
      <c r="E281" s="14"/>
      <c r="F281" s="14"/>
      <c r="G281" s="14"/>
      <c r="H281" s="14"/>
      <c r="I281" s="15"/>
      <c r="J281" s="16"/>
      <c r="K281" s="17" t="str">
        <f>IF(B281="","",IF(AND(I281="",J281=""),"Unknown",IF(OR(AND(ISNUMBER(I281),I281=0),AND(ISNUMBER(J281),J281&lt;=EDATE('Scoring Settings'!$B$4,-'Scoring Settings'!$B$5))),"Not in use",IF(AND(ISNUMBER(I281),I281&lt;'Scoring Settings'!$B$6),"Low use","Active"))))</f>
        <v/>
      </c>
      <c r="L281" s="14"/>
      <c r="M281" s="14"/>
      <c r="N281" s="14"/>
      <c r="O281" s="14"/>
      <c r="P281" s="14"/>
      <c r="Q281" s="18"/>
      <c r="R281" s="14"/>
      <c r="S281" s="14"/>
      <c r="T281" s="14"/>
      <c r="U281" s="16"/>
      <c r="V281" s="14"/>
      <c r="W281" s="15"/>
      <c r="X281" s="14"/>
      <c r="Y281" s="18"/>
      <c r="Z281" s="14"/>
      <c r="AA281" s="14"/>
      <c r="AB281" s="18"/>
      <c r="AC281" s="14"/>
      <c r="AD281" s="14"/>
      <c r="AE281" s="14"/>
      <c r="AF281" s="19"/>
      <c r="AG281" s="16"/>
      <c r="AH281" s="19"/>
      <c r="AI281" s="19"/>
      <c r="AJ281" s="20" t="str">
        <f t="shared" si="4"/>
        <v/>
      </c>
      <c r="AK281" s="21" t="str">
        <f>IF(B281="","",OR(K281="Not in use",K281="Low use")+AND(N281&lt;&gt;"",N281&lt;&gt;"TBD")+AND(ISNUMBER(U281),U281&lt;=EDATE('Scoring Settings'!$B$4,'Scoring Settings'!$B$8))+AND(ISNUMBER(L281),L281&lt;='Scoring Settings'!$B$7))</f>
        <v/>
      </c>
      <c r="AL281" s="17" t="str">
        <f>IF(B281="","",IF(K281="Not in use","Priority – Not in use",IF(AK281&gt;='Scoring Settings'!$B$9,"Decommission",IF(AK281=1,"Review","Retain"))))</f>
        <v/>
      </c>
      <c r="AM281" s="17" t="str">
        <f>IF(B281="","",IF(Z281="N","Easy",IF(OR(AND(ISNUMBER(AB281),AB281&gt;'Scoring Settings'!$B$11),AND(ISNUMBER(W281),W281&gt;'Scoring Settings'!$B$12),AND(ISNUMBER(M281),M281&lt;='Scoring Settings'!$B$13)),"High","Medium")))</f>
        <v/>
      </c>
      <c r="AN281" s="14"/>
      <c r="AO281" s="16"/>
      <c r="AP281" s="14"/>
      <c r="AQ281" s="22"/>
    </row>
    <row r="282" spans="1:43">
      <c r="A282" s="14"/>
      <c r="B282" s="14"/>
      <c r="C282" s="14"/>
      <c r="D282" s="14"/>
      <c r="E282" s="14"/>
      <c r="F282" s="14"/>
      <c r="G282" s="14"/>
      <c r="H282" s="14"/>
      <c r="I282" s="15"/>
      <c r="J282" s="16"/>
      <c r="K282" s="17" t="str">
        <f>IF(B282="","",IF(AND(I282="",J282=""),"Unknown",IF(OR(AND(ISNUMBER(I282),I282=0),AND(ISNUMBER(J282),J282&lt;=EDATE('Scoring Settings'!$B$4,-'Scoring Settings'!$B$5))),"Not in use",IF(AND(ISNUMBER(I282),I282&lt;'Scoring Settings'!$B$6),"Low use","Active"))))</f>
        <v/>
      </c>
      <c r="L282" s="14"/>
      <c r="M282" s="14"/>
      <c r="N282" s="14"/>
      <c r="O282" s="14"/>
      <c r="P282" s="14"/>
      <c r="Q282" s="18"/>
      <c r="R282" s="14"/>
      <c r="S282" s="14"/>
      <c r="T282" s="14"/>
      <c r="U282" s="16"/>
      <c r="V282" s="14"/>
      <c r="W282" s="15"/>
      <c r="X282" s="14"/>
      <c r="Y282" s="18"/>
      <c r="Z282" s="14"/>
      <c r="AA282" s="14"/>
      <c r="AB282" s="18"/>
      <c r="AC282" s="14"/>
      <c r="AD282" s="14"/>
      <c r="AE282" s="14"/>
      <c r="AF282" s="19"/>
      <c r="AG282" s="16"/>
      <c r="AH282" s="19"/>
      <c r="AI282" s="19"/>
      <c r="AJ282" s="20" t="str">
        <f t="shared" si="4"/>
        <v/>
      </c>
      <c r="AK282" s="21" t="str">
        <f>IF(B282="","",OR(K282="Not in use",K282="Low use")+AND(N282&lt;&gt;"",N282&lt;&gt;"TBD")+AND(ISNUMBER(U282),U282&lt;=EDATE('Scoring Settings'!$B$4,'Scoring Settings'!$B$8))+AND(ISNUMBER(L282),L282&lt;='Scoring Settings'!$B$7))</f>
        <v/>
      </c>
      <c r="AL282" s="17" t="str">
        <f>IF(B282="","",IF(K282="Not in use","Priority – Not in use",IF(AK282&gt;='Scoring Settings'!$B$9,"Decommission",IF(AK282=1,"Review","Retain"))))</f>
        <v/>
      </c>
      <c r="AM282" s="17" t="str">
        <f>IF(B282="","",IF(Z282="N","Easy",IF(OR(AND(ISNUMBER(AB282),AB282&gt;'Scoring Settings'!$B$11),AND(ISNUMBER(W282),W282&gt;'Scoring Settings'!$B$12),AND(ISNUMBER(M282),M282&lt;='Scoring Settings'!$B$13)),"High","Medium")))</f>
        <v/>
      </c>
      <c r="AN282" s="14"/>
      <c r="AO282" s="16"/>
      <c r="AP282" s="14"/>
      <c r="AQ282" s="22"/>
    </row>
    <row r="283" spans="1:43">
      <c r="A283" s="14"/>
      <c r="B283" s="14"/>
      <c r="C283" s="14"/>
      <c r="D283" s="14"/>
      <c r="E283" s="14"/>
      <c r="F283" s="14"/>
      <c r="G283" s="14"/>
      <c r="H283" s="14"/>
      <c r="I283" s="15"/>
      <c r="J283" s="16"/>
      <c r="K283" s="17" t="str">
        <f>IF(B283="","",IF(AND(I283="",J283=""),"Unknown",IF(OR(AND(ISNUMBER(I283),I283=0),AND(ISNUMBER(J283),J283&lt;=EDATE('Scoring Settings'!$B$4,-'Scoring Settings'!$B$5))),"Not in use",IF(AND(ISNUMBER(I283),I283&lt;'Scoring Settings'!$B$6),"Low use","Active"))))</f>
        <v/>
      </c>
      <c r="L283" s="14"/>
      <c r="M283" s="14"/>
      <c r="N283" s="14"/>
      <c r="O283" s="14"/>
      <c r="P283" s="14"/>
      <c r="Q283" s="18"/>
      <c r="R283" s="14"/>
      <c r="S283" s="14"/>
      <c r="T283" s="14"/>
      <c r="U283" s="16"/>
      <c r="V283" s="14"/>
      <c r="W283" s="15"/>
      <c r="X283" s="14"/>
      <c r="Y283" s="18"/>
      <c r="Z283" s="14"/>
      <c r="AA283" s="14"/>
      <c r="AB283" s="18"/>
      <c r="AC283" s="14"/>
      <c r="AD283" s="14"/>
      <c r="AE283" s="14"/>
      <c r="AF283" s="19"/>
      <c r="AG283" s="16"/>
      <c r="AH283" s="19"/>
      <c r="AI283" s="19"/>
      <c r="AJ283" s="20" t="str">
        <f t="shared" si="4"/>
        <v/>
      </c>
      <c r="AK283" s="21" t="str">
        <f>IF(B283="","",OR(K283="Not in use",K283="Low use")+AND(N283&lt;&gt;"",N283&lt;&gt;"TBD")+AND(ISNUMBER(U283),U283&lt;=EDATE('Scoring Settings'!$B$4,'Scoring Settings'!$B$8))+AND(ISNUMBER(L283),L283&lt;='Scoring Settings'!$B$7))</f>
        <v/>
      </c>
      <c r="AL283" s="17" t="str">
        <f>IF(B283="","",IF(K283="Not in use","Priority – Not in use",IF(AK283&gt;='Scoring Settings'!$B$9,"Decommission",IF(AK283=1,"Review","Retain"))))</f>
        <v/>
      </c>
      <c r="AM283" s="17" t="str">
        <f>IF(B283="","",IF(Z283="N","Easy",IF(OR(AND(ISNUMBER(AB283),AB283&gt;'Scoring Settings'!$B$11),AND(ISNUMBER(W283),W283&gt;'Scoring Settings'!$B$12),AND(ISNUMBER(M283),M283&lt;='Scoring Settings'!$B$13)),"High","Medium")))</f>
        <v/>
      </c>
      <c r="AN283" s="14"/>
      <c r="AO283" s="16"/>
      <c r="AP283" s="14"/>
      <c r="AQ283" s="22"/>
    </row>
    <row r="284" spans="1:43">
      <c r="A284" s="14"/>
      <c r="B284" s="14"/>
      <c r="C284" s="14"/>
      <c r="D284" s="14"/>
      <c r="E284" s="14"/>
      <c r="F284" s="14"/>
      <c r="G284" s="14"/>
      <c r="H284" s="14"/>
      <c r="I284" s="15"/>
      <c r="J284" s="16"/>
      <c r="K284" s="17" t="str">
        <f>IF(B284="","",IF(AND(I284="",J284=""),"Unknown",IF(OR(AND(ISNUMBER(I284),I284=0),AND(ISNUMBER(J284),J284&lt;=EDATE('Scoring Settings'!$B$4,-'Scoring Settings'!$B$5))),"Not in use",IF(AND(ISNUMBER(I284),I284&lt;'Scoring Settings'!$B$6),"Low use","Active"))))</f>
        <v/>
      </c>
      <c r="L284" s="14"/>
      <c r="M284" s="14"/>
      <c r="N284" s="14"/>
      <c r="O284" s="14"/>
      <c r="P284" s="14"/>
      <c r="Q284" s="18"/>
      <c r="R284" s="14"/>
      <c r="S284" s="14"/>
      <c r="T284" s="14"/>
      <c r="U284" s="16"/>
      <c r="V284" s="14"/>
      <c r="W284" s="15"/>
      <c r="X284" s="14"/>
      <c r="Y284" s="18"/>
      <c r="Z284" s="14"/>
      <c r="AA284" s="14"/>
      <c r="AB284" s="18"/>
      <c r="AC284" s="14"/>
      <c r="AD284" s="14"/>
      <c r="AE284" s="14"/>
      <c r="AF284" s="19"/>
      <c r="AG284" s="16"/>
      <c r="AH284" s="19"/>
      <c r="AI284" s="19"/>
      <c r="AJ284" s="20" t="str">
        <f t="shared" si="4"/>
        <v/>
      </c>
      <c r="AK284" s="21" t="str">
        <f>IF(B284="","",OR(K284="Not in use",K284="Low use")+AND(N284&lt;&gt;"",N284&lt;&gt;"TBD")+AND(ISNUMBER(U284),U284&lt;=EDATE('Scoring Settings'!$B$4,'Scoring Settings'!$B$8))+AND(ISNUMBER(L284),L284&lt;='Scoring Settings'!$B$7))</f>
        <v/>
      </c>
      <c r="AL284" s="17" t="str">
        <f>IF(B284="","",IF(K284="Not in use","Priority – Not in use",IF(AK284&gt;='Scoring Settings'!$B$9,"Decommission",IF(AK284=1,"Review","Retain"))))</f>
        <v/>
      </c>
      <c r="AM284" s="17" t="str">
        <f>IF(B284="","",IF(Z284="N","Easy",IF(OR(AND(ISNUMBER(AB284),AB284&gt;'Scoring Settings'!$B$11),AND(ISNUMBER(W284),W284&gt;'Scoring Settings'!$B$12),AND(ISNUMBER(M284),M284&lt;='Scoring Settings'!$B$13)),"High","Medium")))</f>
        <v/>
      </c>
      <c r="AN284" s="14"/>
      <c r="AO284" s="16"/>
      <c r="AP284" s="14"/>
      <c r="AQ284" s="22"/>
    </row>
    <row r="285" spans="1:43">
      <c r="A285" s="14"/>
      <c r="B285" s="14"/>
      <c r="C285" s="14"/>
      <c r="D285" s="14"/>
      <c r="E285" s="14"/>
      <c r="F285" s="14"/>
      <c r="G285" s="14"/>
      <c r="H285" s="14"/>
      <c r="I285" s="15"/>
      <c r="J285" s="16"/>
      <c r="K285" s="17" t="str">
        <f>IF(B285="","",IF(AND(I285="",J285=""),"Unknown",IF(OR(AND(ISNUMBER(I285),I285=0),AND(ISNUMBER(J285),J285&lt;=EDATE('Scoring Settings'!$B$4,-'Scoring Settings'!$B$5))),"Not in use",IF(AND(ISNUMBER(I285),I285&lt;'Scoring Settings'!$B$6),"Low use","Active"))))</f>
        <v/>
      </c>
      <c r="L285" s="14"/>
      <c r="M285" s="14"/>
      <c r="N285" s="14"/>
      <c r="O285" s="14"/>
      <c r="P285" s="14"/>
      <c r="Q285" s="18"/>
      <c r="R285" s="14"/>
      <c r="S285" s="14"/>
      <c r="T285" s="14"/>
      <c r="U285" s="16"/>
      <c r="V285" s="14"/>
      <c r="W285" s="15"/>
      <c r="X285" s="14"/>
      <c r="Y285" s="18"/>
      <c r="Z285" s="14"/>
      <c r="AA285" s="14"/>
      <c r="AB285" s="18"/>
      <c r="AC285" s="14"/>
      <c r="AD285" s="14"/>
      <c r="AE285" s="14"/>
      <c r="AF285" s="19"/>
      <c r="AG285" s="16"/>
      <c r="AH285" s="19"/>
      <c r="AI285" s="19"/>
      <c r="AJ285" s="20" t="str">
        <f t="shared" si="4"/>
        <v/>
      </c>
      <c r="AK285" s="21" t="str">
        <f>IF(B285="","",OR(K285="Not in use",K285="Low use")+AND(N285&lt;&gt;"",N285&lt;&gt;"TBD")+AND(ISNUMBER(U285),U285&lt;=EDATE('Scoring Settings'!$B$4,'Scoring Settings'!$B$8))+AND(ISNUMBER(L285),L285&lt;='Scoring Settings'!$B$7))</f>
        <v/>
      </c>
      <c r="AL285" s="17" t="str">
        <f>IF(B285="","",IF(K285="Not in use","Priority – Not in use",IF(AK285&gt;='Scoring Settings'!$B$9,"Decommission",IF(AK285=1,"Review","Retain"))))</f>
        <v/>
      </c>
      <c r="AM285" s="17" t="str">
        <f>IF(B285="","",IF(Z285="N","Easy",IF(OR(AND(ISNUMBER(AB285),AB285&gt;'Scoring Settings'!$B$11),AND(ISNUMBER(W285),W285&gt;'Scoring Settings'!$B$12),AND(ISNUMBER(M285),M285&lt;='Scoring Settings'!$B$13)),"High","Medium")))</f>
        <v/>
      </c>
      <c r="AN285" s="14"/>
      <c r="AO285" s="16"/>
      <c r="AP285" s="14"/>
      <c r="AQ285" s="22"/>
    </row>
    <row r="286" spans="1:43">
      <c r="A286" s="14"/>
      <c r="B286" s="14"/>
      <c r="C286" s="14"/>
      <c r="D286" s="14"/>
      <c r="E286" s="14"/>
      <c r="F286" s="14"/>
      <c r="G286" s="14"/>
      <c r="H286" s="14"/>
      <c r="I286" s="15"/>
      <c r="J286" s="16"/>
      <c r="K286" s="17" t="str">
        <f>IF(B286="","",IF(AND(I286="",J286=""),"Unknown",IF(OR(AND(ISNUMBER(I286),I286=0),AND(ISNUMBER(J286),J286&lt;=EDATE('Scoring Settings'!$B$4,-'Scoring Settings'!$B$5))),"Not in use",IF(AND(ISNUMBER(I286),I286&lt;'Scoring Settings'!$B$6),"Low use","Active"))))</f>
        <v/>
      </c>
      <c r="L286" s="14"/>
      <c r="M286" s="14"/>
      <c r="N286" s="14"/>
      <c r="O286" s="14"/>
      <c r="P286" s="14"/>
      <c r="Q286" s="18"/>
      <c r="R286" s="14"/>
      <c r="S286" s="14"/>
      <c r="T286" s="14"/>
      <c r="U286" s="16"/>
      <c r="V286" s="14"/>
      <c r="W286" s="15"/>
      <c r="X286" s="14"/>
      <c r="Y286" s="18"/>
      <c r="Z286" s="14"/>
      <c r="AA286" s="14"/>
      <c r="AB286" s="18"/>
      <c r="AC286" s="14"/>
      <c r="AD286" s="14"/>
      <c r="AE286" s="14"/>
      <c r="AF286" s="19"/>
      <c r="AG286" s="16"/>
      <c r="AH286" s="19"/>
      <c r="AI286" s="19"/>
      <c r="AJ286" s="20" t="str">
        <f t="shared" si="4"/>
        <v/>
      </c>
      <c r="AK286" s="21" t="str">
        <f>IF(B286="","",OR(K286="Not in use",K286="Low use")+AND(N286&lt;&gt;"",N286&lt;&gt;"TBD")+AND(ISNUMBER(U286),U286&lt;=EDATE('Scoring Settings'!$B$4,'Scoring Settings'!$B$8))+AND(ISNUMBER(L286),L286&lt;='Scoring Settings'!$B$7))</f>
        <v/>
      </c>
      <c r="AL286" s="17" t="str">
        <f>IF(B286="","",IF(K286="Not in use","Priority – Not in use",IF(AK286&gt;='Scoring Settings'!$B$9,"Decommission",IF(AK286=1,"Review","Retain"))))</f>
        <v/>
      </c>
      <c r="AM286" s="17" t="str">
        <f>IF(B286="","",IF(Z286="N","Easy",IF(OR(AND(ISNUMBER(AB286),AB286&gt;'Scoring Settings'!$B$11),AND(ISNUMBER(W286),W286&gt;'Scoring Settings'!$B$12),AND(ISNUMBER(M286),M286&lt;='Scoring Settings'!$B$13)),"High","Medium")))</f>
        <v/>
      </c>
      <c r="AN286" s="14"/>
      <c r="AO286" s="16"/>
      <c r="AP286" s="14"/>
      <c r="AQ286" s="22"/>
    </row>
    <row r="287" spans="1:43">
      <c r="A287" s="14"/>
      <c r="B287" s="14"/>
      <c r="C287" s="14"/>
      <c r="D287" s="14"/>
      <c r="E287" s="14"/>
      <c r="F287" s="14"/>
      <c r="G287" s="14"/>
      <c r="H287" s="14"/>
      <c r="I287" s="15"/>
      <c r="J287" s="16"/>
      <c r="K287" s="17" t="str">
        <f>IF(B287="","",IF(AND(I287="",J287=""),"Unknown",IF(OR(AND(ISNUMBER(I287),I287=0),AND(ISNUMBER(J287),J287&lt;=EDATE('Scoring Settings'!$B$4,-'Scoring Settings'!$B$5))),"Not in use",IF(AND(ISNUMBER(I287),I287&lt;'Scoring Settings'!$B$6),"Low use","Active"))))</f>
        <v/>
      </c>
      <c r="L287" s="14"/>
      <c r="M287" s="14"/>
      <c r="N287" s="14"/>
      <c r="O287" s="14"/>
      <c r="P287" s="14"/>
      <c r="Q287" s="18"/>
      <c r="R287" s="14"/>
      <c r="S287" s="14"/>
      <c r="T287" s="14"/>
      <c r="U287" s="16"/>
      <c r="V287" s="14"/>
      <c r="W287" s="15"/>
      <c r="X287" s="14"/>
      <c r="Y287" s="18"/>
      <c r="Z287" s="14"/>
      <c r="AA287" s="14"/>
      <c r="AB287" s="18"/>
      <c r="AC287" s="14"/>
      <c r="AD287" s="14"/>
      <c r="AE287" s="14"/>
      <c r="AF287" s="19"/>
      <c r="AG287" s="16"/>
      <c r="AH287" s="19"/>
      <c r="AI287" s="19"/>
      <c r="AJ287" s="20" t="str">
        <f t="shared" si="4"/>
        <v/>
      </c>
      <c r="AK287" s="21" t="str">
        <f>IF(B287="","",OR(K287="Not in use",K287="Low use")+AND(N287&lt;&gt;"",N287&lt;&gt;"TBD")+AND(ISNUMBER(U287),U287&lt;=EDATE('Scoring Settings'!$B$4,'Scoring Settings'!$B$8))+AND(ISNUMBER(L287),L287&lt;='Scoring Settings'!$B$7))</f>
        <v/>
      </c>
      <c r="AL287" s="17" t="str">
        <f>IF(B287="","",IF(K287="Not in use","Priority – Not in use",IF(AK287&gt;='Scoring Settings'!$B$9,"Decommission",IF(AK287=1,"Review","Retain"))))</f>
        <v/>
      </c>
      <c r="AM287" s="17" t="str">
        <f>IF(B287="","",IF(Z287="N","Easy",IF(OR(AND(ISNUMBER(AB287),AB287&gt;'Scoring Settings'!$B$11),AND(ISNUMBER(W287),W287&gt;'Scoring Settings'!$B$12),AND(ISNUMBER(M287),M287&lt;='Scoring Settings'!$B$13)),"High","Medium")))</f>
        <v/>
      </c>
      <c r="AN287" s="14"/>
      <c r="AO287" s="16"/>
      <c r="AP287" s="14"/>
      <c r="AQ287" s="22"/>
    </row>
    <row r="288" spans="1:43">
      <c r="A288" s="14"/>
      <c r="B288" s="14"/>
      <c r="C288" s="14"/>
      <c r="D288" s="14"/>
      <c r="E288" s="14"/>
      <c r="F288" s="14"/>
      <c r="G288" s="14"/>
      <c r="H288" s="14"/>
      <c r="I288" s="15"/>
      <c r="J288" s="16"/>
      <c r="K288" s="17" t="str">
        <f>IF(B288="","",IF(AND(I288="",J288=""),"Unknown",IF(OR(AND(ISNUMBER(I288),I288=0),AND(ISNUMBER(J288),J288&lt;=EDATE('Scoring Settings'!$B$4,-'Scoring Settings'!$B$5))),"Not in use",IF(AND(ISNUMBER(I288),I288&lt;'Scoring Settings'!$B$6),"Low use","Active"))))</f>
        <v/>
      </c>
      <c r="L288" s="14"/>
      <c r="M288" s="14"/>
      <c r="N288" s="14"/>
      <c r="O288" s="14"/>
      <c r="P288" s="14"/>
      <c r="Q288" s="18"/>
      <c r="R288" s="14"/>
      <c r="S288" s="14"/>
      <c r="T288" s="14"/>
      <c r="U288" s="16"/>
      <c r="V288" s="14"/>
      <c r="W288" s="15"/>
      <c r="X288" s="14"/>
      <c r="Y288" s="18"/>
      <c r="Z288" s="14"/>
      <c r="AA288" s="14"/>
      <c r="AB288" s="18"/>
      <c r="AC288" s="14"/>
      <c r="AD288" s="14"/>
      <c r="AE288" s="14"/>
      <c r="AF288" s="19"/>
      <c r="AG288" s="16"/>
      <c r="AH288" s="19"/>
      <c r="AI288" s="19"/>
      <c r="AJ288" s="20" t="str">
        <f t="shared" si="4"/>
        <v/>
      </c>
      <c r="AK288" s="21" t="str">
        <f>IF(B288="","",OR(K288="Not in use",K288="Low use")+AND(N288&lt;&gt;"",N288&lt;&gt;"TBD")+AND(ISNUMBER(U288),U288&lt;=EDATE('Scoring Settings'!$B$4,'Scoring Settings'!$B$8))+AND(ISNUMBER(L288),L288&lt;='Scoring Settings'!$B$7))</f>
        <v/>
      </c>
      <c r="AL288" s="17" t="str">
        <f>IF(B288="","",IF(K288="Not in use","Priority – Not in use",IF(AK288&gt;='Scoring Settings'!$B$9,"Decommission",IF(AK288=1,"Review","Retain"))))</f>
        <v/>
      </c>
      <c r="AM288" s="17" t="str">
        <f>IF(B288="","",IF(Z288="N","Easy",IF(OR(AND(ISNUMBER(AB288),AB288&gt;'Scoring Settings'!$B$11),AND(ISNUMBER(W288),W288&gt;'Scoring Settings'!$B$12),AND(ISNUMBER(M288),M288&lt;='Scoring Settings'!$B$13)),"High","Medium")))</f>
        <v/>
      </c>
      <c r="AN288" s="14"/>
      <c r="AO288" s="16"/>
      <c r="AP288" s="14"/>
      <c r="AQ288" s="22"/>
    </row>
    <row r="289" spans="1:43">
      <c r="A289" s="14"/>
      <c r="B289" s="14"/>
      <c r="C289" s="14"/>
      <c r="D289" s="14"/>
      <c r="E289" s="14"/>
      <c r="F289" s="14"/>
      <c r="G289" s="14"/>
      <c r="H289" s="14"/>
      <c r="I289" s="15"/>
      <c r="J289" s="16"/>
      <c r="K289" s="17" t="str">
        <f>IF(B289="","",IF(AND(I289="",J289=""),"Unknown",IF(OR(AND(ISNUMBER(I289),I289=0),AND(ISNUMBER(J289),J289&lt;=EDATE('Scoring Settings'!$B$4,-'Scoring Settings'!$B$5))),"Not in use",IF(AND(ISNUMBER(I289),I289&lt;'Scoring Settings'!$B$6),"Low use","Active"))))</f>
        <v/>
      </c>
      <c r="L289" s="14"/>
      <c r="M289" s="14"/>
      <c r="N289" s="14"/>
      <c r="O289" s="14"/>
      <c r="P289" s="14"/>
      <c r="Q289" s="18"/>
      <c r="R289" s="14"/>
      <c r="S289" s="14"/>
      <c r="T289" s="14"/>
      <c r="U289" s="16"/>
      <c r="V289" s="14"/>
      <c r="W289" s="15"/>
      <c r="X289" s="14"/>
      <c r="Y289" s="18"/>
      <c r="Z289" s="14"/>
      <c r="AA289" s="14"/>
      <c r="AB289" s="18"/>
      <c r="AC289" s="14"/>
      <c r="AD289" s="14"/>
      <c r="AE289" s="14"/>
      <c r="AF289" s="19"/>
      <c r="AG289" s="16"/>
      <c r="AH289" s="19"/>
      <c r="AI289" s="19"/>
      <c r="AJ289" s="20" t="str">
        <f t="shared" si="4"/>
        <v/>
      </c>
      <c r="AK289" s="21" t="str">
        <f>IF(B289="","",OR(K289="Not in use",K289="Low use")+AND(N289&lt;&gt;"",N289&lt;&gt;"TBD")+AND(ISNUMBER(U289),U289&lt;=EDATE('Scoring Settings'!$B$4,'Scoring Settings'!$B$8))+AND(ISNUMBER(L289),L289&lt;='Scoring Settings'!$B$7))</f>
        <v/>
      </c>
      <c r="AL289" s="17" t="str">
        <f>IF(B289="","",IF(K289="Not in use","Priority – Not in use",IF(AK289&gt;='Scoring Settings'!$B$9,"Decommission",IF(AK289=1,"Review","Retain"))))</f>
        <v/>
      </c>
      <c r="AM289" s="17" t="str">
        <f>IF(B289="","",IF(Z289="N","Easy",IF(OR(AND(ISNUMBER(AB289),AB289&gt;'Scoring Settings'!$B$11),AND(ISNUMBER(W289),W289&gt;'Scoring Settings'!$B$12),AND(ISNUMBER(M289),M289&lt;='Scoring Settings'!$B$13)),"High","Medium")))</f>
        <v/>
      </c>
      <c r="AN289" s="14"/>
      <c r="AO289" s="16"/>
      <c r="AP289" s="14"/>
      <c r="AQ289" s="22"/>
    </row>
    <row r="290" spans="1:43">
      <c r="A290" s="14"/>
      <c r="B290" s="14"/>
      <c r="C290" s="14"/>
      <c r="D290" s="14"/>
      <c r="E290" s="14"/>
      <c r="F290" s="14"/>
      <c r="G290" s="14"/>
      <c r="H290" s="14"/>
      <c r="I290" s="15"/>
      <c r="J290" s="16"/>
      <c r="K290" s="17" t="str">
        <f>IF(B290="","",IF(AND(I290="",J290=""),"Unknown",IF(OR(AND(ISNUMBER(I290),I290=0),AND(ISNUMBER(J290),J290&lt;=EDATE('Scoring Settings'!$B$4,-'Scoring Settings'!$B$5))),"Not in use",IF(AND(ISNUMBER(I290),I290&lt;'Scoring Settings'!$B$6),"Low use","Active"))))</f>
        <v/>
      </c>
      <c r="L290" s="14"/>
      <c r="M290" s="14"/>
      <c r="N290" s="14"/>
      <c r="O290" s="14"/>
      <c r="P290" s="14"/>
      <c r="Q290" s="18"/>
      <c r="R290" s="14"/>
      <c r="S290" s="14"/>
      <c r="T290" s="14"/>
      <c r="U290" s="16"/>
      <c r="V290" s="14"/>
      <c r="W290" s="15"/>
      <c r="X290" s="14"/>
      <c r="Y290" s="18"/>
      <c r="Z290" s="14"/>
      <c r="AA290" s="14"/>
      <c r="AB290" s="18"/>
      <c r="AC290" s="14"/>
      <c r="AD290" s="14"/>
      <c r="AE290" s="14"/>
      <c r="AF290" s="19"/>
      <c r="AG290" s="16"/>
      <c r="AH290" s="19"/>
      <c r="AI290" s="19"/>
      <c r="AJ290" s="20" t="str">
        <f t="shared" si="4"/>
        <v/>
      </c>
      <c r="AK290" s="21" t="str">
        <f>IF(B290="","",OR(K290="Not in use",K290="Low use")+AND(N290&lt;&gt;"",N290&lt;&gt;"TBD")+AND(ISNUMBER(U290),U290&lt;=EDATE('Scoring Settings'!$B$4,'Scoring Settings'!$B$8))+AND(ISNUMBER(L290),L290&lt;='Scoring Settings'!$B$7))</f>
        <v/>
      </c>
      <c r="AL290" s="17" t="str">
        <f>IF(B290="","",IF(K290="Not in use","Priority – Not in use",IF(AK290&gt;='Scoring Settings'!$B$9,"Decommission",IF(AK290=1,"Review","Retain"))))</f>
        <v/>
      </c>
      <c r="AM290" s="17" t="str">
        <f>IF(B290="","",IF(Z290="N","Easy",IF(OR(AND(ISNUMBER(AB290),AB290&gt;'Scoring Settings'!$B$11),AND(ISNUMBER(W290),W290&gt;'Scoring Settings'!$B$12),AND(ISNUMBER(M290),M290&lt;='Scoring Settings'!$B$13)),"High","Medium")))</f>
        <v/>
      </c>
      <c r="AN290" s="14"/>
      <c r="AO290" s="16"/>
      <c r="AP290" s="14"/>
      <c r="AQ290" s="22"/>
    </row>
    <row r="291" spans="1:43">
      <c r="A291" s="14"/>
      <c r="B291" s="14"/>
      <c r="C291" s="14"/>
      <c r="D291" s="14"/>
      <c r="E291" s="14"/>
      <c r="F291" s="14"/>
      <c r="G291" s="14"/>
      <c r="H291" s="14"/>
      <c r="I291" s="15"/>
      <c r="J291" s="16"/>
      <c r="K291" s="17" t="str">
        <f>IF(B291="","",IF(AND(I291="",J291=""),"Unknown",IF(OR(AND(ISNUMBER(I291),I291=0),AND(ISNUMBER(J291),J291&lt;=EDATE('Scoring Settings'!$B$4,-'Scoring Settings'!$B$5))),"Not in use",IF(AND(ISNUMBER(I291),I291&lt;'Scoring Settings'!$B$6),"Low use","Active"))))</f>
        <v/>
      </c>
      <c r="L291" s="14"/>
      <c r="M291" s="14"/>
      <c r="N291" s="14"/>
      <c r="O291" s="14"/>
      <c r="P291" s="14"/>
      <c r="Q291" s="18"/>
      <c r="R291" s="14"/>
      <c r="S291" s="14"/>
      <c r="T291" s="14"/>
      <c r="U291" s="16"/>
      <c r="V291" s="14"/>
      <c r="W291" s="15"/>
      <c r="X291" s="14"/>
      <c r="Y291" s="18"/>
      <c r="Z291" s="14"/>
      <c r="AA291" s="14"/>
      <c r="AB291" s="18"/>
      <c r="AC291" s="14"/>
      <c r="AD291" s="14"/>
      <c r="AE291" s="14"/>
      <c r="AF291" s="19"/>
      <c r="AG291" s="16"/>
      <c r="AH291" s="19"/>
      <c r="AI291" s="19"/>
      <c r="AJ291" s="20" t="str">
        <f t="shared" si="4"/>
        <v/>
      </c>
      <c r="AK291" s="21" t="str">
        <f>IF(B291="","",OR(K291="Not in use",K291="Low use")+AND(N291&lt;&gt;"",N291&lt;&gt;"TBD")+AND(ISNUMBER(U291),U291&lt;=EDATE('Scoring Settings'!$B$4,'Scoring Settings'!$B$8))+AND(ISNUMBER(L291),L291&lt;='Scoring Settings'!$B$7))</f>
        <v/>
      </c>
      <c r="AL291" s="17" t="str">
        <f>IF(B291="","",IF(K291="Not in use","Priority – Not in use",IF(AK291&gt;='Scoring Settings'!$B$9,"Decommission",IF(AK291=1,"Review","Retain"))))</f>
        <v/>
      </c>
      <c r="AM291" s="17" t="str">
        <f>IF(B291="","",IF(Z291="N","Easy",IF(OR(AND(ISNUMBER(AB291),AB291&gt;'Scoring Settings'!$B$11),AND(ISNUMBER(W291),W291&gt;'Scoring Settings'!$B$12),AND(ISNUMBER(M291),M291&lt;='Scoring Settings'!$B$13)),"High","Medium")))</f>
        <v/>
      </c>
      <c r="AN291" s="14"/>
      <c r="AO291" s="16"/>
      <c r="AP291" s="14"/>
      <c r="AQ291" s="22"/>
    </row>
    <row r="292" spans="1:43">
      <c r="A292" s="14"/>
      <c r="B292" s="14"/>
      <c r="C292" s="14"/>
      <c r="D292" s="14"/>
      <c r="E292" s="14"/>
      <c r="F292" s="14"/>
      <c r="G292" s="14"/>
      <c r="H292" s="14"/>
      <c r="I292" s="15"/>
      <c r="J292" s="16"/>
      <c r="K292" s="17" t="str">
        <f>IF(B292="","",IF(AND(I292="",J292=""),"Unknown",IF(OR(AND(ISNUMBER(I292),I292=0),AND(ISNUMBER(J292),J292&lt;=EDATE('Scoring Settings'!$B$4,-'Scoring Settings'!$B$5))),"Not in use",IF(AND(ISNUMBER(I292),I292&lt;'Scoring Settings'!$B$6),"Low use","Active"))))</f>
        <v/>
      </c>
      <c r="L292" s="14"/>
      <c r="M292" s="14"/>
      <c r="N292" s="14"/>
      <c r="O292" s="14"/>
      <c r="P292" s="14"/>
      <c r="Q292" s="18"/>
      <c r="R292" s="14"/>
      <c r="S292" s="14"/>
      <c r="T292" s="14"/>
      <c r="U292" s="16"/>
      <c r="V292" s="14"/>
      <c r="W292" s="15"/>
      <c r="X292" s="14"/>
      <c r="Y292" s="18"/>
      <c r="Z292" s="14"/>
      <c r="AA292" s="14"/>
      <c r="AB292" s="18"/>
      <c r="AC292" s="14"/>
      <c r="AD292" s="14"/>
      <c r="AE292" s="14"/>
      <c r="AF292" s="19"/>
      <c r="AG292" s="16"/>
      <c r="AH292" s="19"/>
      <c r="AI292" s="19"/>
      <c r="AJ292" s="20" t="str">
        <f t="shared" si="4"/>
        <v/>
      </c>
      <c r="AK292" s="21" t="str">
        <f>IF(B292="","",OR(K292="Not in use",K292="Low use")+AND(N292&lt;&gt;"",N292&lt;&gt;"TBD")+AND(ISNUMBER(U292),U292&lt;=EDATE('Scoring Settings'!$B$4,'Scoring Settings'!$B$8))+AND(ISNUMBER(L292),L292&lt;='Scoring Settings'!$B$7))</f>
        <v/>
      </c>
      <c r="AL292" s="17" t="str">
        <f>IF(B292="","",IF(K292="Not in use","Priority – Not in use",IF(AK292&gt;='Scoring Settings'!$B$9,"Decommission",IF(AK292=1,"Review","Retain"))))</f>
        <v/>
      </c>
      <c r="AM292" s="17" t="str">
        <f>IF(B292="","",IF(Z292="N","Easy",IF(OR(AND(ISNUMBER(AB292),AB292&gt;'Scoring Settings'!$B$11),AND(ISNUMBER(W292),W292&gt;'Scoring Settings'!$B$12),AND(ISNUMBER(M292),M292&lt;='Scoring Settings'!$B$13)),"High","Medium")))</f>
        <v/>
      </c>
      <c r="AN292" s="14"/>
      <c r="AO292" s="16"/>
      <c r="AP292" s="14"/>
      <c r="AQ292" s="22"/>
    </row>
    <row r="293" spans="1:43">
      <c r="A293" s="14"/>
      <c r="B293" s="14"/>
      <c r="C293" s="14"/>
      <c r="D293" s="14"/>
      <c r="E293" s="14"/>
      <c r="F293" s="14"/>
      <c r="G293" s="14"/>
      <c r="H293" s="14"/>
      <c r="I293" s="15"/>
      <c r="J293" s="16"/>
      <c r="K293" s="17" t="str">
        <f>IF(B293="","",IF(AND(I293="",J293=""),"Unknown",IF(OR(AND(ISNUMBER(I293),I293=0),AND(ISNUMBER(J293),J293&lt;=EDATE('Scoring Settings'!$B$4,-'Scoring Settings'!$B$5))),"Not in use",IF(AND(ISNUMBER(I293),I293&lt;'Scoring Settings'!$B$6),"Low use","Active"))))</f>
        <v/>
      </c>
      <c r="L293" s="14"/>
      <c r="M293" s="14"/>
      <c r="N293" s="14"/>
      <c r="O293" s="14"/>
      <c r="P293" s="14"/>
      <c r="Q293" s="18"/>
      <c r="R293" s="14"/>
      <c r="S293" s="14"/>
      <c r="T293" s="14"/>
      <c r="U293" s="16"/>
      <c r="V293" s="14"/>
      <c r="W293" s="15"/>
      <c r="X293" s="14"/>
      <c r="Y293" s="18"/>
      <c r="Z293" s="14"/>
      <c r="AA293" s="14"/>
      <c r="AB293" s="18"/>
      <c r="AC293" s="14"/>
      <c r="AD293" s="14"/>
      <c r="AE293" s="14"/>
      <c r="AF293" s="19"/>
      <c r="AG293" s="16"/>
      <c r="AH293" s="19"/>
      <c r="AI293" s="19"/>
      <c r="AJ293" s="20" t="str">
        <f t="shared" si="4"/>
        <v/>
      </c>
      <c r="AK293" s="21" t="str">
        <f>IF(B293="","",OR(K293="Not in use",K293="Low use")+AND(N293&lt;&gt;"",N293&lt;&gt;"TBD")+AND(ISNUMBER(U293),U293&lt;=EDATE('Scoring Settings'!$B$4,'Scoring Settings'!$B$8))+AND(ISNUMBER(L293),L293&lt;='Scoring Settings'!$B$7))</f>
        <v/>
      </c>
      <c r="AL293" s="17" t="str">
        <f>IF(B293="","",IF(K293="Not in use","Priority – Not in use",IF(AK293&gt;='Scoring Settings'!$B$9,"Decommission",IF(AK293=1,"Review","Retain"))))</f>
        <v/>
      </c>
      <c r="AM293" s="17" t="str">
        <f>IF(B293="","",IF(Z293="N","Easy",IF(OR(AND(ISNUMBER(AB293),AB293&gt;'Scoring Settings'!$B$11),AND(ISNUMBER(W293),W293&gt;'Scoring Settings'!$B$12),AND(ISNUMBER(M293),M293&lt;='Scoring Settings'!$B$13)),"High","Medium")))</f>
        <v/>
      </c>
      <c r="AN293" s="14"/>
      <c r="AO293" s="16"/>
      <c r="AP293" s="14"/>
      <c r="AQ293" s="22"/>
    </row>
    <row r="294" spans="1:43">
      <c r="A294" s="14"/>
      <c r="B294" s="14"/>
      <c r="C294" s="14"/>
      <c r="D294" s="14"/>
      <c r="E294" s="14"/>
      <c r="F294" s="14"/>
      <c r="G294" s="14"/>
      <c r="H294" s="14"/>
      <c r="I294" s="15"/>
      <c r="J294" s="16"/>
      <c r="K294" s="17" t="str">
        <f>IF(B294="","",IF(AND(I294="",J294=""),"Unknown",IF(OR(AND(ISNUMBER(I294),I294=0),AND(ISNUMBER(J294),J294&lt;=EDATE('Scoring Settings'!$B$4,-'Scoring Settings'!$B$5))),"Not in use",IF(AND(ISNUMBER(I294),I294&lt;'Scoring Settings'!$B$6),"Low use","Active"))))</f>
        <v/>
      </c>
      <c r="L294" s="14"/>
      <c r="M294" s="14"/>
      <c r="N294" s="14"/>
      <c r="O294" s="14"/>
      <c r="P294" s="14"/>
      <c r="Q294" s="18"/>
      <c r="R294" s="14"/>
      <c r="S294" s="14"/>
      <c r="T294" s="14"/>
      <c r="U294" s="16"/>
      <c r="V294" s="14"/>
      <c r="W294" s="15"/>
      <c r="X294" s="14"/>
      <c r="Y294" s="18"/>
      <c r="Z294" s="14"/>
      <c r="AA294" s="14"/>
      <c r="AB294" s="18"/>
      <c r="AC294" s="14"/>
      <c r="AD294" s="14"/>
      <c r="AE294" s="14"/>
      <c r="AF294" s="19"/>
      <c r="AG294" s="16"/>
      <c r="AH294" s="19"/>
      <c r="AI294" s="19"/>
      <c r="AJ294" s="20" t="str">
        <f t="shared" si="4"/>
        <v/>
      </c>
      <c r="AK294" s="21" t="str">
        <f>IF(B294="","",OR(K294="Not in use",K294="Low use")+AND(N294&lt;&gt;"",N294&lt;&gt;"TBD")+AND(ISNUMBER(U294),U294&lt;=EDATE('Scoring Settings'!$B$4,'Scoring Settings'!$B$8))+AND(ISNUMBER(L294),L294&lt;='Scoring Settings'!$B$7))</f>
        <v/>
      </c>
      <c r="AL294" s="17" t="str">
        <f>IF(B294="","",IF(K294="Not in use","Priority – Not in use",IF(AK294&gt;='Scoring Settings'!$B$9,"Decommission",IF(AK294=1,"Review","Retain"))))</f>
        <v/>
      </c>
      <c r="AM294" s="17" t="str">
        <f>IF(B294="","",IF(Z294="N","Easy",IF(OR(AND(ISNUMBER(AB294),AB294&gt;'Scoring Settings'!$B$11),AND(ISNUMBER(W294),W294&gt;'Scoring Settings'!$B$12),AND(ISNUMBER(M294),M294&lt;='Scoring Settings'!$B$13)),"High","Medium")))</f>
        <v/>
      </c>
      <c r="AN294" s="14"/>
      <c r="AO294" s="16"/>
      <c r="AP294" s="14"/>
      <c r="AQ294" s="22"/>
    </row>
    <row r="295" spans="1:43">
      <c r="A295" s="14"/>
      <c r="B295" s="14"/>
      <c r="C295" s="14"/>
      <c r="D295" s="14"/>
      <c r="E295" s="14"/>
      <c r="F295" s="14"/>
      <c r="G295" s="14"/>
      <c r="H295" s="14"/>
      <c r="I295" s="15"/>
      <c r="J295" s="16"/>
      <c r="K295" s="17" t="str">
        <f>IF(B295="","",IF(AND(I295="",J295=""),"Unknown",IF(OR(AND(ISNUMBER(I295),I295=0),AND(ISNUMBER(J295),J295&lt;=EDATE('Scoring Settings'!$B$4,-'Scoring Settings'!$B$5))),"Not in use",IF(AND(ISNUMBER(I295),I295&lt;'Scoring Settings'!$B$6),"Low use","Active"))))</f>
        <v/>
      </c>
      <c r="L295" s="14"/>
      <c r="M295" s="14"/>
      <c r="N295" s="14"/>
      <c r="O295" s="14"/>
      <c r="P295" s="14"/>
      <c r="Q295" s="18"/>
      <c r="R295" s="14"/>
      <c r="S295" s="14"/>
      <c r="T295" s="14"/>
      <c r="U295" s="16"/>
      <c r="V295" s="14"/>
      <c r="W295" s="15"/>
      <c r="X295" s="14"/>
      <c r="Y295" s="18"/>
      <c r="Z295" s="14"/>
      <c r="AA295" s="14"/>
      <c r="AB295" s="18"/>
      <c r="AC295" s="14"/>
      <c r="AD295" s="14"/>
      <c r="AE295" s="14"/>
      <c r="AF295" s="19"/>
      <c r="AG295" s="16"/>
      <c r="AH295" s="19"/>
      <c r="AI295" s="19"/>
      <c r="AJ295" s="20" t="str">
        <f t="shared" si="4"/>
        <v/>
      </c>
      <c r="AK295" s="21" t="str">
        <f>IF(B295="","",OR(K295="Not in use",K295="Low use")+AND(N295&lt;&gt;"",N295&lt;&gt;"TBD")+AND(ISNUMBER(U295),U295&lt;=EDATE('Scoring Settings'!$B$4,'Scoring Settings'!$B$8))+AND(ISNUMBER(L295),L295&lt;='Scoring Settings'!$B$7))</f>
        <v/>
      </c>
      <c r="AL295" s="17" t="str">
        <f>IF(B295="","",IF(K295="Not in use","Priority – Not in use",IF(AK295&gt;='Scoring Settings'!$B$9,"Decommission",IF(AK295=1,"Review","Retain"))))</f>
        <v/>
      </c>
      <c r="AM295" s="17" t="str">
        <f>IF(B295="","",IF(Z295="N","Easy",IF(OR(AND(ISNUMBER(AB295),AB295&gt;'Scoring Settings'!$B$11),AND(ISNUMBER(W295),W295&gt;'Scoring Settings'!$B$12),AND(ISNUMBER(M295),M295&lt;='Scoring Settings'!$B$13)),"High","Medium")))</f>
        <v/>
      </c>
      <c r="AN295" s="14"/>
      <c r="AO295" s="16"/>
      <c r="AP295" s="14"/>
      <c r="AQ295" s="22"/>
    </row>
    <row r="296" spans="1:43">
      <c r="A296" s="14"/>
      <c r="B296" s="14"/>
      <c r="C296" s="14"/>
      <c r="D296" s="14"/>
      <c r="E296" s="14"/>
      <c r="F296" s="14"/>
      <c r="G296" s="14"/>
      <c r="H296" s="14"/>
      <c r="I296" s="15"/>
      <c r="J296" s="16"/>
      <c r="K296" s="17" t="str">
        <f>IF(B296="","",IF(AND(I296="",J296=""),"Unknown",IF(OR(AND(ISNUMBER(I296),I296=0),AND(ISNUMBER(J296),J296&lt;=EDATE('Scoring Settings'!$B$4,-'Scoring Settings'!$B$5))),"Not in use",IF(AND(ISNUMBER(I296),I296&lt;'Scoring Settings'!$B$6),"Low use","Active"))))</f>
        <v/>
      </c>
      <c r="L296" s="14"/>
      <c r="M296" s="14"/>
      <c r="N296" s="14"/>
      <c r="O296" s="14"/>
      <c r="P296" s="14"/>
      <c r="Q296" s="18"/>
      <c r="R296" s="14"/>
      <c r="S296" s="14"/>
      <c r="T296" s="14"/>
      <c r="U296" s="16"/>
      <c r="V296" s="14"/>
      <c r="W296" s="15"/>
      <c r="X296" s="14"/>
      <c r="Y296" s="18"/>
      <c r="Z296" s="14"/>
      <c r="AA296" s="14"/>
      <c r="AB296" s="18"/>
      <c r="AC296" s="14"/>
      <c r="AD296" s="14"/>
      <c r="AE296" s="14"/>
      <c r="AF296" s="19"/>
      <c r="AG296" s="16"/>
      <c r="AH296" s="19"/>
      <c r="AI296" s="19"/>
      <c r="AJ296" s="20" t="str">
        <f t="shared" si="4"/>
        <v/>
      </c>
      <c r="AK296" s="21" t="str">
        <f>IF(B296="","",OR(K296="Not in use",K296="Low use")+AND(N296&lt;&gt;"",N296&lt;&gt;"TBD")+AND(ISNUMBER(U296),U296&lt;=EDATE('Scoring Settings'!$B$4,'Scoring Settings'!$B$8))+AND(ISNUMBER(L296),L296&lt;='Scoring Settings'!$B$7))</f>
        <v/>
      </c>
      <c r="AL296" s="17" t="str">
        <f>IF(B296="","",IF(K296="Not in use","Priority – Not in use",IF(AK296&gt;='Scoring Settings'!$B$9,"Decommission",IF(AK296=1,"Review","Retain"))))</f>
        <v/>
      </c>
      <c r="AM296" s="17" t="str">
        <f>IF(B296="","",IF(Z296="N","Easy",IF(OR(AND(ISNUMBER(AB296),AB296&gt;'Scoring Settings'!$B$11),AND(ISNUMBER(W296),W296&gt;'Scoring Settings'!$B$12),AND(ISNUMBER(M296),M296&lt;='Scoring Settings'!$B$13)),"High","Medium")))</f>
        <v/>
      </c>
      <c r="AN296" s="14"/>
      <c r="AO296" s="16"/>
      <c r="AP296" s="14"/>
      <c r="AQ296" s="22"/>
    </row>
    <row r="297" spans="1:43">
      <c r="A297" s="14"/>
      <c r="B297" s="14"/>
      <c r="C297" s="14"/>
      <c r="D297" s="14"/>
      <c r="E297" s="14"/>
      <c r="F297" s="14"/>
      <c r="G297" s="14"/>
      <c r="H297" s="14"/>
      <c r="I297" s="15"/>
      <c r="J297" s="16"/>
      <c r="K297" s="17" t="str">
        <f>IF(B297="","",IF(AND(I297="",J297=""),"Unknown",IF(OR(AND(ISNUMBER(I297),I297=0),AND(ISNUMBER(J297),J297&lt;=EDATE('Scoring Settings'!$B$4,-'Scoring Settings'!$B$5))),"Not in use",IF(AND(ISNUMBER(I297),I297&lt;'Scoring Settings'!$B$6),"Low use","Active"))))</f>
        <v/>
      </c>
      <c r="L297" s="14"/>
      <c r="M297" s="14"/>
      <c r="N297" s="14"/>
      <c r="O297" s="14"/>
      <c r="P297" s="14"/>
      <c r="Q297" s="18"/>
      <c r="R297" s="14"/>
      <c r="S297" s="14"/>
      <c r="T297" s="14"/>
      <c r="U297" s="16"/>
      <c r="V297" s="14"/>
      <c r="W297" s="15"/>
      <c r="X297" s="14"/>
      <c r="Y297" s="18"/>
      <c r="Z297" s="14"/>
      <c r="AA297" s="14"/>
      <c r="AB297" s="18"/>
      <c r="AC297" s="14"/>
      <c r="AD297" s="14"/>
      <c r="AE297" s="14"/>
      <c r="AF297" s="19"/>
      <c r="AG297" s="16"/>
      <c r="AH297" s="19"/>
      <c r="AI297" s="19"/>
      <c r="AJ297" s="20" t="str">
        <f t="shared" si="4"/>
        <v/>
      </c>
      <c r="AK297" s="21" t="str">
        <f>IF(B297="","",OR(K297="Not in use",K297="Low use")+AND(N297&lt;&gt;"",N297&lt;&gt;"TBD")+AND(ISNUMBER(U297),U297&lt;=EDATE('Scoring Settings'!$B$4,'Scoring Settings'!$B$8))+AND(ISNUMBER(L297),L297&lt;='Scoring Settings'!$B$7))</f>
        <v/>
      </c>
      <c r="AL297" s="17" t="str">
        <f>IF(B297="","",IF(K297="Not in use","Priority – Not in use",IF(AK297&gt;='Scoring Settings'!$B$9,"Decommission",IF(AK297=1,"Review","Retain"))))</f>
        <v/>
      </c>
      <c r="AM297" s="17" t="str">
        <f>IF(B297="","",IF(Z297="N","Easy",IF(OR(AND(ISNUMBER(AB297),AB297&gt;'Scoring Settings'!$B$11),AND(ISNUMBER(W297),W297&gt;'Scoring Settings'!$B$12),AND(ISNUMBER(M297),M297&lt;='Scoring Settings'!$B$13)),"High","Medium")))</f>
        <v/>
      </c>
      <c r="AN297" s="14"/>
      <c r="AO297" s="16"/>
      <c r="AP297" s="14"/>
      <c r="AQ297" s="22"/>
    </row>
    <row r="298" spans="1:43">
      <c r="A298" s="14"/>
      <c r="B298" s="14"/>
      <c r="C298" s="14"/>
      <c r="D298" s="14"/>
      <c r="E298" s="14"/>
      <c r="F298" s="14"/>
      <c r="G298" s="14"/>
      <c r="H298" s="14"/>
      <c r="I298" s="15"/>
      <c r="J298" s="16"/>
      <c r="K298" s="17" t="str">
        <f>IF(B298="","",IF(AND(I298="",J298=""),"Unknown",IF(OR(AND(ISNUMBER(I298),I298=0),AND(ISNUMBER(J298),J298&lt;=EDATE('Scoring Settings'!$B$4,-'Scoring Settings'!$B$5))),"Not in use",IF(AND(ISNUMBER(I298),I298&lt;'Scoring Settings'!$B$6),"Low use","Active"))))</f>
        <v/>
      </c>
      <c r="L298" s="14"/>
      <c r="M298" s="14"/>
      <c r="N298" s="14"/>
      <c r="O298" s="14"/>
      <c r="P298" s="14"/>
      <c r="Q298" s="18"/>
      <c r="R298" s="14"/>
      <c r="S298" s="14"/>
      <c r="T298" s="14"/>
      <c r="U298" s="16"/>
      <c r="V298" s="14"/>
      <c r="W298" s="15"/>
      <c r="X298" s="14"/>
      <c r="Y298" s="18"/>
      <c r="Z298" s="14"/>
      <c r="AA298" s="14"/>
      <c r="AB298" s="18"/>
      <c r="AC298" s="14"/>
      <c r="AD298" s="14"/>
      <c r="AE298" s="14"/>
      <c r="AF298" s="19"/>
      <c r="AG298" s="16"/>
      <c r="AH298" s="19"/>
      <c r="AI298" s="19"/>
      <c r="AJ298" s="20" t="str">
        <f t="shared" si="4"/>
        <v/>
      </c>
      <c r="AK298" s="21" t="str">
        <f>IF(B298="","",OR(K298="Not in use",K298="Low use")+AND(N298&lt;&gt;"",N298&lt;&gt;"TBD")+AND(ISNUMBER(U298),U298&lt;=EDATE('Scoring Settings'!$B$4,'Scoring Settings'!$B$8))+AND(ISNUMBER(L298),L298&lt;='Scoring Settings'!$B$7))</f>
        <v/>
      </c>
      <c r="AL298" s="17" t="str">
        <f>IF(B298="","",IF(K298="Not in use","Priority – Not in use",IF(AK298&gt;='Scoring Settings'!$B$9,"Decommission",IF(AK298=1,"Review","Retain"))))</f>
        <v/>
      </c>
      <c r="AM298" s="17" t="str">
        <f>IF(B298="","",IF(Z298="N","Easy",IF(OR(AND(ISNUMBER(AB298),AB298&gt;'Scoring Settings'!$B$11),AND(ISNUMBER(W298),W298&gt;'Scoring Settings'!$B$12),AND(ISNUMBER(M298),M298&lt;='Scoring Settings'!$B$13)),"High","Medium")))</f>
        <v/>
      </c>
      <c r="AN298" s="14"/>
      <c r="AO298" s="16"/>
      <c r="AP298" s="14"/>
      <c r="AQ298" s="22"/>
    </row>
    <row r="299" spans="1:43">
      <c r="A299" s="14"/>
      <c r="B299" s="14"/>
      <c r="C299" s="14"/>
      <c r="D299" s="14"/>
      <c r="E299" s="14"/>
      <c r="F299" s="14"/>
      <c r="G299" s="14"/>
      <c r="H299" s="14"/>
      <c r="I299" s="15"/>
      <c r="J299" s="16"/>
      <c r="K299" s="17" t="str">
        <f>IF(B299="","",IF(AND(I299="",J299=""),"Unknown",IF(OR(AND(ISNUMBER(I299),I299=0),AND(ISNUMBER(J299),J299&lt;=EDATE('Scoring Settings'!$B$4,-'Scoring Settings'!$B$5))),"Not in use",IF(AND(ISNUMBER(I299),I299&lt;'Scoring Settings'!$B$6),"Low use","Active"))))</f>
        <v/>
      </c>
      <c r="L299" s="14"/>
      <c r="M299" s="14"/>
      <c r="N299" s="14"/>
      <c r="O299" s="14"/>
      <c r="P299" s="14"/>
      <c r="Q299" s="18"/>
      <c r="R299" s="14"/>
      <c r="S299" s="14"/>
      <c r="T299" s="14"/>
      <c r="U299" s="16"/>
      <c r="V299" s="14"/>
      <c r="W299" s="15"/>
      <c r="X299" s="14"/>
      <c r="Y299" s="18"/>
      <c r="Z299" s="14"/>
      <c r="AA299" s="14"/>
      <c r="AB299" s="18"/>
      <c r="AC299" s="14"/>
      <c r="AD299" s="14"/>
      <c r="AE299" s="14"/>
      <c r="AF299" s="19"/>
      <c r="AG299" s="16"/>
      <c r="AH299" s="19"/>
      <c r="AI299" s="19"/>
      <c r="AJ299" s="20" t="str">
        <f t="shared" si="4"/>
        <v/>
      </c>
      <c r="AK299" s="21" t="str">
        <f>IF(B299="","",OR(K299="Not in use",K299="Low use")+AND(N299&lt;&gt;"",N299&lt;&gt;"TBD")+AND(ISNUMBER(U299),U299&lt;=EDATE('Scoring Settings'!$B$4,'Scoring Settings'!$B$8))+AND(ISNUMBER(L299),L299&lt;='Scoring Settings'!$B$7))</f>
        <v/>
      </c>
      <c r="AL299" s="17" t="str">
        <f>IF(B299="","",IF(K299="Not in use","Priority – Not in use",IF(AK299&gt;='Scoring Settings'!$B$9,"Decommission",IF(AK299=1,"Review","Retain"))))</f>
        <v/>
      </c>
      <c r="AM299" s="17" t="str">
        <f>IF(B299="","",IF(Z299="N","Easy",IF(OR(AND(ISNUMBER(AB299),AB299&gt;'Scoring Settings'!$B$11),AND(ISNUMBER(W299),W299&gt;'Scoring Settings'!$B$12),AND(ISNUMBER(M299),M299&lt;='Scoring Settings'!$B$13)),"High","Medium")))</f>
        <v/>
      </c>
      <c r="AN299" s="14"/>
      <c r="AO299" s="16"/>
      <c r="AP299" s="14"/>
      <c r="AQ299" s="22"/>
    </row>
    <row r="300" spans="1:43">
      <c r="A300" s="14"/>
      <c r="B300" s="14"/>
      <c r="C300" s="14"/>
      <c r="D300" s="14"/>
      <c r="E300" s="14"/>
      <c r="F300" s="14"/>
      <c r="G300" s="14"/>
      <c r="H300" s="14"/>
      <c r="I300" s="15"/>
      <c r="J300" s="16"/>
      <c r="K300" s="17" t="str">
        <f>IF(B300="","",IF(AND(I300="",J300=""),"Unknown",IF(OR(AND(ISNUMBER(I300),I300=0),AND(ISNUMBER(J300),J300&lt;=EDATE('Scoring Settings'!$B$4,-'Scoring Settings'!$B$5))),"Not in use",IF(AND(ISNUMBER(I300),I300&lt;'Scoring Settings'!$B$6),"Low use","Active"))))</f>
        <v/>
      </c>
      <c r="L300" s="14"/>
      <c r="M300" s="14"/>
      <c r="N300" s="14"/>
      <c r="O300" s="14"/>
      <c r="P300" s="14"/>
      <c r="Q300" s="18"/>
      <c r="R300" s="14"/>
      <c r="S300" s="14"/>
      <c r="T300" s="14"/>
      <c r="U300" s="16"/>
      <c r="V300" s="14"/>
      <c r="W300" s="15"/>
      <c r="X300" s="14"/>
      <c r="Y300" s="18"/>
      <c r="Z300" s="14"/>
      <c r="AA300" s="14"/>
      <c r="AB300" s="18"/>
      <c r="AC300" s="14"/>
      <c r="AD300" s="14"/>
      <c r="AE300" s="14"/>
      <c r="AF300" s="19"/>
      <c r="AG300" s="16"/>
      <c r="AH300" s="19"/>
      <c r="AI300" s="19"/>
      <c r="AJ300" s="20" t="str">
        <f t="shared" si="4"/>
        <v/>
      </c>
      <c r="AK300" s="21" t="str">
        <f>IF(B300="","",OR(K300="Not in use",K300="Low use")+AND(N300&lt;&gt;"",N300&lt;&gt;"TBD")+AND(ISNUMBER(U300),U300&lt;=EDATE('Scoring Settings'!$B$4,'Scoring Settings'!$B$8))+AND(ISNUMBER(L300),L300&lt;='Scoring Settings'!$B$7))</f>
        <v/>
      </c>
      <c r="AL300" s="17" t="str">
        <f>IF(B300="","",IF(K300="Not in use","Priority – Not in use",IF(AK300&gt;='Scoring Settings'!$B$9,"Decommission",IF(AK300=1,"Review","Retain"))))</f>
        <v/>
      </c>
      <c r="AM300" s="17" t="str">
        <f>IF(B300="","",IF(Z300="N","Easy",IF(OR(AND(ISNUMBER(AB300),AB300&gt;'Scoring Settings'!$B$11),AND(ISNUMBER(W300),W300&gt;'Scoring Settings'!$B$12),AND(ISNUMBER(M300),M300&lt;='Scoring Settings'!$B$13)),"High","Medium")))</f>
        <v/>
      </c>
      <c r="AN300" s="14"/>
      <c r="AO300" s="16"/>
      <c r="AP300" s="14"/>
      <c r="AQ300" s="22"/>
    </row>
    <row r="301" spans="1:43">
      <c r="A301" s="14"/>
      <c r="B301" s="14"/>
      <c r="C301" s="14"/>
      <c r="D301" s="14"/>
      <c r="E301" s="14"/>
      <c r="F301" s="14"/>
      <c r="G301" s="14"/>
      <c r="H301" s="14"/>
      <c r="I301" s="15"/>
      <c r="J301" s="16"/>
      <c r="K301" s="17" t="str">
        <f>IF(B301="","",IF(AND(I301="",J301=""),"Unknown",IF(OR(AND(ISNUMBER(I301),I301=0),AND(ISNUMBER(J301),J301&lt;=EDATE('Scoring Settings'!$B$4,-'Scoring Settings'!$B$5))),"Not in use",IF(AND(ISNUMBER(I301),I301&lt;'Scoring Settings'!$B$6),"Low use","Active"))))</f>
        <v/>
      </c>
      <c r="L301" s="14"/>
      <c r="M301" s="14"/>
      <c r="N301" s="14"/>
      <c r="O301" s="14"/>
      <c r="P301" s="14"/>
      <c r="Q301" s="18"/>
      <c r="R301" s="14"/>
      <c r="S301" s="14"/>
      <c r="T301" s="14"/>
      <c r="U301" s="16"/>
      <c r="V301" s="14"/>
      <c r="W301" s="15"/>
      <c r="X301" s="14"/>
      <c r="Y301" s="18"/>
      <c r="Z301" s="14"/>
      <c r="AA301" s="14"/>
      <c r="AB301" s="18"/>
      <c r="AC301" s="14"/>
      <c r="AD301" s="14"/>
      <c r="AE301" s="14"/>
      <c r="AF301" s="19"/>
      <c r="AG301" s="16"/>
      <c r="AH301" s="19"/>
      <c r="AI301" s="19"/>
      <c r="AJ301" s="20" t="str">
        <f t="shared" si="4"/>
        <v/>
      </c>
      <c r="AK301" s="21" t="str">
        <f>IF(B301="","",OR(K301="Not in use",K301="Low use")+AND(N301&lt;&gt;"",N301&lt;&gt;"TBD")+AND(ISNUMBER(U301),U301&lt;=EDATE('Scoring Settings'!$B$4,'Scoring Settings'!$B$8))+AND(ISNUMBER(L301),L301&lt;='Scoring Settings'!$B$7))</f>
        <v/>
      </c>
      <c r="AL301" s="17" t="str">
        <f>IF(B301="","",IF(K301="Not in use","Priority – Not in use",IF(AK301&gt;='Scoring Settings'!$B$9,"Decommission",IF(AK301=1,"Review","Retain"))))</f>
        <v/>
      </c>
      <c r="AM301" s="17" t="str">
        <f>IF(B301="","",IF(Z301="N","Easy",IF(OR(AND(ISNUMBER(AB301),AB301&gt;'Scoring Settings'!$B$11),AND(ISNUMBER(W301),W301&gt;'Scoring Settings'!$B$12),AND(ISNUMBER(M301),M301&lt;='Scoring Settings'!$B$13)),"High","Medium")))</f>
        <v/>
      </c>
      <c r="AN301" s="14"/>
      <c r="AO301" s="16"/>
      <c r="AP301" s="14"/>
      <c r="AQ301" s="22"/>
    </row>
    <row r="302" spans="1:43">
      <c r="A302" s="14"/>
      <c r="B302" s="14"/>
      <c r="C302" s="14"/>
      <c r="D302" s="14"/>
      <c r="E302" s="14"/>
      <c r="F302" s="14"/>
      <c r="G302" s="14"/>
      <c r="H302" s="14"/>
      <c r="I302" s="15"/>
      <c r="J302" s="16"/>
      <c r="K302" s="17" t="str">
        <f>IF(B302="","",IF(AND(I302="",J302=""),"Unknown",IF(OR(AND(ISNUMBER(I302),I302=0),AND(ISNUMBER(J302),J302&lt;=EDATE('Scoring Settings'!$B$4,-'Scoring Settings'!$B$5))),"Not in use",IF(AND(ISNUMBER(I302),I302&lt;'Scoring Settings'!$B$6),"Low use","Active"))))</f>
        <v/>
      </c>
      <c r="L302" s="14"/>
      <c r="M302" s="14"/>
      <c r="N302" s="14"/>
      <c r="O302" s="14"/>
      <c r="P302" s="14"/>
      <c r="Q302" s="18"/>
      <c r="R302" s="14"/>
      <c r="S302" s="14"/>
      <c r="T302" s="14"/>
      <c r="U302" s="16"/>
      <c r="V302" s="14"/>
      <c r="W302" s="15"/>
      <c r="X302" s="14"/>
      <c r="Y302" s="18"/>
      <c r="Z302" s="14"/>
      <c r="AA302" s="14"/>
      <c r="AB302" s="18"/>
      <c r="AC302" s="14"/>
      <c r="AD302" s="14"/>
      <c r="AE302" s="14"/>
      <c r="AF302" s="19"/>
      <c r="AG302" s="16"/>
      <c r="AH302" s="19"/>
      <c r="AI302" s="19"/>
      <c r="AJ302" s="20" t="str">
        <f t="shared" si="4"/>
        <v/>
      </c>
      <c r="AK302" s="21" t="str">
        <f>IF(B302="","",OR(K302="Not in use",K302="Low use")+AND(N302&lt;&gt;"",N302&lt;&gt;"TBD")+AND(ISNUMBER(U302),U302&lt;=EDATE('Scoring Settings'!$B$4,'Scoring Settings'!$B$8))+AND(ISNUMBER(L302),L302&lt;='Scoring Settings'!$B$7))</f>
        <v/>
      </c>
      <c r="AL302" s="17" t="str">
        <f>IF(B302="","",IF(K302="Not in use","Priority – Not in use",IF(AK302&gt;='Scoring Settings'!$B$9,"Decommission",IF(AK302=1,"Review","Retain"))))</f>
        <v/>
      </c>
      <c r="AM302" s="17" t="str">
        <f>IF(B302="","",IF(Z302="N","Easy",IF(OR(AND(ISNUMBER(AB302),AB302&gt;'Scoring Settings'!$B$11),AND(ISNUMBER(W302),W302&gt;'Scoring Settings'!$B$12),AND(ISNUMBER(M302),M302&lt;='Scoring Settings'!$B$13)),"High","Medium")))</f>
        <v/>
      </c>
      <c r="AN302" s="14"/>
      <c r="AO302" s="16"/>
      <c r="AP302" s="14"/>
      <c r="AQ302" s="22"/>
    </row>
    <row r="303" spans="1:43">
      <c r="A303" s="14"/>
      <c r="B303" s="14"/>
      <c r="C303" s="14"/>
      <c r="D303" s="14"/>
      <c r="E303" s="14"/>
      <c r="F303" s="14"/>
      <c r="G303" s="14"/>
      <c r="H303" s="14"/>
      <c r="I303" s="15"/>
      <c r="J303" s="16"/>
      <c r="K303" s="17" t="str">
        <f>IF(B303="","",IF(AND(I303="",J303=""),"Unknown",IF(OR(AND(ISNUMBER(I303),I303=0),AND(ISNUMBER(J303),J303&lt;=EDATE('Scoring Settings'!$B$4,-'Scoring Settings'!$B$5))),"Not in use",IF(AND(ISNUMBER(I303),I303&lt;'Scoring Settings'!$B$6),"Low use","Active"))))</f>
        <v/>
      </c>
      <c r="L303" s="14"/>
      <c r="M303" s="14"/>
      <c r="N303" s="14"/>
      <c r="O303" s="14"/>
      <c r="P303" s="14"/>
      <c r="Q303" s="18"/>
      <c r="R303" s="14"/>
      <c r="S303" s="14"/>
      <c r="T303" s="14"/>
      <c r="U303" s="16"/>
      <c r="V303" s="14"/>
      <c r="W303" s="15"/>
      <c r="X303" s="14"/>
      <c r="Y303" s="18"/>
      <c r="Z303" s="14"/>
      <c r="AA303" s="14"/>
      <c r="AB303" s="18"/>
      <c r="AC303" s="14"/>
      <c r="AD303" s="14"/>
      <c r="AE303" s="14"/>
      <c r="AF303" s="19"/>
      <c r="AG303" s="16"/>
      <c r="AH303" s="19"/>
      <c r="AI303" s="19"/>
      <c r="AJ303" s="20" t="str">
        <f t="shared" si="4"/>
        <v/>
      </c>
      <c r="AK303" s="21" t="str">
        <f>IF(B303="","",OR(K303="Not in use",K303="Low use")+AND(N303&lt;&gt;"",N303&lt;&gt;"TBD")+AND(ISNUMBER(U303),U303&lt;=EDATE('Scoring Settings'!$B$4,'Scoring Settings'!$B$8))+AND(ISNUMBER(L303),L303&lt;='Scoring Settings'!$B$7))</f>
        <v/>
      </c>
      <c r="AL303" s="17" t="str">
        <f>IF(B303="","",IF(K303="Not in use","Priority – Not in use",IF(AK303&gt;='Scoring Settings'!$B$9,"Decommission",IF(AK303=1,"Review","Retain"))))</f>
        <v/>
      </c>
      <c r="AM303" s="17" t="str">
        <f>IF(B303="","",IF(Z303="N","Easy",IF(OR(AND(ISNUMBER(AB303),AB303&gt;'Scoring Settings'!$B$11),AND(ISNUMBER(W303),W303&gt;'Scoring Settings'!$B$12),AND(ISNUMBER(M303),M303&lt;='Scoring Settings'!$B$13)),"High","Medium")))</f>
        <v/>
      </c>
      <c r="AN303" s="14"/>
      <c r="AO303" s="16"/>
      <c r="AP303" s="14"/>
      <c r="AQ303" s="22"/>
    </row>
    <row r="304" spans="1:43">
      <c r="A304" s="14"/>
      <c r="B304" s="14"/>
      <c r="C304" s="14"/>
      <c r="D304" s="14"/>
      <c r="E304" s="14"/>
      <c r="F304" s="14"/>
      <c r="G304" s="14"/>
      <c r="H304" s="14"/>
      <c r="I304" s="15"/>
      <c r="J304" s="16"/>
      <c r="K304" s="17" t="str">
        <f>IF(B304="","",IF(AND(I304="",J304=""),"Unknown",IF(OR(AND(ISNUMBER(I304),I304=0),AND(ISNUMBER(J304),J304&lt;=EDATE('Scoring Settings'!$B$4,-'Scoring Settings'!$B$5))),"Not in use",IF(AND(ISNUMBER(I304),I304&lt;'Scoring Settings'!$B$6),"Low use","Active"))))</f>
        <v/>
      </c>
      <c r="L304" s="14"/>
      <c r="M304" s="14"/>
      <c r="N304" s="14"/>
      <c r="O304" s="14"/>
      <c r="P304" s="14"/>
      <c r="Q304" s="18"/>
      <c r="R304" s="14"/>
      <c r="S304" s="14"/>
      <c r="T304" s="14"/>
      <c r="U304" s="16"/>
      <c r="V304" s="14"/>
      <c r="W304" s="15"/>
      <c r="X304" s="14"/>
      <c r="Y304" s="18"/>
      <c r="Z304" s="14"/>
      <c r="AA304" s="14"/>
      <c r="AB304" s="18"/>
      <c r="AC304" s="14"/>
      <c r="AD304" s="14"/>
      <c r="AE304" s="14"/>
      <c r="AF304" s="19"/>
      <c r="AG304" s="16"/>
      <c r="AH304" s="19"/>
      <c r="AI304" s="19"/>
      <c r="AJ304" s="20" t="str">
        <f t="shared" si="4"/>
        <v/>
      </c>
      <c r="AK304" s="21" t="str">
        <f>IF(B304="","",OR(K304="Not in use",K304="Low use")+AND(N304&lt;&gt;"",N304&lt;&gt;"TBD")+AND(ISNUMBER(U304),U304&lt;=EDATE('Scoring Settings'!$B$4,'Scoring Settings'!$B$8))+AND(ISNUMBER(L304),L304&lt;='Scoring Settings'!$B$7))</f>
        <v/>
      </c>
      <c r="AL304" s="17" t="str">
        <f>IF(B304="","",IF(K304="Not in use","Priority – Not in use",IF(AK304&gt;='Scoring Settings'!$B$9,"Decommission",IF(AK304=1,"Review","Retain"))))</f>
        <v/>
      </c>
      <c r="AM304" s="17" t="str">
        <f>IF(B304="","",IF(Z304="N","Easy",IF(OR(AND(ISNUMBER(AB304),AB304&gt;'Scoring Settings'!$B$11),AND(ISNUMBER(W304),W304&gt;'Scoring Settings'!$B$12),AND(ISNUMBER(M304),M304&lt;='Scoring Settings'!$B$13)),"High","Medium")))</f>
        <v/>
      </c>
      <c r="AN304" s="14"/>
      <c r="AO304" s="16"/>
      <c r="AP304" s="14"/>
      <c r="AQ304" s="22"/>
    </row>
    <row r="305" spans="1:43">
      <c r="A305" s="14"/>
      <c r="B305" s="14"/>
      <c r="C305" s="14"/>
      <c r="D305" s="14"/>
      <c r="E305" s="14"/>
      <c r="F305" s="14"/>
      <c r="G305" s="14"/>
      <c r="H305" s="14"/>
      <c r="I305" s="15"/>
      <c r="J305" s="16"/>
      <c r="K305" s="17" t="str">
        <f>IF(B305="","",IF(AND(I305="",J305=""),"Unknown",IF(OR(AND(ISNUMBER(I305),I305=0),AND(ISNUMBER(J305),J305&lt;=EDATE('Scoring Settings'!$B$4,-'Scoring Settings'!$B$5))),"Not in use",IF(AND(ISNUMBER(I305),I305&lt;'Scoring Settings'!$B$6),"Low use","Active"))))</f>
        <v/>
      </c>
      <c r="L305" s="14"/>
      <c r="M305" s="14"/>
      <c r="N305" s="14"/>
      <c r="O305" s="14"/>
      <c r="P305" s="14"/>
      <c r="Q305" s="18"/>
      <c r="R305" s="14"/>
      <c r="S305" s="14"/>
      <c r="T305" s="14"/>
      <c r="U305" s="16"/>
      <c r="V305" s="14"/>
      <c r="W305" s="15"/>
      <c r="X305" s="14"/>
      <c r="Y305" s="18"/>
      <c r="Z305" s="14"/>
      <c r="AA305" s="14"/>
      <c r="AB305" s="18"/>
      <c r="AC305" s="14"/>
      <c r="AD305" s="14"/>
      <c r="AE305" s="14"/>
      <c r="AF305" s="19"/>
      <c r="AG305" s="16"/>
      <c r="AH305" s="19"/>
      <c r="AI305" s="19"/>
      <c r="AJ305" s="20" t="str">
        <f t="shared" si="4"/>
        <v/>
      </c>
      <c r="AK305" s="21" t="str">
        <f>IF(B305="","",OR(K305="Not in use",K305="Low use")+AND(N305&lt;&gt;"",N305&lt;&gt;"TBD")+AND(ISNUMBER(U305),U305&lt;=EDATE('Scoring Settings'!$B$4,'Scoring Settings'!$B$8))+AND(ISNUMBER(L305),L305&lt;='Scoring Settings'!$B$7))</f>
        <v/>
      </c>
      <c r="AL305" s="17" t="str">
        <f>IF(B305="","",IF(K305="Not in use","Priority – Not in use",IF(AK305&gt;='Scoring Settings'!$B$9,"Decommission",IF(AK305=1,"Review","Retain"))))</f>
        <v/>
      </c>
      <c r="AM305" s="17" t="str">
        <f>IF(B305="","",IF(Z305="N","Easy",IF(OR(AND(ISNUMBER(AB305),AB305&gt;'Scoring Settings'!$B$11),AND(ISNUMBER(W305),W305&gt;'Scoring Settings'!$B$12),AND(ISNUMBER(M305),M305&lt;='Scoring Settings'!$B$13)),"High","Medium")))</f>
        <v/>
      </c>
      <c r="AN305" s="14"/>
      <c r="AO305" s="16"/>
      <c r="AP305" s="14"/>
      <c r="AQ305" s="22"/>
    </row>
    <row r="306" spans="1:43">
      <c r="A306" s="14"/>
      <c r="B306" s="14"/>
      <c r="C306" s="14"/>
      <c r="D306" s="14"/>
      <c r="E306" s="14"/>
      <c r="F306" s="14"/>
      <c r="G306" s="14"/>
      <c r="H306" s="14"/>
      <c r="I306" s="15"/>
      <c r="J306" s="16"/>
      <c r="K306" s="17" t="str">
        <f>IF(B306="","",IF(AND(I306="",J306=""),"Unknown",IF(OR(AND(ISNUMBER(I306),I306=0),AND(ISNUMBER(J306),J306&lt;=EDATE('Scoring Settings'!$B$4,-'Scoring Settings'!$B$5))),"Not in use",IF(AND(ISNUMBER(I306),I306&lt;'Scoring Settings'!$B$6),"Low use","Active"))))</f>
        <v/>
      </c>
      <c r="L306" s="14"/>
      <c r="M306" s="14"/>
      <c r="N306" s="14"/>
      <c r="O306" s="14"/>
      <c r="P306" s="14"/>
      <c r="Q306" s="18"/>
      <c r="R306" s="14"/>
      <c r="S306" s="14"/>
      <c r="T306" s="14"/>
      <c r="U306" s="16"/>
      <c r="V306" s="14"/>
      <c r="W306" s="15"/>
      <c r="X306" s="14"/>
      <c r="Y306" s="18"/>
      <c r="Z306" s="14"/>
      <c r="AA306" s="14"/>
      <c r="AB306" s="18"/>
      <c r="AC306" s="14"/>
      <c r="AD306" s="14"/>
      <c r="AE306" s="14"/>
      <c r="AF306" s="19"/>
      <c r="AG306" s="16"/>
      <c r="AH306" s="19"/>
      <c r="AI306" s="19"/>
      <c r="AJ306" s="20" t="str">
        <f t="shared" si="4"/>
        <v/>
      </c>
      <c r="AK306" s="21" t="str">
        <f>IF(B306="","",OR(K306="Not in use",K306="Low use")+AND(N306&lt;&gt;"",N306&lt;&gt;"TBD")+AND(ISNUMBER(U306),U306&lt;=EDATE('Scoring Settings'!$B$4,'Scoring Settings'!$B$8))+AND(ISNUMBER(L306),L306&lt;='Scoring Settings'!$B$7))</f>
        <v/>
      </c>
      <c r="AL306" s="17" t="str">
        <f>IF(B306="","",IF(K306="Not in use","Priority – Not in use",IF(AK306&gt;='Scoring Settings'!$B$9,"Decommission",IF(AK306=1,"Review","Retain"))))</f>
        <v/>
      </c>
      <c r="AM306" s="17" t="str">
        <f>IF(B306="","",IF(Z306="N","Easy",IF(OR(AND(ISNUMBER(AB306),AB306&gt;'Scoring Settings'!$B$11),AND(ISNUMBER(W306),W306&gt;'Scoring Settings'!$B$12),AND(ISNUMBER(M306),M306&lt;='Scoring Settings'!$B$13)),"High","Medium")))</f>
        <v/>
      </c>
      <c r="AN306" s="14"/>
      <c r="AO306" s="16"/>
      <c r="AP306" s="14"/>
      <c r="AQ306" s="22"/>
    </row>
    <row r="307" spans="1:43">
      <c r="A307" s="14"/>
      <c r="B307" s="14"/>
      <c r="C307" s="14"/>
      <c r="D307" s="14"/>
      <c r="E307" s="14"/>
      <c r="F307" s="14"/>
      <c r="G307" s="14"/>
      <c r="H307" s="14"/>
      <c r="I307" s="15"/>
      <c r="J307" s="16"/>
      <c r="K307" s="17" t="str">
        <f>IF(B307="","",IF(AND(I307="",J307=""),"Unknown",IF(OR(AND(ISNUMBER(I307),I307=0),AND(ISNUMBER(J307),J307&lt;=EDATE('Scoring Settings'!$B$4,-'Scoring Settings'!$B$5))),"Not in use",IF(AND(ISNUMBER(I307),I307&lt;'Scoring Settings'!$B$6),"Low use","Active"))))</f>
        <v/>
      </c>
      <c r="L307" s="14"/>
      <c r="M307" s="14"/>
      <c r="N307" s="14"/>
      <c r="O307" s="14"/>
      <c r="P307" s="14"/>
      <c r="Q307" s="18"/>
      <c r="R307" s="14"/>
      <c r="S307" s="14"/>
      <c r="T307" s="14"/>
      <c r="U307" s="16"/>
      <c r="V307" s="14"/>
      <c r="W307" s="15"/>
      <c r="X307" s="14"/>
      <c r="Y307" s="18"/>
      <c r="Z307" s="14"/>
      <c r="AA307" s="14"/>
      <c r="AB307" s="18"/>
      <c r="AC307" s="14"/>
      <c r="AD307" s="14"/>
      <c r="AE307" s="14"/>
      <c r="AF307" s="19"/>
      <c r="AG307" s="16"/>
      <c r="AH307" s="19"/>
      <c r="AI307" s="19"/>
      <c r="AJ307" s="20" t="str">
        <f t="shared" si="4"/>
        <v/>
      </c>
      <c r="AK307" s="21" t="str">
        <f>IF(B307="","",OR(K307="Not in use",K307="Low use")+AND(N307&lt;&gt;"",N307&lt;&gt;"TBD")+AND(ISNUMBER(U307),U307&lt;=EDATE('Scoring Settings'!$B$4,'Scoring Settings'!$B$8))+AND(ISNUMBER(L307),L307&lt;='Scoring Settings'!$B$7))</f>
        <v/>
      </c>
      <c r="AL307" s="17" t="str">
        <f>IF(B307="","",IF(K307="Not in use","Priority – Not in use",IF(AK307&gt;='Scoring Settings'!$B$9,"Decommission",IF(AK307=1,"Review","Retain"))))</f>
        <v/>
      </c>
      <c r="AM307" s="17" t="str">
        <f>IF(B307="","",IF(Z307="N","Easy",IF(OR(AND(ISNUMBER(AB307),AB307&gt;'Scoring Settings'!$B$11),AND(ISNUMBER(W307),W307&gt;'Scoring Settings'!$B$12),AND(ISNUMBER(M307),M307&lt;='Scoring Settings'!$B$13)),"High","Medium")))</f>
        <v/>
      </c>
      <c r="AN307" s="14"/>
      <c r="AO307" s="16"/>
      <c r="AP307" s="14"/>
      <c r="AQ307" s="22"/>
    </row>
    <row r="308" spans="1:43">
      <c r="A308" s="14"/>
      <c r="B308" s="14"/>
      <c r="C308" s="14"/>
      <c r="D308" s="14"/>
      <c r="E308" s="14"/>
      <c r="F308" s="14"/>
      <c r="G308" s="14"/>
      <c r="H308" s="14"/>
      <c r="I308" s="15"/>
      <c r="J308" s="16"/>
      <c r="K308" s="17" t="str">
        <f>IF(B308="","",IF(AND(I308="",J308=""),"Unknown",IF(OR(AND(ISNUMBER(I308),I308=0),AND(ISNUMBER(J308),J308&lt;=EDATE('Scoring Settings'!$B$4,-'Scoring Settings'!$B$5))),"Not in use",IF(AND(ISNUMBER(I308),I308&lt;'Scoring Settings'!$B$6),"Low use","Active"))))</f>
        <v/>
      </c>
      <c r="L308" s="14"/>
      <c r="M308" s="14"/>
      <c r="N308" s="14"/>
      <c r="O308" s="14"/>
      <c r="P308" s="14"/>
      <c r="Q308" s="18"/>
      <c r="R308" s="14"/>
      <c r="S308" s="14"/>
      <c r="T308" s="14"/>
      <c r="U308" s="16"/>
      <c r="V308" s="14"/>
      <c r="W308" s="15"/>
      <c r="X308" s="14"/>
      <c r="Y308" s="18"/>
      <c r="Z308" s="14"/>
      <c r="AA308" s="14"/>
      <c r="AB308" s="18"/>
      <c r="AC308" s="14"/>
      <c r="AD308" s="14"/>
      <c r="AE308" s="14"/>
      <c r="AF308" s="19"/>
      <c r="AG308" s="16"/>
      <c r="AH308" s="19"/>
      <c r="AI308" s="19"/>
      <c r="AJ308" s="20" t="str">
        <f t="shared" si="4"/>
        <v/>
      </c>
      <c r="AK308" s="21" t="str">
        <f>IF(B308="","",OR(K308="Not in use",K308="Low use")+AND(N308&lt;&gt;"",N308&lt;&gt;"TBD")+AND(ISNUMBER(U308),U308&lt;=EDATE('Scoring Settings'!$B$4,'Scoring Settings'!$B$8))+AND(ISNUMBER(L308),L308&lt;='Scoring Settings'!$B$7))</f>
        <v/>
      </c>
      <c r="AL308" s="17" t="str">
        <f>IF(B308="","",IF(K308="Not in use","Priority – Not in use",IF(AK308&gt;='Scoring Settings'!$B$9,"Decommission",IF(AK308=1,"Review","Retain"))))</f>
        <v/>
      </c>
      <c r="AM308" s="17" t="str">
        <f>IF(B308="","",IF(Z308="N","Easy",IF(OR(AND(ISNUMBER(AB308),AB308&gt;'Scoring Settings'!$B$11),AND(ISNUMBER(W308),W308&gt;'Scoring Settings'!$B$12),AND(ISNUMBER(M308),M308&lt;='Scoring Settings'!$B$13)),"High","Medium")))</f>
        <v/>
      </c>
      <c r="AN308" s="14"/>
      <c r="AO308" s="16"/>
      <c r="AP308" s="14"/>
      <c r="AQ308" s="22"/>
    </row>
    <row r="309" spans="1:43">
      <c r="A309" s="14"/>
      <c r="B309" s="14"/>
      <c r="C309" s="14"/>
      <c r="D309" s="14"/>
      <c r="E309" s="14"/>
      <c r="F309" s="14"/>
      <c r="G309" s="14"/>
      <c r="H309" s="14"/>
      <c r="I309" s="15"/>
      <c r="J309" s="16"/>
      <c r="K309" s="17" t="str">
        <f>IF(B309="","",IF(AND(I309="",J309=""),"Unknown",IF(OR(AND(ISNUMBER(I309),I309=0),AND(ISNUMBER(J309),J309&lt;=EDATE('Scoring Settings'!$B$4,-'Scoring Settings'!$B$5))),"Not in use",IF(AND(ISNUMBER(I309),I309&lt;'Scoring Settings'!$B$6),"Low use","Active"))))</f>
        <v/>
      </c>
      <c r="L309" s="14"/>
      <c r="M309" s="14"/>
      <c r="N309" s="14"/>
      <c r="O309" s="14"/>
      <c r="P309" s="14"/>
      <c r="Q309" s="18"/>
      <c r="R309" s="14"/>
      <c r="S309" s="14"/>
      <c r="T309" s="14"/>
      <c r="U309" s="16"/>
      <c r="V309" s="14"/>
      <c r="W309" s="15"/>
      <c r="X309" s="14"/>
      <c r="Y309" s="18"/>
      <c r="Z309" s="14"/>
      <c r="AA309" s="14"/>
      <c r="AB309" s="18"/>
      <c r="AC309" s="14"/>
      <c r="AD309" s="14"/>
      <c r="AE309" s="14"/>
      <c r="AF309" s="19"/>
      <c r="AG309" s="16"/>
      <c r="AH309" s="19"/>
      <c r="AI309" s="19"/>
      <c r="AJ309" s="20" t="str">
        <f t="shared" si="4"/>
        <v/>
      </c>
      <c r="AK309" s="21" t="str">
        <f>IF(B309="","",OR(K309="Not in use",K309="Low use")+AND(N309&lt;&gt;"",N309&lt;&gt;"TBD")+AND(ISNUMBER(U309),U309&lt;=EDATE('Scoring Settings'!$B$4,'Scoring Settings'!$B$8))+AND(ISNUMBER(L309),L309&lt;='Scoring Settings'!$B$7))</f>
        <v/>
      </c>
      <c r="AL309" s="17" t="str">
        <f>IF(B309="","",IF(K309="Not in use","Priority – Not in use",IF(AK309&gt;='Scoring Settings'!$B$9,"Decommission",IF(AK309=1,"Review","Retain"))))</f>
        <v/>
      </c>
      <c r="AM309" s="17" t="str">
        <f>IF(B309="","",IF(Z309="N","Easy",IF(OR(AND(ISNUMBER(AB309),AB309&gt;'Scoring Settings'!$B$11),AND(ISNUMBER(W309),W309&gt;'Scoring Settings'!$B$12),AND(ISNUMBER(M309),M309&lt;='Scoring Settings'!$B$13)),"High","Medium")))</f>
        <v/>
      </c>
      <c r="AN309" s="14"/>
      <c r="AO309" s="16"/>
      <c r="AP309" s="14"/>
      <c r="AQ309" s="22"/>
    </row>
    <row r="310" spans="1:43">
      <c r="A310" s="14"/>
      <c r="B310" s="14"/>
      <c r="C310" s="14"/>
      <c r="D310" s="14"/>
      <c r="E310" s="14"/>
      <c r="F310" s="14"/>
      <c r="G310" s="14"/>
      <c r="H310" s="14"/>
      <c r="I310" s="15"/>
      <c r="J310" s="16"/>
      <c r="K310" s="17" t="str">
        <f>IF(B310="","",IF(AND(I310="",J310=""),"Unknown",IF(OR(AND(ISNUMBER(I310),I310=0),AND(ISNUMBER(J310),J310&lt;=EDATE('Scoring Settings'!$B$4,-'Scoring Settings'!$B$5))),"Not in use",IF(AND(ISNUMBER(I310),I310&lt;'Scoring Settings'!$B$6),"Low use","Active"))))</f>
        <v/>
      </c>
      <c r="L310" s="14"/>
      <c r="M310" s="14"/>
      <c r="N310" s="14"/>
      <c r="O310" s="14"/>
      <c r="P310" s="14"/>
      <c r="Q310" s="18"/>
      <c r="R310" s="14"/>
      <c r="S310" s="14"/>
      <c r="T310" s="14"/>
      <c r="U310" s="16"/>
      <c r="V310" s="14"/>
      <c r="W310" s="15"/>
      <c r="X310" s="14"/>
      <c r="Y310" s="18"/>
      <c r="Z310" s="14"/>
      <c r="AA310" s="14"/>
      <c r="AB310" s="18"/>
      <c r="AC310" s="14"/>
      <c r="AD310" s="14"/>
      <c r="AE310" s="14"/>
      <c r="AF310" s="19"/>
      <c r="AG310" s="16"/>
      <c r="AH310" s="19"/>
      <c r="AI310" s="19"/>
      <c r="AJ310" s="20" t="str">
        <f t="shared" si="4"/>
        <v/>
      </c>
      <c r="AK310" s="21" t="str">
        <f>IF(B310="","",OR(K310="Not in use",K310="Low use")+AND(N310&lt;&gt;"",N310&lt;&gt;"TBD")+AND(ISNUMBER(U310),U310&lt;=EDATE('Scoring Settings'!$B$4,'Scoring Settings'!$B$8))+AND(ISNUMBER(L310),L310&lt;='Scoring Settings'!$B$7))</f>
        <v/>
      </c>
      <c r="AL310" s="17" t="str">
        <f>IF(B310="","",IF(K310="Not in use","Priority – Not in use",IF(AK310&gt;='Scoring Settings'!$B$9,"Decommission",IF(AK310=1,"Review","Retain"))))</f>
        <v/>
      </c>
      <c r="AM310" s="17" t="str">
        <f>IF(B310="","",IF(Z310="N","Easy",IF(OR(AND(ISNUMBER(AB310),AB310&gt;'Scoring Settings'!$B$11),AND(ISNUMBER(W310),W310&gt;'Scoring Settings'!$B$12),AND(ISNUMBER(M310),M310&lt;='Scoring Settings'!$B$13)),"High","Medium")))</f>
        <v/>
      </c>
      <c r="AN310" s="14"/>
      <c r="AO310" s="16"/>
      <c r="AP310" s="14"/>
      <c r="AQ310" s="22"/>
    </row>
    <row r="311" spans="1:43">
      <c r="A311" s="14"/>
      <c r="B311" s="14"/>
      <c r="C311" s="14"/>
      <c r="D311" s="14"/>
      <c r="E311" s="14"/>
      <c r="F311" s="14"/>
      <c r="G311" s="14"/>
      <c r="H311" s="14"/>
      <c r="I311" s="15"/>
      <c r="J311" s="16"/>
      <c r="K311" s="17" t="str">
        <f>IF(B311="","",IF(AND(I311="",J311=""),"Unknown",IF(OR(AND(ISNUMBER(I311),I311=0),AND(ISNUMBER(J311),J311&lt;=EDATE('Scoring Settings'!$B$4,-'Scoring Settings'!$B$5))),"Not in use",IF(AND(ISNUMBER(I311),I311&lt;'Scoring Settings'!$B$6),"Low use","Active"))))</f>
        <v/>
      </c>
      <c r="L311" s="14"/>
      <c r="M311" s="14"/>
      <c r="N311" s="14"/>
      <c r="O311" s="14"/>
      <c r="P311" s="14"/>
      <c r="Q311" s="18"/>
      <c r="R311" s="14"/>
      <c r="S311" s="14"/>
      <c r="T311" s="14"/>
      <c r="U311" s="16"/>
      <c r="V311" s="14"/>
      <c r="W311" s="15"/>
      <c r="X311" s="14"/>
      <c r="Y311" s="18"/>
      <c r="Z311" s="14"/>
      <c r="AA311" s="14"/>
      <c r="AB311" s="18"/>
      <c r="AC311" s="14"/>
      <c r="AD311" s="14"/>
      <c r="AE311" s="14"/>
      <c r="AF311" s="19"/>
      <c r="AG311" s="16"/>
      <c r="AH311" s="19"/>
      <c r="AI311" s="19"/>
      <c r="AJ311" s="20" t="str">
        <f t="shared" si="4"/>
        <v/>
      </c>
      <c r="AK311" s="21" t="str">
        <f>IF(B311="","",OR(K311="Not in use",K311="Low use")+AND(N311&lt;&gt;"",N311&lt;&gt;"TBD")+AND(ISNUMBER(U311),U311&lt;=EDATE('Scoring Settings'!$B$4,'Scoring Settings'!$B$8))+AND(ISNUMBER(L311),L311&lt;='Scoring Settings'!$B$7))</f>
        <v/>
      </c>
      <c r="AL311" s="17" t="str">
        <f>IF(B311="","",IF(K311="Not in use","Priority – Not in use",IF(AK311&gt;='Scoring Settings'!$B$9,"Decommission",IF(AK311=1,"Review","Retain"))))</f>
        <v/>
      </c>
      <c r="AM311" s="17" t="str">
        <f>IF(B311="","",IF(Z311="N","Easy",IF(OR(AND(ISNUMBER(AB311),AB311&gt;'Scoring Settings'!$B$11),AND(ISNUMBER(W311),W311&gt;'Scoring Settings'!$B$12),AND(ISNUMBER(M311),M311&lt;='Scoring Settings'!$B$13)),"High","Medium")))</f>
        <v/>
      </c>
      <c r="AN311" s="14"/>
      <c r="AO311" s="16"/>
      <c r="AP311" s="14"/>
      <c r="AQ311" s="22"/>
    </row>
    <row r="312" spans="1:43">
      <c r="A312" s="14"/>
      <c r="B312" s="14"/>
      <c r="C312" s="14"/>
      <c r="D312" s="14"/>
      <c r="E312" s="14"/>
      <c r="F312" s="14"/>
      <c r="G312" s="14"/>
      <c r="H312" s="14"/>
      <c r="I312" s="15"/>
      <c r="J312" s="16"/>
      <c r="K312" s="17" t="str">
        <f>IF(B312="","",IF(AND(I312="",J312=""),"Unknown",IF(OR(AND(ISNUMBER(I312),I312=0),AND(ISNUMBER(J312),J312&lt;=EDATE('Scoring Settings'!$B$4,-'Scoring Settings'!$B$5))),"Not in use",IF(AND(ISNUMBER(I312),I312&lt;'Scoring Settings'!$B$6),"Low use","Active"))))</f>
        <v/>
      </c>
      <c r="L312" s="14"/>
      <c r="M312" s="14"/>
      <c r="N312" s="14"/>
      <c r="O312" s="14"/>
      <c r="P312" s="14"/>
      <c r="Q312" s="18"/>
      <c r="R312" s="14"/>
      <c r="S312" s="14"/>
      <c r="T312" s="14"/>
      <c r="U312" s="16"/>
      <c r="V312" s="14"/>
      <c r="W312" s="15"/>
      <c r="X312" s="14"/>
      <c r="Y312" s="18"/>
      <c r="Z312" s="14"/>
      <c r="AA312" s="14"/>
      <c r="AB312" s="18"/>
      <c r="AC312" s="14"/>
      <c r="AD312" s="14"/>
      <c r="AE312" s="14"/>
      <c r="AF312" s="19"/>
      <c r="AG312" s="16"/>
      <c r="AH312" s="19"/>
      <c r="AI312" s="19"/>
      <c r="AJ312" s="20" t="str">
        <f t="shared" si="4"/>
        <v/>
      </c>
      <c r="AK312" s="21" t="str">
        <f>IF(B312="","",OR(K312="Not in use",K312="Low use")+AND(N312&lt;&gt;"",N312&lt;&gt;"TBD")+AND(ISNUMBER(U312),U312&lt;=EDATE('Scoring Settings'!$B$4,'Scoring Settings'!$B$8))+AND(ISNUMBER(L312),L312&lt;='Scoring Settings'!$B$7))</f>
        <v/>
      </c>
      <c r="AL312" s="17" t="str">
        <f>IF(B312="","",IF(K312="Not in use","Priority – Not in use",IF(AK312&gt;='Scoring Settings'!$B$9,"Decommission",IF(AK312=1,"Review","Retain"))))</f>
        <v/>
      </c>
      <c r="AM312" s="17" t="str">
        <f>IF(B312="","",IF(Z312="N","Easy",IF(OR(AND(ISNUMBER(AB312),AB312&gt;'Scoring Settings'!$B$11),AND(ISNUMBER(W312),W312&gt;'Scoring Settings'!$B$12),AND(ISNUMBER(M312),M312&lt;='Scoring Settings'!$B$13)),"High","Medium")))</f>
        <v/>
      </c>
      <c r="AN312" s="14"/>
      <c r="AO312" s="16"/>
      <c r="AP312" s="14"/>
      <c r="AQ312" s="22"/>
    </row>
    <row r="313" spans="1:43">
      <c r="A313" s="14"/>
      <c r="B313" s="14"/>
      <c r="C313" s="14"/>
      <c r="D313" s="14"/>
      <c r="E313" s="14"/>
      <c r="F313" s="14"/>
      <c r="G313" s="14"/>
      <c r="H313" s="14"/>
      <c r="I313" s="15"/>
      <c r="J313" s="16"/>
      <c r="K313" s="17" t="str">
        <f>IF(B313="","",IF(AND(I313="",J313=""),"Unknown",IF(OR(AND(ISNUMBER(I313),I313=0),AND(ISNUMBER(J313),J313&lt;=EDATE('Scoring Settings'!$B$4,-'Scoring Settings'!$B$5))),"Not in use",IF(AND(ISNUMBER(I313),I313&lt;'Scoring Settings'!$B$6),"Low use","Active"))))</f>
        <v/>
      </c>
      <c r="L313" s="14"/>
      <c r="M313" s="14"/>
      <c r="N313" s="14"/>
      <c r="O313" s="14"/>
      <c r="P313" s="14"/>
      <c r="Q313" s="18"/>
      <c r="R313" s="14"/>
      <c r="S313" s="14"/>
      <c r="T313" s="14"/>
      <c r="U313" s="16"/>
      <c r="V313" s="14"/>
      <c r="W313" s="15"/>
      <c r="X313" s="14"/>
      <c r="Y313" s="18"/>
      <c r="Z313" s="14"/>
      <c r="AA313" s="14"/>
      <c r="AB313" s="18"/>
      <c r="AC313" s="14"/>
      <c r="AD313" s="14"/>
      <c r="AE313" s="14"/>
      <c r="AF313" s="19"/>
      <c r="AG313" s="16"/>
      <c r="AH313" s="19"/>
      <c r="AI313" s="19"/>
      <c r="AJ313" s="20" t="str">
        <f t="shared" si="4"/>
        <v/>
      </c>
      <c r="AK313" s="21" t="str">
        <f>IF(B313="","",OR(K313="Not in use",K313="Low use")+AND(N313&lt;&gt;"",N313&lt;&gt;"TBD")+AND(ISNUMBER(U313),U313&lt;=EDATE('Scoring Settings'!$B$4,'Scoring Settings'!$B$8))+AND(ISNUMBER(L313),L313&lt;='Scoring Settings'!$B$7))</f>
        <v/>
      </c>
      <c r="AL313" s="17" t="str">
        <f>IF(B313="","",IF(K313="Not in use","Priority – Not in use",IF(AK313&gt;='Scoring Settings'!$B$9,"Decommission",IF(AK313=1,"Review","Retain"))))</f>
        <v/>
      </c>
      <c r="AM313" s="17" t="str">
        <f>IF(B313="","",IF(Z313="N","Easy",IF(OR(AND(ISNUMBER(AB313),AB313&gt;'Scoring Settings'!$B$11),AND(ISNUMBER(W313),W313&gt;'Scoring Settings'!$B$12),AND(ISNUMBER(M313),M313&lt;='Scoring Settings'!$B$13)),"High","Medium")))</f>
        <v/>
      </c>
      <c r="AN313" s="14"/>
      <c r="AO313" s="16"/>
      <c r="AP313" s="14"/>
      <c r="AQ313" s="22"/>
    </row>
    <row r="314" spans="1:43">
      <c r="A314" s="14"/>
      <c r="B314" s="14"/>
      <c r="C314" s="14"/>
      <c r="D314" s="14"/>
      <c r="E314" s="14"/>
      <c r="F314" s="14"/>
      <c r="G314" s="14"/>
      <c r="H314" s="14"/>
      <c r="I314" s="15"/>
      <c r="J314" s="16"/>
      <c r="K314" s="17" t="str">
        <f>IF(B314="","",IF(AND(I314="",J314=""),"Unknown",IF(OR(AND(ISNUMBER(I314),I314=0),AND(ISNUMBER(J314),J314&lt;=EDATE('Scoring Settings'!$B$4,-'Scoring Settings'!$B$5))),"Not in use",IF(AND(ISNUMBER(I314),I314&lt;'Scoring Settings'!$B$6),"Low use","Active"))))</f>
        <v/>
      </c>
      <c r="L314" s="14"/>
      <c r="M314" s="14"/>
      <c r="N314" s="14"/>
      <c r="O314" s="14"/>
      <c r="P314" s="14"/>
      <c r="Q314" s="18"/>
      <c r="R314" s="14"/>
      <c r="S314" s="14"/>
      <c r="T314" s="14"/>
      <c r="U314" s="16"/>
      <c r="V314" s="14"/>
      <c r="W314" s="15"/>
      <c r="X314" s="14"/>
      <c r="Y314" s="18"/>
      <c r="Z314" s="14"/>
      <c r="AA314" s="14"/>
      <c r="AB314" s="18"/>
      <c r="AC314" s="14"/>
      <c r="AD314" s="14"/>
      <c r="AE314" s="14"/>
      <c r="AF314" s="19"/>
      <c r="AG314" s="16"/>
      <c r="AH314" s="19"/>
      <c r="AI314" s="19"/>
      <c r="AJ314" s="20" t="str">
        <f t="shared" si="4"/>
        <v/>
      </c>
      <c r="AK314" s="21" t="str">
        <f>IF(B314="","",OR(K314="Not in use",K314="Low use")+AND(N314&lt;&gt;"",N314&lt;&gt;"TBD")+AND(ISNUMBER(U314),U314&lt;=EDATE('Scoring Settings'!$B$4,'Scoring Settings'!$B$8))+AND(ISNUMBER(L314),L314&lt;='Scoring Settings'!$B$7))</f>
        <v/>
      </c>
      <c r="AL314" s="17" t="str">
        <f>IF(B314="","",IF(K314="Not in use","Priority – Not in use",IF(AK314&gt;='Scoring Settings'!$B$9,"Decommission",IF(AK314=1,"Review","Retain"))))</f>
        <v/>
      </c>
      <c r="AM314" s="17" t="str">
        <f>IF(B314="","",IF(Z314="N","Easy",IF(OR(AND(ISNUMBER(AB314),AB314&gt;'Scoring Settings'!$B$11),AND(ISNUMBER(W314),W314&gt;'Scoring Settings'!$B$12),AND(ISNUMBER(M314),M314&lt;='Scoring Settings'!$B$13)),"High","Medium")))</f>
        <v/>
      </c>
      <c r="AN314" s="14"/>
      <c r="AO314" s="16"/>
      <c r="AP314" s="14"/>
      <c r="AQ314" s="22"/>
    </row>
    <row r="315" spans="1:43">
      <c r="A315" s="14"/>
      <c r="B315" s="14"/>
      <c r="C315" s="14"/>
      <c r="D315" s="14"/>
      <c r="E315" s="14"/>
      <c r="F315" s="14"/>
      <c r="G315" s="14"/>
      <c r="H315" s="14"/>
      <c r="I315" s="15"/>
      <c r="J315" s="16"/>
      <c r="K315" s="17" t="str">
        <f>IF(B315="","",IF(AND(I315="",J315=""),"Unknown",IF(OR(AND(ISNUMBER(I315),I315=0),AND(ISNUMBER(J315),J315&lt;=EDATE('Scoring Settings'!$B$4,-'Scoring Settings'!$B$5))),"Not in use",IF(AND(ISNUMBER(I315),I315&lt;'Scoring Settings'!$B$6),"Low use","Active"))))</f>
        <v/>
      </c>
      <c r="L315" s="14"/>
      <c r="M315" s="14"/>
      <c r="N315" s="14"/>
      <c r="O315" s="14"/>
      <c r="P315" s="14"/>
      <c r="Q315" s="18"/>
      <c r="R315" s="14"/>
      <c r="S315" s="14"/>
      <c r="T315" s="14"/>
      <c r="U315" s="16"/>
      <c r="V315" s="14"/>
      <c r="W315" s="15"/>
      <c r="X315" s="14"/>
      <c r="Y315" s="18"/>
      <c r="Z315" s="14"/>
      <c r="AA315" s="14"/>
      <c r="AB315" s="18"/>
      <c r="AC315" s="14"/>
      <c r="AD315" s="14"/>
      <c r="AE315" s="14"/>
      <c r="AF315" s="19"/>
      <c r="AG315" s="16"/>
      <c r="AH315" s="19"/>
      <c r="AI315" s="19"/>
      <c r="AJ315" s="20" t="str">
        <f t="shared" si="4"/>
        <v/>
      </c>
      <c r="AK315" s="21" t="str">
        <f>IF(B315="","",OR(K315="Not in use",K315="Low use")+AND(N315&lt;&gt;"",N315&lt;&gt;"TBD")+AND(ISNUMBER(U315),U315&lt;=EDATE('Scoring Settings'!$B$4,'Scoring Settings'!$B$8))+AND(ISNUMBER(L315),L315&lt;='Scoring Settings'!$B$7))</f>
        <v/>
      </c>
      <c r="AL315" s="17" t="str">
        <f>IF(B315="","",IF(K315="Not in use","Priority – Not in use",IF(AK315&gt;='Scoring Settings'!$B$9,"Decommission",IF(AK315=1,"Review","Retain"))))</f>
        <v/>
      </c>
      <c r="AM315" s="17" t="str">
        <f>IF(B315="","",IF(Z315="N","Easy",IF(OR(AND(ISNUMBER(AB315),AB315&gt;'Scoring Settings'!$B$11),AND(ISNUMBER(W315),W315&gt;'Scoring Settings'!$B$12),AND(ISNUMBER(M315),M315&lt;='Scoring Settings'!$B$13)),"High","Medium")))</f>
        <v/>
      </c>
      <c r="AN315" s="14"/>
      <c r="AO315" s="16"/>
      <c r="AP315" s="14"/>
      <c r="AQ315" s="22"/>
    </row>
    <row r="316" spans="1:43">
      <c r="A316" s="14"/>
      <c r="B316" s="14"/>
      <c r="C316" s="14"/>
      <c r="D316" s="14"/>
      <c r="E316" s="14"/>
      <c r="F316" s="14"/>
      <c r="G316" s="14"/>
      <c r="H316" s="14"/>
      <c r="I316" s="15"/>
      <c r="J316" s="16"/>
      <c r="K316" s="17" t="str">
        <f>IF(B316="","",IF(AND(I316="",J316=""),"Unknown",IF(OR(AND(ISNUMBER(I316),I316=0),AND(ISNUMBER(J316),J316&lt;=EDATE('Scoring Settings'!$B$4,-'Scoring Settings'!$B$5))),"Not in use",IF(AND(ISNUMBER(I316),I316&lt;'Scoring Settings'!$B$6),"Low use","Active"))))</f>
        <v/>
      </c>
      <c r="L316" s="14"/>
      <c r="M316" s="14"/>
      <c r="N316" s="14"/>
      <c r="O316" s="14"/>
      <c r="P316" s="14"/>
      <c r="Q316" s="18"/>
      <c r="R316" s="14"/>
      <c r="S316" s="14"/>
      <c r="T316" s="14"/>
      <c r="U316" s="16"/>
      <c r="V316" s="14"/>
      <c r="W316" s="15"/>
      <c r="X316" s="14"/>
      <c r="Y316" s="18"/>
      <c r="Z316" s="14"/>
      <c r="AA316" s="14"/>
      <c r="AB316" s="18"/>
      <c r="AC316" s="14"/>
      <c r="AD316" s="14"/>
      <c r="AE316" s="14"/>
      <c r="AF316" s="19"/>
      <c r="AG316" s="16"/>
      <c r="AH316" s="19"/>
      <c r="AI316" s="19"/>
      <c r="AJ316" s="20" t="str">
        <f t="shared" si="4"/>
        <v/>
      </c>
      <c r="AK316" s="21" t="str">
        <f>IF(B316="","",OR(K316="Not in use",K316="Low use")+AND(N316&lt;&gt;"",N316&lt;&gt;"TBD")+AND(ISNUMBER(U316),U316&lt;=EDATE('Scoring Settings'!$B$4,'Scoring Settings'!$B$8))+AND(ISNUMBER(L316),L316&lt;='Scoring Settings'!$B$7))</f>
        <v/>
      </c>
      <c r="AL316" s="17" t="str">
        <f>IF(B316="","",IF(K316="Not in use","Priority – Not in use",IF(AK316&gt;='Scoring Settings'!$B$9,"Decommission",IF(AK316=1,"Review","Retain"))))</f>
        <v/>
      </c>
      <c r="AM316" s="17" t="str">
        <f>IF(B316="","",IF(Z316="N","Easy",IF(OR(AND(ISNUMBER(AB316),AB316&gt;'Scoring Settings'!$B$11),AND(ISNUMBER(W316),W316&gt;'Scoring Settings'!$B$12),AND(ISNUMBER(M316),M316&lt;='Scoring Settings'!$B$13)),"High","Medium")))</f>
        <v/>
      </c>
      <c r="AN316" s="14"/>
      <c r="AO316" s="16"/>
      <c r="AP316" s="14"/>
      <c r="AQ316" s="22"/>
    </row>
    <row r="317" spans="1:43">
      <c r="A317" s="14"/>
      <c r="B317" s="14"/>
      <c r="C317" s="14"/>
      <c r="D317" s="14"/>
      <c r="E317" s="14"/>
      <c r="F317" s="14"/>
      <c r="G317" s="14"/>
      <c r="H317" s="14"/>
      <c r="I317" s="15"/>
      <c r="J317" s="16"/>
      <c r="K317" s="17" t="str">
        <f>IF(B317="","",IF(AND(I317="",J317=""),"Unknown",IF(OR(AND(ISNUMBER(I317),I317=0),AND(ISNUMBER(J317),J317&lt;=EDATE('Scoring Settings'!$B$4,-'Scoring Settings'!$B$5))),"Not in use",IF(AND(ISNUMBER(I317),I317&lt;'Scoring Settings'!$B$6),"Low use","Active"))))</f>
        <v/>
      </c>
      <c r="L317" s="14"/>
      <c r="M317" s="14"/>
      <c r="N317" s="14"/>
      <c r="O317" s="14"/>
      <c r="P317" s="14"/>
      <c r="Q317" s="18"/>
      <c r="R317" s="14"/>
      <c r="S317" s="14"/>
      <c r="T317" s="14"/>
      <c r="U317" s="16"/>
      <c r="V317" s="14"/>
      <c r="W317" s="15"/>
      <c r="X317" s="14"/>
      <c r="Y317" s="18"/>
      <c r="Z317" s="14"/>
      <c r="AA317" s="14"/>
      <c r="AB317" s="18"/>
      <c r="AC317" s="14"/>
      <c r="AD317" s="14"/>
      <c r="AE317" s="14"/>
      <c r="AF317" s="19"/>
      <c r="AG317" s="16"/>
      <c r="AH317" s="19"/>
      <c r="AI317" s="19"/>
      <c r="AJ317" s="20" t="str">
        <f t="shared" si="4"/>
        <v/>
      </c>
      <c r="AK317" s="21" t="str">
        <f>IF(B317="","",OR(K317="Not in use",K317="Low use")+AND(N317&lt;&gt;"",N317&lt;&gt;"TBD")+AND(ISNUMBER(U317),U317&lt;=EDATE('Scoring Settings'!$B$4,'Scoring Settings'!$B$8))+AND(ISNUMBER(L317),L317&lt;='Scoring Settings'!$B$7))</f>
        <v/>
      </c>
      <c r="AL317" s="17" t="str">
        <f>IF(B317="","",IF(K317="Not in use","Priority – Not in use",IF(AK317&gt;='Scoring Settings'!$B$9,"Decommission",IF(AK317=1,"Review","Retain"))))</f>
        <v/>
      </c>
      <c r="AM317" s="17" t="str">
        <f>IF(B317="","",IF(Z317="N","Easy",IF(OR(AND(ISNUMBER(AB317),AB317&gt;'Scoring Settings'!$B$11),AND(ISNUMBER(W317),W317&gt;'Scoring Settings'!$B$12),AND(ISNUMBER(M317),M317&lt;='Scoring Settings'!$B$13)),"High","Medium")))</f>
        <v/>
      </c>
      <c r="AN317" s="14"/>
      <c r="AO317" s="16"/>
      <c r="AP317" s="14"/>
      <c r="AQ317" s="22"/>
    </row>
    <row r="318" spans="1:43">
      <c r="A318" s="14"/>
      <c r="B318" s="14"/>
      <c r="C318" s="14"/>
      <c r="D318" s="14"/>
      <c r="E318" s="14"/>
      <c r="F318" s="14"/>
      <c r="G318" s="14"/>
      <c r="H318" s="14"/>
      <c r="I318" s="15"/>
      <c r="J318" s="16"/>
      <c r="K318" s="17" t="str">
        <f>IF(B318="","",IF(AND(I318="",J318=""),"Unknown",IF(OR(AND(ISNUMBER(I318),I318=0),AND(ISNUMBER(J318),J318&lt;=EDATE('Scoring Settings'!$B$4,-'Scoring Settings'!$B$5))),"Not in use",IF(AND(ISNUMBER(I318),I318&lt;'Scoring Settings'!$B$6),"Low use","Active"))))</f>
        <v/>
      </c>
      <c r="L318" s="14"/>
      <c r="M318" s="14"/>
      <c r="N318" s="14"/>
      <c r="O318" s="14"/>
      <c r="P318" s="14"/>
      <c r="Q318" s="18"/>
      <c r="R318" s="14"/>
      <c r="S318" s="14"/>
      <c r="T318" s="14"/>
      <c r="U318" s="16"/>
      <c r="V318" s="14"/>
      <c r="W318" s="15"/>
      <c r="X318" s="14"/>
      <c r="Y318" s="18"/>
      <c r="Z318" s="14"/>
      <c r="AA318" s="14"/>
      <c r="AB318" s="18"/>
      <c r="AC318" s="14"/>
      <c r="AD318" s="14"/>
      <c r="AE318" s="14"/>
      <c r="AF318" s="19"/>
      <c r="AG318" s="16"/>
      <c r="AH318" s="19"/>
      <c r="AI318" s="19"/>
      <c r="AJ318" s="20" t="str">
        <f t="shared" si="4"/>
        <v/>
      </c>
      <c r="AK318" s="21" t="str">
        <f>IF(B318="","",OR(K318="Not in use",K318="Low use")+AND(N318&lt;&gt;"",N318&lt;&gt;"TBD")+AND(ISNUMBER(U318),U318&lt;=EDATE('Scoring Settings'!$B$4,'Scoring Settings'!$B$8))+AND(ISNUMBER(L318),L318&lt;='Scoring Settings'!$B$7))</f>
        <v/>
      </c>
      <c r="AL318" s="17" t="str">
        <f>IF(B318="","",IF(K318="Not in use","Priority – Not in use",IF(AK318&gt;='Scoring Settings'!$B$9,"Decommission",IF(AK318=1,"Review","Retain"))))</f>
        <v/>
      </c>
      <c r="AM318" s="17" t="str">
        <f>IF(B318="","",IF(Z318="N","Easy",IF(OR(AND(ISNUMBER(AB318),AB318&gt;'Scoring Settings'!$B$11),AND(ISNUMBER(W318),W318&gt;'Scoring Settings'!$B$12),AND(ISNUMBER(M318),M318&lt;='Scoring Settings'!$B$13)),"High","Medium")))</f>
        <v/>
      </c>
      <c r="AN318" s="14"/>
      <c r="AO318" s="16"/>
      <c r="AP318" s="14"/>
      <c r="AQ318" s="22"/>
    </row>
    <row r="319" spans="1:43">
      <c r="A319" s="14"/>
      <c r="B319" s="14"/>
      <c r="C319" s="14"/>
      <c r="D319" s="14"/>
      <c r="E319" s="14"/>
      <c r="F319" s="14"/>
      <c r="G319" s="14"/>
      <c r="H319" s="14"/>
      <c r="I319" s="15"/>
      <c r="J319" s="16"/>
      <c r="K319" s="17" t="str">
        <f>IF(B319="","",IF(AND(I319="",J319=""),"Unknown",IF(OR(AND(ISNUMBER(I319),I319=0),AND(ISNUMBER(J319),J319&lt;=EDATE('Scoring Settings'!$B$4,-'Scoring Settings'!$B$5))),"Not in use",IF(AND(ISNUMBER(I319),I319&lt;'Scoring Settings'!$B$6),"Low use","Active"))))</f>
        <v/>
      </c>
      <c r="L319" s="14"/>
      <c r="M319" s="14"/>
      <c r="N319" s="14"/>
      <c r="O319" s="14"/>
      <c r="P319" s="14"/>
      <c r="Q319" s="18"/>
      <c r="R319" s="14"/>
      <c r="S319" s="14"/>
      <c r="T319" s="14"/>
      <c r="U319" s="16"/>
      <c r="V319" s="14"/>
      <c r="W319" s="15"/>
      <c r="X319" s="14"/>
      <c r="Y319" s="18"/>
      <c r="Z319" s="14"/>
      <c r="AA319" s="14"/>
      <c r="AB319" s="18"/>
      <c r="AC319" s="14"/>
      <c r="AD319" s="14"/>
      <c r="AE319" s="14"/>
      <c r="AF319" s="19"/>
      <c r="AG319" s="16"/>
      <c r="AH319" s="19"/>
      <c r="AI319" s="19"/>
      <c r="AJ319" s="20" t="str">
        <f t="shared" si="4"/>
        <v/>
      </c>
      <c r="AK319" s="21" t="str">
        <f>IF(B319="","",OR(K319="Not in use",K319="Low use")+AND(N319&lt;&gt;"",N319&lt;&gt;"TBD")+AND(ISNUMBER(U319),U319&lt;=EDATE('Scoring Settings'!$B$4,'Scoring Settings'!$B$8))+AND(ISNUMBER(L319),L319&lt;='Scoring Settings'!$B$7))</f>
        <v/>
      </c>
      <c r="AL319" s="17" t="str">
        <f>IF(B319="","",IF(K319="Not in use","Priority – Not in use",IF(AK319&gt;='Scoring Settings'!$B$9,"Decommission",IF(AK319=1,"Review","Retain"))))</f>
        <v/>
      </c>
      <c r="AM319" s="17" t="str">
        <f>IF(B319="","",IF(Z319="N","Easy",IF(OR(AND(ISNUMBER(AB319),AB319&gt;'Scoring Settings'!$B$11),AND(ISNUMBER(W319),W319&gt;'Scoring Settings'!$B$12),AND(ISNUMBER(M319),M319&lt;='Scoring Settings'!$B$13)),"High","Medium")))</f>
        <v/>
      </c>
      <c r="AN319" s="14"/>
      <c r="AO319" s="16"/>
      <c r="AP319" s="14"/>
      <c r="AQ319" s="22"/>
    </row>
    <row r="320" spans="1:43">
      <c r="A320" s="14"/>
      <c r="B320" s="14"/>
      <c r="C320" s="14"/>
      <c r="D320" s="14"/>
      <c r="E320" s="14"/>
      <c r="F320" s="14"/>
      <c r="G320" s="14"/>
      <c r="H320" s="14"/>
      <c r="I320" s="15"/>
      <c r="J320" s="16"/>
      <c r="K320" s="17" t="str">
        <f>IF(B320="","",IF(AND(I320="",J320=""),"Unknown",IF(OR(AND(ISNUMBER(I320),I320=0),AND(ISNUMBER(J320),J320&lt;=EDATE('Scoring Settings'!$B$4,-'Scoring Settings'!$B$5))),"Not in use",IF(AND(ISNUMBER(I320),I320&lt;'Scoring Settings'!$B$6),"Low use","Active"))))</f>
        <v/>
      </c>
      <c r="L320" s="14"/>
      <c r="M320" s="14"/>
      <c r="N320" s="14"/>
      <c r="O320" s="14"/>
      <c r="P320" s="14"/>
      <c r="Q320" s="18"/>
      <c r="R320" s="14"/>
      <c r="S320" s="14"/>
      <c r="T320" s="14"/>
      <c r="U320" s="16"/>
      <c r="V320" s="14"/>
      <c r="W320" s="15"/>
      <c r="X320" s="14"/>
      <c r="Y320" s="18"/>
      <c r="Z320" s="14"/>
      <c r="AA320" s="14"/>
      <c r="AB320" s="18"/>
      <c r="AC320" s="14"/>
      <c r="AD320" s="14"/>
      <c r="AE320" s="14"/>
      <c r="AF320" s="19"/>
      <c r="AG320" s="16"/>
      <c r="AH320" s="19"/>
      <c r="AI320" s="19"/>
      <c r="AJ320" s="20" t="str">
        <f t="shared" si="4"/>
        <v/>
      </c>
      <c r="AK320" s="21" t="str">
        <f>IF(B320="","",OR(K320="Not in use",K320="Low use")+AND(N320&lt;&gt;"",N320&lt;&gt;"TBD")+AND(ISNUMBER(U320),U320&lt;=EDATE('Scoring Settings'!$B$4,'Scoring Settings'!$B$8))+AND(ISNUMBER(L320),L320&lt;='Scoring Settings'!$B$7))</f>
        <v/>
      </c>
      <c r="AL320" s="17" t="str">
        <f>IF(B320="","",IF(K320="Not in use","Priority – Not in use",IF(AK320&gt;='Scoring Settings'!$B$9,"Decommission",IF(AK320=1,"Review","Retain"))))</f>
        <v/>
      </c>
      <c r="AM320" s="17" t="str">
        <f>IF(B320="","",IF(Z320="N","Easy",IF(OR(AND(ISNUMBER(AB320),AB320&gt;'Scoring Settings'!$B$11),AND(ISNUMBER(W320),W320&gt;'Scoring Settings'!$B$12),AND(ISNUMBER(M320),M320&lt;='Scoring Settings'!$B$13)),"High","Medium")))</f>
        <v/>
      </c>
      <c r="AN320" s="14"/>
      <c r="AO320" s="16"/>
      <c r="AP320" s="14"/>
      <c r="AQ320" s="22"/>
    </row>
    <row r="321" spans="1:43">
      <c r="A321" s="14"/>
      <c r="B321" s="14"/>
      <c r="C321" s="14"/>
      <c r="D321" s="14"/>
      <c r="E321" s="14"/>
      <c r="F321" s="14"/>
      <c r="G321" s="14"/>
      <c r="H321" s="14"/>
      <c r="I321" s="15"/>
      <c r="J321" s="16"/>
      <c r="K321" s="17" t="str">
        <f>IF(B321="","",IF(AND(I321="",J321=""),"Unknown",IF(OR(AND(ISNUMBER(I321),I321=0),AND(ISNUMBER(J321),J321&lt;=EDATE('Scoring Settings'!$B$4,-'Scoring Settings'!$B$5))),"Not in use",IF(AND(ISNUMBER(I321),I321&lt;'Scoring Settings'!$B$6),"Low use","Active"))))</f>
        <v/>
      </c>
      <c r="L321" s="14"/>
      <c r="M321" s="14"/>
      <c r="N321" s="14"/>
      <c r="O321" s="14"/>
      <c r="P321" s="14"/>
      <c r="Q321" s="18"/>
      <c r="R321" s="14"/>
      <c r="S321" s="14"/>
      <c r="T321" s="14"/>
      <c r="U321" s="16"/>
      <c r="V321" s="14"/>
      <c r="W321" s="15"/>
      <c r="X321" s="14"/>
      <c r="Y321" s="18"/>
      <c r="Z321" s="14"/>
      <c r="AA321" s="14"/>
      <c r="AB321" s="18"/>
      <c r="AC321" s="14"/>
      <c r="AD321" s="14"/>
      <c r="AE321" s="14"/>
      <c r="AF321" s="19"/>
      <c r="AG321" s="16"/>
      <c r="AH321" s="19"/>
      <c r="AI321" s="19"/>
      <c r="AJ321" s="20" t="str">
        <f t="shared" si="4"/>
        <v/>
      </c>
      <c r="AK321" s="21" t="str">
        <f>IF(B321="","",OR(K321="Not in use",K321="Low use")+AND(N321&lt;&gt;"",N321&lt;&gt;"TBD")+AND(ISNUMBER(U321),U321&lt;=EDATE('Scoring Settings'!$B$4,'Scoring Settings'!$B$8))+AND(ISNUMBER(L321),L321&lt;='Scoring Settings'!$B$7))</f>
        <v/>
      </c>
      <c r="AL321" s="17" t="str">
        <f>IF(B321="","",IF(K321="Not in use","Priority – Not in use",IF(AK321&gt;='Scoring Settings'!$B$9,"Decommission",IF(AK321=1,"Review","Retain"))))</f>
        <v/>
      </c>
      <c r="AM321" s="17" t="str">
        <f>IF(B321="","",IF(Z321="N","Easy",IF(OR(AND(ISNUMBER(AB321),AB321&gt;'Scoring Settings'!$B$11),AND(ISNUMBER(W321),W321&gt;'Scoring Settings'!$B$12),AND(ISNUMBER(M321),M321&lt;='Scoring Settings'!$B$13)),"High","Medium")))</f>
        <v/>
      </c>
      <c r="AN321" s="14"/>
      <c r="AO321" s="16"/>
      <c r="AP321" s="14"/>
      <c r="AQ321" s="22"/>
    </row>
    <row r="322" spans="1:43">
      <c r="A322" s="14"/>
      <c r="B322" s="14"/>
      <c r="C322" s="14"/>
      <c r="D322" s="14"/>
      <c r="E322" s="14"/>
      <c r="F322" s="14"/>
      <c r="G322" s="14"/>
      <c r="H322" s="14"/>
      <c r="I322" s="15"/>
      <c r="J322" s="16"/>
      <c r="K322" s="17" t="str">
        <f>IF(B322="","",IF(AND(I322="",J322=""),"Unknown",IF(OR(AND(ISNUMBER(I322),I322=0),AND(ISNUMBER(J322),J322&lt;=EDATE('Scoring Settings'!$B$4,-'Scoring Settings'!$B$5))),"Not in use",IF(AND(ISNUMBER(I322),I322&lt;'Scoring Settings'!$B$6),"Low use","Active"))))</f>
        <v/>
      </c>
      <c r="L322" s="14"/>
      <c r="M322" s="14"/>
      <c r="N322" s="14"/>
      <c r="O322" s="14"/>
      <c r="P322" s="14"/>
      <c r="Q322" s="18"/>
      <c r="R322" s="14"/>
      <c r="S322" s="14"/>
      <c r="T322" s="14"/>
      <c r="U322" s="16"/>
      <c r="V322" s="14"/>
      <c r="W322" s="15"/>
      <c r="X322" s="14"/>
      <c r="Y322" s="18"/>
      <c r="Z322" s="14"/>
      <c r="AA322" s="14"/>
      <c r="AB322" s="18"/>
      <c r="AC322" s="14"/>
      <c r="AD322" s="14"/>
      <c r="AE322" s="14"/>
      <c r="AF322" s="19"/>
      <c r="AG322" s="16"/>
      <c r="AH322" s="19"/>
      <c r="AI322" s="19"/>
      <c r="AJ322" s="20" t="str">
        <f t="shared" si="4"/>
        <v/>
      </c>
      <c r="AK322" s="21" t="str">
        <f>IF(B322="","",OR(K322="Not in use",K322="Low use")+AND(N322&lt;&gt;"",N322&lt;&gt;"TBD")+AND(ISNUMBER(U322),U322&lt;=EDATE('Scoring Settings'!$B$4,'Scoring Settings'!$B$8))+AND(ISNUMBER(L322),L322&lt;='Scoring Settings'!$B$7))</f>
        <v/>
      </c>
      <c r="AL322" s="17" t="str">
        <f>IF(B322="","",IF(K322="Not in use","Priority – Not in use",IF(AK322&gt;='Scoring Settings'!$B$9,"Decommission",IF(AK322=1,"Review","Retain"))))</f>
        <v/>
      </c>
      <c r="AM322" s="17" t="str">
        <f>IF(B322="","",IF(Z322="N","Easy",IF(OR(AND(ISNUMBER(AB322),AB322&gt;'Scoring Settings'!$B$11),AND(ISNUMBER(W322),W322&gt;'Scoring Settings'!$B$12),AND(ISNUMBER(M322),M322&lt;='Scoring Settings'!$B$13)),"High","Medium")))</f>
        <v/>
      </c>
      <c r="AN322" s="14"/>
      <c r="AO322" s="16"/>
      <c r="AP322" s="14"/>
      <c r="AQ322" s="22"/>
    </row>
    <row r="323" spans="1:43">
      <c r="A323" s="14"/>
      <c r="B323" s="14"/>
      <c r="C323" s="14"/>
      <c r="D323" s="14"/>
      <c r="E323" s="14"/>
      <c r="F323" s="14"/>
      <c r="G323" s="14"/>
      <c r="H323" s="14"/>
      <c r="I323" s="15"/>
      <c r="J323" s="16"/>
      <c r="K323" s="17" t="str">
        <f>IF(B323="","",IF(AND(I323="",J323=""),"Unknown",IF(OR(AND(ISNUMBER(I323),I323=0),AND(ISNUMBER(J323),J323&lt;=EDATE('Scoring Settings'!$B$4,-'Scoring Settings'!$B$5))),"Not in use",IF(AND(ISNUMBER(I323),I323&lt;'Scoring Settings'!$B$6),"Low use","Active"))))</f>
        <v/>
      </c>
      <c r="L323" s="14"/>
      <c r="M323" s="14"/>
      <c r="N323" s="14"/>
      <c r="O323" s="14"/>
      <c r="P323" s="14"/>
      <c r="Q323" s="18"/>
      <c r="R323" s="14"/>
      <c r="S323" s="14"/>
      <c r="T323" s="14"/>
      <c r="U323" s="16"/>
      <c r="V323" s="14"/>
      <c r="W323" s="15"/>
      <c r="X323" s="14"/>
      <c r="Y323" s="18"/>
      <c r="Z323" s="14"/>
      <c r="AA323" s="14"/>
      <c r="AB323" s="18"/>
      <c r="AC323" s="14"/>
      <c r="AD323" s="14"/>
      <c r="AE323" s="14"/>
      <c r="AF323" s="19"/>
      <c r="AG323" s="16"/>
      <c r="AH323" s="19"/>
      <c r="AI323" s="19"/>
      <c r="AJ323" s="20" t="str">
        <f t="shared" si="4"/>
        <v/>
      </c>
      <c r="AK323" s="21" t="str">
        <f>IF(B323="","",OR(K323="Not in use",K323="Low use")+AND(N323&lt;&gt;"",N323&lt;&gt;"TBD")+AND(ISNUMBER(U323),U323&lt;=EDATE('Scoring Settings'!$B$4,'Scoring Settings'!$B$8))+AND(ISNUMBER(L323),L323&lt;='Scoring Settings'!$B$7))</f>
        <v/>
      </c>
      <c r="AL323" s="17" t="str">
        <f>IF(B323="","",IF(K323="Not in use","Priority – Not in use",IF(AK323&gt;='Scoring Settings'!$B$9,"Decommission",IF(AK323=1,"Review","Retain"))))</f>
        <v/>
      </c>
      <c r="AM323" s="17" t="str">
        <f>IF(B323="","",IF(Z323="N","Easy",IF(OR(AND(ISNUMBER(AB323),AB323&gt;'Scoring Settings'!$B$11),AND(ISNUMBER(W323),W323&gt;'Scoring Settings'!$B$12),AND(ISNUMBER(M323),M323&lt;='Scoring Settings'!$B$13)),"High","Medium")))</f>
        <v/>
      </c>
      <c r="AN323" s="14"/>
      <c r="AO323" s="16"/>
      <c r="AP323" s="14"/>
      <c r="AQ323" s="22"/>
    </row>
    <row r="324" spans="1:43">
      <c r="A324" s="14"/>
      <c r="B324" s="14"/>
      <c r="C324" s="14"/>
      <c r="D324" s="14"/>
      <c r="E324" s="14"/>
      <c r="F324" s="14"/>
      <c r="G324" s="14"/>
      <c r="H324" s="14"/>
      <c r="I324" s="15"/>
      <c r="J324" s="16"/>
      <c r="K324" s="17" t="str">
        <f>IF(B324="","",IF(AND(I324="",J324=""),"Unknown",IF(OR(AND(ISNUMBER(I324),I324=0),AND(ISNUMBER(J324),J324&lt;=EDATE('Scoring Settings'!$B$4,-'Scoring Settings'!$B$5))),"Not in use",IF(AND(ISNUMBER(I324),I324&lt;'Scoring Settings'!$B$6),"Low use","Active"))))</f>
        <v/>
      </c>
      <c r="L324" s="14"/>
      <c r="M324" s="14"/>
      <c r="N324" s="14"/>
      <c r="O324" s="14"/>
      <c r="P324" s="14"/>
      <c r="Q324" s="18"/>
      <c r="R324" s="14"/>
      <c r="S324" s="14"/>
      <c r="T324" s="14"/>
      <c r="U324" s="16"/>
      <c r="V324" s="14"/>
      <c r="W324" s="15"/>
      <c r="X324" s="14"/>
      <c r="Y324" s="18"/>
      <c r="Z324" s="14"/>
      <c r="AA324" s="14"/>
      <c r="AB324" s="18"/>
      <c r="AC324" s="14"/>
      <c r="AD324" s="14"/>
      <c r="AE324" s="14"/>
      <c r="AF324" s="19"/>
      <c r="AG324" s="16"/>
      <c r="AH324" s="19"/>
      <c r="AI324" s="19"/>
      <c r="AJ324" s="20" t="str">
        <f t="shared" si="4"/>
        <v/>
      </c>
      <c r="AK324" s="21" t="str">
        <f>IF(B324="","",OR(K324="Not in use",K324="Low use")+AND(N324&lt;&gt;"",N324&lt;&gt;"TBD")+AND(ISNUMBER(U324),U324&lt;=EDATE('Scoring Settings'!$B$4,'Scoring Settings'!$B$8))+AND(ISNUMBER(L324),L324&lt;='Scoring Settings'!$B$7))</f>
        <v/>
      </c>
      <c r="AL324" s="17" t="str">
        <f>IF(B324="","",IF(K324="Not in use","Priority – Not in use",IF(AK324&gt;='Scoring Settings'!$B$9,"Decommission",IF(AK324=1,"Review","Retain"))))</f>
        <v/>
      </c>
      <c r="AM324" s="17" t="str">
        <f>IF(B324="","",IF(Z324="N","Easy",IF(OR(AND(ISNUMBER(AB324),AB324&gt;'Scoring Settings'!$B$11),AND(ISNUMBER(W324),W324&gt;'Scoring Settings'!$B$12),AND(ISNUMBER(M324),M324&lt;='Scoring Settings'!$B$13)),"High","Medium")))</f>
        <v/>
      </c>
      <c r="AN324" s="14"/>
      <c r="AO324" s="16"/>
      <c r="AP324" s="14"/>
      <c r="AQ324" s="22"/>
    </row>
    <row r="325" spans="1:43">
      <c r="A325" s="14"/>
      <c r="B325" s="14"/>
      <c r="C325" s="14"/>
      <c r="D325" s="14"/>
      <c r="E325" s="14"/>
      <c r="F325" s="14"/>
      <c r="G325" s="14"/>
      <c r="H325" s="14"/>
      <c r="I325" s="15"/>
      <c r="J325" s="16"/>
      <c r="K325" s="17" t="str">
        <f>IF(B325="","",IF(AND(I325="",J325=""),"Unknown",IF(OR(AND(ISNUMBER(I325),I325=0),AND(ISNUMBER(J325),J325&lt;=EDATE('Scoring Settings'!$B$4,-'Scoring Settings'!$B$5))),"Not in use",IF(AND(ISNUMBER(I325),I325&lt;'Scoring Settings'!$B$6),"Low use","Active"))))</f>
        <v/>
      </c>
      <c r="L325" s="14"/>
      <c r="M325" s="14"/>
      <c r="N325" s="14"/>
      <c r="O325" s="14"/>
      <c r="P325" s="14"/>
      <c r="Q325" s="18"/>
      <c r="R325" s="14"/>
      <c r="S325" s="14"/>
      <c r="T325" s="14"/>
      <c r="U325" s="16"/>
      <c r="V325" s="14"/>
      <c r="W325" s="15"/>
      <c r="X325" s="14"/>
      <c r="Y325" s="18"/>
      <c r="Z325" s="14"/>
      <c r="AA325" s="14"/>
      <c r="AB325" s="18"/>
      <c r="AC325" s="14"/>
      <c r="AD325" s="14"/>
      <c r="AE325" s="14"/>
      <c r="AF325" s="19"/>
      <c r="AG325" s="16"/>
      <c r="AH325" s="19"/>
      <c r="AI325" s="19"/>
      <c r="AJ325" s="20" t="str">
        <f t="shared" ref="AJ325:AJ388" si="5">IF(AND(ISNUMBER(AH325),ISNUMBER(AI325),N(AI325)&gt;0),AH325/AI325*12,"")</f>
        <v/>
      </c>
      <c r="AK325" s="21" t="str">
        <f>IF(B325="","",OR(K325="Not in use",K325="Low use")+AND(N325&lt;&gt;"",N325&lt;&gt;"TBD")+AND(ISNUMBER(U325),U325&lt;=EDATE('Scoring Settings'!$B$4,'Scoring Settings'!$B$8))+AND(ISNUMBER(L325),L325&lt;='Scoring Settings'!$B$7))</f>
        <v/>
      </c>
      <c r="AL325" s="17" t="str">
        <f>IF(B325="","",IF(K325="Not in use","Priority – Not in use",IF(AK325&gt;='Scoring Settings'!$B$9,"Decommission",IF(AK325=1,"Review","Retain"))))</f>
        <v/>
      </c>
      <c r="AM325" s="17" t="str">
        <f>IF(B325="","",IF(Z325="N","Easy",IF(OR(AND(ISNUMBER(AB325),AB325&gt;'Scoring Settings'!$B$11),AND(ISNUMBER(W325),W325&gt;'Scoring Settings'!$B$12),AND(ISNUMBER(M325),M325&lt;='Scoring Settings'!$B$13)),"High","Medium")))</f>
        <v/>
      </c>
      <c r="AN325" s="14"/>
      <c r="AO325" s="16"/>
      <c r="AP325" s="14"/>
      <c r="AQ325" s="22"/>
    </row>
    <row r="326" spans="1:43">
      <c r="A326" s="14"/>
      <c r="B326" s="14"/>
      <c r="C326" s="14"/>
      <c r="D326" s="14"/>
      <c r="E326" s="14"/>
      <c r="F326" s="14"/>
      <c r="G326" s="14"/>
      <c r="H326" s="14"/>
      <c r="I326" s="15"/>
      <c r="J326" s="16"/>
      <c r="K326" s="17" t="str">
        <f>IF(B326="","",IF(AND(I326="",J326=""),"Unknown",IF(OR(AND(ISNUMBER(I326),I326=0),AND(ISNUMBER(J326),J326&lt;=EDATE('Scoring Settings'!$B$4,-'Scoring Settings'!$B$5))),"Not in use",IF(AND(ISNUMBER(I326),I326&lt;'Scoring Settings'!$B$6),"Low use","Active"))))</f>
        <v/>
      </c>
      <c r="L326" s="14"/>
      <c r="M326" s="14"/>
      <c r="N326" s="14"/>
      <c r="O326" s="14"/>
      <c r="P326" s="14"/>
      <c r="Q326" s="18"/>
      <c r="R326" s="14"/>
      <c r="S326" s="14"/>
      <c r="T326" s="14"/>
      <c r="U326" s="16"/>
      <c r="V326" s="14"/>
      <c r="W326" s="15"/>
      <c r="X326" s="14"/>
      <c r="Y326" s="18"/>
      <c r="Z326" s="14"/>
      <c r="AA326" s="14"/>
      <c r="AB326" s="18"/>
      <c r="AC326" s="14"/>
      <c r="AD326" s="14"/>
      <c r="AE326" s="14"/>
      <c r="AF326" s="19"/>
      <c r="AG326" s="16"/>
      <c r="AH326" s="19"/>
      <c r="AI326" s="19"/>
      <c r="AJ326" s="20" t="str">
        <f t="shared" si="5"/>
        <v/>
      </c>
      <c r="AK326" s="21" t="str">
        <f>IF(B326="","",OR(K326="Not in use",K326="Low use")+AND(N326&lt;&gt;"",N326&lt;&gt;"TBD")+AND(ISNUMBER(U326),U326&lt;=EDATE('Scoring Settings'!$B$4,'Scoring Settings'!$B$8))+AND(ISNUMBER(L326),L326&lt;='Scoring Settings'!$B$7))</f>
        <v/>
      </c>
      <c r="AL326" s="17" t="str">
        <f>IF(B326="","",IF(K326="Not in use","Priority – Not in use",IF(AK326&gt;='Scoring Settings'!$B$9,"Decommission",IF(AK326=1,"Review","Retain"))))</f>
        <v/>
      </c>
      <c r="AM326" s="17" t="str">
        <f>IF(B326="","",IF(Z326="N","Easy",IF(OR(AND(ISNUMBER(AB326),AB326&gt;'Scoring Settings'!$B$11),AND(ISNUMBER(W326),W326&gt;'Scoring Settings'!$B$12),AND(ISNUMBER(M326),M326&lt;='Scoring Settings'!$B$13)),"High","Medium")))</f>
        <v/>
      </c>
      <c r="AN326" s="14"/>
      <c r="AO326" s="16"/>
      <c r="AP326" s="14"/>
      <c r="AQ326" s="22"/>
    </row>
    <row r="327" spans="1:43">
      <c r="A327" s="14"/>
      <c r="B327" s="14"/>
      <c r="C327" s="14"/>
      <c r="D327" s="14"/>
      <c r="E327" s="14"/>
      <c r="F327" s="14"/>
      <c r="G327" s="14"/>
      <c r="H327" s="14"/>
      <c r="I327" s="15"/>
      <c r="J327" s="16"/>
      <c r="K327" s="17" t="str">
        <f>IF(B327="","",IF(AND(I327="",J327=""),"Unknown",IF(OR(AND(ISNUMBER(I327),I327=0),AND(ISNUMBER(J327),J327&lt;=EDATE('Scoring Settings'!$B$4,-'Scoring Settings'!$B$5))),"Not in use",IF(AND(ISNUMBER(I327),I327&lt;'Scoring Settings'!$B$6),"Low use","Active"))))</f>
        <v/>
      </c>
      <c r="L327" s="14"/>
      <c r="M327" s="14"/>
      <c r="N327" s="14"/>
      <c r="O327" s="14"/>
      <c r="P327" s="14"/>
      <c r="Q327" s="18"/>
      <c r="R327" s="14"/>
      <c r="S327" s="14"/>
      <c r="T327" s="14"/>
      <c r="U327" s="16"/>
      <c r="V327" s="14"/>
      <c r="W327" s="15"/>
      <c r="X327" s="14"/>
      <c r="Y327" s="18"/>
      <c r="Z327" s="14"/>
      <c r="AA327" s="14"/>
      <c r="AB327" s="18"/>
      <c r="AC327" s="14"/>
      <c r="AD327" s="14"/>
      <c r="AE327" s="14"/>
      <c r="AF327" s="19"/>
      <c r="AG327" s="16"/>
      <c r="AH327" s="19"/>
      <c r="AI327" s="19"/>
      <c r="AJ327" s="20" t="str">
        <f t="shared" si="5"/>
        <v/>
      </c>
      <c r="AK327" s="21" t="str">
        <f>IF(B327="","",OR(K327="Not in use",K327="Low use")+AND(N327&lt;&gt;"",N327&lt;&gt;"TBD")+AND(ISNUMBER(U327),U327&lt;=EDATE('Scoring Settings'!$B$4,'Scoring Settings'!$B$8))+AND(ISNUMBER(L327),L327&lt;='Scoring Settings'!$B$7))</f>
        <v/>
      </c>
      <c r="AL327" s="17" t="str">
        <f>IF(B327="","",IF(K327="Not in use","Priority – Not in use",IF(AK327&gt;='Scoring Settings'!$B$9,"Decommission",IF(AK327=1,"Review","Retain"))))</f>
        <v/>
      </c>
      <c r="AM327" s="17" t="str">
        <f>IF(B327="","",IF(Z327="N","Easy",IF(OR(AND(ISNUMBER(AB327),AB327&gt;'Scoring Settings'!$B$11),AND(ISNUMBER(W327),W327&gt;'Scoring Settings'!$B$12),AND(ISNUMBER(M327),M327&lt;='Scoring Settings'!$B$13)),"High","Medium")))</f>
        <v/>
      </c>
      <c r="AN327" s="14"/>
      <c r="AO327" s="16"/>
      <c r="AP327" s="14"/>
      <c r="AQ327" s="22"/>
    </row>
    <row r="328" spans="1:43">
      <c r="A328" s="14"/>
      <c r="B328" s="14"/>
      <c r="C328" s="14"/>
      <c r="D328" s="14"/>
      <c r="E328" s="14"/>
      <c r="F328" s="14"/>
      <c r="G328" s="14"/>
      <c r="H328" s="14"/>
      <c r="I328" s="15"/>
      <c r="J328" s="16"/>
      <c r="K328" s="17" t="str">
        <f>IF(B328="","",IF(AND(I328="",J328=""),"Unknown",IF(OR(AND(ISNUMBER(I328),I328=0),AND(ISNUMBER(J328),J328&lt;=EDATE('Scoring Settings'!$B$4,-'Scoring Settings'!$B$5))),"Not in use",IF(AND(ISNUMBER(I328),I328&lt;'Scoring Settings'!$B$6),"Low use","Active"))))</f>
        <v/>
      </c>
      <c r="L328" s="14"/>
      <c r="M328" s="14"/>
      <c r="N328" s="14"/>
      <c r="O328" s="14"/>
      <c r="P328" s="14"/>
      <c r="Q328" s="18"/>
      <c r="R328" s="14"/>
      <c r="S328" s="14"/>
      <c r="T328" s="14"/>
      <c r="U328" s="16"/>
      <c r="V328" s="14"/>
      <c r="W328" s="15"/>
      <c r="X328" s="14"/>
      <c r="Y328" s="18"/>
      <c r="Z328" s="14"/>
      <c r="AA328" s="14"/>
      <c r="AB328" s="18"/>
      <c r="AC328" s="14"/>
      <c r="AD328" s="14"/>
      <c r="AE328" s="14"/>
      <c r="AF328" s="19"/>
      <c r="AG328" s="16"/>
      <c r="AH328" s="19"/>
      <c r="AI328" s="19"/>
      <c r="AJ328" s="20" t="str">
        <f t="shared" si="5"/>
        <v/>
      </c>
      <c r="AK328" s="21" t="str">
        <f>IF(B328="","",OR(K328="Not in use",K328="Low use")+AND(N328&lt;&gt;"",N328&lt;&gt;"TBD")+AND(ISNUMBER(U328),U328&lt;=EDATE('Scoring Settings'!$B$4,'Scoring Settings'!$B$8))+AND(ISNUMBER(L328),L328&lt;='Scoring Settings'!$B$7))</f>
        <v/>
      </c>
      <c r="AL328" s="17" t="str">
        <f>IF(B328="","",IF(K328="Not in use","Priority – Not in use",IF(AK328&gt;='Scoring Settings'!$B$9,"Decommission",IF(AK328=1,"Review","Retain"))))</f>
        <v/>
      </c>
      <c r="AM328" s="17" t="str">
        <f>IF(B328="","",IF(Z328="N","Easy",IF(OR(AND(ISNUMBER(AB328),AB328&gt;'Scoring Settings'!$B$11),AND(ISNUMBER(W328),W328&gt;'Scoring Settings'!$B$12),AND(ISNUMBER(M328),M328&lt;='Scoring Settings'!$B$13)),"High","Medium")))</f>
        <v/>
      </c>
      <c r="AN328" s="14"/>
      <c r="AO328" s="16"/>
      <c r="AP328" s="14"/>
      <c r="AQ328" s="22"/>
    </row>
    <row r="329" spans="1:43">
      <c r="A329" s="14"/>
      <c r="B329" s="14"/>
      <c r="C329" s="14"/>
      <c r="D329" s="14"/>
      <c r="E329" s="14"/>
      <c r="F329" s="14"/>
      <c r="G329" s="14"/>
      <c r="H329" s="14"/>
      <c r="I329" s="15"/>
      <c r="J329" s="16"/>
      <c r="K329" s="17" t="str">
        <f>IF(B329="","",IF(AND(I329="",J329=""),"Unknown",IF(OR(AND(ISNUMBER(I329),I329=0),AND(ISNUMBER(J329),J329&lt;=EDATE('Scoring Settings'!$B$4,-'Scoring Settings'!$B$5))),"Not in use",IF(AND(ISNUMBER(I329),I329&lt;'Scoring Settings'!$B$6),"Low use","Active"))))</f>
        <v/>
      </c>
      <c r="L329" s="14"/>
      <c r="M329" s="14"/>
      <c r="N329" s="14"/>
      <c r="O329" s="14"/>
      <c r="P329" s="14"/>
      <c r="Q329" s="18"/>
      <c r="R329" s="14"/>
      <c r="S329" s="14"/>
      <c r="T329" s="14"/>
      <c r="U329" s="16"/>
      <c r="V329" s="14"/>
      <c r="W329" s="15"/>
      <c r="X329" s="14"/>
      <c r="Y329" s="18"/>
      <c r="Z329" s="14"/>
      <c r="AA329" s="14"/>
      <c r="AB329" s="18"/>
      <c r="AC329" s="14"/>
      <c r="AD329" s="14"/>
      <c r="AE329" s="14"/>
      <c r="AF329" s="19"/>
      <c r="AG329" s="16"/>
      <c r="AH329" s="19"/>
      <c r="AI329" s="19"/>
      <c r="AJ329" s="20" t="str">
        <f t="shared" si="5"/>
        <v/>
      </c>
      <c r="AK329" s="21" t="str">
        <f>IF(B329="","",OR(K329="Not in use",K329="Low use")+AND(N329&lt;&gt;"",N329&lt;&gt;"TBD")+AND(ISNUMBER(U329),U329&lt;=EDATE('Scoring Settings'!$B$4,'Scoring Settings'!$B$8))+AND(ISNUMBER(L329),L329&lt;='Scoring Settings'!$B$7))</f>
        <v/>
      </c>
      <c r="AL329" s="17" t="str">
        <f>IF(B329="","",IF(K329="Not in use","Priority – Not in use",IF(AK329&gt;='Scoring Settings'!$B$9,"Decommission",IF(AK329=1,"Review","Retain"))))</f>
        <v/>
      </c>
      <c r="AM329" s="17" t="str">
        <f>IF(B329="","",IF(Z329="N","Easy",IF(OR(AND(ISNUMBER(AB329),AB329&gt;'Scoring Settings'!$B$11),AND(ISNUMBER(W329),W329&gt;'Scoring Settings'!$B$12),AND(ISNUMBER(M329),M329&lt;='Scoring Settings'!$B$13)),"High","Medium")))</f>
        <v/>
      </c>
      <c r="AN329" s="14"/>
      <c r="AO329" s="16"/>
      <c r="AP329" s="14"/>
      <c r="AQ329" s="22"/>
    </row>
    <row r="330" spans="1:43">
      <c r="A330" s="14"/>
      <c r="B330" s="14"/>
      <c r="C330" s="14"/>
      <c r="D330" s="14"/>
      <c r="E330" s="14"/>
      <c r="F330" s="14"/>
      <c r="G330" s="14"/>
      <c r="H330" s="14"/>
      <c r="I330" s="15"/>
      <c r="J330" s="16"/>
      <c r="K330" s="17" t="str">
        <f>IF(B330="","",IF(AND(I330="",J330=""),"Unknown",IF(OR(AND(ISNUMBER(I330),I330=0),AND(ISNUMBER(J330),J330&lt;=EDATE('Scoring Settings'!$B$4,-'Scoring Settings'!$B$5))),"Not in use",IF(AND(ISNUMBER(I330),I330&lt;'Scoring Settings'!$B$6),"Low use","Active"))))</f>
        <v/>
      </c>
      <c r="L330" s="14"/>
      <c r="M330" s="14"/>
      <c r="N330" s="14"/>
      <c r="O330" s="14"/>
      <c r="P330" s="14"/>
      <c r="Q330" s="18"/>
      <c r="R330" s="14"/>
      <c r="S330" s="14"/>
      <c r="T330" s="14"/>
      <c r="U330" s="16"/>
      <c r="V330" s="14"/>
      <c r="W330" s="15"/>
      <c r="X330" s="14"/>
      <c r="Y330" s="18"/>
      <c r="Z330" s="14"/>
      <c r="AA330" s="14"/>
      <c r="AB330" s="18"/>
      <c r="AC330" s="14"/>
      <c r="AD330" s="14"/>
      <c r="AE330" s="14"/>
      <c r="AF330" s="19"/>
      <c r="AG330" s="16"/>
      <c r="AH330" s="19"/>
      <c r="AI330" s="19"/>
      <c r="AJ330" s="20" t="str">
        <f t="shared" si="5"/>
        <v/>
      </c>
      <c r="AK330" s="21" t="str">
        <f>IF(B330="","",OR(K330="Not in use",K330="Low use")+AND(N330&lt;&gt;"",N330&lt;&gt;"TBD")+AND(ISNUMBER(U330),U330&lt;=EDATE('Scoring Settings'!$B$4,'Scoring Settings'!$B$8))+AND(ISNUMBER(L330),L330&lt;='Scoring Settings'!$B$7))</f>
        <v/>
      </c>
      <c r="AL330" s="17" t="str">
        <f>IF(B330="","",IF(K330="Not in use","Priority – Not in use",IF(AK330&gt;='Scoring Settings'!$B$9,"Decommission",IF(AK330=1,"Review","Retain"))))</f>
        <v/>
      </c>
      <c r="AM330" s="17" t="str">
        <f>IF(B330="","",IF(Z330="N","Easy",IF(OR(AND(ISNUMBER(AB330),AB330&gt;'Scoring Settings'!$B$11),AND(ISNUMBER(W330),W330&gt;'Scoring Settings'!$B$12),AND(ISNUMBER(M330),M330&lt;='Scoring Settings'!$B$13)),"High","Medium")))</f>
        <v/>
      </c>
      <c r="AN330" s="14"/>
      <c r="AO330" s="16"/>
      <c r="AP330" s="14"/>
      <c r="AQ330" s="22"/>
    </row>
    <row r="331" spans="1:43">
      <c r="A331" s="14"/>
      <c r="B331" s="14"/>
      <c r="C331" s="14"/>
      <c r="D331" s="14"/>
      <c r="E331" s="14"/>
      <c r="F331" s="14"/>
      <c r="G331" s="14"/>
      <c r="H331" s="14"/>
      <c r="I331" s="15"/>
      <c r="J331" s="16"/>
      <c r="K331" s="17" t="str">
        <f>IF(B331="","",IF(AND(I331="",J331=""),"Unknown",IF(OR(AND(ISNUMBER(I331),I331=0),AND(ISNUMBER(J331),J331&lt;=EDATE('Scoring Settings'!$B$4,-'Scoring Settings'!$B$5))),"Not in use",IF(AND(ISNUMBER(I331),I331&lt;'Scoring Settings'!$B$6),"Low use","Active"))))</f>
        <v/>
      </c>
      <c r="L331" s="14"/>
      <c r="M331" s="14"/>
      <c r="N331" s="14"/>
      <c r="O331" s="14"/>
      <c r="P331" s="14"/>
      <c r="Q331" s="18"/>
      <c r="R331" s="14"/>
      <c r="S331" s="14"/>
      <c r="T331" s="14"/>
      <c r="U331" s="16"/>
      <c r="V331" s="14"/>
      <c r="W331" s="15"/>
      <c r="X331" s="14"/>
      <c r="Y331" s="18"/>
      <c r="Z331" s="14"/>
      <c r="AA331" s="14"/>
      <c r="AB331" s="18"/>
      <c r="AC331" s="14"/>
      <c r="AD331" s="14"/>
      <c r="AE331" s="14"/>
      <c r="AF331" s="19"/>
      <c r="AG331" s="16"/>
      <c r="AH331" s="19"/>
      <c r="AI331" s="19"/>
      <c r="AJ331" s="20" t="str">
        <f t="shared" si="5"/>
        <v/>
      </c>
      <c r="AK331" s="21" t="str">
        <f>IF(B331="","",OR(K331="Not in use",K331="Low use")+AND(N331&lt;&gt;"",N331&lt;&gt;"TBD")+AND(ISNUMBER(U331),U331&lt;=EDATE('Scoring Settings'!$B$4,'Scoring Settings'!$B$8))+AND(ISNUMBER(L331),L331&lt;='Scoring Settings'!$B$7))</f>
        <v/>
      </c>
      <c r="AL331" s="17" t="str">
        <f>IF(B331="","",IF(K331="Not in use","Priority – Not in use",IF(AK331&gt;='Scoring Settings'!$B$9,"Decommission",IF(AK331=1,"Review","Retain"))))</f>
        <v/>
      </c>
      <c r="AM331" s="17" t="str">
        <f>IF(B331="","",IF(Z331="N","Easy",IF(OR(AND(ISNUMBER(AB331),AB331&gt;'Scoring Settings'!$B$11),AND(ISNUMBER(W331),W331&gt;'Scoring Settings'!$B$12),AND(ISNUMBER(M331),M331&lt;='Scoring Settings'!$B$13)),"High","Medium")))</f>
        <v/>
      </c>
      <c r="AN331" s="14"/>
      <c r="AO331" s="16"/>
      <c r="AP331" s="14"/>
      <c r="AQ331" s="22"/>
    </row>
    <row r="332" spans="1:43">
      <c r="A332" s="14"/>
      <c r="B332" s="14"/>
      <c r="C332" s="14"/>
      <c r="D332" s="14"/>
      <c r="E332" s="14"/>
      <c r="F332" s="14"/>
      <c r="G332" s="14"/>
      <c r="H332" s="14"/>
      <c r="I332" s="15"/>
      <c r="J332" s="16"/>
      <c r="K332" s="17" t="str">
        <f>IF(B332="","",IF(AND(I332="",J332=""),"Unknown",IF(OR(AND(ISNUMBER(I332),I332=0),AND(ISNUMBER(J332),J332&lt;=EDATE('Scoring Settings'!$B$4,-'Scoring Settings'!$B$5))),"Not in use",IF(AND(ISNUMBER(I332),I332&lt;'Scoring Settings'!$B$6),"Low use","Active"))))</f>
        <v/>
      </c>
      <c r="L332" s="14"/>
      <c r="M332" s="14"/>
      <c r="N332" s="14"/>
      <c r="O332" s="14"/>
      <c r="P332" s="14"/>
      <c r="Q332" s="18"/>
      <c r="R332" s="14"/>
      <c r="S332" s="14"/>
      <c r="T332" s="14"/>
      <c r="U332" s="16"/>
      <c r="V332" s="14"/>
      <c r="W332" s="15"/>
      <c r="X332" s="14"/>
      <c r="Y332" s="18"/>
      <c r="Z332" s="14"/>
      <c r="AA332" s="14"/>
      <c r="AB332" s="18"/>
      <c r="AC332" s="14"/>
      <c r="AD332" s="14"/>
      <c r="AE332" s="14"/>
      <c r="AF332" s="19"/>
      <c r="AG332" s="16"/>
      <c r="AH332" s="19"/>
      <c r="AI332" s="19"/>
      <c r="AJ332" s="20" t="str">
        <f t="shared" si="5"/>
        <v/>
      </c>
      <c r="AK332" s="21" t="str">
        <f>IF(B332="","",OR(K332="Not in use",K332="Low use")+AND(N332&lt;&gt;"",N332&lt;&gt;"TBD")+AND(ISNUMBER(U332),U332&lt;=EDATE('Scoring Settings'!$B$4,'Scoring Settings'!$B$8))+AND(ISNUMBER(L332),L332&lt;='Scoring Settings'!$B$7))</f>
        <v/>
      </c>
      <c r="AL332" s="17" t="str">
        <f>IF(B332="","",IF(K332="Not in use","Priority – Not in use",IF(AK332&gt;='Scoring Settings'!$B$9,"Decommission",IF(AK332=1,"Review","Retain"))))</f>
        <v/>
      </c>
      <c r="AM332" s="17" t="str">
        <f>IF(B332="","",IF(Z332="N","Easy",IF(OR(AND(ISNUMBER(AB332),AB332&gt;'Scoring Settings'!$B$11),AND(ISNUMBER(W332),W332&gt;'Scoring Settings'!$B$12),AND(ISNUMBER(M332),M332&lt;='Scoring Settings'!$B$13)),"High","Medium")))</f>
        <v/>
      </c>
      <c r="AN332" s="14"/>
      <c r="AO332" s="16"/>
      <c r="AP332" s="14"/>
      <c r="AQ332" s="22"/>
    </row>
    <row r="333" spans="1:43">
      <c r="A333" s="14"/>
      <c r="B333" s="14"/>
      <c r="C333" s="14"/>
      <c r="D333" s="14"/>
      <c r="E333" s="14"/>
      <c r="F333" s="14"/>
      <c r="G333" s="14"/>
      <c r="H333" s="14"/>
      <c r="I333" s="15"/>
      <c r="J333" s="16"/>
      <c r="K333" s="17" t="str">
        <f>IF(B333="","",IF(AND(I333="",J333=""),"Unknown",IF(OR(AND(ISNUMBER(I333),I333=0),AND(ISNUMBER(J333),J333&lt;=EDATE('Scoring Settings'!$B$4,-'Scoring Settings'!$B$5))),"Not in use",IF(AND(ISNUMBER(I333),I333&lt;'Scoring Settings'!$B$6),"Low use","Active"))))</f>
        <v/>
      </c>
      <c r="L333" s="14"/>
      <c r="M333" s="14"/>
      <c r="N333" s="14"/>
      <c r="O333" s="14"/>
      <c r="P333" s="14"/>
      <c r="Q333" s="18"/>
      <c r="R333" s="14"/>
      <c r="S333" s="14"/>
      <c r="T333" s="14"/>
      <c r="U333" s="16"/>
      <c r="V333" s="14"/>
      <c r="W333" s="15"/>
      <c r="X333" s="14"/>
      <c r="Y333" s="18"/>
      <c r="Z333" s="14"/>
      <c r="AA333" s="14"/>
      <c r="AB333" s="18"/>
      <c r="AC333" s="14"/>
      <c r="AD333" s="14"/>
      <c r="AE333" s="14"/>
      <c r="AF333" s="19"/>
      <c r="AG333" s="16"/>
      <c r="AH333" s="19"/>
      <c r="AI333" s="19"/>
      <c r="AJ333" s="20" t="str">
        <f t="shared" si="5"/>
        <v/>
      </c>
      <c r="AK333" s="21" t="str">
        <f>IF(B333="","",OR(K333="Not in use",K333="Low use")+AND(N333&lt;&gt;"",N333&lt;&gt;"TBD")+AND(ISNUMBER(U333),U333&lt;=EDATE('Scoring Settings'!$B$4,'Scoring Settings'!$B$8))+AND(ISNUMBER(L333),L333&lt;='Scoring Settings'!$B$7))</f>
        <v/>
      </c>
      <c r="AL333" s="17" t="str">
        <f>IF(B333="","",IF(K333="Not in use","Priority – Not in use",IF(AK333&gt;='Scoring Settings'!$B$9,"Decommission",IF(AK333=1,"Review","Retain"))))</f>
        <v/>
      </c>
      <c r="AM333" s="17" t="str">
        <f>IF(B333="","",IF(Z333="N","Easy",IF(OR(AND(ISNUMBER(AB333),AB333&gt;'Scoring Settings'!$B$11),AND(ISNUMBER(W333),W333&gt;'Scoring Settings'!$B$12),AND(ISNUMBER(M333),M333&lt;='Scoring Settings'!$B$13)),"High","Medium")))</f>
        <v/>
      </c>
      <c r="AN333" s="14"/>
      <c r="AO333" s="16"/>
      <c r="AP333" s="14"/>
      <c r="AQ333" s="22"/>
    </row>
    <row r="334" spans="1:43">
      <c r="A334" s="14"/>
      <c r="B334" s="14"/>
      <c r="C334" s="14"/>
      <c r="D334" s="14"/>
      <c r="E334" s="14"/>
      <c r="F334" s="14"/>
      <c r="G334" s="14"/>
      <c r="H334" s="14"/>
      <c r="I334" s="15"/>
      <c r="J334" s="16"/>
      <c r="K334" s="17" t="str">
        <f>IF(B334="","",IF(AND(I334="",J334=""),"Unknown",IF(OR(AND(ISNUMBER(I334),I334=0),AND(ISNUMBER(J334),J334&lt;=EDATE('Scoring Settings'!$B$4,-'Scoring Settings'!$B$5))),"Not in use",IF(AND(ISNUMBER(I334),I334&lt;'Scoring Settings'!$B$6),"Low use","Active"))))</f>
        <v/>
      </c>
      <c r="L334" s="14"/>
      <c r="M334" s="14"/>
      <c r="N334" s="14"/>
      <c r="O334" s="14"/>
      <c r="P334" s="14"/>
      <c r="Q334" s="18"/>
      <c r="R334" s="14"/>
      <c r="S334" s="14"/>
      <c r="T334" s="14"/>
      <c r="U334" s="16"/>
      <c r="V334" s="14"/>
      <c r="W334" s="15"/>
      <c r="X334" s="14"/>
      <c r="Y334" s="18"/>
      <c r="Z334" s="14"/>
      <c r="AA334" s="14"/>
      <c r="AB334" s="18"/>
      <c r="AC334" s="14"/>
      <c r="AD334" s="14"/>
      <c r="AE334" s="14"/>
      <c r="AF334" s="19"/>
      <c r="AG334" s="16"/>
      <c r="AH334" s="19"/>
      <c r="AI334" s="19"/>
      <c r="AJ334" s="20" t="str">
        <f t="shared" si="5"/>
        <v/>
      </c>
      <c r="AK334" s="21" t="str">
        <f>IF(B334="","",OR(K334="Not in use",K334="Low use")+AND(N334&lt;&gt;"",N334&lt;&gt;"TBD")+AND(ISNUMBER(U334),U334&lt;=EDATE('Scoring Settings'!$B$4,'Scoring Settings'!$B$8))+AND(ISNUMBER(L334),L334&lt;='Scoring Settings'!$B$7))</f>
        <v/>
      </c>
      <c r="AL334" s="17" t="str">
        <f>IF(B334="","",IF(K334="Not in use","Priority – Not in use",IF(AK334&gt;='Scoring Settings'!$B$9,"Decommission",IF(AK334=1,"Review","Retain"))))</f>
        <v/>
      </c>
      <c r="AM334" s="17" t="str">
        <f>IF(B334="","",IF(Z334="N","Easy",IF(OR(AND(ISNUMBER(AB334),AB334&gt;'Scoring Settings'!$B$11),AND(ISNUMBER(W334),W334&gt;'Scoring Settings'!$B$12),AND(ISNUMBER(M334),M334&lt;='Scoring Settings'!$B$13)),"High","Medium")))</f>
        <v/>
      </c>
      <c r="AN334" s="14"/>
      <c r="AO334" s="16"/>
      <c r="AP334" s="14"/>
      <c r="AQ334" s="22"/>
    </row>
    <row r="335" spans="1:43">
      <c r="A335" s="14"/>
      <c r="B335" s="14"/>
      <c r="C335" s="14"/>
      <c r="D335" s="14"/>
      <c r="E335" s="14"/>
      <c r="F335" s="14"/>
      <c r="G335" s="14"/>
      <c r="H335" s="14"/>
      <c r="I335" s="15"/>
      <c r="J335" s="16"/>
      <c r="K335" s="17" t="str">
        <f>IF(B335="","",IF(AND(I335="",J335=""),"Unknown",IF(OR(AND(ISNUMBER(I335),I335=0),AND(ISNUMBER(J335),J335&lt;=EDATE('Scoring Settings'!$B$4,-'Scoring Settings'!$B$5))),"Not in use",IF(AND(ISNUMBER(I335),I335&lt;'Scoring Settings'!$B$6),"Low use","Active"))))</f>
        <v/>
      </c>
      <c r="L335" s="14"/>
      <c r="M335" s="14"/>
      <c r="N335" s="14"/>
      <c r="O335" s="14"/>
      <c r="P335" s="14"/>
      <c r="Q335" s="18"/>
      <c r="R335" s="14"/>
      <c r="S335" s="14"/>
      <c r="T335" s="14"/>
      <c r="U335" s="16"/>
      <c r="V335" s="14"/>
      <c r="W335" s="15"/>
      <c r="X335" s="14"/>
      <c r="Y335" s="18"/>
      <c r="Z335" s="14"/>
      <c r="AA335" s="14"/>
      <c r="AB335" s="18"/>
      <c r="AC335" s="14"/>
      <c r="AD335" s="14"/>
      <c r="AE335" s="14"/>
      <c r="AF335" s="19"/>
      <c r="AG335" s="16"/>
      <c r="AH335" s="19"/>
      <c r="AI335" s="19"/>
      <c r="AJ335" s="20" t="str">
        <f t="shared" si="5"/>
        <v/>
      </c>
      <c r="AK335" s="21" t="str">
        <f>IF(B335="","",OR(K335="Not in use",K335="Low use")+AND(N335&lt;&gt;"",N335&lt;&gt;"TBD")+AND(ISNUMBER(U335),U335&lt;=EDATE('Scoring Settings'!$B$4,'Scoring Settings'!$B$8))+AND(ISNUMBER(L335),L335&lt;='Scoring Settings'!$B$7))</f>
        <v/>
      </c>
      <c r="AL335" s="17" t="str">
        <f>IF(B335="","",IF(K335="Not in use","Priority – Not in use",IF(AK335&gt;='Scoring Settings'!$B$9,"Decommission",IF(AK335=1,"Review","Retain"))))</f>
        <v/>
      </c>
      <c r="AM335" s="17" t="str">
        <f>IF(B335="","",IF(Z335="N","Easy",IF(OR(AND(ISNUMBER(AB335),AB335&gt;'Scoring Settings'!$B$11),AND(ISNUMBER(W335),W335&gt;'Scoring Settings'!$B$12),AND(ISNUMBER(M335),M335&lt;='Scoring Settings'!$B$13)),"High","Medium")))</f>
        <v/>
      </c>
      <c r="AN335" s="14"/>
      <c r="AO335" s="16"/>
      <c r="AP335" s="14"/>
      <c r="AQ335" s="22"/>
    </row>
    <row r="336" spans="1:43">
      <c r="A336" s="14"/>
      <c r="B336" s="14"/>
      <c r="C336" s="14"/>
      <c r="D336" s="14"/>
      <c r="E336" s="14"/>
      <c r="F336" s="14"/>
      <c r="G336" s="14"/>
      <c r="H336" s="14"/>
      <c r="I336" s="15"/>
      <c r="J336" s="16"/>
      <c r="K336" s="17" t="str">
        <f>IF(B336="","",IF(AND(I336="",J336=""),"Unknown",IF(OR(AND(ISNUMBER(I336),I336=0),AND(ISNUMBER(J336),J336&lt;=EDATE('Scoring Settings'!$B$4,-'Scoring Settings'!$B$5))),"Not in use",IF(AND(ISNUMBER(I336),I336&lt;'Scoring Settings'!$B$6),"Low use","Active"))))</f>
        <v/>
      </c>
      <c r="L336" s="14"/>
      <c r="M336" s="14"/>
      <c r="N336" s="14"/>
      <c r="O336" s="14"/>
      <c r="P336" s="14"/>
      <c r="Q336" s="18"/>
      <c r="R336" s="14"/>
      <c r="S336" s="14"/>
      <c r="T336" s="14"/>
      <c r="U336" s="16"/>
      <c r="V336" s="14"/>
      <c r="W336" s="15"/>
      <c r="X336" s="14"/>
      <c r="Y336" s="18"/>
      <c r="Z336" s="14"/>
      <c r="AA336" s="14"/>
      <c r="AB336" s="18"/>
      <c r="AC336" s="14"/>
      <c r="AD336" s="14"/>
      <c r="AE336" s="14"/>
      <c r="AF336" s="19"/>
      <c r="AG336" s="16"/>
      <c r="AH336" s="19"/>
      <c r="AI336" s="19"/>
      <c r="AJ336" s="20" t="str">
        <f t="shared" si="5"/>
        <v/>
      </c>
      <c r="AK336" s="21" t="str">
        <f>IF(B336="","",OR(K336="Not in use",K336="Low use")+AND(N336&lt;&gt;"",N336&lt;&gt;"TBD")+AND(ISNUMBER(U336),U336&lt;=EDATE('Scoring Settings'!$B$4,'Scoring Settings'!$B$8))+AND(ISNUMBER(L336),L336&lt;='Scoring Settings'!$B$7))</f>
        <v/>
      </c>
      <c r="AL336" s="17" t="str">
        <f>IF(B336="","",IF(K336="Not in use","Priority – Not in use",IF(AK336&gt;='Scoring Settings'!$B$9,"Decommission",IF(AK336=1,"Review","Retain"))))</f>
        <v/>
      </c>
      <c r="AM336" s="17" t="str">
        <f>IF(B336="","",IF(Z336="N","Easy",IF(OR(AND(ISNUMBER(AB336),AB336&gt;'Scoring Settings'!$B$11),AND(ISNUMBER(W336),W336&gt;'Scoring Settings'!$B$12),AND(ISNUMBER(M336),M336&lt;='Scoring Settings'!$B$13)),"High","Medium")))</f>
        <v/>
      </c>
      <c r="AN336" s="14"/>
      <c r="AO336" s="16"/>
      <c r="AP336" s="14"/>
      <c r="AQ336" s="22"/>
    </row>
    <row r="337" spans="1:43">
      <c r="A337" s="14"/>
      <c r="B337" s="14"/>
      <c r="C337" s="14"/>
      <c r="D337" s="14"/>
      <c r="E337" s="14"/>
      <c r="F337" s="14"/>
      <c r="G337" s="14"/>
      <c r="H337" s="14"/>
      <c r="I337" s="15"/>
      <c r="J337" s="16"/>
      <c r="K337" s="17" t="str">
        <f>IF(B337="","",IF(AND(I337="",J337=""),"Unknown",IF(OR(AND(ISNUMBER(I337),I337=0),AND(ISNUMBER(J337),J337&lt;=EDATE('Scoring Settings'!$B$4,-'Scoring Settings'!$B$5))),"Not in use",IF(AND(ISNUMBER(I337),I337&lt;'Scoring Settings'!$B$6),"Low use","Active"))))</f>
        <v/>
      </c>
      <c r="L337" s="14"/>
      <c r="M337" s="14"/>
      <c r="N337" s="14"/>
      <c r="O337" s="14"/>
      <c r="P337" s="14"/>
      <c r="Q337" s="18"/>
      <c r="R337" s="14"/>
      <c r="S337" s="14"/>
      <c r="T337" s="14"/>
      <c r="U337" s="16"/>
      <c r="V337" s="14"/>
      <c r="W337" s="15"/>
      <c r="X337" s="14"/>
      <c r="Y337" s="18"/>
      <c r="Z337" s="14"/>
      <c r="AA337" s="14"/>
      <c r="AB337" s="18"/>
      <c r="AC337" s="14"/>
      <c r="AD337" s="14"/>
      <c r="AE337" s="14"/>
      <c r="AF337" s="19"/>
      <c r="AG337" s="16"/>
      <c r="AH337" s="19"/>
      <c r="AI337" s="19"/>
      <c r="AJ337" s="20" t="str">
        <f t="shared" si="5"/>
        <v/>
      </c>
      <c r="AK337" s="21" t="str">
        <f>IF(B337="","",OR(K337="Not in use",K337="Low use")+AND(N337&lt;&gt;"",N337&lt;&gt;"TBD")+AND(ISNUMBER(U337),U337&lt;=EDATE('Scoring Settings'!$B$4,'Scoring Settings'!$B$8))+AND(ISNUMBER(L337),L337&lt;='Scoring Settings'!$B$7))</f>
        <v/>
      </c>
      <c r="AL337" s="17" t="str">
        <f>IF(B337="","",IF(K337="Not in use","Priority – Not in use",IF(AK337&gt;='Scoring Settings'!$B$9,"Decommission",IF(AK337=1,"Review","Retain"))))</f>
        <v/>
      </c>
      <c r="AM337" s="17" t="str">
        <f>IF(B337="","",IF(Z337="N","Easy",IF(OR(AND(ISNUMBER(AB337),AB337&gt;'Scoring Settings'!$B$11),AND(ISNUMBER(W337),W337&gt;'Scoring Settings'!$B$12),AND(ISNUMBER(M337),M337&lt;='Scoring Settings'!$B$13)),"High","Medium")))</f>
        <v/>
      </c>
      <c r="AN337" s="14"/>
      <c r="AO337" s="16"/>
      <c r="AP337" s="14"/>
      <c r="AQ337" s="22"/>
    </row>
    <row r="338" spans="1:43">
      <c r="A338" s="14"/>
      <c r="B338" s="14"/>
      <c r="C338" s="14"/>
      <c r="D338" s="14"/>
      <c r="E338" s="14"/>
      <c r="F338" s="14"/>
      <c r="G338" s="14"/>
      <c r="H338" s="14"/>
      <c r="I338" s="15"/>
      <c r="J338" s="16"/>
      <c r="K338" s="17" t="str">
        <f>IF(B338="","",IF(AND(I338="",J338=""),"Unknown",IF(OR(AND(ISNUMBER(I338),I338=0),AND(ISNUMBER(J338),J338&lt;=EDATE('Scoring Settings'!$B$4,-'Scoring Settings'!$B$5))),"Not in use",IF(AND(ISNUMBER(I338),I338&lt;'Scoring Settings'!$B$6),"Low use","Active"))))</f>
        <v/>
      </c>
      <c r="L338" s="14"/>
      <c r="M338" s="14"/>
      <c r="N338" s="14"/>
      <c r="O338" s="14"/>
      <c r="P338" s="14"/>
      <c r="Q338" s="18"/>
      <c r="R338" s="14"/>
      <c r="S338" s="14"/>
      <c r="T338" s="14"/>
      <c r="U338" s="16"/>
      <c r="V338" s="14"/>
      <c r="W338" s="15"/>
      <c r="X338" s="14"/>
      <c r="Y338" s="18"/>
      <c r="Z338" s="14"/>
      <c r="AA338" s="14"/>
      <c r="AB338" s="18"/>
      <c r="AC338" s="14"/>
      <c r="AD338" s="14"/>
      <c r="AE338" s="14"/>
      <c r="AF338" s="19"/>
      <c r="AG338" s="16"/>
      <c r="AH338" s="19"/>
      <c r="AI338" s="19"/>
      <c r="AJ338" s="20" t="str">
        <f t="shared" si="5"/>
        <v/>
      </c>
      <c r="AK338" s="21" t="str">
        <f>IF(B338="","",OR(K338="Not in use",K338="Low use")+AND(N338&lt;&gt;"",N338&lt;&gt;"TBD")+AND(ISNUMBER(U338),U338&lt;=EDATE('Scoring Settings'!$B$4,'Scoring Settings'!$B$8))+AND(ISNUMBER(L338),L338&lt;='Scoring Settings'!$B$7))</f>
        <v/>
      </c>
      <c r="AL338" s="17" t="str">
        <f>IF(B338="","",IF(K338="Not in use","Priority – Not in use",IF(AK338&gt;='Scoring Settings'!$B$9,"Decommission",IF(AK338=1,"Review","Retain"))))</f>
        <v/>
      </c>
      <c r="AM338" s="17" t="str">
        <f>IF(B338="","",IF(Z338="N","Easy",IF(OR(AND(ISNUMBER(AB338),AB338&gt;'Scoring Settings'!$B$11),AND(ISNUMBER(W338),W338&gt;'Scoring Settings'!$B$12),AND(ISNUMBER(M338),M338&lt;='Scoring Settings'!$B$13)),"High","Medium")))</f>
        <v/>
      </c>
      <c r="AN338" s="14"/>
      <c r="AO338" s="16"/>
      <c r="AP338" s="14"/>
      <c r="AQ338" s="22"/>
    </row>
    <row r="339" spans="1:43">
      <c r="A339" s="14"/>
      <c r="B339" s="14"/>
      <c r="C339" s="14"/>
      <c r="D339" s="14"/>
      <c r="E339" s="14"/>
      <c r="F339" s="14"/>
      <c r="G339" s="14"/>
      <c r="H339" s="14"/>
      <c r="I339" s="15"/>
      <c r="J339" s="16"/>
      <c r="K339" s="17" t="str">
        <f>IF(B339="","",IF(AND(I339="",J339=""),"Unknown",IF(OR(AND(ISNUMBER(I339),I339=0),AND(ISNUMBER(J339),J339&lt;=EDATE('Scoring Settings'!$B$4,-'Scoring Settings'!$B$5))),"Not in use",IF(AND(ISNUMBER(I339),I339&lt;'Scoring Settings'!$B$6),"Low use","Active"))))</f>
        <v/>
      </c>
      <c r="L339" s="14"/>
      <c r="M339" s="14"/>
      <c r="N339" s="14"/>
      <c r="O339" s="14"/>
      <c r="P339" s="14"/>
      <c r="Q339" s="18"/>
      <c r="R339" s="14"/>
      <c r="S339" s="14"/>
      <c r="T339" s="14"/>
      <c r="U339" s="16"/>
      <c r="V339" s="14"/>
      <c r="W339" s="15"/>
      <c r="X339" s="14"/>
      <c r="Y339" s="18"/>
      <c r="Z339" s="14"/>
      <c r="AA339" s="14"/>
      <c r="AB339" s="18"/>
      <c r="AC339" s="14"/>
      <c r="AD339" s="14"/>
      <c r="AE339" s="14"/>
      <c r="AF339" s="19"/>
      <c r="AG339" s="16"/>
      <c r="AH339" s="19"/>
      <c r="AI339" s="19"/>
      <c r="AJ339" s="20" t="str">
        <f t="shared" si="5"/>
        <v/>
      </c>
      <c r="AK339" s="21" t="str">
        <f>IF(B339="","",OR(K339="Not in use",K339="Low use")+AND(N339&lt;&gt;"",N339&lt;&gt;"TBD")+AND(ISNUMBER(U339),U339&lt;=EDATE('Scoring Settings'!$B$4,'Scoring Settings'!$B$8))+AND(ISNUMBER(L339),L339&lt;='Scoring Settings'!$B$7))</f>
        <v/>
      </c>
      <c r="AL339" s="17" t="str">
        <f>IF(B339="","",IF(K339="Not in use","Priority – Not in use",IF(AK339&gt;='Scoring Settings'!$B$9,"Decommission",IF(AK339=1,"Review","Retain"))))</f>
        <v/>
      </c>
      <c r="AM339" s="17" t="str">
        <f>IF(B339="","",IF(Z339="N","Easy",IF(OR(AND(ISNUMBER(AB339),AB339&gt;'Scoring Settings'!$B$11),AND(ISNUMBER(W339),W339&gt;'Scoring Settings'!$B$12),AND(ISNUMBER(M339),M339&lt;='Scoring Settings'!$B$13)),"High","Medium")))</f>
        <v/>
      </c>
      <c r="AN339" s="14"/>
      <c r="AO339" s="16"/>
      <c r="AP339" s="14"/>
      <c r="AQ339" s="22"/>
    </row>
    <row r="340" spans="1:43">
      <c r="A340" s="14"/>
      <c r="B340" s="14"/>
      <c r="C340" s="14"/>
      <c r="D340" s="14"/>
      <c r="E340" s="14"/>
      <c r="F340" s="14"/>
      <c r="G340" s="14"/>
      <c r="H340" s="14"/>
      <c r="I340" s="15"/>
      <c r="J340" s="16"/>
      <c r="K340" s="17" t="str">
        <f>IF(B340="","",IF(AND(I340="",J340=""),"Unknown",IF(OR(AND(ISNUMBER(I340),I340=0),AND(ISNUMBER(J340),J340&lt;=EDATE('Scoring Settings'!$B$4,-'Scoring Settings'!$B$5))),"Not in use",IF(AND(ISNUMBER(I340),I340&lt;'Scoring Settings'!$B$6),"Low use","Active"))))</f>
        <v/>
      </c>
      <c r="L340" s="14"/>
      <c r="M340" s="14"/>
      <c r="N340" s="14"/>
      <c r="O340" s="14"/>
      <c r="P340" s="14"/>
      <c r="Q340" s="18"/>
      <c r="R340" s="14"/>
      <c r="S340" s="14"/>
      <c r="T340" s="14"/>
      <c r="U340" s="16"/>
      <c r="V340" s="14"/>
      <c r="W340" s="15"/>
      <c r="X340" s="14"/>
      <c r="Y340" s="18"/>
      <c r="Z340" s="14"/>
      <c r="AA340" s="14"/>
      <c r="AB340" s="18"/>
      <c r="AC340" s="14"/>
      <c r="AD340" s="14"/>
      <c r="AE340" s="14"/>
      <c r="AF340" s="19"/>
      <c r="AG340" s="16"/>
      <c r="AH340" s="19"/>
      <c r="AI340" s="19"/>
      <c r="AJ340" s="20" t="str">
        <f t="shared" si="5"/>
        <v/>
      </c>
      <c r="AK340" s="21" t="str">
        <f>IF(B340="","",OR(K340="Not in use",K340="Low use")+AND(N340&lt;&gt;"",N340&lt;&gt;"TBD")+AND(ISNUMBER(U340),U340&lt;=EDATE('Scoring Settings'!$B$4,'Scoring Settings'!$B$8))+AND(ISNUMBER(L340),L340&lt;='Scoring Settings'!$B$7))</f>
        <v/>
      </c>
      <c r="AL340" s="17" t="str">
        <f>IF(B340="","",IF(K340="Not in use","Priority – Not in use",IF(AK340&gt;='Scoring Settings'!$B$9,"Decommission",IF(AK340=1,"Review","Retain"))))</f>
        <v/>
      </c>
      <c r="AM340" s="17" t="str">
        <f>IF(B340="","",IF(Z340="N","Easy",IF(OR(AND(ISNUMBER(AB340),AB340&gt;'Scoring Settings'!$B$11),AND(ISNUMBER(W340),W340&gt;'Scoring Settings'!$B$12),AND(ISNUMBER(M340),M340&lt;='Scoring Settings'!$B$13)),"High","Medium")))</f>
        <v/>
      </c>
      <c r="AN340" s="14"/>
      <c r="AO340" s="16"/>
      <c r="AP340" s="14"/>
      <c r="AQ340" s="22"/>
    </row>
    <row r="341" spans="1:43">
      <c r="A341" s="14"/>
      <c r="B341" s="14"/>
      <c r="C341" s="14"/>
      <c r="D341" s="14"/>
      <c r="E341" s="14"/>
      <c r="F341" s="14"/>
      <c r="G341" s="14"/>
      <c r="H341" s="14"/>
      <c r="I341" s="15"/>
      <c r="J341" s="16"/>
      <c r="K341" s="17" t="str">
        <f>IF(B341="","",IF(AND(I341="",J341=""),"Unknown",IF(OR(AND(ISNUMBER(I341),I341=0),AND(ISNUMBER(J341),J341&lt;=EDATE('Scoring Settings'!$B$4,-'Scoring Settings'!$B$5))),"Not in use",IF(AND(ISNUMBER(I341),I341&lt;'Scoring Settings'!$B$6),"Low use","Active"))))</f>
        <v/>
      </c>
      <c r="L341" s="14"/>
      <c r="M341" s="14"/>
      <c r="N341" s="14"/>
      <c r="O341" s="14"/>
      <c r="P341" s="14"/>
      <c r="Q341" s="18"/>
      <c r="R341" s="14"/>
      <c r="S341" s="14"/>
      <c r="T341" s="14"/>
      <c r="U341" s="16"/>
      <c r="V341" s="14"/>
      <c r="W341" s="15"/>
      <c r="X341" s="14"/>
      <c r="Y341" s="18"/>
      <c r="Z341" s="14"/>
      <c r="AA341" s="14"/>
      <c r="AB341" s="18"/>
      <c r="AC341" s="14"/>
      <c r="AD341" s="14"/>
      <c r="AE341" s="14"/>
      <c r="AF341" s="19"/>
      <c r="AG341" s="16"/>
      <c r="AH341" s="19"/>
      <c r="AI341" s="19"/>
      <c r="AJ341" s="20" t="str">
        <f t="shared" si="5"/>
        <v/>
      </c>
      <c r="AK341" s="21" t="str">
        <f>IF(B341="","",OR(K341="Not in use",K341="Low use")+AND(N341&lt;&gt;"",N341&lt;&gt;"TBD")+AND(ISNUMBER(U341),U341&lt;=EDATE('Scoring Settings'!$B$4,'Scoring Settings'!$B$8))+AND(ISNUMBER(L341),L341&lt;='Scoring Settings'!$B$7))</f>
        <v/>
      </c>
      <c r="AL341" s="17" t="str">
        <f>IF(B341="","",IF(K341="Not in use","Priority – Not in use",IF(AK341&gt;='Scoring Settings'!$B$9,"Decommission",IF(AK341=1,"Review","Retain"))))</f>
        <v/>
      </c>
      <c r="AM341" s="17" t="str">
        <f>IF(B341="","",IF(Z341="N","Easy",IF(OR(AND(ISNUMBER(AB341),AB341&gt;'Scoring Settings'!$B$11),AND(ISNUMBER(W341),W341&gt;'Scoring Settings'!$B$12),AND(ISNUMBER(M341),M341&lt;='Scoring Settings'!$B$13)),"High","Medium")))</f>
        <v/>
      </c>
      <c r="AN341" s="14"/>
      <c r="AO341" s="16"/>
      <c r="AP341" s="14"/>
      <c r="AQ341" s="22"/>
    </row>
    <row r="342" spans="1:43">
      <c r="A342" s="14"/>
      <c r="B342" s="14"/>
      <c r="C342" s="14"/>
      <c r="D342" s="14"/>
      <c r="E342" s="14"/>
      <c r="F342" s="14"/>
      <c r="G342" s="14"/>
      <c r="H342" s="14"/>
      <c r="I342" s="15"/>
      <c r="J342" s="16"/>
      <c r="K342" s="17" t="str">
        <f>IF(B342="","",IF(AND(I342="",J342=""),"Unknown",IF(OR(AND(ISNUMBER(I342),I342=0),AND(ISNUMBER(J342),J342&lt;=EDATE('Scoring Settings'!$B$4,-'Scoring Settings'!$B$5))),"Not in use",IF(AND(ISNUMBER(I342),I342&lt;'Scoring Settings'!$B$6),"Low use","Active"))))</f>
        <v/>
      </c>
      <c r="L342" s="14"/>
      <c r="M342" s="14"/>
      <c r="N342" s="14"/>
      <c r="O342" s="14"/>
      <c r="P342" s="14"/>
      <c r="Q342" s="18"/>
      <c r="R342" s="14"/>
      <c r="S342" s="14"/>
      <c r="T342" s="14"/>
      <c r="U342" s="16"/>
      <c r="V342" s="14"/>
      <c r="W342" s="15"/>
      <c r="X342" s="14"/>
      <c r="Y342" s="18"/>
      <c r="Z342" s="14"/>
      <c r="AA342" s="14"/>
      <c r="AB342" s="18"/>
      <c r="AC342" s="14"/>
      <c r="AD342" s="14"/>
      <c r="AE342" s="14"/>
      <c r="AF342" s="19"/>
      <c r="AG342" s="16"/>
      <c r="AH342" s="19"/>
      <c r="AI342" s="19"/>
      <c r="AJ342" s="20" t="str">
        <f t="shared" si="5"/>
        <v/>
      </c>
      <c r="AK342" s="21" t="str">
        <f>IF(B342="","",OR(K342="Not in use",K342="Low use")+AND(N342&lt;&gt;"",N342&lt;&gt;"TBD")+AND(ISNUMBER(U342),U342&lt;=EDATE('Scoring Settings'!$B$4,'Scoring Settings'!$B$8))+AND(ISNUMBER(L342),L342&lt;='Scoring Settings'!$B$7))</f>
        <v/>
      </c>
      <c r="AL342" s="17" t="str">
        <f>IF(B342="","",IF(K342="Not in use","Priority – Not in use",IF(AK342&gt;='Scoring Settings'!$B$9,"Decommission",IF(AK342=1,"Review","Retain"))))</f>
        <v/>
      </c>
      <c r="AM342" s="17" t="str">
        <f>IF(B342="","",IF(Z342="N","Easy",IF(OR(AND(ISNUMBER(AB342),AB342&gt;'Scoring Settings'!$B$11),AND(ISNUMBER(W342),W342&gt;'Scoring Settings'!$B$12),AND(ISNUMBER(M342),M342&lt;='Scoring Settings'!$B$13)),"High","Medium")))</f>
        <v/>
      </c>
      <c r="AN342" s="14"/>
      <c r="AO342" s="16"/>
      <c r="AP342" s="14"/>
      <c r="AQ342" s="22"/>
    </row>
    <row r="343" spans="1:43">
      <c r="A343" s="14"/>
      <c r="B343" s="14"/>
      <c r="C343" s="14"/>
      <c r="D343" s="14"/>
      <c r="E343" s="14"/>
      <c r="F343" s="14"/>
      <c r="G343" s="14"/>
      <c r="H343" s="14"/>
      <c r="I343" s="15"/>
      <c r="J343" s="16"/>
      <c r="K343" s="17" t="str">
        <f>IF(B343="","",IF(AND(I343="",J343=""),"Unknown",IF(OR(AND(ISNUMBER(I343),I343=0),AND(ISNUMBER(J343),J343&lt;=EDATE('Scoring Settings'!$B$4,-'Scoring Settings'!$B$5))),"Not in use",IF(AND(ISNUMBER(I343),I343&lt;'Scoring Settings'!$B$6),"Low use","Active"))))</f>
        <v/>
      </c>
      <c r="L343" s="14"/>
      <c r="M343" s="14"/>
      <c r="N343" s="14"/>
      <c r="O343" s="14"/>
      <c r="P343" s="14"/>
      <c r="Q343" s="18"/>
      <c r="R343" s="14"/>
      <c r="S343" s="14"/>
      <c r="T343" s="14"/>
      <c r="U343" s="16"/>
      <c r="V343" s="14"/>
      <c r="W343" s="15"/>
      <c r="X343" s="14"/>
      <c r="Y343" s="18"/>
      <c r="Z343" s="14"/>
      <c r="AA343" s="14"/>
      <c r="AB343" s="18"/>
      <c r="AC343" s="14"/>
      <c r="AD343" s="14"/>
      <c r="AE343" s="14"/>
      <c r="AF343" s="19"/>
      <c r="AG343" s="16"/>
      <c r="AH343" s="19"/>
      <c r="AI343" s="19"/>
      <c r="AJ343" s="20" t="str">
        <f t="shared" si="5"/>
        <v/>
      </c>
      <c r="AK343" s="21" t="str">
        <f>IF(B343="","",OR(K343="Not in use",K343="Low use")+AND(N343&lt;&gt;"",N343&lt;&gt;"TBD")+AND(ISNUMBER(U343),U343&lt;=EDATE('Scoring Settings'!$B$4,'Scoring Settings'!$B$8))+AND(ISNUMBER(L343),L343&lt;='Scoring Settings'!$B$7))</f>
        <v/>
      </c>
      <c r="AL343" s="17" t="str">
        <f>IF(B343="","",IF(K343="Not in use","Priority – Not in use",IF(AK343&gt;='Scoring Settings'!$B$9,"Decommission",IF(AK343=1,"Review","Retain"))))</f>
        <v/>
      </c>
      <c r="AM343" s="17" t="str">
        <f>IF(B343="","",IF(Z343="N","Easy",IF(OR(AND(ISNUMBER(AB343),AB343&gt;'Scoring Settings'!$B$11),AND(ISNUMBER(W343),W343&gt;'Scoring Settings'!$B$12),AND(ISNUMBER(M343),M343&lt;='Scoring Settings'!$B$13)),"High","Medium")))</f>
        <v/>
      </c>
      <c r="AN343" s="14"/>
      <c r="AO343" s="16"/>
      <c r="AP343" s="14"/>
      <c r="AQ343" s="22"/>
    </row>
    <row r="344" spans="1:43">
      <c r="A344" s="14"/>
      <c r="B344" s="14"/>
      <c r="C344" s="14"/>
      <c r="D344" s="14"/>
      <c r="E344" s="14"/>
      <c r="F344" s="14"/>
      <c r="G344" s="14"/>
      <c r="H344" s="14"/>
      <c r="I344" s="15"/>
      <c r="J344" s="16"/>
      <c r="K344" s="17" t="str">
        <f>IF(B344="","",IF(AND(I344="",J344=""),"Unknown",IF(OR(AND(ISNUMBER(I344),I344=0),AND(ISNUMBER(J344),J344&lt;=EDATE('Scoring Settings'!$B$4,-'Scoring Settings'!$B$5))),"Not in use",IF(AND(ISNUMBER(I344),I344&lt;'Scoring Settings'!$B$6),"Low use","Active"))))</f>
        <v/>
      </c>
      <c r="L344" s="14"/>
      <c r="M344" s="14"/>
      <c r="N344" s="14"/>
      <c r="O344" s="14"/>
      <c r="P344" s="14"/>
      <c r="Q344" s="18"/>
      <c r="R344" s="14"/>
      <c r="S344" s="14"/>
      <c r="T344" s="14"/>
      <c r="U344" s="16"/>
      <c r="V344" s="14"/>
      <c r="W344" s="15"/>
      <c r="X344" s="14"/>
      <c r="Y344" s="18"/>
      <c r="Z344" s="14"/>
      <c r="AA344" s="14"/>
      <c r="AB344" s="18"/>
      <c r="AC344" s="14"/>
      <c r="AD344" s="14"/>
      <c r="AE344" s="14"/>
      <c r="AF344" s="19"/>
      <c r="AG344" s="16"/>
      <c r="AH344" s="19"/>
      <c r="AI344" s="19"/>
      <c r="AJ344" s="20" t="str">
        <f t="shared" si="5"/>
        <v/>
      </c>
      <c r="AK344" s="21" t="str">
        <f>IF(B344="","",OR(K344="Not in use",K344="Low use")+AND(N344&lt;&gt;"",N344&lt;&gt;"TBD")+AND(ISNUMBER(U344),U344&lt;=EDATE('Scoring Settings'!$B$4,'Scoring Settings'!$B$8))+AND(ISNUMBER(L344),L344&lt;='Scoring Settings'!$B$7))</f>
        <v/>
      </c>
      <c r="AL344" s="17" t="str">
        <f>IF(B344="","",IF(K344="Not in use","Priority – Not in use",IF(AK344&gt;='Scoring Settings'!$B$9,"Decommission",IF(AK344=1,"Review","Retain"))))</f>
        <v/>
      </c>
      <c r="AM344" s="17" t="str">
        <f>IF(B344="","",IF(Z344="N","Easy",IF(OR(AND(ISNUMBER(AB344),AB344&gt;'Scoring Settings'!$B$11),AND(ISNUMBER(W344),W344&gt;'Scoring Settings'!$B$12),AND(ISNUMBER(M344),M344&lt;='Scoring Settings'!$B$13)),"High","Medium")))</f>
        <v/>
      </c>
      <c r="AN344" s="14"/>
      <c r="AO344" s="16"/>
      <c r="AP344" s="14"/>
      <c r="AQ344" s="22"/>
    </row>
    <row r="345" spans="1:43">
      <c r="A345" s="14"/>
      <c r="B345" s="14"/>
      <c r="C345" s="14"/>
      <c r="D345" s="14"/>
      <c r="E345" s="14"/>
      <c r="F345" s="14"/>
      <c r="G345" s="14"/>
      <c r="H345" s="14"/>
      <c r="I345" s="15"/>
      <c r="J345" s="16"/>
      <c r="K345" s="17" t="str">
        <f>IF(B345="","",IF(AND(I345="",J345=""),"Unknown",IF(OR(AND(ISNUMBER(I345),I345=0),AND(ISNUMBER(J345),J345&lt;=EDATE('Scoring Settings'!$B$4,-'Scoring Settings'!$B$5))),"Not in use",IF(AND(ISNUMBER(I345),I345&lt;'Scoring Settings'!$B$6),"Low use","Active"))))</f>
        <v/>
      </c>
      <c r="L345" s="14"/>
      <c r="M345" s="14"/>
      <c r="N345" s="14"/>
      <c r="O345" s="14"/>
      <c r="P345" s="14"/>
      <c r="Q345" s="18"/>
      <c r="R345" s="14"/>
      <c r="S345" s="14"/>
      <c r="T345" s="14"/>
      <c r="U345" s="16"/>
      <c r="V345" s="14"/>
      <c r="W345" s="15"/>
      <c r="X345" s="14"/>
      <c r="Y345" s="18"/>
      <c r="Z345" s="14"/>
      <c r="AA345" s="14"/>
      <c r="AB345" s="18"/>
      <c r="AC345" s="14"/>
      <c r="AD345" s="14"/>
      <c r="AE345" s="14"/>
      <c r="AF345" s="19"/>
      <c r="AG345" s="16"/>
      <c r="AH345" s="19"/>
      <c r="AI345" s="19"/>
      <c r="AJ345" s="20" t="str">
        <f t="shared" si="5"/>
        <v/>
      </c>
      <c r="AK345" s="21" t="str">
        <f>IF(B345="","",OR(K345="Not in use",K345="Low use")+AND(N345&lt;&gt;"",N345&lt;&gt;"TBD")+AND(ISNUMBER(U345),U345&lt;=EDATE('Scoring Settings'!$B$4,'Scoring Settings'!$B$8))+AND(ISNUMBER(L345),L345&lt;='Scoring Settings'!$B$7))</f>
        <v/>
      </c>
      <c r="AL345" s="17" t="str">
        <f>IF(B345="","",IF(K345="Not in use","Priority – Not in use",IF(AK345&gt;='Scoring Settings'!$B$9,"Decommission",IF(AK345=1,"Review","Retain"))))</f>
        <v/>
      </c>
      <c r="AM345" s="17" t="str">
        <f>IF(B345="","",IF(Z345="N","Easy",IF(OR(AND(ISNUMBER(AB345),AB345&gt;'Scoring Settings'!$B$11),AND(ISNUMBER(W345),W345&gt;'Scoring Settings'!$B$12),AND(ISNUMBER(M345),M345&lt;='Scoring Settings'!$B$13)),"High","Medium")))</f>
        <v/>
      </c>
      <c r="AN345" s="14"/>
      <c r="AO345" s="16"/>
      <c r="AP345" s="14"/>
      <c r="AQ345" s="22"/>
    </row>
    <row r="346" spans="1:43">
      <c r="A346" s="14"/>
      <c r="B346" s="14"/>
      <c r="C346" s="14"/>
      <c r="D346" s="14"/>
      <c r="E346" s="14"/>
      <c r="F346" s="14"/>
      <c r="G346" s="14"/>
      <c r="H346" s="14"/>
      <c r="I346" s="15"/>
      <c r="J346" s="16"/>
      <c r="K346" s="17" t="str">
        <f>IF(B346="","",IF(AND(I346="",J346=""),"Unknown",IF(OR(AND(ISNUMBER(I346),I346=0),AND(ISNUMBER(J346),J346&lt;=EDATE('Scoring Settings'!$B$4,-'Scoring Settings'!$B$5))),"Not in use",IF(AND(ISNUMBER(I346),I346&lt;'Scoring Settings'!$B$6),"Low use","Active"))))</f>
        <v/>
      </c>
      <c r="L346" s="14"/>
      <c r="M346" s="14"/>
      <c r="N346" s="14"/>
      <c r="O346" s="14"/>
      <c r="P346" s="14"/>
      <c r="Q346" s="18"/>
      <c r="R346" s="14"/>
      <c r="S346" s="14"/>
      <c r="T346" s="14"/>
      <c r="U346" s="16"/>
      <c r="V346" s="14"/>
      <c r="W346" s="15"/>
      <c r="X346" s="14"/>
      <c r="Y346" s="18"/>
      <c r="Z346" s="14"/>
      <c r="AA346" s="14"/>
      <c r="AB346" s="18"/>
      <c r="AC346" s="14"/>
      <c r="AD346" s="14"/>
      <c r="AE346" s="14"/>
      <c r="AF346" s="19"/>
      <c r="AG346" s="16"/>
      <c r="AH346" s="19"/>
      <c r="AI346" s="19"/>
      <c r="AJ346" s="20" t="str">
        <f t="shared" si="5"/>
        <v/>
      </c>
      <c r="AK346" s="21" t="str">
        <f>IF(B346="","",OR(K346="Not in use",K346="Low use")+AND(N346&lt;&gt;"",N346&lt;&gt;"TBD")+AND(ISNUMBER(U346),U346&lt;=EDATE('Scoring Settings'!$B$4,'Scoring Settings'!$B$8))+AND(ISNUMBER(L346),L346&lt;='Scoring Settings'!$B$7))</f>
        <v/>
      </c>
      <c r="AL346" s="17" t="str">
        <f>IF(B346="","",IF(K346="Not in use","Priority – Not in use",IF(AK346&gt;='Scoring Settings'!$B$9,"Decommission",IF(AK346=1,"Review","Retain"))))</f>
        <v/>
      </c>
      <c r="AM346" s="17" t="str">
        <f>IF(B346="","",IF(Z346="N","Easy",IF(OR(AND(ISNUMBER(AB346),AB346&gt;'Scoring Settings'!$B$11),AND(ISNUMBER(W346),W346&gt;'Scoring Settings'!$B$12),AND(ISNUMBER(M346),M346&lt;='Scoring Settings'!$B$13)),"High","Medium")))</f>
        <v/>
      </c>
      <c r="AN346" s="14"/>
      <c r="AO346" s="16"/>
      <c r="AP346" s="14"/>
      <c r="AQ346" s="22"/>
    </row>
    <row r="347" spans="1:43">
      <c r="A347" s="14"/>
      <c r="B347" s="14"/>
      <c r="C347" s="14"/>
      <c r="D347" s="14"/>
      <c r="E347" s="14"/>
      <c r="F347" s="14"/>
      <c r="G347" s="14"/>
      <c r="H347" s="14"/>
      <c r="I347" s="15"/>
      <c r="J347" s="16"/>
      <c r="K347" s="17" t="str">
        <f>IF(B347="","",IF(AND(I347="",J347=""),"Unknown",IF(OR(AND(ISNUMBER(I347),I347=0),AND(ISNUMBER(J347),J347&lt;=EDATE('Scoring Settings'!$B$4,-'Scoring Settings'!$B$5))),"Not in use",IF(AND(ISNUMBER(I347),I347&lt;'Scoring Settings'!$B$6),"Low use","Active"))))</f>
        <v/>
      </c>
      <c r="L347" s="14"/>
      <c r="M347" s="14"/>
      <c r="N347" s="14"/>
      <c r="O347" s="14"/>
      <c r="P347" s="14"/>
      <c r="Q347" s="18"/>
      <c r="R347" s="14"/>
      <c r="S347" s="14"/>
      <c r="T347" s="14"/>
      <c r="U347" s="16"/>
      <c r="V347" s="14"/>
      <c r="W347" s="15"/>
      <c r="X347" s="14"/>
      <c r="Y347" s="18"/>
      <c r="Z347" s="14"/>
      <c r="AA347" s="14"/>
      <c r="AB347" s="18"/>
      <c r="AC347" s="14"/>
      <c r="AD347" s="14"/>
      <c r="AE347" s="14"/>
      <c r="AF347" s="19"/>
      <c r="AG347" s="16"/>
      <c r="AH347" s="19"/>
      <c r="AI347" s="19"/>
      <c r="AJ347" s="20" t="str">
        <f t="shared" si="5"/>
        <v/>
      </c>
      <c r="AK347" s="21" t="str">
        <f>IF(B347="","",OR(K347="Not in use",K347="Low use")+AND(N347&lt;&gt;"",N347&lt;&gt;"TBD")+AND(ISNUMBER(U347),U347&lt;=EDATE('Scoring Settings'!$B$4,'Scoring Settings'!$B$8))+AND(ISNUMBER(L347),L347&lt;='Scoring Settings'!$B$7))</f>
        <v/>
      </c>
      <c r="AL347" s="17" t="str">
        <f>IF(B347="","",IF(K347="Not in use","Priority – Not in use",IF(AK347&gt;='Scoring Settings'!$B$9,"Decommission",IF(AK347=1,"Review","Retain"))))</f>
        <v/>
      </c>
      <c r="AM347" s="17" t="str">
        <f>IF(B347="","",IF(Z347="N","Easy",IF(OR(AND(ISNUMBER(AB347),AB347&gt;'Scoring Settings'!$B$11),AND(ISNUMBER(W347),W347&gt;'Scoring Settings'!$B$12),AND(ISNUMBER(M347),M347&lt;='Scoring Settings'!$B$13)),"High","Medium")))</f>
        <v/>
      </c>
      <c r="AN347" s="14"/>
      <c r="AO347" s="16"/>
      <c r="AP347" s="14"/>
      <c r="AQ347" s="22"/>
    </row>
    <row r="348" spans="1:43">
      <c r="A348" s="14"/>
      <c r="B348" s="14"/>
      <c r="C348" s="14"/>
      <c r="D348" s="14"/>
      <c r="E348" s="14"/>
      <c r="F348" s="14"/>
      <c r="G348" s="14"/>
      <c r="H348" s="14"/>
      <c r="I348" s="15"/>
      <c r="J348" s="16"/>
      <c r="K348" s="17" t="str">
        <f>IF(B348="","",IF(AND(I348="",J348=""),"Unknown",IF(OR(AND(ISNUMBER(I348),I348=0),AND(ISNUMBER(J348),J348&lt;=EDATE('Scoring Settings'!$B$4,-'Scoring Settings'!$B$5))),"Not in use",IF(AND(ISNUMBER(I348),I348&lt;'Scoring Settings'!$B$6),"Low use","Active"))))</f>
        <v/>
      </c>
      <c r="L348" s="14"/>
      <c r="M348" s="14"/>
      <c r="N348" s="14"/>
      <c r="O348" s="14"/>
      <c r="P348" s="14"/>
      <c r="Q348" s="18"/>
      <c r="R348" s="14"/>
      <c r="S348" s="14"/>
      <c r="T348" s="14"/>
      <c r="U348" s="16"/>
      <c r="V348" s="14"/>
      <c r="W348" s="15"/>
      <c r="X348" s="14"/>
      <c r="Y348" s="18"/>
      <c r="Z348" s="14"/>
      <c r="AA348" s="14"/>
      <c r="AB348" s="18"/>
      <c r="AC348" s="14"/>
      <c r="AD348" s="14"/>
      <c r="AE348" s="14"/>
      <c r="AF348" s="19"/>
      <c r="AG348" s="16"/>
      <c r="AH348" s="19"/>
      <c r="AI348" s="19"/>
      <c r="AJ348" s="20" t="str">
        <f t="shared" si="5"/>
        <v/>
      </c>
      <c r="AK348" s="21" t="str">
        <f>IF(B348="","",OR(K348="Not in use",K348="Low use")+AND(N348&lt;&gt;"",N348&lt;&gt;"TBD")+AND(ISNUMBER(U348),U348&lt;=EDATE('Scoring Settings'!$B$4,'Scoring Settings'!$B$8))+AND(ISNUMBER(L348),L348&lt;='Scoring Settings'!$B$7))</f>
        <v/>
      </c>
      <c r="AL348" s="17" t="str">
        <f>IF(B348="","",IF(K348="Not in use","Priority – Not in use",IF(AK348&gt;='Scoring Settings'!$B$9,"Decommission",IF(AK348=1,"Review","Retain"))))</f>
        <v/>
      </c>
      <c r="AM348" s="17" t="str">
        <f>IF(B348="","",IF(Z348="N","Easy",IF(OR(AND(ISNUMBER(AB348),AB348&gt;'Scoring Settings'!$B$11),AND(ISNUMBER(W348),W348&gt;'Scoring Settings'!$B$12),AND(ISNUMBER(M348),M348&lt;='Scoring Settings'!$B$13)),"High","Medium")))</f>
        <v/>
      </c>
      <c r="AN348" s="14"/>
      <c r="AO348" s="16"/>
      <c r="AP348" s="14"/>
      <c r="AQ348" s="22"/>
    </row>
    <row r="349" spans="1:43">
      <c r="A349" s="14"/>
      <c r="B349" s="14"/>
      <c r="C349" s="14"/>
      <c r="D349" s="14"/>
      <c r="E349" s="14"/>
      <c r="F349" s="14"/>
      <c r="G349" s="14"/>
      <c r="H349" s="14"/>
      <c r="I349" s="15"/>
      <c r="J349" s="16"/>
      <c r="K349" s="17" t="str">
        <f>IF(B349="","",IF(AND(I349="",J349=""),"Unknown",IF(OR(AND(ISNUMBER(I349),I349=0),AND(ISNUMBER(J349),J349&lt;=EDATE('Scoring Settings'!$B$4,-'Scoring Settings'!$B$5))),"Not in use",IF(AND(ISNUMBER(I349),I349&lt;'Scoring Settings'!$B$6),"Low use","Active"))))</f>
        <v/>
      </c>
      <c r="L349" s="14"/>
      <c r="M349" s="14"/>
      <c r="N349" s="14"/>
      <c r="O349" s="14"/>
      <c r="P349" s="14"/>
      <c r="Q349" s="18"/>
      <c r="R349" s="14"/>
      <c r="S349" s="14"/>
      <c r="T349" s="14"/>
      <c r="U349" s="16"/>
      <c r="V349" s="14"/>
      <c r="W349" s="15"/>
      <c r="X349" s="14"/>
      <c r="Y349" s="18"/>
      <c r="Z349" s="14"/>
      <c r="AA349" s="14"/>
      <c r="AB349" s="18"/>
      <c r="AC349" s="14"/>
      <c r="AD349" s="14"/>
      <c r="AE349" s="14"/>
      <c r="AF349" s="19"/>
      <c r="AG349" s="16"/>
      <c r="AH349" s="19"/>
      <c r="AI349" s="19"/>
      <c r="AJ349" s="20" t="str">
        <f t="shared" si="5"/>
        <v/>
      </c>
      <c r="AK349" s="21" t="str">
        <f>IF(B349="","",OR(K349="Not in use",K349="Low use")+AND(N349&lt;&gt;"",N349&lt;&gt;"TBD")+AND(ISNUMBER(U349),U349&lt;=EDATE('Scoring Settings'!$B$4,'Scoring Settings'!$B$8))+AND(ISNUMBER(L349),L349&lt;='Scoring Settings'!$B$7))</f>
        <v/>
      </c>
      <c r="AL349" s="17" t="str">
        <f>IF(B349="","",IF(K349="Not in use","Priority – Not in use",IF(AK349&gt;='Scoring Settings'!$B$9,"Decommission",IF(AK349=1,"Review","Retain"))))</f>
        <v/>
      </c>
      <c r="AM349" s="17" t="str">
        <f>IF(B349="","",IF(Z349="N","Easy",IF(OR(AND(ISNUMBER(AB349),AB349&gt;'Scoring Settings'!$B$11),AND(ISNUMBER(W349),W349&gt;'Scoring Settings'!$B$12),AND(ISNUMBER(M349),M349&lt;='Scoring Settings'!$B$13)),"High","Medium")))</f>
        <v/>
      </c>
      <c r="AN349" s="14"/>
      <c r="AO349" s="16"/>
      <c r="AP349" s="14"/>
      <c r="AQ349" s="22"/>
    </row>
    <row r="350" spans="1:43">
      <c r="A350" s="14"/>
      <c r="B350" s="14"/>
      <c r="C350" s="14"/>
      <c r="D350" s="14"/>
      <c r="E350" s="14"/>
      <c r="F350" s="14"/>
      <c r="G350" s="14"/>
      <c r="H350" s="14"/>
      <c r="I350" s="15"/>
      <c r="J350" s="16"/>
      <c r="K350" s="17" t="str">
        <f>IF(B350="","",IF(AND(I350="",J350=""),"Unknown",IF(OR(AND(ISNUMBER(I350),I350=0),AND(ISNUMBER(J350),J350&lt;=EDATE('Scoring Settings'!$B$4,-'Scoring Settings'!$B$5))),"Not in use",IF(AND(ISNUMBER(I350),I350&lt;'Scoring Settings'!$B$6),"Low use","Active"))))</f>
        <v/>
      </c>
      <c r="L350" s="14"/>
      <c r="M350" s="14"/>
      <c r="N350" s="14"/>
      <c r="O350" s="14"/>
      <c r="P350" s="14"/>
      <c r="Q350" s="18"/>
      <c r="R350" s="14"/>
      <c r="S350" s="14"/>
      <c r="T350" s="14"/>
      <c r="U350" s="16"/>
      <c r="V350" s="14"/>
      <c r="W350" s="15"/>
      <c r="X350" s="14"/>
      <c r="Y350" s="18"/>
      <c r="Z350" s="14"/>
      <c r="AA350" s="14"/>
      <c r="AB350" s="18"/>
      <c r="AC350" s="14"/>
      <c r="AD350" s="14"/>
      <c r="AE350" s="14"/>
      <c r="AF350" s="19"/>
      <c r="AG350" s="16"/>
      <c r="AH350" s="19"/>
      <c r="AI350" s="19"/>
      <c r="AJ350" s="20" t="str">
        <f t="shared" si="5"/>
        <v/>
      </c>
      <c r="AK350" s="21" t="str">
        <f>IF(B350="","",OR(K350="Not in use",K350="Low use")+AND(N350&lt;&gt;"",N350&lt;&gt;"TBD")+AND(ISNUMBER(U350),U350&lt;=EDATE('Scoring Settings'!$B$4,'Scoring Settings'!$B$8))+AND(ISNUMBER(L350),L350&lt;='Scoring Settings'!$B$7))</f>
        <v/>
      </c>
      <c r="AL350" s="17" t="str">
        <f>IF(B350="","",IF(K350="Not in use","Priority – Not in use",IF(AK350&gt;='Scoring Settings'!$B$9,"Decommission",IF(AK350=1,"Review","Retain"))))</f>
        <v/>
      </c>
      <c r="AM350" s="17" t="str">
        <f>IF(B350="","",IF(Z350="N","Easy",IF(OR(AND(ISNUMBER(AB350),AB350&gt;'Scoring Settings'!$B$11),AND(ISNUMBER(W350),W350&gt;'Scoring Settings'!$B$12),AND(ISNUMBER(M350),M350&lt;='Scoring Settings'!$B$13)),"High","Medium")))</f>
        <v/>
      </c>
      <c r="AN350" s="14"/>
      <c r="AO350" s="16"/>
      <c r="AP350" s="14"/>
      <c r="AQ350" s="22"/>
    </row>
    <row r="351" spans="1:43">
      <c r="A351" s="14"/>
      <c r="B351" s="14"/>
      <c r="C351" s="14"/>
      <c r="D351" s="14"/>
      <c r="E351" s="14"/>
      <c r="F351" s="14"/>
      <c r="G351" s="14"/>
      <c r="H351" s="14"/>
      <c r="I351" s="15"/>
      <c r="J351" s="16"/>
      <c r="K351" s="17" t="str">
        <f>IF(B351="","",IF(AND(I351="",J351=""),"Unknown",IF(OR(AND(ISNUMBER(I351),I351=0),AND(ISNUMBER(J351),J351&lt;=EDATE('Scoring Settings'!$B$4,-'Scoring Settings'!$B$5))),"Not in use",IF(AND(ISNUMBER(I351),I351&lt;'Scoring Settings'!$B$6),"Low use","Active"))))</f>
        <v/>
      </c>
      <c r="L351" s="14"/>
      <c r="M351" s="14"/>
      <c r="N351" s="14"/>
      <c r="O351" s="14"/>
      <c r="P351" s="14"/>
      <c r="Q351" s="18"/>
      <c r="R351" s="14"/>
      <c r="S351" s="14"/>
      <c r="T351" s="14"/>
      <c r="U351" s="16"/>
      <c r="V351" s="14"/>
      <c r="W351" s="15"/>
      <c r="X351" s="14"/>
      <c r="Y351" s="18"/>
      <c r="Z351" s="14"/>
      <c r="AA351" s="14"/>
      <c r="AB351" s="18"/>
      <c r="AC351" s="14"/>
      <c r="AD351" s="14"/>
      <c r="AE351" s="14"/>
      <c r="AF351" s="19"/>
      <c r="AG351" s="16"/>
      <c r="AH351" s="19"/>
      <c r="AI351" s="19"/>
      <c r="AJ351" s="20" t="str">
        <f t="shared" si="5"/>
        <v/>
      </c>
      <c r="AK351" s="21" t="str">
        <f>IF(B351="","",OR(K351="Not in use",K351="Low use")+AND(N351&lt;&gt;"",N351&lt;&gt;"TBD")+AND(ISNUMBER(U351),U351&lt;=EDATE('Scoring Settings'!$B$4,'Scoring Settings'!$B$8))+AND(ISNUMBER(L351),L351&lt;='Scoring Settings'!$B$7))</f>
        <v/>
      </c>
      <c r="AL351" s="17" t="str">
        <f>IF(B351="","",IF(K351="Not in use","Priority – Not in use",IF(AK351&gt;='Scoring Settings'!$B$9,"Decommission",IF(AK351=1,"Review","Retain"))))</f>
        <v/>
      </c>
      <c r="AM351" s="17" t="str">
        <f>IF(B351="","",IF(Z351="N","Easy",IF(OR(AND(ISNUMBER(AB351),AB351&gt;'Scoring Settings'!$B$11),AND(ISNUMBER(W351),W351&gt;'Scoring Settings'!$B$12),AND(ISNUMBER(M351),M351&lt;='Scoring Settings'!$B$13)),"High","Medium")))</f>
        <v/>
      </c>
      <c r="AN351" s="14"/>
      <c r="AO351" s="16"/>
      <c r="AP351" s="14"/>
      <c r="AQ351" s="22"/>
    </row>
    <row r="352" spans="1:43">
      <c r="A352" s="14"/>
      <c r="B352" s="14"/>
      <c r="C352" s="14"/>
      <c r="D352" s="14"/>
      <c r="E352" s="14"/>
      <c r="F352" s="14"/>
      <c r="G352" s="14"/>
      <c r="H352" s="14"/>
      <c r="I352" s="15"/>
      <c r="J352" s="16"/>
      <c r="K352" s="17" t="str">
        <f>IF(B352="","",IF(AND(I352="",J352=""),"Unknown",IF(OR(AND(ISNUMBER(I352),I352=0),AND(ISNUMBER(J352),J352&lt;=EDATE('Scoring Settings'!$B$4,-'Scoring Settings'!$B$5))),"Not in use",IF(AND(ISNUMBER(I352),I352&lt;'Scoring Settings'!$B$6),"Low use","Active"))))</f>
        <v/>
      </c>
      <c r="L352" s="14"/>
      <c r="M352" s="14"/>
      <c r="N352" s="14"/>
      <c r="O352" s="14"/>
      <c r="P352" s="14"/>
      <c r="Q352" s="18"/>
      <c r="R352" s="14"/>
      <c r="S352" s="14"/>
      <c r="T352" s="14"/>
      <c r="U352" s="16"/>
      <c r="V352" s="14"/>
      <c r="W352" s="15"/>
      <c r="X352" s="14"/>
      <c r="Y352" s="18"/>
      <c r="Z352" s="14"/>
      <c r="AA352" s="14"/>
      <c r="AB352" s="18"/>
      <c r="AC352" s="14"/>
      <c r="AD352" s="14"/>
      <c r="AE352" s="14"/>
      <c r="AF352" s="19"/>
      <c r="AG352" s="16"/>
      <c r="AH352" s="19"/>
      <c r="AI352" s="19"/>
      <c r="AJ352" s="20" t="str">
        <f t="shared" si="5"/>
        <v/>
      </c>
      <c r="AK352" s="21" t="str">
        <f>IF(B352="","",OR(K352="Not in use",K352="Low use")+AND(N352&lt;&gt;"",N352&lt;&gt;"TBD")+AND(ISNUMBER(U352),U352&lt;=EDATE('Scoring Settings'!$B$4,'Scoring Settings'!$B$8))+AND(ISNUMBER(L352),L352&lt;='Scoring Settings'!$B$7))</f>
        <v/>
      </c>
      <c r="AL352" s="17" t="str">
        <f>IF(B352="","",IF(K352="Not in use","Priority – Not in use",IF(AK352&gt;='Scoring Settings'!$B$9,"Decommission",IF(AK352=1,"Review","Retain"))))</f>
        <v/>
      </c>
      <c r="AM352" s="17" t="str">
        <f>IF(B352="","",IF(Z352="N","Easy",IF(OR(AND(ISNUMBER(AB352),AB352&gt;'Scoring Settings'!$B$11),AND(ISNUMBER(W352),W352&gt;'Scoring Settings'!$B$12),AND(ISNUMBER(M352),M352&lt;='Scoring Settings'!$B$13)),"High","Medium")))</f>
        <v/>
      </c>
      <c r="AN352" s="14"/>
      <c r="AO352" s="16"/>
      <c r="AP352" s="14"/>
      <c r="AQ352" s="22"/>
    </row>
    <row r="353" spans="1:43">
      <c r="A353" s="14"/>
      <c r="B353" s="14"/>
      <c r="C353" s="14"/>
      <c r="D353" s="14"/>
      <c r="E353" s="14"/>
      <c r="F353" s="14"/>
      <c r="G353" s="14"/>
      <c r="H353" s="14"/>
      <c r="I353" s="15"/>
      <c r="J353" s="16"/>
      <c r="K353" s="17" t="str">
        <f>IF(B353="","",IF(AND(I353="",J353=""),"Unknown",IF(OR(AND(ISNUMBER(I353),I353=0),AND(ISNUMBER(J353),J353&lt;=EDATE('Scoring Settings'!$B$4,-'Scoring Settings'!$B$5))),"Not in use",IF(AND(ISNUMBER(I353),I353&lt;'Scoring Settings'!$B$6),"Low use","Active"))))</f>
        <v/>
      </c>
      <c r="L353" s="14"/>
      <c r="M353" s="14"/>
      <c r="N353" s="14"/>
      <c r="O353" s="14"/>
      <c r="P353" s="14"/>
      <c r="Q353" s="18"/>
      <c r="R353" s="14"/>
      <c r="S353" s="14"/>
      <c r="T353" s="14"/>
      <c r="U353" s="16"/>
      <c r="V353" s="14"/>
      <c r="W353" s="15"/>
      <c r="X353" s="14"/>
      <c r="Y353" s="18"/>
      <c r="Z353" s="14"/>
      <c r="AA353" s="14"/>
      <c r="AB353" s="18"/>
      <c r="AC353" s="14"/>
      <c r="AD353" s="14"/>
      <c r="AE353" s="14"/>
      <c r="AF353" s="19"/>
      <c r="AG353" s="16"/>
      <c r="AH353" s="19"/>
      <c r="AI353" s="19"/>
      <c r="AJ353" s="20" t="str">
        <f t="shared" si="5"/>
        <v/>
      </c>
      <c r="AK353" s="21" t="str">
        <f>IF(B353="","",OR(K353="Not in use",K353="Low use")+AND(N353&lt;&gt;"",N353&lt;&gt;"TBD")+AND(ISNUMBER(U353),U353&lt;=EDATE('Scoring Settings'!$B$4,'Scoring Settings'!$B$8))+AND(ISNUMBER(L353),L353&lt;='Scoring Settings'!$B$7))</f>
        <v/>
      </c>
      <c r="AL353" s="17" t="str">
        <f>IF(B353="","",IF(K353="Not in use","Priority – Not in use",IF(AK353&gt;='Scoring Settings'!$B$9,"Decommission",IF(AK353=1,"Review","Retain"))))</f>
        <v/>
      </c>
      <c r="AM353" s="17" t="str">
        <f>IF(B353="","",IF(Z353="N","Easy",IF(OR(AND(ISNUMBER(AB353),AB353&gt;'Scoring Settings'!$B$11),AND(ISNUMBER(W353),W353&gt;'Scoring Settings'!$B$12),AND(ISNUMBER(M353),M353&lt;='Scoring Settings'!$B$13)),"High","Medium")))</f>
        <v/>
      </c>
      <c r="AN353" s="14"/>
      <c r="AO353" s="16"/>
      <c r="AP353" s="14"/>
      <c r="AQ353" s="22"/>
    </row>
    <row r="354" spans="1:43">
      <c r="A354" s="14"/>
      <c r="B354" s="14"/>
      <c r="C354" s="14"/>
      <c r="D354" s="14"/>
      <c r="E354" s="14"/>
      <c r="F354" s="14"/>
      <c r="G354" s="14"/>
      <c r="H354" s="14"/>
      <c r="I354" s="15"/>
      <c r="J354" s="16"/>
      <c r="K354" s="17" t="str">
        <f>IF(B354="","",IF(AND(I354="",J354=""),"Unknown",IF(OR(AND(ISNUMBER(I354),I354=0),AND(ISNUMBER(J354),J354&lt;=EDATE('Scoring Settings'!$B$4,-'Scoring Settings'!$B$5))),"Not in use",IF(AND(ISNUMBER(I354),I354&lt;'Scoring Settings'!$B$6),"Low use","Active"))))</f>
        <v/>
      </c>
      <c r="L354" s="14"/>
      <c r="M354" s="14"/>
      <c r="N354" s="14"/>
      <c r="O354" s="14"/>
      <c r="P354" s="14"/>
      <c r="Q354" s="18"/>
      <c r="R354" s="14"/>
      <c r="S354" s="14"/>
      <c r="T354" s="14"/>
      <c r="U354" s="16"/>
      <c r="V354" s="14"/>
      <c r="W354" s="15"/>
      <c r="X354" s="14"/>
      <c r="Y354" s="18"/>
      <c r="Z354" s="14"/>
      <c r="AA354" s="14"/>
      <c r="AB354" s="18"/>
      <c r="AC354" s="14"/>
      <c r="AD354" s="14"/>
      <c r="AE354" s="14"/>
      <c r="AF354" s="19"/>
      <c r="AG354" s="16"/>
      <c r="AH354" s="19"/>
      <c r="AI354" s="19"/>
      <c r="AJ354" s="20" t="str">
        <f t="shared" si="5"/>
        <v/>
      </c>
      <c r="AK354" s="21" t="str">
        <f>IF(B354="","",OR(K354="Not in use",K354="Low use")+AND(N354&lt;&gt;"",N354&lt;&gt;"TBD")+AND(ISNUMBER(U354),U354&lt;=EDATE('Scoring Settings'!$B$4,'Scoring Settings'!$B$8))+AND(ISNUMBER(L354),L354&lt;='Scoring Settings'!$B$7))</f>
        <v/>
      </c>
      <c r="AL354" s="17" t="str">
        <f>IF(B354="","",IF(K354="Not in use","Priority – Not in use",IF(AK354&gt;='Scoring Settings'!$B$9,"Decommission",IF(AK354=1,"Review","Retain"))))</f>
        <v/>
      </c>
      <c r="AM354" s="17" t="str">
        <f>IF(B354="","",IF(Z354="N","Easy",IF(OR(AND(ISNUMBER(AB354),AB354&gt;'Scoring Settings'!$B$11),AND(ISNUMBER(W354),W354&gt;'Scoring Settings'!$B$12),AND(ISNUMBER(M354),M354&lt;='Scoring Settings'!$B$13)),"High","Medium")))</f>
        <v/>
      </c>
      <c r="AN354" s="14"/>
      <c r="AO354" s="16"/>
      <c r="AP354" s="14"/>
      <c r="AQ354" s="22"/>
    </row>
    <row r="355" spans="1:43">
      <c r="A355" s="14"/>
      <c r="B355" s="14"/>
      <c r="C355" s="14"/>
      <c r="D355" s="14"/>
      <c r="E355" s="14"/>
      <c r="F355" s="14"/>
      <c r="G355" s="14"/>
      <c r="H355" s="14"/>
      <c r="I355" s="15"/>
      <c r="J355" s="16"/>
      <c r="K355" s="17" t="str">
        <f>IF(B355="","",IF(AND(I355="",J355=""),"Unknown",IF(OR(AND(ISNUMBER(I355),I355=0),AND(ISNUMBER(J355),J355&lt;=EDATE('Scoring Settings'!$B$4,-'Scoring Settings'!$B$5))),"Not in use",IF(AND(ISNUMBER(I355),I355&lt;'Scoring Settings'!$B$6),"Low use","Active"))))</f>
        <v/>
      </c>
      <c r="L355" s="14"/>
      <c r="M355" s="14"/>
      <c r="N355" s="14"/>
      <c r="O355" s="14"/>
      <c r="P355" s="14"/>
      <c r="Q355" s="18"/>
      <c r="R355" s="14"/>
      <c r="S355" s="14"/>
      <c r="T355" s="14"/>
      <c r="U355" s="16"/>
      <c r="V355" s="14"/>
      <c r="W355" s="15"/>
      <c r="X355" s="14"/>
      <c r="Y355" s="18"/>
      <c r="Z355" s="14"/>
      <c r="AA355" s="14"/>
      <c r="AB355" s="18"/>
      <c r="AC355" s="14"/>
      <c r="AD355" s="14"/>
      <c r="AE355" s="14"/>
      <c r="AF355" s="19"/>
      <c r="AG355" s="16"/>
      <c r="AH355" s="19"/>
      <c r="AI355" s="19"/>
      <c r="AJ355" s="20" t="str">
        <f t="shared" si="5"/>
        <v/>
      </c>
      <c r="AK355" s="21" t="str">
        <f>IF(B355="","",OR(K355="Not in use",K355="Low use")+AND(N355&lt;&gt;"",N355&lt;&gt;"TBD")+AND(ISNUMBER(U355),U355&lt;=EDATE('Scoring Settings'!$B$4,'Scoring Settings'!$B$8))+AND(ISNUMBER(L355),L355&lt;='Scoring Settings'!$B$7))</f>
        <v/>
      </c>
      <c r="AL355" s="17" t="str">
        <f>IF(B355="","",IF(K355="Not in use","Priority – Not in use",IF(AK355&gt;='Scoring Settings'!$B$9,"Decommission",IF(AK355=1,"Review","Retain"))))</f>
        <v/>
      </c>
      <c r="AM355" s="17" t="str">
        <f>IF(B355="","",IF(Z355="N","Easy",IF(OR(AND(ISNUMBER(AB355),AB355&gt;'Scoring Settings'!$B$11),AND(ISNUMBER(W355),W355&gt;'Scoring Settings'!$B$12),AND(ISNUMBER(M355),M355&lt;='Scoring Settings'!$B$13)),"High","Medium")))</f>
        <v/>
      </c>
      <c r="AN355" s="14"/>
      <c r="AO355" s="16"/>
      <c r="AP355" s="14"/>
      <c r="AQ355" s="22"/>
    </row>
    <row r="356" spans="1:43">
      <c r="A356" s="14"/>
      <c r="B356" s="14"/>
      <c r="C356" s="14"/>
      <c r="D356" s="14"/>
      <c r="E356" s="14"/>
      <c r="F356" s="14"/>
      <c r="G356" s="14"/>
      <c r="H356" s="14"/>
      <c r="I356" s="15"/>
      <c r="J356" s="16"/>
      <c r="K356" s="17" t="str">
        <f>IF(B356="","",IF(AND(I356="",J356=""),"Unknown",IF(OR(AND(ISNUMBER(I356),I356=0),AND(ISNUMBER(J356),J356&lt;=EDATE('Scoring Settings'!$B$4,-'Scoring Settings'!$B$5))),"Not in use",IF(AND(ISNUMBER(I356),I356&lt;'Scoring Settings'!$B$6),"Low use","Active"))))</f>
        <v/>
      </c>
      <c r="L356" s="14"/>
      <c r="M356" s="14"/>
      <c r="N356" s="14"/>
      <c r="O356" s="14"/>
      <c r="P356" s="14"/>
      <c r="Q356" s="18"/>
      <c r="R356" s="14"/>
      <c r="S356" s="14"/>
      <c r="T356" s="14"/>
      <c r="U356" s="16"/>
      <c r="V356" s="14"/>
      <c r="W356" s="15"/>
      <c r="X356" s="14"/>
      <c r="Y356" s="18"/>
      <c r="Z356" s="14"/>
      <c r="AA356" s="14"/>
      <c r="AB356" s="18"/>
      <c r="AC356" s="14"/>
      <c r="AD356" s="14"/>
      <c r="AE356" s="14"/>
      <c r="AF356" s="19"/>
      <c r="AG356" s="16"/>
      <c r="AH356" s="19"/>
      <c r="AI356" s="19"/>
      <c r="AJ356" s="20" t="str">
        <f t="shared" si="5"/>
        <v/>
      </c>
      <c r="AK356" s="21" t="str">
        <f>IF(B356="","",OR(K356="Not in use",K356="Low use")+AND(N356&lt;&gt;"",N356&lt;&gt;"TBD")+AND(ISNUMBER(U356),U356&lt;=EDATE('Scoring Settings'!$B$4,'Scoring Settings'!$B$8))+AND(ISNUMBER(L356),L356&lt;='Scoring Settings'!$B$7))</f>
        <v/>
      </c>
      <c r="AL356" s="17" t="str">
        <f>IF(B356="","",IF(K356="Not in use","Priority – Not in use",IF(AK356&gt;='Scoring Settings'!$B$9,"Decommission",IF(AK356=1,"Review","Retain"))))</f>
        <v/>
      </c>
      <c r="AM356" s="17" t="str">
        <f>IF(B356="","",IF(Z356="N","Easy",IF(OR(AND(ISNUMBER(AB356),AB356&gt;'Scoring Settings'!$B$11),AND(ISNUMBER(W356),W356&gt;'Scoring Settings'!$B$12),AND(ISNUMBER(M356),M356&lt;='Scoring Settings'!$B$13)),"High","Medium")))</f>
        <v/>
      </c>
      <c r="AN356" s="14"/>
      <c r="AO356" s="16"/>
      <c r="AP356" s="14"/>
      <c r="AQ356" s="22"/>
    </row>
    <row r="357" spans="1:43">
      <c r="A357" s="14"/>
      <c r="B357" s="14"/>
      <c r="C357" s="14"/>
      <c r="D357" s="14"/>
      <c r="E357" s="14"/>
      <c r="F357" s="14"/>
      <c r="G357" s="14"/>
      <c r="H357" s="14"/>
      <c r="I357" s="15"/>
      <c r="J357" s="16"/>
      <c r="K357" s="17" t="str">
        <f>IF(B357="","",IF(AND(I357="",J357=""),"Unknown",IF(OR(AND(ISNUMBER(I357),I357=0),AND(ISNUMBER(J357),J357&lt;=EDATE('Scoring Settings'!$B$4,-'Scoring Settings'!$B$5))),"Not in use",IF(AND(ISNUMBER(I357),I357&lt;'Scoring Settings'!$B$6),"Low use","Active"))))</f>
        <v/>
      </c>
      <c r="L357" s="14"/>
      <c r="M357" s="14"/>
      <c r="N357" s="14"/>
      <c r="O357" s="14"/>
      <c r="P357" s="14"/>
      <c r="Q357" s="18"/>
      <c r="R357" s="14"/>
      <c r="S357" s="14"/>
      <c r="T357" s="14"/>
      <c r="U357" s="16"/>
      <c r="V357" s="14"/>
      <c r="W357" s="15"/>
      <c r="X357" s="14"/>
      <c r="Y357" s="18"/>
      <c r="Z357" s="14"/>
      <c r="AA357" s="14"/>
      <c r="AB357" s="18"/>
      <c r="AC357" s="14"/>
      <c r="AD357" s="14"/>
      <c r="AE357" s="14"/>
      <c r="AF357" s="19"/>
      <c r="AG357" s="16"/>
      <c r="AH357" s="19"/>
      <c r="AI357" s="19"/>
      <c r="AJ357" s="20" t="str">
        <f t="shared" si="5"/>
        <v/>
      </c>
      <c r="AK357" s="21" t="str">
        <f>IF(B357="","",OR(K357="Not in use",K357="Low use")+AND(N357&lt;&gt;"",N357&lt;&gt;"TBD")+AND(ISNUMBER(U357),U357&lt;=EDATE('Scoring Settings'!$B$4,'Scoring Settings'!$B$8))+AND(ISNUMBER(L357),L357&lt;='Scoring Settings'!$B$7))</f>
        <v/>
      </c>
      <c r="AL357" s="17" t="str">
        <f>IF(B357="","",IF(K357="Not in use","Priority – Not in use",IF(AK357&gt;='Scoring Settings'!$B$9,"Decommission",IF(AK357=1,"Review","Retain"))))</f>
        <v/>
      </c>
      <c r="AM357" s="17" t="str">
        <f>IF(B357="","",IF(Z357="N","Easy",IF(OR(AND(ISNUMBER(AB357),AB357&gt;'Scoring Settings'!$B$11),AND(ISNUMBER(W357),W357&gt;'Scoring Settings'!$B$12),AND(ISNUMBER(M357),M357&lt;='Scoring Settings'!$B$13)),"High","Medium")))</f>
        <v/>
      </c>
      <c r="AN357" s="14"/>
      <c r="AO357" s="16"/>
      <c r="AP357" s="14"/>
      <c r="AQ357" s="22"/>
    </row>
    <row r="358" spans="1:43">
      <c r="A358" s="14"/>
      <c r="B358" s="14"/>
      <c r="C358" s="14"/>
      <c r="D358" s="14"/>
      <c r="E358" s="14"/>
      <c r="F358" s="14"/>
      <c r="G358" s="14"/>
      <c r="H358" s="14"/>
      <c r="I358" s="15"/>
      <c r="J358" s="16"/>
      <c r="K358" s="17" t="str">
        <f>IF(B358="","",IF(AND(I358="",J358=""),"Unknown",IF(OR(AND(ISNUMBER(I358),I358=0),AND(ISNUMBER(J358),J358&lt;=EDATE('Scoring Settings'!$B$4,-'Scoring Settings'!$B$5))),"Not in use",IF(AND(ISNUMBER(I358),I358&lt;'Scoring Settings'!$B$6),"Low use","Active"))))</f>
        <v/>
      </c>
      <c r="L358" s="14"/>
      <c r="M358" s="14"/>
      <c r="N358" s="14"/>
      <c r="O358" s="14"/>
      <c r="P358" s="14"/>
      <c r="Q358" s="18"/>
      <c r="R358" s="14"/>
      <c r="S358" s="14"/>
      <c r="T358" s="14"/>
      <c r="U358" s="16"/>
      <c r="V358" s="14"/>
      <c r="W358" s="15"/>
      <c r="X358" s="14"/>
      <c r="Y358" s="18"/>
      <c r="Z358" s="14"/>
      <c r="AA358" s="14"/>
      <c r="AB358" s="18"/>
      <c r="AC358" s="14"/>
      <c r="AD358" s="14"/>
      <c r="AE358" s="14"/>
      <c r="AF358" s="19"/>
      <c r="AG358" s="16"/>
      <c r="AH358" s="19"/>
      <c r="AI358" s="19"/>
      <c r="AJ358" s="20" t="str">
        <f t="shared" si="5"/>
        <v/>
      </c>
      <c r="AK358" s="21" t="str">
        <f>IF(B358="","",OR(K358="Not in use",K358="Low use")+AND(N358&lt;&gt;"",N358&lt;&gt;"TBD")+AND(ISNUMBER(U358),U358&lt;=EDATE('Scoring Settings'!$B$4,'Scoring Settings'!$B$8))+AND(ISNUMBER(L358),L358&lt;='Scoring Settings'!$B$7))</f>
        <v/>
      </c>
      <c r="AL358" s="17" t="str">
        <f>IF(B358="","",IF(K358="Not in use","Priority – Not in use",IF(AK358&gt;='Scoring Settings'!$B$9,"Decommission",IF(AK358=1,"Review","Retain"))))</f>
        <v/>
      </c>
      <c r="AM358" s="17" t="str">
        <f>IF(B358="","",IF(Z358="N","Easy",IF(OR(AND(ISNUMBER(AB358),AB358&gt;'Scoring Settings'!$B$11),AND(ISNUMBER(W358),W358&gt;'Scoring Settings'!$B$12),AND(ISNUMBER(M358),M358&lt;='Scoring Settings'!$B$13)),"High","Medium")))</f>
        <v/>
      </c>
      <c r="AN358" s="14"/>
      <c r="AO358" s="16"/>
      <c r="AP358" s="14"/>
      <c r="AQ358" s="22"/>
    </row>
    <row r="359" spans="1:43">
      <c r="A359" s="14"/>
      <c r="B359" s="14"/>
      <c r="C359" s="14"/>
      <c r="D359" s="14"/>
      <c r="E359" s="14"/>
      <c r="F359" s="14"/>
      <c r="G359" s="14"/>
      <c r="H359" s="14"/>
      <c r="I359" s="15"/>
      <c r="J359" s="16"/>
      <c r="K359" s="17" t="str">
        <f>IF(B359="","",IF(AND(I359="",J359=""),"Unknown",IF(OR(AND(ISNUMBER(I359),I359=0),AND(ISNUMBER(J359),J359&lt;=EDATE('Scoring Settings'!$B$4,-'Scoring Settings'!$B$5))),"Not in use",IF(AND(ISNUMBER(I359),I359&lt;'Scoring Settings'!$B$6),"Low use","Active"))))</f>
        <v/>
      </c>
      <c r="L359" s="14"/>
      <c r="M359" s="14"/>
      <c r="N359" s="14"/>
      <c r="O359" s="14"/>
      <c r="P359" s="14"/>
      <c r="Q359" s="18"/>
      <c r="R359" s="14"/>
      <c r="S359" s="14"/>
      <c r="T359" s="14"/>
      <c r="U359" s="16"/>
      <c r="V359" s="14"/>
      <c r="W359" s="15"/>
      <c r="X359" s="14"/>
      <c r="Y359" s="18"/>
      <c r="Z359" s="14"/>
      <c r="AA359" s="14"/>
      <c r="AB359" s="18"/>
      <c r="AC359" s="14"/>
      <c r="AD359" s="14"/>
      <c r="AE359" s="14"/>
      <c r="AF359" s="19"/>
      <c r="AG359" s="16"/>
      <c r="AH359" s="19"/>
      <c r="AI359" s="19"/>
      <c r="AJ359" s="20" t="str">
        <f t="shared" si="5"/>
        <v/>
      </c>
      <c r="AK359" s="21" t="str">
        <f>IF(B359="","",OR(K359="Not in use",K359="Low use")+AND(N359&lt;&gt;"",N359&lt;&gt;"TBD")+AND(ISNUMBER(U359),U359&lt;=EDATE('Scoring Settings'!$B$4,'Scoring Settings'!$B$8))+AND(ISNUMBER(L359),L359&lt;='Scoring Settings'!$B$7))</f>
        <v/>
      </c>
      <c r="AL359" s="17" t="str">
        <f>IF(B359="","",IF(K359="Not in use","Priority – Not in use",IF(AK359&gt;='Scoring Settings'!$B$9,"Decommission",IF(AK359=1,"Review","Retain"))))</f>
        <v/>
      </c>
      <c r="AM359" s="17" t="str">
        <f>IF(B359="","",IF(Z359="N","Easy",IF(OR(AND(ISNUMBER(AB359),AB359&gt;'Scoring Settings'!$B$11),AND(ISNUMBER(W359),W359&gt;'Scoring Settings'!$B$12),AND(ISNUMBER(M359),M359&lt;='Scoring Settings'!$B$13)),"High","Medium")))</f>
        <v/>
      </c>
      <c r="AN359" s="14"/>
      <c r="AO359" s="16"/>
      <c r="AP359" s="14"/>
      <c r="AQ359" s="22"/>
    </row>
    <row r="360" spans="1:43">
      <c r="A360" s="14"/>
      <c r="B360" s="14"/>
      <c r="C360" s="14"/>
      <c r="D360" s="14"/>
      <c r="E360" s="14"/>
      <c r="F360" s="14"/>
      <c r="G360" s="14"/>
      <c r="H360" s="14"/>
      <c r="I360" s="15"/>
      <c r="J360" s="16"/>
      <c r="K360" s="17" t="str">
        <f>IF(B360="","",IF(AND(I360="",J360=""),"Unknown",IF(OR(AND(ISNUMBER(I360),I360=0),AND(ISNUMBER(J360),J360&lt;=EDATE('Scoring Settings'!$B$4,-'Scoring Settings'!$B$5))),"Not in use",IF(AND(ISNUMBER(I360),I360&lt;'Scoring Settings'!$B$6),"Low use","Active"))))</f>
        <v/>
      </c>
      <c r="L360" s="14"/>
      <c r="M360" s="14"/>
      <c r="N360" s="14"/>
      <c r="O360" s="14"/>
      <c r="P360" s="14"/>
      <c r="Q360" s="18"/>
      <c r="R360" s="14"/>
      <c r="S360" s="14"/>
      <c r="T360" s="14"/>
      <c r="U360" s="16"/>
      <c r="V360" s="14"/>
      <c r="W360" s="15"/>
      <c r="X360" s="14"/>
      <c r="Y360" s="18"/>
      <c r="Z360" s="14"/>
      <c r="AA360" s="14"/>
      <c r="AB360" s="18"/>
      <c r="AC360" s="14"/>
      <c r="AD360" s="14"/>
      <c r="AE360" s="14"/>
      <c r="AF360" s="19"/>
      <c r="AG360" s="16"/>
      <c r="AH360" s="19"/>
      <c r="AI360" s="19"/>
      <c r="AJ360" s="20" t="str">
        <f t="shared" si="5"/>
        <v/>
      </c>
      <c r="AK360" s="21" t="str">
        <f>IF(B360="","",OR(K360="Not in use",K360="Low use")+AND(N360&lt;&gt;"",N360&lt;&gt;"TBD")+AND(ISNUMBER(U360),U360&lt;=EDATE('Scoring Settings'!$B$4,'Scoring Settings'!$B$8))+AND(ISNUMBER(L360),L360&lt;='Scoring Settings'!$B$7))</f>
        <v/>
      </c>
      <c r="AL360" s="17" t="str">
        <f>IF(B360="","",IF(K360="Not in use","Priority – Not in use",IF(AK360&gt;='Scoring Settings'!$B$9,"Decommission",IF(AK360=1,"Review","Retain"))))</f>
        <v/>
      </c>
      <c r="AM360" s="17" t="str">
        <f>IF(B360="","",IF(Z360="N","Easy",IF(OR(AND(ISNUMBER(AB360),AB360&gt;'Scoring Settings'!$B$11),AND(ISNUMBER(W360),W360&gt;'Scoring Settings'!$B$12),AND(ISNUMBER(M360),M360&lt;='Scoring Settings'!$B$13)),"High","Medium")))</f>
        <v/>
      </c>
      <c r="AN360" s="14"/>
      <c r="AO360" s="16"/>
      <c r="AP360" s="14"/>
      <c r="AQ360" s="22"/>
    </row>
    <row r="361" spans="1:43">
      <c r="A361" s="14"/>
      <c r="B361" s="14"/>
      <c r="C361" s="14"/>
      <c r="D361" s="14"/>
      <c r="E361" s="14"/>
      <c r="F361" s="14"/>
      <c r="G361" s="14"/>
      <c r="H361" s="14"/>
      <c r="I361" s="15"/>
      <c r="J361" s="16"/>
      <c r="K361" s="17" t="str">
        <f>IF(B361="","",IF(AND(I361="",J361=""),"Unknown",IF(OR(AND(ISNUMBER(I361),I361=0),AND(ISNUMBER(J361),J361&lt;=EDATE('Scoring Settings'!$B$4,-'Scoring Settings'!$B$5))),"Not in use",IF(AND(ISNUMBER(I361),I361&lt;'Scoring Settings'!$B$6),"Low use","Active"))))</f>
        <v/>
      </c>
      <c r="L361" s="14"/>
      <c r="M361" s="14"/>
      <c r="N361" s="14"/>
      <c r="O361" s="14"/>
      <c r="P361" s="14"/>
      <c r="Q361" s="18"/>
      <c r="R361" s="14"/>
      <c r="S361" s="14"/>
      <c r="T361" s="14"/>
      <c r="U361" s="16"/>
      <c r="V361" s="14"/>
      <c r="W361" s="15"/>
      <c r="X361" s="14"/>
      <c r="Y361" s="18"/>
      <c r="Z361" s="14"/>
      <c r="AA361" s="14"/>
      <c r="AB361" s="18"/>
      <c r="AC361" s="14"/>
      <c r="AD361" s="14"/>
      <c r="AE361" s="14"/>
      <c r="AF361" s="19"/>
      <c r="AG361" s="16"/>
      <c r="AH361" s="19"/>
      <c r="AI361" s="19"/>
      <c r="AJ361" s="20" t="str">
        <f t="shared" si="5"/>
        <v/>
      </c>
      <c r="AK361" s="21" t="str">
        <f>IF(B361="","",OR(K361="Not in use",K361="Low use")+AND(N361&lt;&gt;"",N361&lt;&gt;"TBD")+AND(ISNUMBER(U361),U361&lt;=EDATE('Scoring Settings'!$B$4,'Scoring Settings'!$B$8))+AND(ISNUMBER(L361),L361&lt;='Scoring Settings'!$B$7))</f>
        <v/>
      </c>
      <c r="AL361" s="17" t="str">
        <f>IF(B361="","",IF(K361="Not in use","Priority – Not in use",IF(AK361&gt;='Scoring Settings'!$B$9,"Decommission",IF(AK361=1,"Review","Retain"))))</f>
        <v/>
      </c>
      <c r="AM361" s="17" t="str">
        <f>IF(B361="","",IF(Z361="N","Easy",IF(OR(AND(ISNUMBER(AB361),AB361&gt;'Scoring Settings'!$B$11),AND(ISNUMBER(W361),W361&gt;'Scoring Settings'!$B$12),AND(ISNUMBER(M361),M361&lt;='Scoring Settings'!$B$13)),"High","Medium")))</f>
        <v/>
      </c>
      <c r="AN361" s="14"/>
      <c r="AO361" s="16"/>
      <c r="AP361" s="14"/>
      <c r="AQ361" s="22"/>
    </row>
    <row r="362" spans="1:43">
      <c r="A362" s="14"/>
      <c r="B362" s="14"/>
      <c r="C362" s="14"/>
      <c r="D362" s="14"/>
      <c r="E362" s="14"/>
      <c r="F362" s="14"/>
      <c r="G362" s="14"/>
      <c r="H362" s="14"/>
      <c r="I362" s="15"/>
      <c r="J362" s="16"/>
      <c r="K362" s="17" t="str">
        <f>IF(B362="","",IF(AND(I362="",J362=""),"Unknown",IF(OR(AND(ISNUMBER(I362),I362=0),AND(ISNUMBER(J362),J362&lt;=EDATE('Scoring Settings'!$B$4,-'Scoring Settings'!$B$5))),"Not in use",IF(AND(ISNUMBER(I362),I362&lt;'Scoring Settings'!$B$6),"Low use","Active"))))</f>
        <v/>
      </c>
      <c r="L362" s="14"/>
      <c r="M362" s="14"/>
      <c r="N362" s="14"/>
      <c r="O362" s="14"/>
      <c r="P362" s="14"/>
      <c r="Q362" s="18"/>
      <c r="R362" s="14"/>
      <c r="S362" s="14"/>
      <c r="T362" s="14"/>
      <c r="U362" s="16"/>
      <c r="V362" s="14"/>
      <c r="W362" s="15"/>
      <c r="X362" s="14"/>
      <c r="Y362" s="18"/>
      <c r="Z362" s="14"/>
      <c r="AA362" s="14"/>
      <c r="AB362" s="18"/>
      <c r="AC362" s="14"/>
      <c r="AD362" s="14"/>
      <c r="AE362" s="14"/>
      <c r="AF362" s="19"/>
      <c r="AG362" s="16"/>
      <c r="AH362" s="19"/>
      <c r="AI362" s="19"/>
      <c r="AJ362" s="20" t="str">
        <f t="shared" si="5"/>
        <v/>
      </c>
      <c r="AK362" s="21" t="str">
        <f>IF(B362="","",OR(K362="Not in use",K362="Low use")+AND(N362&lt;&gt;"",N362&lt;&gt;"TBD")+AND(ISNUMBER(U362),U362&lt;=EDATE('Scoring Settings'!$B$4,'Scoring Settings'!$B$8))+AND(ISNUMBER(L362),L362&lt;='Scoring Settings'!$B$7))</f>
        <v/>
      </c>
      <c r="AL362" s="17" t="str">
        <f>IF(B362="","",IF(K362="Not in use","Priority – Not in use",IF(AK362&gt;='Scoring Settings'!$B$9,"Decommission",IF(AK362=1,"Review","Retain"))))</f>
        <v/>
      </c>
      <c r="AM362" s="17" t="str">
        <f>IF(B362="","",IF(Z362="N","Easy",IF(OR(AND(ISNUMBER(AB362),AB362&gt;'Scoring Settings'!$B$11),AND(ISNUMBER(W362),W362&gt;'Scoring Settings'!$B$12),AND(ISNUMBER(M362),M362&lt;='Scoring Settings'!$B$13)),"High","Medium")))</f>
        <v/>
      </c>
      <c r="AN362" s="14"/>
      <c r="AO362" s="16"/>
      <c r="AP362" s="14"/>
      <c r="AQ362" s="22"/>
    </row>
    <row r="363" spans="1:43">
      <c r="A363" s="14"/>
      <c r="B363" s="14"/>
      <c r="C363" s="14"/>
      <c r="D363" s="14"/>
      <c r="E363" s="14"/>
      <c r="F363" s="14"/>
      <c r="G363" s="14"/>
      <c r="H363" s="14"/>
      <c r="I363" s="15"/>
      <c r="J363" s="16"/>
      <c r="K363" s="17" t="str">
        <f>IF(B363="","",IF(AND(I363="",J363=""),"Unknown",IF(OR(AND(ISNUMBER(I363),I363=0),AND(ISNUMBER(J363),J363&lt;=EDATE('Scoring Settings'!$B$4,-'Scoring Settings'!$B$5))),"Not in use",IF(AND(ISNUMBER(I363),I363&lt;'Scoring Settings'!$B$6),"Low use","Active"))))</f>
        <v/>
      </c>
      <c r="L363" s="14"/>
      <c r="M363" s="14"/>
      <c r="N363" s="14"/>
      <c r="O363" s="14"/>
      <c r="P363" s="14"/>
      <c r="Q363" s="18"/>
      <c r="R363" s="14"/>
      <c r="S363" s="14"/>
      <c r="T363" s="14"/>
      <c r="U363" s="16"/>
      <c r="V363" s="14"/>
      <c r="W363" s="15"/>
      <c r="X363" s="14"/>
      <c r="Y363" s="18"/>
      <c r="Z363" s="14"/>
      <c r="AA363" s="14"/>
      <c r="AB363" s="18"/>
      <c r="AC363" s="14"/>
      <c r="AD363" s="14"/>
      <c r="AE363" s="14"/>
      <c r="AF363" s="19"/>
      <c r="AG363" s="16"/>
      <c r="AH363" s="19"/>
      <c r="AI363" s="19"/>
      <c r="AJ363" s="20" t="str">
        <f t="shared" si="5"/>
        <v/>
      </c>
      <c r="AK363" s="21" t="str">
        <f>IF(B363="","",OR(K363="Not in use",K363="Low use")+AND(N363&lt;&gt;"",N363&lt;&gt;"TBD")+AND(ISNUMBER(U363),U363&lt;=EDATE('Scoring Settings'!$B$4,'Scoring Settings'!$B$8))+AND(ISNUMBER(L363),L363&lt;='Scoring Settings'!$B$7))</f>
        <v/>
      </c>
      <c r="AL363" s="17" t="str">
        <f>IF(B363="","",IF(K363="Not in use","Priority – Not in use",IF(AK363&gt;='Scoring Settings'!$B$9,"Decommission",IF(AK363=1,"Review","Retain"))))</f>
        <v/>
      </c>
      <c r="AM363" s="17" t="str">
        <f>IF(B363="","",IF(Z363="N","Easy",IF(OR(AND(ISNUMBER(AB363),AB363&gt;'Scoring Settings'!$B$11),AND(ISNUMBER(W363),W363&gt;'Scoring Settings'!$B$12),AND(ISNUMBER(M363),M363&lt;='Scoring Settings'!$B$13)),"High","Medium")))</f>
        <v/>
      </c>
      <c r="AN363" s="14"/>
      <c r="AO363" s="16"/>
      <c r="AP363" s="14"/>
      <c r="AQ363" s="22"/>
    </row>
    <row r="364" spans="1:43">
      <c r="A364" s="14"/>
      <c r="B364" s="14"/>
      <c r="C364" s="14"/>
      <c r="D364" s="14"/>
      <c r="E364" s="14"/>
      <c r="F364" s="14"/>
      <c r="G364" s="14"/>
      <c r="H364" s="14"/>
      <c r="I364" s="15"/>
      <c r="J364" s="16"/>
      <c r="K364" s="17" t="str">
        <f>IF(B364="","",IF(AND(I364="",J364=""),"Unknown",IF(OR(AND(ISNUMBER(I364),I364=0),AND(ISNUMBER(J364),J364&lt;=EDATE('Scoring Settings'!$B$4,-'Scoring Settings'!$B$5))),"Not in use",IF(AND(ISNUMBER(I364),I364&lt;'Scoring Settings'!$B$6),"Low use","Active"))))</f>
        <v/>
      </c>
      <c r="L364" s="14"/>
      <c r="M364" s="14"/>
      <c r="N364" s="14"/>
      <c r="O364" s="14"/>
      <c r="P364" s="14"/>
      <c r="Q364" s="18"/>
      <c r="R364" s="14"/>
      <c r="S364" s="14"/>
      <c r="T364" s="14"/>
      <c r="U364" s="16"/>
      <c r="V364" s="14"/>
      <c r="W364" s="15"/>
      <c r="X364" s="14"/>
      <c r="Y364" s="18"/>
      <c r="Z364" s="14"/>
      <c r="AA364" s="14"/>
      <c r="AB364" s="18"/>
      <c r="AC364" s="14"/>
      <c r="AD364" s="14"/>
      <c r="AE364" s="14"/>
      <c r="AF364" s="19"/>
      <c r="AG364" s="16"/>
      <c r="AH364" s="19"/>
      <c r="AI364" s="19"/>
      <c r="AJ364" s="20" t="str">
        <f t="shared" si="5"/>
        <v/>
      </c>
      <c r="AK364" s="21" t="str">
        <f>IF(B364="","",OR(K364="Not in use",K364="Low use")+AND(N364&lt;&gt;"",N364&lt;&gt;"TBD")+AND(ISNUMBER(U364),U364&lt;=EDATE('Scoring Settings'!$B$4,'Scoring Settings'!$B$8))+AND(ISNUMBER(L364),L364&lt;='Scoring Settings'!$B$7))</f>
        <v/>
      </c>
      <c r="AL364" s="17" t="str">
        <f>IF(B364="","",IF(K364="Not in use","Priority – Not in use",IF(AK364&gt;='Scoring Settings'!$B$9,"Decommission",IF(AK364=1,"Review","Retain"))))</f>
        <v/>
      </c>
      <c r="AM364" s="17" t="str">
        <f>IF(B364="","",IF(Z364="N","Easy",IF(OR(AND(ISNUMBER(AB364),AB364&gt;'Scoring Settings'!$B$11),AND(ISNUMBER(W364),W364&gt;'Scoring Settings'!$B$12),AND(ISNUMBER(M364),M364&lt;='Scoring Settings'!$B$13)),"High","Medium")))</f>
        <v/>
      </c>
      <c r="AN364" s="14"/>
      <c r="AO364" s="16"/>
      <c r="AP364" s="14"/>
      <c r="AQ364" s="22"/>
    </row>
    <row r="365" spans="1:43">
      <c r="A365" s="14"/>
      <c r="B365" s="14"/>
      <c r="C365" s="14"/>
      <c r="D365" s="14"/>
      <c r="E365" s="14"/>
      <c r="F365" s="14"/>
      <c r="G365" s="14"/>
      <c r="H365" s="14"/>
      <c r="I365" s="15"/>
      <c r="J365" s="16"/>
      <c r="K365" s="17" t="str">
        <f>IF(B365="","",IF(AND(I365="",J365=""),"Unknown",IF(OR(AND(ISNUMBER(I365),I365=0),AND(ISNUMBER(J365),J365&lt;=EDATE('Scoring Settings'!$B$4,-'Scoring Settings'!$B$5))),"Not in use",IF(AND(ISNUMBER(I365),I365&lt;'Scoring Settings'!$B$6),"Low use","Active"))))</f>
        <v/>
      </c>
      <c r="L365" s="14"/>
      <c r="M365" s="14"/>
      <c r="N365" s="14"/>
      <c r="O365" s="14"/>
      <c r="P365" s="14"/>
      <c r="Q365" s="18"/>
      <c r="R365" s="14"/>
      <c r="S365" s="14"/>
      <c r="T365" s="14"/>
      <c r="U365" s="16"/>
      <c r="V365" s="14"/>
      <c r="W365" s="15"/>
      <c r="X365" s="14"/>
      <c r="Y365" s="18"/>
      <c r="Z365" s="14"/>
      <c r="AA365" s="14"/>
      <c r="AB365" s="18"/>
      <c r="AC365" s="14"/>
      <c r="AD365" s="14"/>
      <c r="AE365" s="14"/>
      <c r="AF365" s="19"/>
      <c r="AG365" s="16"/>
      <c r="AH365" s="19"/>
      <c r="AI365" s="19"/>
      <c r="AJ365" s="20" t="str">
        <f t="shared" si="5"/>
        <v/>
      </c>
      <c r="AK365" s="21" t="str">
        <f>IF(B365="","",OR(K365="Not in use",K365="Low use")+AND(N365&lt;&gt;"",N365&lt;&gt;"TBD")+AND(ISNUMBER(U365),U365&lt;=EDATE('Scoring Settings'!$B$4,'Scoring Settings'!$B$8))+AND(ISNUMBER(L365),L365&lt;='Scoring Settings'!$B$7))</f>
        <v/>
      </c>
      <c r="AL365" s="17" t="str">
        <f>IF(B365="","",IF(K365="Not in use","Priority – Not in use",IF(AK365&gt;='Scoring Settings'!$B$9,"Decommission",IF(AK365=1,"Review","Retain"))))</f>
        <v/>
      </c>
      <c r="AM365" s="17" t="str">
        <f>IF(B365="","",IF(Z365="N","Easy",IF(OR(AND(ISNUMBER(AB365),AB365&gt;'Scoring Settings'!$B$11),AND(ISNUMBER(W365),W365&gt;'Scoring Settings'!$B$12),AND(ISNUMBER(M365),M365&lt;='Scoring Settings'!$B$13)),"High","Medium")))</f>
        <v/>
      </c>
      <c r="AN365" s="14"/>
      <c r="AO365" s="16"/>
      <c r="AP365" s="14"/>
      <c r="AQ365" s="22"/>
    </row>
    <row r="366" spans="1:43">
      <c r="A366" s="14"/>
      <c r="B366" s="14"/>
      <c r="C366" s="14"/>
      <c r="D366" s="14"/>
      <c r="E366" s="14"/>
      <c r="F366" s="14"/>
      <c r="G366" s="14"/>
      <c r="H366" s="14"/>
      <c r="I366" s="15"/>
      <c r="J366" s="16"/>
      <c r="K366" s="17" t="str">
        <f>IF(B366="","",IF(AND(I366="",J366=""),"Unknown",IF(OR(AND(ISNUMBER(I366),I366=0),AND(ISNUMBER(J366),J366&lt;=EDATE('Scoring Settings'!$B$4,-'Scoring Settings'!$B$5))),"Not in use",IF(AND(ISNUMBER(I366),I366&lt;'Scoring Settings'!$B$6),"Low use","Active"))))</f>
        <v/>
      </c>
      <c r="L366" s="14"/>
      <c r="M366" s="14"/>
      <c r="N366" s="14"/>
      <c r="O366" s="14"/>
      <c r="P366" s="14"/>
      <c r="Q366" s="18"/>
      <c r="R366" s="14"/>
      <c r="S366" s="14"/>
      <c r="T366" s="14"/>
      <c r="U366" s="16"/>
      <c r="V366" s="14"/>
      <c r="W366" s="15"/>
      <c r="X366" s="14"/>
      <c r="Y366" s="18"/>
      <c r="Z366" s="14"/>
      <c r="AA366" s="14"/>
      <c r="AB366" s="18"/>
      <c r="AC366" s="14"/>
      <c r="AD366" s="14"/>
      <c r="AE366" s="14"/>
      <c r="AF366" s="19"/>
      <c r="AG366" s="16"/>
      <c r="AH366" s="19"/>
      <c r="AI366" s="19"/>
      <c r="AJ366" s="20" t="str">
        <f t="shared" si="5"/>
        <v/>
      </c>
      <c r="AK366" s="21" t="str">
        <f>IF(B366="","",OR(K366="Not in use",K366="Low use")+AND(N366&lt;&gt;"",N366&lt;&gt;"TBD")+AND(ISNUMBER(U366),U366&lt;=EDATE('Scoring Settings'!$B$4,'Scoring Settings'!$B$8))+AND(ISNUMBER(L366),L366&lt;='Scoring Settings'!$B$7))</f>
        <v/>
      </c>
      <c r="AL366" s="17" t="str">
        <f>IF(B366="","",IF(K366="Not in use","Priority – Not in use",IF(AK366&gt;='Scoring Settings'!$B$9,"Decommission",IF(AK366=1,"Review","Retain"))))</f>
        <v/>
      </c>
      <c r="AM366" s="17" t="str">
        <f>IF(B366="","",IF(Z366="N","Easy",IF(OR(AND(ISNUMBER(AB366),AB366&gt;'Scoring Settings'!$B$11),AND(ISNUMBER(W366),W366&gt;'Scoring Settings'!$B$12),AND(ISNUMBER(M366),M366&lt;='Scoring Settings'!$B$13)),"High","Medium")))</f>
        <v/>
      </c>
      <c r="AN366" s="14"/>
      <c r="AO366" s="16"/>
      <c r="AP366" s="14"/>
      <c r="AQ366" s="22"/>
    </row>
    <row r="367" spans="1:43">
      <c r="A367" s="14"/>
      <c r="B367" s="14"/>
      <c r="C367" s="14"/>
      <c r="D367" s="14"/>
      <c r="E367" s="14"/>
      <c r="F367" s="14"/>
      <c r="G367" s="14"/>
      <c r="H367" s="14"/>
      <c r="I367" s="15"/>
      <c r="J367" s="16"/>
      <c r="K367" s="17" t="str">
        <f>IF(B367="","",IF(AND(I367="",J367=""),"Unknown",IF(OR(AND(ISNUMBER(I367),I367=0),AND(ISNUMBER(J367),J367&lt;=EDATE('Scoring Settings'!$B$4,-'Scoring Settings'!$B$5))),"Not in use",IF(AND(ISNUMBER(I367),I367&lt;'Scoring Settings'!$B$6),"Low use","Active"))))</f>
        <v/>
      </c>
      <c r="L367" s="14"/>
      <c r="M367" s="14"/>
      <c r="N367" s="14"/>
      <c r="O367" s="14"/>
      <c r="P367" s="14"/>
      <c r="Q367" s="18"/>
      <c r="R367" s="14"/>
      <c r="S367" s="14"/>
      <c r="T367" s="14"/>
      <c r="U367" s="16"/>
      <c r="V367" s="14"/>
      <c r="W367" s="15"/>
      <c r="X367" s="14"/>
      <c r="Y367" s="18"/>
      <c r="Z367" s="14"/>
      <c r="AA367" s="14"/>
      <c r="AB367" s="18"/>
      <c r="AC367" s="14"/>
      <c r="AD367" s="14"/>
      <c r="AE367" s="14"/>
      <c r="AF367" s="19"/>
      <c r="AG367" s="16"/>
      <c r="AH367" s="19"/>
      <c r="AI367" s="19"/>
      <c r="AJ367" s="20" t="str">
        <f t="shared" si="5"/>
        <v/>
      </c>
      <c r="AK367" s="21" t="str">
        <f>IF(B367="","",OR(K367="Not in use",K367="Low use")+AND(N367&lt;&gt;"",N367&lt;&gt;"TBD")+AND(ISNUMBER(U367),U367&lt;=EDATE('Scoring Settings'!$B$4,'Scoring Settings'!$B$8))+AND(ISNUMBER(L367),L367&lt;='Scoring Settings'!$B$7))</f>
        <v/>
      </c>
      <c r="AL367" s="17" t="str">
        <f>IF(B367="","",IF(K367="Not in use","Priority – Not in use",IF(AK367&gt;='Scoring Settings'!$B$9,"Decommission",IF(AK367=1,"Review","Retain"))))</f>
        <v/>
      </c>
      <c r="AM367" s="17" t="str">
        <f>IF(B367="","",IF(Z367="N","Easy",IF(OR(AND(ISNUMBER(AB367),AB367&gt;'Scoring Settings'!$B$11),AND(ISNUMBER(W367),W367&gt;'Scoring Settings'!$B$12),AND(ISNUMBER(M367),M367&lt;='Scoring Settings'!$B$13)),"High","Medium")))</f>
        <v/>
      </c>
      <c r="AN367" s="14"/>
      <c r="AO367" s="16"/>
      <c r="AP367" s="14"/>
      <c r="AQ367" s="22"/>
    </row>
    <row r="368" spans="1:43">
      <c r="A368" s="14"/>
      <c r="B368" s="14"/>
      <c r="C368" s="14"/>
      <c r="D368" s="14"/>
      <c r="E368" s="14"/>
      <c r="F368" s="14"/>
      <c r="G368" s="14"/>
      <c r="H368" s="14"/>
      <c r="I368" s="15"/>
      <c r="J368" s="16"/>
      <c r="K368" s="17" t="str">
        <f>IF(B368="","",IF(AND(I368="",J368=""),"Unknown",IF(OR(AND(ISNUMBER(I368),I368=0),AND(ISNUMBER(J368),J368&lt;=EDATE('Scoring Settings'!$B$4,-'Scoring Settings'!$B$5))),"Not in use",IF(AND(ISNUMBER(I368),I368&lt;'Scoring Settings'!$B$6),"Low use","Active"))))</f>
        <v/>
      </c>
      <c r="L368" s="14"/>
      <c r="M368" s="14"/>
      <c r="N368" s="14"/>
      <c r="O368" s="14"/>
      <c r="P368" s="14"/>
      <c r="Q368" s="18"/>
      <c r="R368" s="14"/>
      <c r="S368" s="14"/>
      <c r="T368" s="14"/>
      <c r="U368" s="16"/>
      <c r="V368" s="14"/>
      <c r="W368" s="15"/>
      <c r="X368" s="14"/>
      <c r="Y368" s="18"/>
      <c r="Z368" s="14"/>
      <c r="AA368" s="14"/>
      <c r="AB368" s="18"/>
      <c r="AC368" s="14"/>
      <c r="AD368" s="14"/>
      <c r="AE368" s="14"/>
      <c r="AF368" s="19"/>
      <c r="AG368" s="16"/>
      <c r="AH368" s="19"/>
      <c r="AI368" s="19"/>
      <c r="AJ368" s="20" t="str">
        <f t="shared" si="5"/>
        <v/>
      </c>
      <c r="AK368" s="21" t="str">
        <f>IF(B368="","",OR(K368="Not in use",K368="Low use")+AND(N368&lt;&gt;"",N368&lt;&gt;"TBD")+AND(ISNUMBER(U368),U368&lt;=EDATE('Scoring Settings'!$B$4,'Scoring Settings'!$B$8))+AND(ISNUMBER(L368),L368&lt;='Scoring Settings'!$B$7))</f>
        <v/>
      </c>
      <c r="AL368" s="17" t="str">
        <f>IF(B368="","",IF(K368="Not in use","Priority – Not in use",IF(AK368&gt;='Scoring Settings'!$B$9,"Decommission",IF(AK368=1,"Review","Retain"))))</f>
        <v/>
      </c>
      <c r="AM368" s="17" t="str">
        <f>IF(B368="","",IF(Z368="N","Easy",IF(OR(AND(ISNUMBER(AB368),AB368&gt;'Scoring Settings'!$B$11),AND(ISNUMBER(W368),W368&gt;'Scoring Settings'!$B$12),AND(ISNUMBER(M368),M368&lt;='Scoring Settings'!$B$13)),"High","Medium")))</f>
        <v/>
      </c>
      <c r="AN368" s="14"/>
      <c r="AO368" s="16"/>
      <c r="AP368" s="14"/>
      <c r="AQ368" s="22"/>
    </row>
    <row r="369" spans="1:43">
      <c r="A369" s="14"/>
      <c r="B369" s="14"/>
      <c r="C369" s="14"/>
      <c r="D369" s="14"/>
      <c r="E369" s="14"/>
      <c r="F369" s="14"/>
      <c r="G369" s="14"/>
      <c r="H369" s="14"/>
      <c r="I369" s="15"/>
      <c r="J369" s="16"/>
      <c r="K369" s="17" t="str">
        <f>IF(B369="","",IF(AND(I369="",J369=""),"Unknown",IF(OR(AND(ISNUMBER(I369),I369=0),AND(ISNUMBER(J369),J369&lt;=EDATE('Scoring Settings'!$B$4,-'Scoring Settings'!$B$5))),"Not in use",IF(AND(ISNUMBER(I369),I369&lt;'Scoring Settings'!$B$6),"Low use","Active"))))</f>
        <v/>
      </c>
      <c r="L369" s="14"/>
      <c r="M369" s="14"/>
      <c r="N369" s="14"/>
      <c r="O369" s="14"/>
      <c r="P369" s="14"/>
      <c r="Q369" s="18"/>
      <c r="R369" s="14"/>
      <c r="S369" s="14"/>
      <c r="T369" s="14"/>
      <c r="U369" s="16"/>
      <c r="V369" s="14"/>
      <c r="W369" s="15"/>
      <c r="X369" s="14"/>
      <c r="Y369" s="18"/>
      <c r="Z369" s="14"/>
      <c r="AA369" s="14"/>
      <c r="AB369" s="18"/>
      <c r="AC369" s="14"/>
      <c r="AD369" s="14"/>
      <c r="AE369" s="14"/>
      <c r="AF369" s="19"/>
      <c r="AG369" s="16"/>
      <c r="AH369" s="19"/>
      <c r="AI369" s="19"/>
      <c r="AJ369" s="20" t="str">
        <f t="shared" si="5"/>
        <v/>
      </c>
      <c r="AK369" s="21" t="str">
        <f>IF(B369="","",OR(K369="Not in use",K369="Low use")+AND(N369&lt;&gt;"",N369&lt;&gt;"TBD")+AND(ISNUMBER(U369),U369&lt;=EDATE('Scoring Settings'!$B$4,'Scoring Settings'!$B$8))+AND(ISNUMBER(L369),L369&lt;='Scoring Settings'!$B$7))</f>
        <v/>
      </c>
      <c r="AL369" s="17" t="str">
        <f>IF(B369="","",IF(K369="Not in use","Priority – Not in use",IF(AK369&gt;='Scoring Settings'!$B$9,"Decommission",IF(AK369=1,"Review","Retain"))))</f>
        <v/>
      </c>
      <c r="AM369" s="17" t="str">
        <f>IF(B369="","",IF(Z369="N","Easy",IF(OR(AND(ISNUMBER(AB369),AB369&gt;'Scoring Settings'!$B$11),AND(ISNUMBER(W369),W369&gt;'Scoring Settings'!$B$12),AND(ISNUMBER(M369),M369&lt;='Scoring Settings'!$B$13)),"High","Medium")))</f>
        <v/>
      </c>
      <c r="AN369" s="14"/>
      <c r="AO369" s="16"/>
      <c r="AP369" s="14"/>
      <c r="AQ369" s="22"/>
    </row>
    <row r="370" spans="1:43">
      <c r="A370" s="14"/>
      <c r="B370" s="14"/>
      <c r="C370" s="14"/>
      <c r="D370" s="14"/>
      <c r="E370" s="14"/>
      <c r="F370" s="14"/>
      <c r="G370" s="14"/>
      <c r="H370" s="14"/>
      <c r="I370" s="15"/>
      <c r="J370" s="16"/>
      <c r="K370" s="17" t="str">
        <f>IF(B370="","",IF(AND(I370="",J370=""),"Unknown",IF(OR(AND(ISNUMBER(I370),I370=0),AND(ISNUMBER(J370),J370&lt;=EDATE('Scoring Settings'!$B$4,-'Scoring Settings'!$B$5))),"Not in use",IF(AND(ISNUMBER(I370),I370&lt;'Scoring Settings'!$B$6),"Low use","Active"))))</f>
        <v/>
      </c>
      <c r="L370" s="14"/>
      <c r="M370" s="14"/>
      <c r="N370" s="14"/>
      <c r="O370" s="14"/>
      <c r="P370" s="14"/>
      <c r="Q370" s="18"/>
      <c r="R370" s="14"/>
      <c r="S370" s="14"/>
      <c r="T370" s="14"/>
      <c r="U370" s="16"/>
      <c r="V370" s="14"/>
      <c r="W370" s="15"/>
      <c r="X370" s="14"/>
      <c r="Y370" s="18"/>
      <c r="Z370" s="14"/>
      <c r="AA370" s="14"/>
      <c r="AB370" s="18"/>
      <c r="AC370" s="14"/>
      <c r="AD370" s="14"/>
      <c r="AE370" s="14"/>
      <c r="AF370" s="19"/>
      <c r="AG370" s="16"/>
      <c r="AH370" s="19"/>
      <c r="AI370" s="19"/>
      <c r="AJ370" s="20" t="str">
        <f t="shared" si="5"/>
        <v/>
      </c>
      <c r="AK370" s="21" t="str">
        <f>IF(B370="","",OR(K370="Not in use",K370="Low use")+AND(N370&lt;&gt;"",N370&lt;&gt;"TBD")+AND(ISNUMBER(U370),U370&lt;=EDATE('Scoring Settings'!$B$4,'Scoring Settings'!$B$8))+AND(ISNUMBER(L370),L370&lt;='Scoring Settings'!$B$7))</f>
        <v/>
      </c>
      <c r="AL370" s="17" t="str">
        <f>IF(B370="","",IF(K370="Not in use","Priority – Not in use",IF(AK370&gt;='Scoring Settings'!$B$9,"Decommission",IF(AK370=1,"Review","Retain"))))</f>
        <v/>
      </c>
      <c r="AM370" s="17" t="str">
        <f>IF(B370="","",IF(Z370="N","Easy",IF(OR(AND(ISNUMBER(AB370),AB370&gt;'Scoring Settings'!$B$11),AND(ISNUMBER(W370),W370&gt;'Scoring Settings'!$B$12),AND(ISNUMBER(M370),M370&lt;='Scoring Settings'!$B$13)),"High","Medium")))</f>
        <v/>
      </c>
      <c r="AN370" s="14"/>
      <c r="AO370" s="16"/>
      <c r="AP370" s="14"/>
      <c r="AQ370" s="22"/>
    </row>
    <row r="371" spans="1:43">
      <c r="A371" s="14"/>
      <c r="B371" s="14"/>
      <c r="C371" s="14"/>
      <c r="D371" s="14"/>
      <c r="E371" s="14"/>
      <c r="F371" s="14"/>
      <c r="G371" s="14"/>
      <c r="H371" s="14"/>
      <c r="I371" s="15"/>
      <c r="J371" s="16"/>
      <c r="K371" s="17" t="str">
        <f>IF(B371="","",IF(AND(I371="",J371=""),"Unknown",IF(OR(AND(ISNUMBER(I371),I371=0),AND(ISNUMBER(J371),J371&lt;=EDATE('Scoring Settings'!$B$4,-'Scoring Settings'!$B$5))),"Not in use",IF(AND(ISNUMBER(I371),I371&lt;'Scoring Settings'!$B$6),"Low use","Active"))))</f>
        <v/>
      </c>
      <c r="L371" s="14"/>
      <c r="M371" s="14"/>
      <c r="N371" s="14"/>
      <c r="O371" s="14"/>
      <c r="P371" s="14"/>
      <c r="Q371" s="18"/>
      <c r="R371" s="14"/>
      <c r="S371" s="14"/>
      <c r="T371" s="14"/>
      <c r="U371" s="16"/>
      <c r="V371" s="14"/>
      <c r="W371" s="15"/>
      <c r="X371" s="14"/>
      <c r="Y371" s="18"/>
      <c r="Z371" s="14"/>
      <c r="AA371" s="14"/>
      <c r="AB371" s="18"/>
      <c r="AC371" s="14"/>
      <c r="AD371" s="14"/>
      <c r="AE371" s="14"/>
      <c r="AF371" s="19"/>
      <c r="AG371" s="16"/>
      <c r="AH371" s="19"/>
      <c r="AI371" s="19"/>
      <c r="AJ371" s="20" t="str">
        <f t="shared" si="5"/>
        <v/>
      </c>
      <c r="AK371" s="21" t="str">
        <f>IF(B371="","",OR(K371="Not in use",K371="Low use")+AND(N371&lt;&gt;"",N371&lt;&gt;"TBD")+AND(ISNUMBER(U371),U371&lt;=EDATE('Scoring Settings'!$B$4,'Scoring Settings'!$B$8))+AND(ISNUMBER(L371),L371&lt;='Scoring Settings'!$B$7))</f>
        <v/>
      </c>
      <c r="AL371" s="17" t="str">
        <f>IF(B371="","",IF(K371="Not in use","Priority – Not in use",IF(AK371&gt;='Scoring Settings'!$B$9,"Decommission",IF(AK371=1,"Review","Retain"))))</f>
        <v/>
      </c>
      <c r="AM371" s="17" t="str">
        <f>IF(B371="","",IF(Z371="N","Easy",IF(OR(AND(ISNUMBER(AB371),AB371&gt;'Scoring Settings'!$B$11),AND(ISNUMBER(W371),W371&gt;'Scoring Settings'!$B$12),AND(ISNUMBER(M371),M371&lt;='Scoring Settings'!$B$13)),"High","Medium")))</f>
        <v/>
      </c>
      <c r="AN371" s="14"/>
      <c r="AO371" s="16"/>
      <c r="AP371" s="14"/>
      <c r="AQ371" s="22"/>
    </row>
    <row r="372" spans="1:43">
      <c r="A372" s="14"/>
      <c r="B372" s="14"/>
      <c r="C372" s="14"/>
      <c r="D372" s="14"/>
      <c r="E372" s="14"/>
      <c r="F372" s="14"/>
      <c r="G372" s="14"/>
      <c r="H372" s="14"/>
      <c r="I372" s="15"/>
      <c r="J372" s="16"/>
      <c r="K372" s="17" t="str">
        <f>IF(B372="","",IF(AND(I372="",J372=""),"Unknown",IF(OR(AND(ISNUMBER(I372),I372=0),AND(ISNUMBER(J372),J372&lt;=EDATE('Scoring Settings'!$B$4,-'Scoring Settings'!$B$5))),"Not in use",IF(AND(ISNUMBER(I372),I372&lt;'Scoring Settings'!$B$6),"Low use","Active"))))</f>
        <v/>
      </c>
      <c r="L372" s="14"/>
      <c r="M372" s="14"/>
      <c r="N372" s="14"/>
      <c r="O372" s="14"/>
      <c r="P372" s="14"/>
      <c r="Q372" s="18"/>
      <c r="R372" s="14"/>
      <c r="S372" s="14"/>
      <c r="T372" s="14"/>
      <c r="U372" s="16"/>
      <c r="V372" s="14"/>
      <c r="W372" s="15"/>
      <c r="X372" s="14"/>
      <c r="Y372" s="18"/>
      <c r="Z372" s="14"/>
      <c r="AA372" s="14"/>
      <c r="AB372" s="18"/>
      <c r="AC372" s="14"/>
      <c r="AD372" s="14"/>
      <c r="AE372" s="14"/>
      <c r="AF372" s="19"/>
      <c r="AG372" s="16"/>
      <c r="AH372" s="19"/>
      <c r="AI372" s="19"/>
      <c r="AJ372" s="20" t="str">
        <f t="shared" si="5"/>
        <v/>
      </c>
      <c r="AK372" s="21" t="str">
        <f>IF(B372="","",OR(K372="Not in use",K372="Low use")+AND(N372&lt;&gt;"",N372&lt;&gt;"TBD")+AND(ISNUMBER(U372),U372&lt;=EDATE('Scoring Settings'!$B$4,'Scoring Settings'!$B$8))+AND(ISNUMBER(L372),L372&lt;='Scoring Settings'!$B$7))</f>
        <v/>
      </c>
      <c r="AL372" s="17" t="str">
        <f>IF(B372="","",IF(K372="Not in use","Priority – Not in use",IF(AK372&gt;='Scoring Settings'!$B$9,"Decommission",IF(AK372=1,"Review","Retain"))))</f>
        <v/>
      </c>
      <c r="AM372" s="17" t="str">
        <f>IF(B372="","",IF(Z372="N","Easy",IF(OR(AND(ISNUMBER(AB372),AB372&gt;'Scoring Settings'!$B$11),AND(ISNUMBER(W372),W372&gt;'Scoring Settings'!$B$12),AND(ISNUMBER(M372),M372&lt;='Scoring Settings'!$B$13)),"High","Medium")))</f>
        <v/>
      </c>
      <c r="AN372" s="14"/>
      <c r="AO372" s="16"/>
      <c r="AP372" s="14"/>
      <c r="AQ372" s="22"/>
    </row>
    <row r="373" spans="1:43">
      <c r="A373" s="14"/>
      <c r="B373" s="14"/>
      <c r="C373" s="14"/>
      <c r="D373" s="14"/>
      <c r="E373" s="14"/>
      <c r="F373" s="14"/>
      <c r="G373" s="14"/>
      <c r="H373" s="14"/>
      <c r="I373" s="15"/>
      <c r="J373" s="16"/>
      <c r="K373" s="17" t="str">
        <f>IF(B373="","",IF(AND(I373="",J373=""),"Unknown",IF(OR(AND(ISNUMBER(I373),I373=0),AND(ISNUMBER(J373),J373&lt;=EDATE('Scoring Settings'!$B$4,-'Scoring Settings'!$B$5))),"Not in use",IF(AND(ISNUMBER(I373),I373&lt;'Scoring Settings'!$B$6),"Low use","Active"))))</f>
        <v/>
      </c>
      <c r="L373" s="14"/>
      <c r="M373" s="14"/>
      <c r="N373" s="14"/>
      <c r="O373" s="14"/>
      <c r="P373" s="14"/>
      <c r="Q373" s="18"/>
      <c r="R373" s="14"/>
      <c r="S373" s="14"/>
      <c r="T373" s="14"/>
      <c r="U373" s="16"/>
      <c r="V373" s="14"/>
      <c r="W373" s="15"/>
      <c r="X373" s="14"/>
      <c r="Y373" s="18"/>
      <c r="Z373" s="14"/>
      <c r="AA373" s="14"/>
      <c r="AB373" s="18"/>
      <c r="AC373" s="14"/>
      <c r="AD373" s="14"/>
      <c r="AE373" s="14"/>
      <c r="AF373" s="19"/>
      <c r="AG373" s="16"/>
      <c r="AH373" s="19"/>
      <c r="AI373" s="19"/>
      <c r="AJ373" s="20" t="str">
        <f t="shared" si="5"/>
        <v/>
      </c>
      <c r="AK373" s="21" t="str">
        <f>IF(B373="","",OR(K373="Not in use",K373="Low use")+AND(N373&lt;&gt;"",N373&lt;&gt;"TBD")+AND(ISNUMBER(U373),U373&lt;=EDATE('Scoring Settings'!$B$4,'Scoring Settings'!$B$8))+AND(ISNUMBER(L373),L373&lt;='Scoring Settings'!$B$7))</f>
        <v/>
      </c>
      <c r="AL373" s="17" t="str">
        <f>IF(B373="","",IF(K373="Not in use","Priority – Not in use",IF(AK373&gt;='Scoring Settings'!$B$9,"Decommission",IF(AK373=1,"Review","Retain"))))</f>
        <v/>
      </c>
      <c r="AM373" s="17" t="str">
        <f>IF(B373="","",IF(Z373="N","Easy",IF(OR(AND(ISNUMBER(AB373),AB373&gt;'Scoring Settings'!$B$11),AND(ISNUMBER(W373),W373&gt;'Scoring Settings'!$B$12),AND(ISNUMBER(M373),M373&lt;='Scoring Settings'!$B$13)),"High","Medium")))</f>
        <v/>
      </c>
      <c r="AN373" s="14"/>
      <c r="AO373" s="16"/>
      <c r="AP373" s="14"/>
      <c r="AQ373" s="22"/>
    </row>
    <row r="374" spans="1:43">
      <c r="A374" s="14"/>
      <c r="B374" s="14"/>
      <c r="C374" s="14"/>
      <c r="D374" s="14"/>
      <c r="E374" s="14"/>
      <c r="F374" s="14"/>
      <c r="G374" s="14"/>
      <c r="H374" s="14"/>
      <c r="I374" s="15"/>
      <c r="J374" s="16"/>
      <c r="K374" s="17" t="str">
        <f>IF(B374="","",IF(AND(I374="",J374=""),"Unknown",IF(OR(AND(ISNUMBER(I374),I374=0),AND(ISNUMBER(J374),J374&lt;=EDATE('Scoring Settings'!$B$4,-'Scoring Settings'!$B$5))),"Not in use",IF(AND(ISNUMBER(I374),I374&lt;'Scoring Settings'!$B$6),"Low use","Active"))))</f>
        <v/>
      </c>
      <c r="L374" s="14"/>
      <c r="M374" s="14"/>
      <c r="N374" s="14"/>
      <c r="O374" s="14"/>
      <c r="P374" s="14"/>
      <c r="Q374" s="18"/>
      <c r="R374" s="14"/>
      <c r="S374" s="14"/>
      <c r="T374" s="14"/>
      <c r="U374" s="16"/>
      <c r="V374" s="14"/>
      <c r="W374" s="15"/>
      <c r="X374" s="14"/>
      <c r="Y374" s="18"/>
      <c r="Z374" s="14"/>
      <c r="AA374" s="14"/>
      <c r="AB374" s="18"/>
      <c r="AC374" s="14"/>
      <c r="AD374" s="14"/>
      <c r="AE374" s="14"/>
      <c r="AF374" s="19"/>
      <c r="AG374" s="16"/>
      <c r="AH374" s="19"/>
      <c r="AI374" s="19"/>
      <c r="AJ374" s="20" t="str">
        <f t="shared" si="5"/>
        <v/>
      </c>
      <c r="AK374" s="21" t="str">
        <f>IF(B374="","",OR(K374="Not in use",K374="Low use")+AND(N374&lt;&gt;"",N374&lt;&gt;"TBD")+AND(ISNUMBER(U374),U374&lt;=EDATE('Scoring Settings'!$B$4,'Scoring Settings'!$B$8))+AND(ISNUMBER(L374),L374&lt;='Scoring Settings'!$B$7))</f>
        <v/>
      </c>
      <c r="AL374" s="17" t="str">
        <f>IF(B374="","",IF(K374="Not in use","Priority – Not in use",IF(AK374&gt;='Scoring Settings'!$B$9,"Decommission",IF(AK374=1,"Review","Retain"))))</f>
        <v/>
      </c>
      <c r="AM374" s="17" t="str">
        <f>IF(B374="","",IF(Z374="N","Easy",IF(OR(AND(ISNUMBER(AB374),AB374&gt;'Scoring Settings'!$B$11),AND(ISNUMBER(W374),W374&gt;'Scoring Settings'!$B$12),AND(ISNUMBER(M374),M374&lt;='Scoring Settings'!$B$13)),"High","Medium")))</f>
        <v/>
      </c>
      <c r="AN374" s="14"/>
      <c r="AO374" s="16"/>
      <c r="AP374" s="14"/>
      <c r="AQ374" s="22"/>
    </row>
    <row r="375" spans="1:43">
      <c r="A375" s="14"/>
      <c r="B375" s="14"/>
      <c r="C375" s="14"/>
      <c r="D375" s="14"/>
      <c r="E375" s="14"/>
      <c r="F375" s="14"/>
      <c r="G375" s="14"/>
      <c r="H375" s="14"/>
      <c r="I375" s="15"/>
      <c r="J375" s="16"/>
      <c r="K375" s="17" t="str">
        <f>IF(B375="","",IF(AND(I375="",J375=""),"Unknown",IF(OR(AND(ISNUMBER(I375),I375=0),AND(ISNUMBER(J375),J375&lt;=EDATE('Scoring Settings'!$B$4,-'Scoring Settings'!$B$5))),"Not in use",IF(AND(ISNUMBER(I375),I375&lt;'Scoring Settings'!$B$6),"Low use","Active"))))</f>
        <v/>
      </c>
      <c r="L375" s="14"/>
      <c r="M375" s="14"/>
      <c r="N375" s="14"/>
      <c r="O375" s="14"/>
      <c r="P375" s="14"/>
      <c r="Q375" s="18"/>
      <c r="R375" s="14"/>
      <c r="S375" s="14"/>
      <c r="T375" s="14"/>
      <c r="U375" s="16"/>
      <c r="V375" s="14"/>
      <c r="W375" s="15"/>
      <c r="X375" s="14"/>
      <c r="Y375" s="18"/>
      <c r="Z375" s="14"/>
      <c r="AA375" s="14"/>
      <c r="AB375" s="18"/>
      <c r="AC375" s="14"/>
      <c r="AD375" s="14"/>
      <c r="AE375" s="14"/>
      <c r="AF375" s="19"/>
      <c r="AG375" s="16"/>
      <c r="AH375" s="19"/>
      <c r="AI375" s="19"/>
      <c r="AJ375" s="20" t="str">
        <f t="shared" si="5"/>
        <v/>
      </c>
      <c r="AK375" s="21" t="str">
        <f>IF(B375="","",OR(K375="Not in use",K375="Low use")+AND(N375&lt;&gt;"",N375&lt;&gt;"TBD")+AND(ISNUMBER(U375),U375&lt;=EDATE('Scoring Settings'!$B$4,'Scoring Settings'!$B$8))+AND(ISNUMBER(L375),L375&lt;='Scoring Settings'!$B$7))</f>
        <v/>
      </c>
      <c r="AL375" s="17" t="str">
        <f>IF(B375="","",IF(K375="Not in use","Priority – Not in use",IF(AK375&gt;='Scoring Settings'!$B$9,"Decommission",IF(AK375=1,"Review","Retain"))))</f>
        <v/>
      </c>
      <c r="AM375" s="17" t="str">
        <f>IF(B375="","",IF(Z375="N","Easy",IF(OR(AND(ISNUMBER(AB375),AB375&gt;'Scoring Settings'!$B$11),AND(ISNUMBER(W375),W375&gt;'Scoring Settings'!$B$12),AND(ISNUMBER(M375),M375&lt;='Scoring Settings'!$B$13)),"High","Medium")))</f>
        <v/>
      </c>
      <c r="AN375" s="14"/>
      <c r="AO375" s="16"/>
      <c r="AP375" s="14"/>
      <c r="AQ375" s="22"/>
    </row>
    <row r="376" spans="1:43">
      <c r="A376" s="14"/>
      <c r="B376" s="14"/>
      <c r="C376" s="14"/>
      <c r="D376" s="14"/>
      <c r="E376" s="14"/>
      <c r="F376" s="14"/>
      <c r="G376" s="14"/>
      <c r="H376" s="14"/>
      <c r="I376" s="15"/>
      <c r="J376" s="16"/>
      <c r="K376" s="17" t="str">
        <f>IF(B376="","",IF(AND(I376="",J376=""),"Unknown",IF(OR(AND(ISNUMBER(I376),I376=0),AND(ISNUMBER(J376),J376&lt;=EDATE('Scoring Settings'!$B$4,-'Scoring Settings'!$B$5))),"Not in use",IF(AND(ISNUMBER(I376),I376&lt;'Scoring Settings'!$B$6),"Low use","Active"))))</f>
        <v/>
      </c>
      <c r="L376" s="14"/>
      <c r="M376" s="14"/>
      <c r="N376" s="14"/>
      <c r="O376" s="14"/>
      <c r="P376" s="14"/>
      <c r="Q376" s="18"/>
      <c r="R376" s="14"/>
      <c r="S376" s="14"/>
      <c r="T376" s="14"/>
      <c r="U376" s="16"/>
      <c r="V376" s="14"/>
      <c r="W376" s="15"/>
      <c r="X376" s="14"/>
      <c r="Y376" s="18"/>
      <c r="Z376" s="14"/>
      <c r="AA376" s="14"/>
      <c r="AB376" s="18"/>
      <c r="AC376" s="14"/>
      <c r="AD376" s="14"/>
      <c r="AE376" s="14"/>
      <c r="AF376" s="19"/>
      <c r="AG376" s="16"/>
      <c r="AH376" s="19"/>
      <c r="AI376" s="19"/>
      <c r="AJ376" s="20" t="str">
        <f t="shared" si="5"/>
        <v/>
      </c>
      <c r="AK376" s="21" t="str">
        <f>IF(B376="","",OR(K376="Not in use",K376="Low use")+AND(N376&lt;&gt;"",N376&lt;&gt;"TBD")+AND(ISNUMBER(U376),U376&lt;=EDATE('Scoring Settings'!$B$4,'Scoring Settings'!$B$8))+AND(ISNUMBER(L376),L376&lt;='Scoring Settings'!$B$7))</f>
        <v/>
      </c>
      <c r="AL376" s="17" t="str">
        <f>IF(B376="","",IF(K376="Not in use","Priority – Not in use",IF(AK376&gt;='Scoring Settings'!$B$9,"Decommission",IF(AK376=1,"Review","Retain"))))</f>
        <v/>
      </c>
      <c r="AM376" s="17" t="str">
        <f>IF(B376="","",IF(Z376="N","Easy",IF(OR(AND(ISNUMBER(AB376),AB376&gt;'Scoring Settings'!$B$11),AND(ISNUMBER(W376),W376&gt;'Scoring Settings'!$B$12),AND(ISNUMBER(M376),M376&lt;='Scoring Settings'!$B$13)),"High","Medium")))</f>
        <v/>
      </c>
      <c r="AN376" s="14"/>
      <c r="AO376" s="16"/>
      <c r="AP376" s="14"/>
      <c r="AQ376" s="22"/>
    </row>
    <row r="377" spans="1:43">
      <c r="A377" s="14"/>
      <c r="B377" s="14"/>
      <c r="C377" s="14"/>
      <c r="D377" s="14"/>
      <c r="E377" s="14"/>
      <c r="F377" s="14"/>
      <c r="G377" s="14"/>
      <c r="H377" s="14"/>
      <c r="I377" s="15"/>
      <c r="J377" s="16"/>
      <c r="K377" s="17" t="str">
        <f>IF(B377="","",IF(AND(I377="",J377=""),"Unknown",IF(OR(AND(ISNUMBER(I377),I377=0),AND(ISNUMBER(J377),J377&lt;=EDATE('Scoring Settings'!$B$4,-'Scoring Settings'!$B$5))),"Not in use",IF(AND(ISNUMBER(I377),I377&lt;'Scoring Settings'!$B$6),"Low use","Active"))))</f>
        <v/>
      </c>
      <c r="L377" s="14"/>
      <c r="M377" s="14"/>
      <c r="N377" s="14"/>
      <c r="O377" s="14"/>
      <c r="P377" s="14"/>
      <c r="Q377" s="18"/>
      <c r="R377" s="14"/>
      <c r="S377" s="14"/>
      <c r="T377" s="14"/>
      <c r="U377" s="16"/>
      <c r="V377" s="14"/>
      <c r="W377" s="15"/>
      <c r="X377" s="14"/>
      <c r="Y377" s="18"/>
      <c r="Z377" s="14"/>
      <c r="AA377" s="14"/>
      <c r="AB377" s="18"/>
      <c r="AC377" s="14"/>
      <c r="AD377" s="14"/>
      <c r="AE377" s="14"/>
      <c r="AF377" s="19"/>
      <c r="AG377" s="16"/>
      <c r="AH377" s="19"/>
      <c r="AI377" s="19"/>
      <c r="AJ377" s="20" t="str">
        <f t="shared" si="5"/>
        <v/>
      </c>
      <c r="AK377" s="21" t="str">
        <f>IF(B377="","",OR(K377="Not in use",K377="Low use")+AND(N377&lt;&gt;"",N377&lt;&gt;"TBD")+AND(ISNUMBER(U377),U377&lt;=EDATE('Scoring Settings'!$B$4,'Scoring Settings'!$B$8))+AND(ISNUMBER(L377),L377&lt;='Scoring Settings'!$B$7))</f>
        <v/>
      </c>
      <c r="AL377" s="17" t="str">
        <f>IF(B377="","",IF(K377="Not in use","Priority – Not in use",IF(AK377&gt;='Scoring Settings'!$B$9,"Decommission",IF(AK377=1,"Review","Retain"))))</f>
        <v/>
      </c>
      <c r="AM377" s="17" t="str">
        <f>IF(B377="","",IF(Z377="N","Easy",IF(OR(AND(ISNUMBER(AB377),AB377&gt;'Scoring Settings'!$B$11),AND(ISNUMBER(W377),W377&gt;'Scoring Settings'!$B$12),AND(ISNUMBER(M377),M377&lt;='Scoring Settings'!$B$13)),"High","Medium")))</f>
        <v/>
      </c>
      <c r="AN377" s="14"/>
      <c r="AO377" s="16"/>
      <c r="AP377" s="14"/>
      <c r="AQ377" s="22"/>
    </row>
    <row r="378" spans="1:43">
      <c r="A378" s="14"/>
      <c r="B378" s="14"/>
      <c r="C378" s="14"/>
      <c r="D378" s="14"/>
      <c r="E378" s="14"/>
      <c r="F378" s="14"/>
      <c r="G378" s="14"/>
      <c r="H378" s="14"/>
      <c r="I378" s="15"/>
      <c r="J378" s="16"/>
      <c r="K378" s="17" t="str">
        <f>IF(B378="","",IF(AND(I378="",J378=""),"Unknown",IF(OR(AND(ISNUMBER(I378),I378=0),AND(ISNUMBER(J378),J378&lt;=EDATE('Scoring Settings'!$B$4,-'Scoring Settings'!$B$5))),"Not in use",IF(AND(ISNUMBER(I378),I378&lt;'Scoring Settings'!$B$6),"Low use","Active"))))</f>
        <v/>
      </c>
      <c r="L378" s="14"/>
      <c r="M378" s="14"/>
      <c r="N378" s="14"/>
      <c r="O378" s="14"/>
      <c r="P378" s="14"/>
      <c r="Q378" s="18"/>
      <c r="R378" s="14"/>
      <c r="S378" s="14"/>
      <c r="T378" s="14"/>
      <c r="U378" s="16"/>
      <c r="V378" s="14"/>
      <c r="W378" s="15"/>
      <c r="X378" s="14"/>
      <c r="Y378" s="18"/>
      <c r="Z378" s="14"/>
      <c r="AA378" s="14"/>
      <c r="AB378" s="18"/>
      <c r="AC378" s="14"/>
      <c r="AD378" s="14"/>
      <c r="AE378" s="14"/>
      <c r="AF378" s="19"/>
      <c r="AG378" s="16"/>
      <c r="AH378" s="19"/>
      <c r="AI378" s="19"/>
      <c r="AJ378" s="20" t="str">
        <f t="shared" si="5"/>
        <v/>
      </c>
      <c r="AK378" s="21" t="str">
        <f>IF(B378="","",OR(K378="Not in use",K378="Low use")+AND(N378&lt;&gt;"",N378&lt;&gt;"TBD")+AND(ISNUMBER(U378),U378&lt;=EDATE('Scoring Settings'!$B$4,'Scoring Settings'!$B$8))+AND(ISNUMBER(L378),L378&lt;='Scoring Settings'!$B$7))</f>
        <v/>
      </c>
      <c r="AL378" s="17" t="str">
        <f>IF(B378="","",IF(K378="Not in use","Priority – Not in use",IF(AK378&gt;='Scoring Settings'!$B$9,"Decommission",IF(AK378=1,"Review","Retain"))))</f>
        <v/>
      </c>
      <c r="AM378" s="17" t="str">
        <f>IF(B378="","",IF(Z378="N","Easy",IF(OR(AND(ISNUMBER(AB378),AB378&gt;'Scoring Settings'!$B$11),AND(ISNUMBER(W378),W378&gt;'Scoring Settings'!$B$12),AND(ISNUMBER(M378),M378&lt;='Scoring Settings'!$B$13)),"High","Medium")))</f>
        <v/>
      </c>
      <c r="AN378" s="14"/>
      <c r="AO378" s="16"/>
      <c r="AP378" s="14"/>
      <c r="AQ378" s="22"/>
    </row>
    <row r="379" spans="1:43">
      <c r="A379" s="14"/>
      <c r="B379" s="14"/>
      <c r="C379" s="14"/>
      <c r="D379" s="14"/>
      <c r="E379" s="14"/>
      <c r="F379" s="14"/>
      <c r="G379" s="14"/>
      <c r="H379" s="14"/>
      <c r="I379" s="15"/>
      <c r="J379" s="16"/>
      <c r="K379" s="17" t="str">
        <f>IF(B379="","",IF(AND(I379="",J379=""),"Unknown",IF(OR(AND(ISNUMBER(I379),I379=0),AND(ISNUMBER(J379),J379&lt;=EDATE('Scoring Settings'!$B$4,-'Scoring Settings'!$B$5))),"Not in use",IF(AND(ISNUMBER(I379),I379&lt;'Scoring Settings'!$B$6),"Low use","Active"))))</f>
        <v/>
      </c>
      <c r="L379" s="14"/>
      <c r="M379" s="14"/>
      <c r="N379" s="14"/>
      <c r="O379" s="14"/>
      <c r="P379" s="14"/>
      <c r="Q379" s="18"/>
      <c r="R379" s="14"/>
      <c r="S379" s="14"/>
      <c r="T379" s="14"/>
      <c r="U379" s="16"/>
      <c r="V379" s="14"/>
      <c r="W379" s="15"/>
      <c r="X379" s="14"/>
      <c r="Y379" s="18"/>
      <c r="Z379" s="14"/>
      <c r="AA379" s="14"/>
      <c r="AB379" s="18"/>
      <c r="AC379" s="14"/>
      <c r="AD379" s="14"/>
      <c r="AE379" s="14"/>
      <c r="AF379" s="19"/>
      <c r="AG379" s="16"/>
      <c r="AH379" s="19"/>
      <c r="AI379" s="19"/>
      <c r="AJ379" s="20" t="str">
        <f t="shared" si="5"/>
        <v/>
      </c>
      <c r="AK379" s="21" t="str">
        <f>IF(B379="","",OR(K379="Not in use",K379="Low use")+AND(N379&lt;&gt;"",N379&lt;&gt;"TBD")+AND(ISNUMBER(U379),U379&lt;=EDATE('Scoring Settings'!$B$4,'Scoring Settings'!$B$8))+AND(ISNUMBER(L379),L379&lt;='Scoring Settings'!$B$7))</f>
        <v/>
      </c>
      <c r="AL379" s="17" t="str">
        <f>IF(B379="","",IF(K379="Not in use","Priority – Not in use",IF(AK379&gt;='Scoring Settings'!$B$9,"Decommission",IF(AK379=1,"Review","Retain"))))</f>
        <v/>
      </c>
      <c r="AM379" s="17" t="str">
        <f>IF(B379="","",IF(Z379="N","Easy",IF(OR(AND(ISNUMBER(AB379),AB379&gt;'Scoring Settings'!$B$11),AND(ISNUMBER(W379),W379&gt;'Scoring Settings'!$B$12),AND(ISNUMBER(M379),M379&lt;='Scoring Settings'!$B$13)),"High","Medium")))</f>
        <v/>
      </c>
      <c r="AN379" s="14"/>
      <c r="AO379" s="16"/>
      <c r="AP379" s="14"/>
      <c r="AQ379" s="22"/>
    </row>
    <row r="380" spans="1:43">
      <c r="A380" s="14"/>
      <c r="B380" s="14"/>
      <c r="C380" s="14"/>
      <c r="D380" s="14"/>
      <c r="E380" s="14"/>
      <c r="F380" s="14"/>
      <c r="G380" s="14"/>
      <c r="H380" s="14"/>
      <c r="I380" s="15"/>
      <c r="J380" s="16"/>
      <c r="K380" s="17" t="str">
        <f>IF(B380="","",IF(AND(I380="",J380=""),"Unknown",IF(OR(AND(ISNUMBER(I380),I380=0),AND(ISNUMBER(J380),J380&lt;=EDATE('Scoring Settings'!$B$4,-'Scoring Settings'!$B$5))),"Not in use",IF(AND(ISNUMBER(I380),I380&lt;'Scoring Settings'!$B$6),"Low use","Active"))))</f>
        <v/>
      </c>
      <c r="L380" s="14"/>
      <c r="M380" s="14"/>
      <c r="N380" s="14"/>
      <c r="O380" s="14"/>
      <c r="P380" s="14"/>
      <c r="Q380" s="18"/>
      <c r="R380" s="14"/>
      <c r="S380" s="14"/>
      <c r="T380" s="14"/>
      <c r="U380" s="16"/>
      <c r="V380" s="14"/>
      <c r="W380" s="15"/>
      <c r="X380" s="14"/>
      <c r="Y380" s="18"/>
      <c r="Z380" s="14"/>
      <c r="AA380" s="14"/>
      <c r="AB380" s="18"/>
      <c r="AC380" s="14"/>
      <c r="AD380" s="14"/>
      <c r="AE380" s="14"/>
      <c r="AF380" s="19"/>
      <c r="AG380" s="16"/>
      <c r="AH380" s="19"/>
      <c r="AI380" s="19"/>
      <c r="AJ380" s="20" t="str">
        <f t="shared" si="5"/>
        <v/>
      </c>
      <c r="AK380" s="21" t="str">
        <f>IF(B380="","",OR(K380="Not in use",K380="Low use")+AND(N380&lt;&gt;"",N380&lt;&gt;"TBD")+AND(ISNUMBER(U380),U380&lt;=EDATE('Scoring Settings'!$B$4,'Scoring Settings'!$B$8))+AND(ISNUMBER(L380),L380&lt;='Scoring Settings'!$B$7))</f>
        <v/>
      </c>
      <c r="AL380" s="17" t="str">
        <f>IF(B380="","",IF(K380="Not in use","Priority – Not in use",IF(AK380&gt;='Scoring Settings'!$B$9,"Decommission",IF(AK380=1,"Review","Retain"))))</f>
        <v/>
      </c>
      <c r="AM380" s="17" t="str">
        <f>IF(B380="","",IF(Z380="N","Easy",IF(OR(AND(ISNUMBER(AB380),AB380&gt;'Scoring Settings'!$B$11),AND(ISNUMBER(W380),W380&gt;'Scoring Settings'!$B$12),AND(ISNUMBER(M380),M380&lt;='Scoring Settings'!$B$13)),"High","Medium")))</f>
        <v/>
      </c>
      <c r="AN380" s="14"/>
      <c r="AO380" s="16"/>
      <c r="AP380" s="14"/>
      <c r="AQ380" s="22"/>
    </row>
    <row r="381" spans="1:43">
      <c r="A381" s="14"/>
      <c r="B381" s="14"/>
      <c r="C381" s="14"/>
      <c r="D381" s="14"/>
      <c r="E381" s="14"/>
      <c r="F381" s="14"/>
      <c r="G381" s="14"/>
      <c r="H381" s="14"/>
      <c r="I381" s="15"/>
      <c r="J381" s="16"/>
      <c r="K381" s="17" t="str">
        <f>IF(B381="","",IF(AND(I381="",J381=""),"Unknown",IF(OR(AND(ISNUMBER(I381),I381=0),AND(ISNUMBER(J381),J381&lt;=EDATE('Scoring Settings'!$B$4,-'Scoring Settings'!$B$5))),"Not in use",IF(AND(ISNUMBER(I381),I381&lt;'Scoring Settings'!$B$6),"Low use","Active"))))</f>
        <v/>
      </c>
      <c r="L381" s="14"/>
      <c r="M381" s="14"/>
      <c r="N381" s="14"/>
      <c r="O381" s="14"/>
      <c r="P381" s="14"/>
      <c r="Q381" s="18"/>
      <c r="R381" s="14"/>
      <c r="S381" s="14"/>
      <c r="T381" s="14"/>
      <c r="U381" s="16"/>
      <c r="V381" s="14"/>
      <c r="W381" s="15"/>
      <c r="X381" s="14"/>
      <c r="Y381" s="18"/>
      <c r="Z381" s="14"/>
      <c r="AA381" s="14"/>
      <c r="AB381" s="18"/>
      <c r="AC381" s="14"/>
      <c r="AD381" s="14"/>
      <c r="AE381" s="14"/>
      <c r="AF381" s="19"/>
      <c r="AG381" s="16"/>
      <c r="AH381" s="19"/>
      <c r="AI381" s="19"/>
      <c r="AJ381" s="20" t="str">
        <f t="shared" si="5"/>
        <v/>
      </c>
      <c r="AK381" s="21" t="str">
        <f>IF(B381="","",OR(K381="Not in use",K381="Low use")+AND(N381&lt;&gt;"",N381&lt;&gt;"TBD")+AND(ISNUMBER(U381),U381&lt;=EDATE('Scoring Settings'!$B$4,'Scoring Settings'!$B$8))+AND(ISNUMBER(L381),L381&lt;='Scoring Settings'!$B$7))</f>
        <v/>
      </c>
      <c r="AL381" s="17" t="str">
        <f>IF(B381="","",IF(K381="Not in use","Priority – Not in use",IF(AK381&gt;='Scoring Settings'!$B$9,"Decommission",IF(AK381=1,"Review","Retain"))))</f>
        <v/>
      </c>
      <c r="AM381" s="17" t="str">
        <f>IF(B381="","",IF(Z381="N","Easy",IF(OR(AND(ISNUMBER(AB381),AB381&gt;'Scoring Settings'!$B$11),AND(ISNUMBER(W381),W381&gt;'Scoring Settings'!$B$12),AND(ISNUMBER(M381),M381&lt;='Scoring Settings'!$B$13)),"High","Medium")))</f>
        <v/>
      </c>
      <c r="AN381" s="14"/>
      <c r="AO381" s="16"/>
      <c r="AP381" s="14"/>
      <c r="AQ381" s="22"/>
    </row>
    <row r="382" spans="1:43">
      <c r="A382" s="14"/>
      <c r="B382" s="14"/>
      <c r="C382" s="14"/>
      <c r="D382" s="14"/>
      <c r="E382" s="14"/>
      <c r="F382" s="14"/>
      <c r="G382" s="14"/>
      <c r="H382" s="14"/>
      <c r="I382" s="15"/>
      <c r="J382" s="16"/>
      <c r="K382" s="17" t="str">
        <f>IF(B382="","",IF(AND(I382="",J382=""),"Unknown",IF(OR(AND(ISNUMBER(I382),I382=0),AND(ISNUMBER(J382),J382&lt;=EDATE('Scoring Settings'!$B$4,-'Scoring Settings'!$B$5))),"Not in use",IF(AND(ISNUMBER(I382),I382&lt;'Scoring Settings'!$B$6),"Low use","Active"))))</f>
        <v/>
      </c>
      <c r="L382" s="14"/>
      <c r="M382" s="14"/>
      <c r="N382" s="14"/>
      <c r="O382" s="14"/>
      <c r="P382" s="14"/>
      <c r="Q382" s="18"/>
      <c r="R382" s="14"/>
      <c r="S382" s="14"/>
      <c r="T382" s="14"/>
      <c r="U382" s="16"/>
      <c r="V382" s="14"/>
      <c r="W382" s="15"/>
      <c r="X382" s="14"/>
      <c r="Y382" s="18"/>
      <c r="Z382" s="14"/>
      <c r="AA382" s="14"/>
      <c r="AB382" s="18"/>
      <c r="AC382" s="14"/>
      <c r="AD382" s="14"/>
      <c r="AE382" s="14"/>
      <c r="AF382" s="19"/>
      <c r="AG382" s="16"/>
      <c r="AH382" s="19"/>
      <c r="AI382" s="19"/>
      <c r="AJ382" s="20" t="str">
        <f t="shared" si="5"/>
        <v/>
      </c>
      <c r="AK382" s="21" t="str">
        <f>IF(B382="","",OR(K382="Not in use",K382="Low use")+AND(N382&lt;&gt;"",N382&lt;&gt;"TBD")+AND(ISNUMBER(U382),U382&lt;=EDATE('Scoring Settings'!$B$4,'Scoring Settings'!$B$8))+AND(ISNUMBER(L382),L382&lt;='Scoring Settings'!$B$7))</f>
        <v/>
      </c>
      <c r="AL382" s="17" t="str">
        <f>IF(B382="","",IF(K382="Not in use","Priority – Not in use",IF(AK382&gt;='Scoring Settings'!$B$9,"Decommission",IF(AK382=1,"Review","Retain"))))</f>
        <v/>
      </c>
      <c r="AM382" s="17" t="str">
        <f>IF(B382="","",IF(Z382="N","Easy",IF(OR(AND(ISNUMBER(AB382),AB382&gt;'Scoring Settings'!$B$11),AND(ISNUMBER(W382),W382&gt;'Scoring Settings'!$B$12),AND(ISNUMBER(M382),M382&lt;='Scoring Settings'!$B$13)),"High","Medium")))</f>
        <v/>
      </c>
      <c r="AN382" s="14"/>
      <c r="AO382" s="16"/>
      <c r="AP382" s="14"/>
      <c r="AQ382" s="22"/>
    </row>
    <row r="383" spans="1:43">
      <c r="A383" s="14"/>
      <c r="B383" s="14"/>
      <c r="C383" s="14"/>
      <c r="D383" s="14"/>
      <c r="E383" s="14"/>
      <c r="F383" s="14"/>
      <c r="G383" s="14"/>
      <c r="H383" s="14"/>
      <c r="I383" s="15"/>
      <c r="J383" s="16"/>
      <c r="K383" s="17" t="str">
        <f>IF(B383="","",IF(AND(I383="",J383=""),"Unknown",IF(OR(AND(ISNUMBER(I383),I383=0),AND(ISNUMBER(J383),J383&lt;=EDATE('Scoring Settings'!$B$4,-'Scoring Settings'!$B$5))),"Not in use",IF(AND(ISNUMBER(I383),I383&lt;'Scoring Settings'!$B$6),"Low use","Active"))))</f>
        <v/>
      </c>
      <c r="L383" s="14"/>
      <c r="M383" s="14"/>
      <c r="N383" s="14"/>
      <c r="O383" s="14"/>
      <c r="P383" s="14"/>
      <c r="Q383" s="18"/>
      <c r="R383" s="14"/>
      <c r="S383" s="14"/>
      <c r="T383" s="14"/>
      <c r="U383" s="16"/>
      <c r="V383" s="14"/>
      <c r="W383" s="15"/>
      <c r="X383" s="14"/>
      <c r="Y383" s="18"/>
      <c r="Z383" s="14"/>
      <c r="AA383" s="14"/>
      <c r="AB383" s="18"/>
      <c r="AC383" s="14"/>
      <c r="AD383" s="14"/>
      <c r="AE383" s="14"/>
      <c r="AF383" s="19"/>
      <c r="AG383" s="16"/>
      <c r="AH383" s="19"/>
      <c r="AI383" s="19"/>
      <c r="AJ383" s="20" t="str">
        <f t="shared" si="5"/>
        <v/>
      </c>
      <c r="AK383" s="21" t="str">
        <f>IF(B383="","",OR(K383="Not in use",K383="Low use")+AND(N383&lt;&gt;"",N383&lt;&gt;"TBD")+AND(ISNUMBER(U383),U383&lt;=EDATE('Scoring Settings'!$B$4,'Scoring Settings'!$B$8))+AND(ISNUMBER(L383),L383&lt;='Scoring Settings'!$B$7))</f>
        <v/>
      </c>
      <c r="AL383" s="17" t="str">
        <f>IF(B383="","",IF(K383="Not in use","Priority – Not in use",IF(AK383&gt;='Scoring Settings'!$B$9,"Decommission",IF(AK383=1,"Review","Retain"))))</f>
        <v/>
      </c>
      <c r="AM383" s="17" t="str">
        <f>IF(B383="","",IF(Z383="N","Easy",IF(OR(AND(ISNUMBER(AB383),AB383&gt;'Scoring Settings'!$B$11),AND(ISNUMBER(W383),W383&gt;'Scoring Settings'!$B$12),AND(ISNUMBER(M383),M383&lt;='Scoring Settings'!$B$13)),"High","Medium")))</f>
        <v/>
      </c>
      <c r="AN383" s="14"/>
      <c r="AO383" s="16"/>
      <c r="AP383" s="14"/>
      <c r="AQ383" s="22"/>
    </row>
    <row r="384" spans="1:43">
      <c r="A384" s="14"/>
      <c r="B384" s="14"/>
      <c r="C384" s="14"/>
      <c r="D384" s="14"/>
      <c r="E384" s="14"/>
      <c r="F384" s="14"/>
      <c r="G384" s="14"/>
      <c r="H384" s="14"/>
      <c r="I384" s="15"/>
      <c r="J384" s="16"/>
      <c r="K384" s="17" t="str">
        <f>IF(B384="","",IF(AND(I384="",J384=""),"Unknown",IF(OR(AND(ISNUMBER(I384),I384=0),AND(ISNUMBER(J384),J384&lt;=EDATE('Scoring Settings'!$B$4,-'Scoring Settings'!$B$5))),"Not in use",IF(AND(ISNUMBER(I384),I384&lt;'Scoring Settings'!$B$6),"Low use","Active"))))</f>
        <v/>
      </c>
      <c r="L384" s="14"/>
      <c r="M384" s="14"/>
      <c r="N384" s="14"/>
      <c r="O384" s="14"/>
      <c r="P384" s="14"/>
      <c r="Q384" s="18"/>
      <c r="R384" s="14"/>
      <c r="S384" s="14"/>
      <c r="T384" s="14"/>
      <c r="U384" s="16"/>
      <c r="V384" s="14"/>
      <c r="W384" s="15"/>
      <c r="X384" s="14"/>
      <c r="Y384" s="18"/>
      <c r="Z384" s="14"/>
      <c r="AA384" s="14"/>
      <c r="AB384" s="18"/>
      <c r="AC384" s="14"/>
      <c r="AD384" s="14"/>
      <c r="AE384" s="14"/>
      <c r="AF384" s="19"/>
      <c r="AG384" s="16"/>
      <c r="AH384" s="19"/>
      <c r="AI384" s="19"/>
      <c r="AJ384" s="20" t="str">
        <f t="shared" si="5"/>
        <v/>
      </c>
      <c r="AK384" s="21" t="str">
        <f>IF(B384="","",OR(K384="Not in use",K384="Low use")+AND(N384&lt;&gt;"",N384&lt;&gt;"TBD")+AND(ISNUMBER(U384),U384&lt;=EDATE('Scoring Settings'!$B$4,'Scoring Settings'!$B$8))+AND(ISNUMBER(L384),L384&lt;='Scoring Settings'!$B$7))</f>
        <v/>
      </c>
      <c r="AL384" s="17" t="str">
        <f>IF(B384="","",IF(K384="Not in use","Priority – Not in use",IF(AK384&gt;='Scoring Settings'!$B$9,"Decommission",IF(AK384=1,"Review","Retain"))))</f>
        <v/>
      </c>
      <c r="AM384" s="17" t="str">
        <f>IF(B384="","",IF(Z384="N","Easy",IF(OR(AND(ISNUMBER(AB384),AB384&gt;'Scoring Settings'!$B$11),AND(ISNUMBER(W384),W384&gt;'Scoring Settings'!$B$12),AND(ISNUMBER(M384),M384&lt;='Scoring Settings'!$B$13)),"High","Medium")))</f>
        <v/>
      </c>
      <c r="AN384" s="14"/>
      <c r="AO384" s="16"/>
      <c r="AP384" s="14"/>
      <c r="AQ384" s="22"/>
    </row>
    <row r="385" spans="1:43">
      <c r="A385" s="14"/>
      <c r="B385" s="14"/>
      <c r="C385" s="14"/>
      <c r="D385" s="14"/>
      <c r="E385" s="14"/>
      <c r="F385" s="14"/>
      <c r="G385" s="14"/>
      <c r="H385" s="14"/>
      <c r="I385" s="15"/>
      <c r="J385" s="16"/>
      <c r="K385" s="17" t="str">
        <f>IF(B385="","",IF(AND(I385="",J385=""),"Unknown",IF(OR(AND(ISNUMBER(I385),I385=0),AND(ISNUMBER(J385),J385&lt;=EDATE('Scoring Settings'!$B$4,-'Scoring Settings'!$B$5))),"Not in use",IF(AND(ISNUMBER(I385),I385&lt;'Scoring Settings'!$B$6),"Low use","Active"))))</f>
        <v/>
      </c>
      <c r="L385" s="14"/>
      <c r="M385" s="14"/>
      <c r="N385" s="14"/>
      <c r="O385" s="14"/>
      <c r="P385" s="14"/>
      <c r="Q385" s="18"/>
      <c r="R385" s="14"/>
      <c r="S385" s="14"/>
      <c r="T385" s="14"/>
      <c r="U385" s="16"/>
      <c r="V385" s="14"/>
      <c r="W385" s="15"/>
      <c r="X385" s="14"/>
      <c r="Y385" s="18"/>
      <c r="Z385" s="14"/>
      <c r="AA385" s="14"/>
      <c r="AB385" s="18"/>
      <c r="AC385" s="14"/>
      <c r="AD385" s="14"/>
      <c r="AE385" s="14"/>
      <c r="AF385" s="19"/>
      <c r="AG385" s="16"/>
      <c r="AH385" s="19"/>
      <c r="AI385" s="19"/>
      <c r="AJ385" s="20" t="str">
        <f t="shared" si="5"/>
        <v/>
      </c>
      <c r="AK385" s="21" t="str">
        <f>IF(B385="","",OR(K385="Not in use",K385="Low use")+AND(N385&lt;&gt;"",N385&lt;&gt;"TBD")+AND(ISNUMBER(U385),U385&lt;=EDATE('Scoring Settings'!$B$4,'Scoring Settings'!$B$8))+AND(ISNUMBER(L385),L385&lt;='Scoring Settings'!$B$7))</f>
        <v/>
      </c>
      <c r="AL385" s="17" t="str">
        <f>IF(B385="","",IF(K385="Not in use","Priority – Not in use",IF(AK385&gt;='Scoring Settings'!$B$9,"Decommission",IF(AK385=1,"Review","Retain"))))</f>
        <v/>
      </c>
      <c r="AM385" s="17" t="str">
        <f>IF(B385="","",IF(Z385="N","Easy",IF(OR(AND(ISNUMBER(AB385),AB385&gt;'Scoring Settings'!$B$11),AND(ISNUMBER(W385),W385&gt;'Scoring Settings'!$B$12),AND(ISNUMBER(M385),M385&lt;='Scoring Settings'!$B$13)),"High","Medium")))</f>
        <v/>
      </c>
      <c r="AN385" s="14"/>
      <c r="AO385" s="16"/>
      <c r="AP385" s="14"/>
      <c r="AQ385" s="22"/>
    </row>
    <row r="386" spans="1:43">
      <c r="A386" s="14"/>
      <c r="B386" s="14"/>
      <c r="C386" s="14"/>
      <c r="D386" s="14"/>
      <c r="E386" s="14"/>
      <c r="F386" s="14"/>
      <c r="G386" s="14"/>
      <c r="H386" s="14"/>
      <c r="I386" s="15"/>
      <c r="J386" s="16"/>
      <c r="K386" s="17" t="str">
        <f>IF(B386="","",IF(AND(I386="",J386=""),"Unknown",IF(OR(AND(ISNUMBER(I386),I386=0),AND(ISNUMBER(J386),J386&lt;=EDATE('Scoring Settings'!$B$4,-'Scoring Settings'!$B$5))),"Not in use",IF(AND(ISNUMBER(I386),I386&lt;'Scoring Settings'!$B$6),"Low use","Active"))))</f>
        <v/>
      </c>
      <c r="L386" s="14"/>
      <c r="M386" s="14"/>
      <c r="N386" s="14"/>
      <c r="O386" s="14"/>
      <c r="P386" s="14"/>
      <c r="Q386" s="18"/>
      <c r="R386" s="14"/>
      <c r="S386" s="14"/>
      <c r="T386" s="14"/>
      <c r="U386" s="16"/>
      <c r="V386" s="14"/>
      <c r="W386" s="15"/>
      <c r="X386" s="14"/>
      <c r="Y386" s="18"/>
      <c r="Z386" s="14"/>
      <c r="AA386" s="14"/>
      <c r="AB386" s="18"/>
      <c r="AC386" s="14"/>
      <c r="AD386" s="14"/>
      <c r="AE386" s="14"/>
      <c r="AF386" s="19"/>
      <c r="AG386" s="16"/>
      <c r="AH386" s="19"/>
      <c r="AI386" s="19"/>
      <c r="AJ386" s="20" t="str">
        <f t="shared" si="5"/>
        <v/>
      </c>
      <c r="AK386" s="21" t="str">
        <f>IF(B386="","",OR(K386="Not in use",K386="Low use")+AND(N386&lt;&gt;"",N386&lt;&gt;"TBD")+AND(ISNUMBER(U386),U386&lt;=EDATE('Scoring Settings'!$B$4,'Scoring Settings'!$B$8))+AND(ISNUMBER(L386),L386&lt;='Scoring Settings'!$B$7))</f>
        <v/>
      </c>
      <c r="AL386" s="17" t="str">
        <f>IF(B386="","",IF(K386="Not in use","Priority – Not in use",IF(AK386&gt;='Scoring Settings'!$B$9,"Decommission",IF(AK386=1,"Review","Retain"))))</f>
        <v/>
      </c>
      <c r="AM386" s="17" t="str">
        <f>IF(B386="","",IF(Z386="N","Easy",IF(OR(AND(ISNUMBER(AB386),AB386&gt;'Scoring Settings'!$B$11),AND(ISNUMBER(W386),W386&gt;'Scoring Settings'!$B$12),AND(ISNUMBER(M386),M386&lt;='Scoring Settings'!$B$13)),"High","Medium")))</f>
        <v/>
      </c>
      <c r="AN386" s="14"/>
      <c r="AO386" s="16"/>
      <c r="AP386" s="14"/>
      <c r="AQ386" s="22"/>
    </row>
    <row r="387" spans="1:43">
      <c r="A387" s="14"/>
      <c r="B387" s="14"/>
      <c r="C387" s="14"/>
      <c r="D387" s="14"/>
      <c r="E387" s="14"/>
      <c r="F387" s="14"/>
      <c r="G387" s="14"/>
      <c r="H387" s="14"/>
      <c r="I387" s="15"/>
      <c r="J387" s="16"/>
      <c r="K387" s="17" t="str">
        <f>IF(B387="","",IF(AND(I387="",J387=""),"Unknown",IF(OR(AND(ISNUMBER(I387),I387=0),AND(ISNUMBER(J387),J387&lt;=EDATE('Scoring Settings'!$B$4,-'Scoring Settings'!$B$5))),"Not in use",IF(AND(ISNUMBER(I387),I387&lt;'Scoring Settings'!$B$6),"Low use","Active"))))</f>
        <v/>
      </c>
      <c r="L387" s="14"/>
      <c r="M387" s="14"/>
      <c r="N387" s="14"/>
      <c r="O387" s="14"/>
      <c r="P387" s="14"/>
      <c r="Q387" s="18"/>
      <c r="R387" s="14"/>
      <c r="S387" s="14"/>
      <c r="T387" s="14"/>
      <c r="U387" s="16"/>
      <c r="V387" s="14"/>
      <c r="W387" s="15"/>
      <c r="X387" s="14"/>
      <c r="Y387" s="18"/>
      <c r="Z387" s="14"/>
      <c r="AA387" s="14"/>
      <c r="AB387" s="18"/>
      <c r="AC387" s="14"/>
      <c r="AD387" s="14"/>
      <c r="AE387" s="14"/>
      <c r="AF387" s="19"/>
      <c r="AG387" s="16"/>
      <c r="AH387" s="19"/>
      <c r="AI387" s="19"/>
      <c r="AJ387" s="20" t="str">
        <f t="shared" si="5"/>
        <v/>
      </c>
      <c r="AK387" s="21" t="str">
        <f>IF(B387="","",OR(K387="Not in use",K387="Low use")+AND(N387&lt;&gt;"",N387&lt;&gt;"TBD")+AND(ISNUMBER(U387),U387&lt;=EDATE('Scoring Settings'!$B$4,'Scoring Settings'!$B$8))+AND(ISNUMBER(L387),L387&lt;='Scoring Settings'!$B$7))</f>
        <v/>
      </c>
      <c r="AL387" s="17" t="str">
        <f>IF(B387="","",IF(K387="Not in use","Priority – Not in use",IF(AK387&gt;='Scoring Settings'!$B$9,"Decommission",IF(AK387=1,"Review","Retain"))))</f>
        <v/>
      </c>
      <c r="AM387" s="17" t="str">
        <f>IF(B387="","",IF(Z387="N","Easy",IF(OR(AND(ISNUMBER(AB387),AB387&gt;'Scoring Settings'!$B$11),AND(ISNUMBER(W387),W387&gt;'Scoring Settings'!$B$12),AND(ISNUMBER(M387),M387&lt;='Scoring Settings'!$B$13)),"High","Medium")))</f>
        <v/>
      </c>
      <c r="AN387" s="14"/>
      <c r="AO387" s="16"/>
      <c r="AP387" s="14"/>
      <c r="AQ387" s="22"/>
    </row>
    <row r="388" spans="1:43">
      <c r="A388" s="14"/>
      <c r="B388" s="14"/>
      <c r="C388" s="14"/>
      <c r="D388" s="14"/>
      <c r="E388" s="14"/>
      <c r="F388" s="14"/>
      <c r="G388" s="14"/>
      <c r="H388" s="14"/>
      <c r="I388" s="15"/>
      <c r="J388" s="16"/>
      <c r="K388" s="17" t="str">
        <f>IF(B388="","",IF(AND(I388="",J388=""),"Unknown",IF(OR(AND(ISNUMBER(I388),I388=0),AND(ISNUMBER(J388),J388&lt;=EDATE('Scoring Settings'!$B$4,-'Scoring Settings'!$B$5))),"Not in use",IF(AND(ISNUMBER(I388),I388&lt;'Scoring Settings'!$B$6),"Low use","Active"))))</f>
        <v/>
      </c>
      <c r="L388" s="14"/>
      <c r="M388" s="14"/>
      <c r="N388" s="14"/>
      <c r="O388" s="14"/>
      <c r="P388" s="14"/>
      <c r="Q388" s="18"/>
      <c r="R388" s="14"/>
      <c r="S388" s="14"/>
      <c r="T388" s="14"/>
      <c r="U388" s="16"/>
      <c r="V388" s="14"/>
      <c r="W388" s="15"/>
      <c r="X388" s="14"/>
      <c r="Y388" s="18"/>
      <c r="Z388" s="14"/>
      <c r="AA388" s="14"/>
      <c r="AB388" s="18"/>
      <c r="AC388" s="14"/>
      <c r="AD388" s="14"/>
      <c r="AE388" s="14"/>
      <c r="AF388" s="19"/>
      <c r="AG388" s="16"/>
      <c r="AH388" s="19"/>
      <c r="AI388" s="19"/>
      <c r="AJ388" s="20" t="str">
        <f t="shared" si="5"/>
        <v/>
      </c>
      <c r="AK388" s="21" t="str">
        <f>IF(B388="","",OR(K388="Not in use",K388="Low use")+AND(N388&lt;&gt;"",N388&lt;&gt;"TBD")+AND(ISNUMBER(U388),U388&lt;=EDATE('Scoring Settings'!$B$4,'Scoring Settings'!$B$8))+AND(ISNUMBER(L388),L388&lt;='Scoring Settings'!$B$7))</f>
        <v/>
      </c>
      <c r="AL388" s="17" t="str">
        <f>IF(B388="","",IF(K388="Not in use","Priority – Not in use",IF(AK388&gt;='Scoring Settings'!$B$9,"Decommission",IF(AK388=1,"Review","Retain"))))</f>
        <v/>
      </c>
      <c r="AM388" s="17" t="str">
        <f>IF(B388="","",IF(Z388="N","Easy",IF(OR(AND(ISNUMBER(AB388),AB388&gt;'Scoring Settings'!$B$11),AND(ISNUMBER(W388),W388&gt;'Scoring Settings'!$B$12),AND(ISNUMBER(M388),M388&lt;='Scoring Settings'!$B$13)),"High","Medium")))</f>
        <v/>
      </c>
      <c r="AN388" s="14"/>
      <c r="AO388" s="16"/>
      <c r="AP388" s="14"/>
      <c r="AQ388" s="22"/>
    </row>
    <row r="389" spans="1:43">
      <c r="A389" s="14"/>
      <c r="B389" s="14"/>
      <c r="C389" s="14"/>
      <c r="D389" s="14"/>
      <c r="E389" s="14"/>
      <c r="F389" s="14"/>
      <c r="G389" s="14"/>
      <c r="H389" s="14"/>
      <c r="I389" s="15"/>
      <c r="J389" s="16"/>
      <c r="K389" s="17" t="str">
        <f>IF(B389="","",IF(AND(I389="",J389=""),"Unknown",IF(OR(AND(ISNUMBER(I389),I389=0),AND(ISNUMBER(J389),J389&lt;=EDATE('Scoring Settings'!$B$4,-'Scoring Settings'!$B$5))),"Not in use",IF(AND(ISNUMBER(I389),I389&lt;'Scoring Settings'!$B$6),"Low use","Active"))))</f>
        <v/>
      </c>
      <c r="L389" s="14"/>
      <c r="M389" s="14"/>
      <c r="N389" s="14"/>
      <c r="O389" s="14"/>
      <c r="P389" s="14"/>
      <c r="Q389" s="18"/>
      <c r="R389" s="14"/>
      <c r="S389" s="14"/>
      <c r="T389" s="14"/>
      <c r="U389" s="16"/>
      <c r="V389" s="14"/>
      <c r="W389" s="15"/>
      <c r="X389" s="14"/>
      <c r="Y389" s="18"/>
      <c r="Z389" s="14"/>
      <c r="AA389" s="14"/>
      <c r="AB389" s="18"/>
      <c r="AC389" s="14"/>
      <c r="AD389" s="14"/>
      <c r="AE389" s="14"/>
      <c r="AF389" s="19"/>
      <c r="AG389" s="16"/>
      <c r="AH389" s="19"/>
      <c r="AI389" s="19"/>
      <c r="AJ389" s="20" t="str">
        <f t="shared" ref="AJ389:AJ452" si="6">IF(AND(ISNUMBER(AH389),ISNUMBER(AI389),N(AI389)&gt;0),AH389/AI389*12,"")</f>
        <v/>
      </c>
      <c r="AK389" s="21" t="str">
        <f>IF(B389="","",OR(K389="Not in use",K389="Low use")+AND(N389&lt;&gt;"",N389&lt;&gt;"TBD")+AND(ISNUMBER(U389),U389&lt;=EDATE('Scoring Settings'!$B$4,'Scoring Settings'!$B$8))+AND(ISNUMBER(L389),L389&lt;='Scoring Settings'!$B$7))</f>
        <v/>
      </c>
      <c r="AL389" s="17" t="str">
        <f>IF(B389="","",IF(K389="Not in use","Priority – Not in use",IF(AK389&gt;='Scoring Settings'!$B$9,"Decommission",IF(AK389=1,"Review","Retain"))))</f>
        <v/>
      </c>
      <c r="AM389" s="17" t="str">
        <f>IF(B389="","",IF(Z389="N","Easy",IF(OR(AND(ISNUMBER(AB389),AB389&gt;'Scoring Settings'!$B$11),AND(ISNUMBER(W389),W389&gt;'Scoring Settings'!$B$12),AND(ISNUMBER(M389),M389&lt;='Scoring Settings'!$B$13)),"High","Medium")))</f>
        <v/>
      </c>
      <c r="AN389" s="14"/>
      <c r="AO389" s="16"/>
      <c r="AP389" s="14"/>
      <c r="AQ389" s="22"/>
    </row>
    <row r="390" spans="1:43">
      <c r="A390" s="14"/>
      <c r="B390" s="14"/>
      <c r="C390" s="14"/>
      <c r="D390" s="14"/>
      <c r="E390" s="14"/>
      <c r="F390" s="14"/>
      <c r="G390" s="14"/>
      <c r="H390" s="14"/>
      <c r="I390" s="15"/>
      <c r="J390" s="16"/>
      <c r="K390" s="17" t="str">
        <f>IF(B390="","",IF(AND(I390="",J390=""),"Unknown",IF(OR(AND(ISNUMBER(I390),I390=0),AND(ISNUMBER(J390),J390&lt;=EDATE('Scoring Settings'!$B$4,-'Scoring Settings'!$B$5))),"Not in use",IF(AND(ISNUMBER(I390),I390&lt;'Scoring Settings'!$B$6),"Low use","Active"))))</f>
        <v/>
      </c>
      <c r="L390" s="14"/>
      <c r="M390" s="14"/>
      <c r="N390" s="14"/>
      <c r="O390" s="14"/>
      <c r="P390" s="14"/>
      <c r="Q390" s="18"/>
      <c r="R390" s="14"/>
      <c r="S390" s="14"/>
      <c r="T390" s="14"/>
      <c r="U390" s="16"/>
      <c r="V390" s="14"/>
      <c r="W390" s="15"/>
      <c r="X390" s="14"/>
      <c r="Y390" s="18"/>
      <c r="Z390" s="14"/>
      <c r="AA390" s="14"/>
      <c r="AB390" s="18"/>
      <c r="AC390" s="14"/>
      <c r="AD390" s="14"/>
      <c r="AE390" s="14"/>
      <c r="AF390" s="19"/>
      <c r="AG390" s="16"/>
      <c r="AH390" s="19"/>
      <c r="AI390" s="19"/>
      <c r="AJ390" s="20" t="str">
        <f t="shared" si="6"/>
        <v/>
      </c>
      <c r="AK390" s="21" t="str">
        <f>IF(B390="","",OR(K390="Not in use",K390="Low use")+AND(N390&lt;&gt;"",N390&lt;&gt;"TBD")+AND(ISNUMBER(U390),U390&lt;=EDATE('Scoring Settings'!$B$4,'Scoring Settings'!$B$8))+AND(ISNUMBER(L390),L390&lt;='Scoring Settings'!$B$7))</f>
        <v/>
      </c>
      <c r="AL390" s="17" t="str">
        <f>IF(B390="","",IF(K390="Not in use","Priority – Not in use",IF(AK390&gt;='Scoring Settings'!$B$9,"Decommission",IF(AK390=1,"Review","Retain"))))</f>
        <v/>
      </c>
      <c r="AM390" s="17" t="str">
        <f>IF(B390="","",IF(Z390="N","Easy",IF(OR(AND(ISNUMBER(AB390),AB390&gt;'Scoring Settings'!$B$11),AND(ISNUMBER(W390),W390&gt;'Scoring Settings'!$B$12),AND(ISNUMBER(M390),M390&lt;='Scoring Settings'!$B$13)),"High","Medium")))</f>
        <v/>
      </c>
      <c r="AN390" s="14"/>
      <c r="AO390" s="16"/>
      <c r="AP390" s="14"/>
      <c r="AQ390" s="22"/>
    </row>
    <row r="391" spans="1:43">
      <c r="A391" s="14"/>
      <c r="B391" s="14"/>
      <c r="C391" s="14"/>
      <c r="D391" s="14"/>
      <c r="E391" s="14"/>
      <c r="F391" s="14"/>
      <c r="G391" s="14"/>
      <c r="H391" s="14"/>
      <c r="I391" s="15"/>
      <c r="J391" s="16"/>
      <c r="K391" s="17" t="str">
        <f>IF(B391="","",IF(AND(I391="",J391=""),"Unknown",IF(OR(AND(ISNUMBER(I391),I391=0),AND(ISNUMBER(J391),J391&lt;=EDATE('Scoring Settings'!$B$4,-'Scoring Settings'!$B$5))),"Not in use",IF(AND(ISNUMBER(I391),I391&lt;'Scoring Settings'!$B$6),"Low use","Active"))))</f>
        <v/>
      </c>
      <c r="L391" s="14"/>
      <c r="M391" s="14"/>
      <c r="N391" s="14"/>
      <c r="O391" s="14"/>
      <c r="P391" s="14"/>
      <c r="Q391" s="18"/>
      <c r="R391" s="14"/>
      <c r="S391" s="14"/>
      <c r="T391" s="14"/>
      <c r="U391" s="16"/>
      <c r="V391" s="14"/>
      <c r="W391" s="15"/>
      <c r="X391" s="14"/>
      <c r="Y391" s="18"/>
      <c r="Z391" s="14"/>
      <c r="AA391" s="14"/>
      <c r="AB391" s="18"/>
      <c r="AC391" s="14"/>
      <c r="AD391" s="14"/>
      <c r="AE391" s="14"/>
      <c r="AF391" s="19"/>
      <c r="AG391" s="16"/>
      <c r="AH391" s="19"/>
      <c r="AI391" s="19"/>
      <c r="AJ391" s="20" t="str">
        <f t="shared" si="6"/>
        <v/>
      </c>
      <c r="AK391" s="21" t="str">
        <f>IF(B391="","",OR(K391="Not in use",K391="Low use")+AND(N391&lt;&gt;"",N391&lt;&gt;"TBD")+AND(ISNUMBER(U391),U391&lt;=EDATE('Scoring Settings'!$B$4,'Scoring Settings'!$B$8))+AND(ISNUMBER(L391),L391&lt;='Scoring Settings'!$B$7))</f>
        <v/>
      </c>
      <c r="AL391" s="17" t="str">
        <f>IF(B391="","",IF(K391="Not in use","Priority – Not in use",IF(AK391&gt;='Scoring Settings'!$B$9,"Decommission",IF(AK391=1,"Review","Retain"))))</f>
        <v/>
      </c>
      <c r="AM391" s="17" t="str">
        <f>IF(B391="","",IF(Z391="N","Easy",IF(OR(AND(ISNUMBER(AB391),AB391&gt;'Scoring Settings'!$B$11),AND(ISNUMBER(W391),W391&gt;'Scoring Settings'!$B$12),AND(ISNUMBER(M391),M391&lt;='Scoring Settings'!$B$13)),"High","Medium")))</f>
        <v/>
      </c>
      <c r="AN391" s="14"/>
      <c r="AO391" s="16"/>
      <c r="AP391" s="14"/>
      <c r="AQ391" s="22"/>
    </row>
    <row r="392" spans="1:43">
      <c r="A392" s="14"/>
      <c r="B392" s="14"/>
      <c r="C392" s="14"/>
      <c r="D392" s="14"/>
      <c r="E392" s="14"/>
      <c r="F392" s="14"/>
      <c r="G392" s="14"/>
      <c r="H392" s="14"/>
      <c r="I392" s="15"/>
      <c r="J392" s="16"/>
      <c r="K392" s="17" t="str">
        <f>IF(B392="","",IF(AND(I392="",J392=""),"Unknown",IF(OR(AND(ISNUMBER(I392),I392=0),AND(ISNUMBER(J392),J392&lt;=EDATE('Scoring Settings'!$B$4,-'Scoring Settings'!$B$5))),"Not in use",IF(AND(ISNUMBER(I392),I392&lt;'Scoring Settings'!$B$6),"Low use","Active"))))</f>
        <v/>
      </c>
      <c r="L392" s="14"/>
      <c r="M392" s="14"/>
      <c r="N392" s="14"/>
      <c r="O392" s="14"/>
      <c r="P392" s="14"/>
      <c r="Q392" s="18"/>
      <c r="R392" s="14"/>
      <c r="S392" s="14"/>
      <c r="T392" s="14"/>
      <c r="U392" s="16"/>
      <c r="V392" s="14"/>
      <c r="W392" s="15"/>
      <c r="X392" s="14"/>
      <c r="Y392" s="18"/>
      <c r="Z392" s="14"/>
      <c r="AA392" s="14"/>
      <c r="AB392" s="18"/>
      <c r="AC392" s="14"/>
      <c r="AD392" s="14"/>
      <c r="AE392" s="14"/>
      <c r="AF392" s="19"/>
      <c r="AG392" s="16"/>
      <c r="AH392" s="19"/>
      <c r="AI392" s="19"/>
      <c r="AJ392" s="20" t="str">
        <f t="shared" si="6"/>
        <v/>
      </c>
      <c r="AK392" s="21" t="str">
        <f>IF(B392="","",OR(K392="Not in use",K392="Low use")+AND(N392&lt;&gt;"",N392&lt;&gt;"TBD")+AND(ISNUMBER(U392),U392&lt;=EDATE('Scoring Settings'!$B$4,'Scoring Settings'!$B$8))+AND(ISNUMBER(L392),L392&lt;='Scoring Settings'!$B$7))</f>
        <v/>
      </c>
      <c r="AL392" s="17" t="str">
        <f>IF(B392="","",IF(K392="Not in use","Priority – Not in use",IF(AK392&gt;='Scoring Settings'!$B$9,"Decommission",IF(AK392=1,"Review","Retain"))))</f>
        <v/>
      </c>
      <c r="AM392" s="17" t="str">
        <f>IF(B392="","",IF(Z392="N","Easy",IF(OR(AND(ISNUMBER(AB392),AB392&gt;'Scoring Settings'!$B$11),AND(ISNUMBER(W392),W392&gt;'Scoring Settings'!$B$12),AND(ISNUMBER(M392),M392&lt;='Scoring Settings'!$B$13)),"High","Medium")))</f>
        <v/>
      </c>
      <c r="AN392" s="14"/>
      <c r="AO392" s="16"/>
      <c r="AP392" s="14"/>
      <c r="AQ392" s="22"/>
    </row>
    <row r="393" spans="1:43">
      <c r="A393" s="14"/>
      <c r="B393" s="14"/>
      <c r="C393" s="14"/>
      <c r="D393" s="14"/>
      <c r="E393" s="14"/>
      <c r="F393" s="14"/>
      <c r="G393" s="14"/>
      <c r="H393" s="14"/>
      <c r="I393" s="15"/>
      <c r="J393" s="16"/>
      <c r="K393" s="17" t="str">
        <f>IF(B393="","",IF(AND(I393="",J393=""),"Unknown",IF(OR(AND(ISNUMBER(I393),I393=0),AND(ISNUMBER(J393),J393&lt;=EDATE('Scoring Settings'!$B$4,-'Scoring Settings'!$B$5))),"Not in use",IF(AND(ISNUMBER(I393),I393&lt;'Scoring Settings'!$B$6),"Low use","Active"))))</f>
        <v/>
      </c>
      <c r="L393" s="14"/>
      <c r="M393" s="14"/>
      <c r="N393" s="14"/>
      <c r="O393" s="14"/>
      <c r="P393" s="14"/>
      <c r="Q393" s="18"/>
      <c r="R393" s="14"/>
      <c r="S393" s="14"/>
      <c r="T393" s="14"/>
      <c r="U393" s="16"/>
      <c r="V393" s="14"/>
      <c r="W393" s="15"/>
      <c r="X393" s="14"/>
      <c r="Y393" s="18"/>
      <c r="Z393" s="14"/>
      <c r="AA393" s="14"/>
      <c r="AB393" s="18"/>
      <c r="AC393" s="14"/>
      <c r="AD393" s="14"/>
      <c r="AE393" s="14"/>
      <c r="AF393" s="19"/>
      <c r="AG393" s="16"/>
      <c r="AH393" s="19"/>
      <c r="AI393" s="19"/>
      <c r="AJ393" s="20" t="str">
        <f t="shared" si="6"/>
        <v/>
      </c>
      <c r="AK393" s="21" t="str">
        <f>IF(B393="","",OR(K393="Not in use",K393="Low use")+AND(N393&lt;&gt;"",N393&lt;&gt;"TBD")+AND(ISNUMBER(U393),U393&lt;=EDATE('Scoring Settings'!$B$4,'Scoring Settings'!$B$8))+AND(ISNUMBER(L393),L393&lt;='Scoring Settings'!$B$7))</f>
        <v/>
      </c>
      <c r="AL393" s="17" t="str">
        <f>IF(B393="","",IF(K393="Not in use","Priority – Not in use",IF(AK393&gt;='Scoring Settings'!$B$9,"Decommission",IF(AK393=1,"Review","Retain"))))</f>
        <v/>
      </c>
      <c r="AM393" s="17" t="str">
        <f>IF(B393="","",IF(Z393="N","Easy",IF(OR(AND(ISNUMBER(AB393),AB393&gt;'Scoring Settings'!$B$11),AND(ISNUMBER(W393),W393&gt;'Scoring Settings'!$B$12),AND(ISNUMBER(M393),M393&lt;='Scoring Settings'!$B$13)),"High","Medium")))</f>
        <v/>
      </c>
      <c r="AN393" s="14"/>
      <c r="AO393" s="16"/>
      <c r="AP393" s="14"/>
      <c r="AQ393" s="22"/>
    </row>
    <row r="394" spans="1:43">
      <c r="A394" s="14"/>
      <c r="B394" s="14"/>
      <c r="C394" s="14"/>
      <c r="D394" s="14"/>
      <c r="E394" s="14"/>
      <c r="F394" s="14"/>
      <c r="G394" s="14"/>
      <c r="H394" s="14"/>
      <c r="I394" s="15"/>
      <c r="J394" s="16"/>
      <c r="K394" s="17" t="str">
        <f>IF(B394="","",IF(AND(I394="",J394=""),"Unknown",IF(OR(AND(ISNUMBER(I394),I394=0),AND(ISNUMBER(J394),J394&lt;=EDATE('Scoring Settings'!$B$4,-'Scoring Settings'!$B$5))),"Not in use",IF(AND(ISNUMBER(I394),I394&lt;'Scoring Settings'!$B$6),"Low use","Active"))))</f>
        <v/>
      </c>
      <c r="L394" s="14"/>
      <c r="M394" s="14"/>
      <c r="N394" s="14"/>
      <c r="O394" s="14"/>
      <c r="P394" s="14"/>
      <c r="Q394" s="18"/>
      <c r="R394" s="14"/>
      <c r="S394" s="14"/>
      <c r="T394" s="14"/>
      <c r="U394" s="16"/>
      <c r="V394" s="14"/>
      <c r="W394" s="15"/>
      <c r="X394" s="14"/>
      <c r="Y394" s="18"/>
      <c r="Z394" s="14"/>
      <c r="AA394" s="14"/>
      <c r="AB394" s="18"/>
      <c r="AC394" s="14"/>
      <c r="AD394" s="14"/>
      <c r="AE394" s="14"/>
      <c r="AF394" s="19"/>
      <c r="AG394" s="16"/>
      <c r="AH394" s="19"/>
      <c r="AI394" s="19"/>
      <c r="AJ394" s="20" t="str">
        <f t="shared" si="6"/>
        <v/>
      </c>
      <c r="AK394" s="21" t="str">
        <f>IF(B394="","",OR(K394="Not in use",K394="Low use")+AND(N394&lt;&gt;"",N394&lt;&gt;"TBD")+AND(ISNUMBER(U394),U394&lt;=EDATE('Scoring Settings'!$B$4,'Scoring Settings'!$B$8))+AND(ISNUMBER(L394),L394&lt;='Scoring Settings'!$B$7))</f>
        <v/>
      </c>
      <c r="AL394" s="17" t="str">
        <f>IF(B394="","",IF(K394="Not in use","Priority – Not in use",IF(AK394&gt;='Scoring Settings'!$B$9,"Decommission",IF(AK394=1,"Review","Retain"))))</f>
        <v/>
      </c>
      <c r="AM394" s="17" t="str">
        <f>IF(B394="","",IF(Z394="N","Easy",IF(OR(AND(ISNUMBER(AB394),AB394&gt;'Scoring Settings'!$B$11),AND(ISNUMBER(W394),W394&gt;'Scoring Settings'!$B$12),AND(ISNUMBER(M394),M394&lt;='Scoring Settings'!$B$13)),"High","Medium")))</f>
        <v/>
      </c>
      <c r="AN394" s="14"/>
      <c r="AO394" s="16"/>
      <c r="AP394" s="14"/>
      <c r="AQ394" s="22"/>
    </row>
    <row r="395" spans="1:43">
      <c r="A395" s="14"/>
      <c r="B395" s="14"/>
      <c r="C395" s="14"/>
      <c r="D395" s="14"/>
      <c r="E395" s="14"/>
      <c r="F395" s="14"/>
      <c r="G395" s="14"/>
      <c r="H395" s="14"/>
      <c r="I395" s="15"/>
      <c r="J395" s="16"/>
      <c r="K395" s="17" t="str">
        <f>IF(B395="","",IF(AND(I395="",J395=""),"Unknown",IF(OR(AND(ISNUMBER(I395),I395=0),AND(ISNUMBER(J395),J395&lt;=EDATE('Scoring Settings'!$B$4,-'Scoring Settings'!$B$5))),"Not in use",IF(AND(ISNUMBER(I395),I395&lt;'Scoring Settings'!$B$6),"Low use","Active"))))</f>
        <v/>
      </c>
      <c r="L395" s="14"/>
      <c r="M395" s="14"/>
      <c r="N395" s="14"/>
      <c r="O395" s="14"/>
      <c r="P395" s="14"/>
      <c r="Q395" s="18"/>
      <c r="R395" s="14"/>
      <c r="S395" s="14"/>
      <c r="T395" s="14"/>
      <c r="U395" s="16"/>
      <c r="V395" s="14"/>
      <c r="W395" s="15"/>
      <c r="X395" s="14"/>
      <c r="Y395" s="18"/>
      <c r="Z395" s="14"/>
      <c r="AA395" s="14"/>
      <c r="AB395" s="18"/>
      <c r="AC395" s="14"/>
      <c r="AD395" s="14"/>
      <c r="AE395" s="14"/>
      <c r="AF395" s="19"/>
      <c r="AG395" s="16"/>
      <c r="AH395" s="19"/>
      <c r="AI395" s="19"/>
      <c r="AJ395" s="20" t="str">
        <f t="shared" si="6"/>
        <v/>
      </c>
      <c r="AK395" s="21" t="str">
        <f>IF(B395="","",OR(K395="Not in use",K395="Low use")+AND(N395&lt;&gt;"",N395&lt;&gt;"TBD")+AND(ISNUMBER(U395),U395&lt;=EDATE('Scoring Settings'!$B$4,'Scoring Settings'!$B$8))+AND(ISNUMBER(L395),L395&lt;='Scoring Settings'!$B$7))</f>
        <v/>
      </c>
      <c r="AL395" s="17" t="str">
        <f>IF(B395="","",IF(K395="Not in use","Priority – Not in use",IF(AK395&gt;='Scoring Settings'!$B$9,"Decommission",IF(AK395=1,"Review","Retain"))))</f>
        <v/>
      </c>
      <c r="AM395" s="17" t="str">
        <f>IF(B395="","",IF(Z395="N","Easy",IF(OR(AND(ISNUMBER(AB395),AB395&gt;'Scoring Settings'!$B$11),AND(ISNUMBER(W395),W395&gt;'Scoring Settings'!$B$12),AND(ISNUMBER(M395),M395&lt;='Scoring Settings'!$B$13)),"High","Medium")))</f>
        <v/>
      </c>
      <c r="AN395" s="14"/>
      <c r="AO395" s="16"/>
      <c r="AP395" s="14"/>
      <c r="AQ395" s="22"/>
    </row>
    <row r="396" spans="1:43">
      <c r="A396" s="14"/>
      <c r="B396" s="14"/>
      <c r="C396" s="14"/>
      <c r="D396" s="14"/>
      <c r="E396" s="14"/>
      <c r="F396" s="14"/>
      <c r="G396" s="14"/>
      <c r="H396" s="14"/>
      <c r="I396" s="15"/>
      <c r="J396" s="16"/>
      <c r="K396" s="17" t="str">
        <f>IF(B396="","",IF(AND(I396="",J396=""),"Unknown",IF(OR(AND(ISNUMBER(I396),I396=0),AND(ISNUMBER(J396),J396&lt;=EDATE('Scoring Settings'!$B$4,-'Scoring Settings'!$B$5))),"Not in use",IF(AND(ISNUMBER(I396),I396&lt;'Scoring Settings'!$B$6),"Low use","Active"))))</f>
        <v/>
      </c>
      <c r="L396" s="14"/>
      <c r="M396" s="14"/>
      <c r="N396" s="14"/>
      <c r="O396" s="14"/>
      <c r="P396" s="14"/>
      <c r="Q396" s="18"/>
      <c r="R396" s="14"/>
      <c r="S396" s="14"/>
      <c r="T396" s="14"/>
      <c r="U396" s="16"/>
      <c r="V396" s="14"/>
      <c r="W396" s="15"/>
      <c r="X396" s="14"/>
      <c r="Y396" s="18"/>
      <c r="Z396" s="14"/>
      <c r="AA396" s="14"/>
      <c r="AB396" s="18"/>
      <c r="AC396" s="14"/>
      <c r="AD396" s="14"/>
      <c r="AE396" s="14"/>
      <c r="AF396" s="19"/>
      <c r="AG396" s="16"/>
      <c r="AH396" s="19"/>
      <c r="AI396" s="19"/>
      <c r="AJ396" s="20" t="str">
        <f t="shared" si="6"/>
        <v/>
      </c>
      <c r="AK396" s="21" t="str">
        <f>IF(B396="","",OR(K396="Not in use",K396="Low use")+AND(N396&lt;&gt;"",N396&lt;&gt;"TBD")+AND(ISNUMBER(U396),U396&lt;=EDATE('Scoring Settings'!$B$4,'Scoring Settings'!$B$8))+AND(ISNUMBER(L396),L396&lt;='Scoring Settings'!$B$7))</f>
        <v/>
      </c>
      <c r="AL396" s="17" t="str">
        <f>IF(B396="","",IF(K396="Not in use","Priority – Not in use",IF(AK396&gt;='Scoring Settings'!$B$9,"Decommission",IF(AK396=1,"Review","Retain"))))</f>
        <v/>
      </c>
      <c r="AM396" s="17" t="str">
        <f>IF(B396="","",IF(Z396="N","Easy",IF(OR(AND(ISNUMBER(AB396),AB396&gt;'Scoring Settings'!$B$11),AND(ISNUMBER(W396),W396&gt;'Scoring Settings'!$B$12),AND(ISNUMBER(M396),M396&lt;='Scoring Settings'!$B$13)),"High","Medium")))</f>
        <v/>
      </c>
      <c r="AN396" s="14"/>
      <c r="AO396" s="16"/>
      <c r="AP396" s="14"/>
      <c r="AQ396" s="22"/>
    </row>
    <row r="397" spans="1:43">
      <c r="A397" s="14"/>
      <c r="B397" s="14"/>
      <c r="C397" s="14"/>
      <c r="D397" s="14"/>
      <c r="E397" s="14"/>
      <c r="F397" s="14"/>
      <c r="G397" s="14"/>
      <c r="H397" s="14"/>
      <c r="I397" s="15"/>
      <c r="J397" s="16"/>
      <c r="K397" s="17" t="str">
        <f>IF(B397="","",IF(AND(I397="",J397=""),"Unknown",IF(OR(AND(ISNUMBER(I397),I397=0),AND(ISNUMBER(J397),J397&lt;=EDATE('Scoring Settings'!$B$4,-'Scoring Settings'!$B$5))),"Not in use",IF(AND(ISNUMBER(I397),I397&lt;'Scoring Settings'!$B$6),"Low use","Active"))))</f>
        <v/>
      </c>
      <c r="L397" s="14"/>
      <c r="M397" s="14"/>
      <c r="N397" s="14"/>
      <c r="O397" s="14"/>
      <c r="P397" s="14"/>
      <c r="Q397" s="18"/>
      <c r="R397" s="14"/>
      <c r="S397" s="14"/>
      <c r="T397" s="14"/>
      <c r="U397" s="16"/>
      <c r="V397" s="14"/>
      <c r="W397" s="15"/>
      <c r="X397" s="14"/>
      <c r="Y397" s="18"/>
      <c r="Z397" s="14"/>
      <c r="AA397" s="14"/>
      <c r="AB397" s="18"/>
      <c r="AC397" s="14"/>
      <c r="AD397" s="14"/>
      <c r="AE397" s="14"/>
      <c r="AF397" s="19"/>
      <c r="AG397" s="16"/>
      <c r="AH397" s="19"/>
      <c r="AI397" s="19"/>
      <c r="AJ397" s="20" t="str">
        <f t="shared" si="6"/>
        <v/>
      </c>
      <c r="AK397" s="21" t="str">
        <f>IF(B397="","",OR(K397="Not in use",K397="Low use")+AND(N397&lt;&gt;"",N397&lt;&gt;"TBD")+AND(ISNUMBER(U397),U397&lt;=EDATE('Scoring Settings'!$B$4,'Scoring Settings'!$B$8))+AND(ISNUMBER(L397),L397&lt;='Scoring Settings'!$B$7))</f>
        <v/>
      </c>
      <c r="AL397" s="17" t="str">
        <f>IF(B397="","",IF(K397="Not in use","Priority – Not in use",IF(AK397&gt;='Scoring Settings'!$B$9,"Decommission",IF(AK397=1,"Review","Retain"))))</f>
        <v/>
      </c>
      <c r="AM397" s="17" t="str">
        <f>IF(B397="","",IF(Z397="N","Easy",IF(OR(AND(ISNUMBER(AB397),AB397&gt;'Scoring Settings'!$B$11),AND(ISNUMBER(W397),W397&gt;'Scoring Settings'!$B$12),AND(ISNUMBER(M397),M397&lt;='Scoring Settings'!$B$13)),"High","Medium")))</f>
        <v/>
      </c>
      <c r="AN397" s="14"/>
      <c r="AO397" s="16"/>
      <c r="AP397" s="14"/>
      <c r="AQ397" s="22"/>
    </row>
    <row r="398" spans="1:43">
      <c r="A398" s="14"/>
      <c r="B398" s="14"/>
      <c r="C398" s="14"/>
      <c r="D398" s="14"/>
      <c r="E398" s="14"/>
      <c r="F398" s="14"/>
      <c r="G398" s="14"/>
      <c r="H398" s="14"/>
      <c r="I398" s="15"/>
      <c r="J398" s="16"/>
      <c r="K398" s="17" t="str">
        <f>IF(B398="","",IF(AND(I398="",J398=""),"Unknown",IF(OR(AND(ISNUMBER(I398),I398=0),AND(ISNUMBER(J398),J398&lt;=EDATE('Scoring Settings'!$B$4,-'Scoring Settings'!$B$5))),"Not in use",IF(AND(ISNUMBER(I398),I398&lt;'Scoring Settings'!$B$6),"Low use","Active"))))</f>
        <v/>
      </c>
      <c r="L398" s="14"/>
      <c r="M398" s="14"/>
      <c r="N398" s="14"/>
      <c r="O398" s="14"/>
      <c r="P398" s="14"/>
      <c r="Q398" s="18"/>
      <c r="R398" s="14"/>
      <c r="S398" s="14"/>
      <c r="T398" s="14"/>
      <c r="U398" s="16"/>
      <c r="V398" s="14"/>
      <c r="W398" s="15"/>
      <c r="X398" s="14"/>
      <c r="Y398" s="18"/>
      <c r="Z398" s="14"/>
      <c r="AA398" s="14"/>
      <c r="AB398" s="18"/>
      <c r="AC398" s="14"/>
      <c r="AD398" s="14"/>
      <c r="AE398" s="14"/>
      <c r="AF398" s="19"/>
      <c r="AG398" s="16"/>
      <c r="AH398" s="19"/>
      <c r="AI398" s="19"/>
      <c r="AJ398" s="20" t="str">
        <f t="shared" si="6"/>
        <v/>
      </c>
      <c r="AK398" s="21" t="str">
        <f>IF(B398="","",OR(K398="Not in use",K398="Low use")+AND(N398&lt;&gt;"",N398&lt;&gt;"TBD")+AND(ISNUMBER(U398),U398&lt;=EDATE('Scoring Settings'!$B$4,'Scoring Settings'!$B$8))+AND(ISNUMBER(L398),L398&lt;='Scoring Settings'!$B$7))</f>
        <v/>
      </c>
      <c r="AL398" s="17" t="str">
        <f>IF(B398="","",IF(K398="Not in use","Priority – Not in use",IF(AK398&gt;='Scoring Settings'!$B$9,"Decommission",IF(AK398=1,"Review","Retain"))))</f>
        <v/>
      </c>
      <c r="AM398" s="17" t="str">
        <f>IF(B398="","",IF(Z398="N","Easy",IF(OR(AND(ISNUMBER(AB398),AB398&gt;'Scoring Settings'!$B$11),AND(ISNUMBER(W398),W398&gt;'Scoring Settings'!$B$12),AND(ISNUMBER(M398),M398&lt;='Scoring Settings'!$B$13)),"High","Medium")))</f>
        <v/>
      </c>
      <c r="AN398" s="14"/>
      <c r="AO398" s="16"/>
      <c r="AP398" s="14"/>
      <c r="AQ398" s="22"/>
    </row>
    <row r="399" spans="1:43">
      <c r="A399" s="14"/>
      <c r="B399" s="14"/>
      <c r="C399" s="14"/>
      <c r="D399" s="14"/>
      <c r="E399" s="14"/>
      <c r="F399" s="14"/>
      <c r="G399" s="14"/>
      <c r="H399" s="14"/>
      <c r="I399" s="15"/>
      <c r="J399" s="16"/>
      <c r="K399" s="17" t="str">
        <f>IF(B399="","",IF(AND(I399="",J399=""),"Unknown",IF(OR(AND(ISNUMBER(I399),I399=0),AND(ISNUMBER(J399),J399&lt;=EDATE('Scoring Settings'!$B$4,-'Scoring Settings'!$B$5))),"Not in use",IF(AND(ISNUMBER(I399),I399&lt;'Scoring Settings'!$B$6),"Low use","Active"))))</f>
        <v/>
      </c>
      <c r="L399" s="14"/>
      <c r="M399" s="14"/>
      <c r="N399" s="14"/>
      <c r="O399" s="14"/>
      <c r="P399" s="14"/>
      <c r="Q399" s="18"/>
      <c r="R399" s="14"/>
      <c r="S399" s="14"/>
      <c r="T399" s="14"/>
      <c r="U399" s="16"/>
      <c r="V399" s="14"/>
      <c r="W399" s="15"/>
      <c r="X399" s="14"/>
      <c r="Y399" s="18"/>
      <c r="Z399" s="14"/>
      <c r="AA399" s="14"/>
      <c r="AB399" s="18"/>
      <c r="AC399" s="14"/>
      <c r="AD399" s="14"/>
      <c r="AE399" s="14"/>
      <c r="AF399" s="19"/>
      <c r="AG399" s="16"/>
      <c r="AH399" s="19"/>
      <c r="AI399" s="19"/>
      <c r="AJ399" s="20" t="str">
        <f t="shared" si="6"/>
        <v/>
      </c>
      <c r="AK399" s="21" t="str">
        <f>IF(B399="","",OR(K399="Not in use",K399="Low use")+AND(N399&lt;&gt;"",N399&lt;&gt;"TBD")+AND(ISNUMBER(U399),U399&lt;=EDATE('Scoring Settings'!$B$4,'Scoring Settings'!$B$8))+AND(ISNUMBER(L399),L399&lt;='Scoring Settings'!$B$7))</f>
        <v/>
      </c>
      <c r="AL399" s="17" t="str">
        <f>IF(B399="","",IF(K399="Not in use","Priority – Not in use",IF(AK399&gt;='Scoring Settings'!$B$9,"Decommission",IF(AK399=1,"Review","Retain"))))</f>
        <v/>
      </c>
      <c r="AM399" s="17" t="str">
        <f>IF(B399="","",IF(Z399="N","Easy",IF(OR(AND(ISNUMBER(AB399),AB399&gt;'Scoring Settings'!$B$11),AND(ISNUMBER(W399),W399&gt;'Scoring Settings'!$B$12),AND(ISNUMBER(M399),M399&lt;='Scoring Settings'!$B$13)),"High","Medium")))</f>
        <v/>
      </c>
      <c r="AN399" s="14"/>
      <c r="AO399" s="16"/>
      <c r="AP399" s="14"/>
      <c r="AQ399" s="22"/>
    </row>
    <row r="400" spans="1:43">
      <c r="A400" s="14"/>
      <c r="B400" s="14"/>
      <c r="C400" s="14"/>
      <c r="D400" s="14"/>
      <c r="E400" s="14"/>
      <c r="F400" s="14"/>
      <c r="G400" s="14"/>
      <c r="H400" s="14"/>
      <c r="I400" s="15"/>
      <c r="J400" s="16"/>
      <c r="K400" s="17" t="str">
        <f>IF(B400="","",IF(AND(I400="",J400=""),"Unknown",IF(OR(AND(ISNUMBER(I400),I400=0),AND(ISNUMBER(J400),J400&lt;=EDATE('Scoring Settings'!$B$4,-'Scoring Settings'!$B$5))),"Not in use",IF(AND(ISNUMBER(I400),I400&lt;'Scoring Settings'!$B$6),"Low use","Active"))))</f>
        <v/>
      </c>
      <c r="L400" s="14"/>
      <c r="M400" s="14"/>
      <c r="N400" s="14"/>
      <c r="O400" s="14"/>
      <c r="P400" s="14"/>
      <c r="Q400" s="18"/>
      <c r="R400" s="14"/>
      <c r="S400" s="14"/>
      <c r="T400" s="14"/>
      <c r="U400" s="16"/>
      <c r="V400" s="14"/>
      <c r="W400" s="15"/>
      <c r="X400" s="14"/>
      <c r="Y400" s="18"/>
      <c r="Z400" s="14"/>
      <c r="AA400" s="14"/>
      <c r="AB400" s="18"/>
      <c r="AC400" s="14"/>
      <c r="AD400" s="14"/>
      <c r="AE400" s="14"/>
      <c r="AF400" s="19"/>
      <c r="AG400" s="16"/>
      <c r="AH400" s="19"/>
      <c r="AI400" s="19"/>
      <c r="AJ400" s="20" t="str">
        <f t="shared" si="6"/>
        <v/>
      </c>
      <c r="AK400" s="21" t="str">
        <f>IF(B400="","",OR(K400="Not in use",K400="Low use")+AND(N400&lt;&gt;"",N400&lt;&gt;"TBD")+AND(ISNUMBER(U400),U400&lt;=EDATE('Scoring Settings'!$B$4,'Scoring Settings'!$B$8))+AND(ISNUMBER(L400),L400&lt;='Scoring Settings'!$B$7))</f>
        <v/>
      </c>
      <c r="AL400" s="17" t="str">
        <f>IF(B400="","",IF(K400="Not in use","Priority – Not in use",IF(AK400&gt;='Scoring Settings'!$B$9,"Decommission",IF(AK400=1,"Review","Retain"))))</f>
        <v/>
      </c>
      <c r="AM400" s="17" t="str">
        <f>IF(B400="","",IF(Z400="N","Easy",IF(OR(AND(ISNUMBER(AB400),AB400&gt;'Scoring Settings'!$B$11),AND(ISNUMBER(W400),W400&gt;'Scoring Settings'!$B$12),AND(ISNUMBER(M400),M400&lt;='Scoring Settings'!$B$13)),"High","Medium")))</f>
        <v/>
      </c>
      <c r="AN400" s="14"/>
      <c r="AO400" s="16"/>
      <c r="AP400" s="14"/>
      <c r="AQ400" s="22"/>
    </row>
    <row r="401" spans="1:43">
      <c r="A401" s="14"/>
      <c r="B401" s="14"/>
      <c r="C401" s="14"/>
      <c r="D401" s="14"/>
      <c r="E401" s="14"/>
      <c r="F401" s="14"/>
      <c r="G401" s="14"/>
      <c r="H401" s="14"/>
      <c r="I401" s="15"/>
      <c r="J401" s="16"/>
      <c r="K401" s="17" t="str">
        <f>IF(B401="","",IF(AND(I401="",J401=""),"Unknown",IF(OR(AND(ISNUMBER(I401),I401=0),AND(ISNUMBER(J401),J401&lt;=EDATE('Scoring Settings'!$B$4,-'Scoring Settings'!$B$5))),"Not in use",IF(AND(ISNUMBER(I401),I401&lt;'Scoring Settings'!$B$6),"Low use","Active"))))</f>
        <v/>
      </c>
      <c r="L401" s="14"/>
      <c r="M401" s="14"/>
      <c r="N401" s="14"/>
      <c r="O401" s="14"/>
      <c r="P401" s="14"/>
      <c r="Q401" s="18"/>
      <c r="R401" s="14"/>
      <c r="S401" s="14"/>
      <c r="T401" s="14"/>
      <c r="U401" s="16"/>
      <c r="V401" s="14"/>
      <c r="W401" s="15"/>
      <c r="X401" s="14"/>
      <c r="Y401" s="18"/>
      <c r="Z401" s="14"/>
      <c r="AA401" s="14"/>
      <c r="AB401" s="18"/>
      <c r="AC401" s="14"/>
      <c r="AD401" s="14"/>
      <c r="AE401" s="14"/>
      <c r="AF401" s="19"/>
      <c r="AG401" s="16"/>
      <c r="AH401" s="19"/>
      <c r="AI401" s="19"/>
      <c r="AJ401" s="20" t="str">
        <f t="shared" si="6"/>
        <v/>
      </c>
      <c r="AK401" s="21" t="str">
        <f>IF(B401="","",OR(K401="Not in use",K401="Low use")+AND(N401&lt;&gt;"",N401&lt;&gt;"TBD")+AND(ISNUMBER(U401),U401&lt;=EDATE('Scoring Settings'!$B$4,'Scoring Settings'!$B$8))+AND(ISNUMBER(L401),L401&lt;='Scoring Settings'!$B$7))</f>
        <v/>
      </c>
      <c r="AL401" s="17" t="str">
        <f>IF(B401="","",IF(K401="Not in use","Priority – Not in use",IF(AK401&gt;='Scoring Settings'!$B$9,"Decommission",IF(AK401=1,"Review","Retain"))))</f>
        <v/>
      </c>
      <c r="AM401" s="17" t="str">
        <f>IF(B401="","",IF(Z401="N","Easy",IF(OR(AND(ISNUMBER(AB401),AB401&gt;'Scoring Settings'!$B$11),AND(ISNUMBER(W401),W401&gt;'Scoring Settings'!$B$12),AND(ISNUMBER(M401),M401&lt;='Scoring Settings'!$B$13)),"High","Medium")))</f>
        <v/>
      </c>
      <c r="AN401" s="14"/>
      <c r="AO401" s="16"/>
      <c r="AP401" s="14"/>
      <c r="AQ401" s="22"/>
    </row>
    <row r="402" spans="1:43">
      <c r="A402" s="14"/>
      <c r="B402" s="14"/>
      <c r="C402" s="14"/>
      <c r="D402" s="14"/>
      <c r="E402" s="14"/>
      <c r="F402" s="14"/>
      <c r="G402" s="14"/>
      <c r="H402" s="14"/>
      <c r="I402" s="15"/>
      <c r="J402" s="16"/>
      <c r="K402" s="17" t="str">
        <f>IF(B402="","",IF(AND(I402="",J402=""),"Unknown",IF(OR(AND(ISNUMBER(I402),I402=0),AND(ISNUMBER(J402),J402&lt;=EDATE('Scoring Settings'!$B$4,-'Scoring Settings'!$B$5))),"Not in use",IF(AND(ISNUMBER(I402),I402&lt;'Scoring Settings'!$B$6),"Low use","Active"))))</f>
        <v/>
      </c>
      <c r="L402" s="14"/>
      <c r="M402" s="14"/>
      <c r="N402" s="14"/>
      <c r="O402" s="14"/>
      <c r="P402" s="14"/>
      <c r="Q402" s="18"/>
      <c r="R402" s="14"/>
      <c r="S402" s="14"/>
      <c r="T402" s="14"/>
      <c r="U402" s="16"/>
      <c r="V402" s="14"/>
      <c r="W402" s="15"/>
      <c r="X402" s="14"/>
      <c r="Y402" s="18"/>
      <c r="Z402" s="14"/>
      <c r="AA402" s="14"/>
      <c r="AB402" s="18"/>
      <c r="AC402" s="14"/>
      <c r="AD402" s="14"/>
      <c r="AE402" s="14"/>
      <c r="AF402" s="19"/>
      <c r="AG402" s="16"/>
      <c r="AH402" s="19"/>
      <c r="AI402" s="19"/>
      <c r="AJ402" s="20" t="str">
        <f t="shared" si="6"/>
        <v/>
      </c>
      <c r="AK402" s="21" t="str">
        <f>IF(B402="","",OR(K402="Not in use",K402="Low use")+AND(N402&lt;&gt;"",N402&lt;&gt;"TBD")+AND(ISNUMBER(U402),U402&lt;=EDATE('Scoring Settings'!$B$4,'Scoring Settings'!$B$8))+AND(ISNUMBER(L402),L402&lt;='Scoring Settings'!$B$7))</f>
        <v/>
      </c>
      <c r="AL402" s="17" t="str">
        <f>IF(B402="","",IF(K402="Not in use","Priority – Not in use",IF(AK402&gt;='Scoring Settings'!$B$9,"Decommission",IF(AK402=1,"Review","Retain"))))</f>
        <v/>
      </c>
      <c r="AM402" s="17" t="str">
        <f>IF(B402="","",IF(Z402="N","Easy",IF(OR(AND(ISNUMBER(AB402),AB402&gt;'Scoring Settings'!$B$11),AND(ISNUMBER(W402),W402&gt;'Scoring Settings'!$B$12),AND(ISNUMBER(M402),M402&lt;='Scoring Settings'!$B$13)),"High","Medium")))</f>
        <v/>
      </c>
      <c r="AN402" s="14"/>
      <c r="AO402" s="16"/>
      <c r="AP402" s="14"/>
      <c r="AQ402" s="22"/>
    </row>
    <row r="403" spans="1:43">
      <c r="A403" s="14"/>
      <c r="B403" s="14"/>
      <c r="C403" s="14"/>
      <c r="D403" s="14"/>
      <c r="E403" s="14"/>
      <c r="F403" s="14"/>
      <c r="G403" s="14"/>
      <c r="H403" s="14"/>
      <c r="I403" s="15"/>
      <c r="J403" s="16"/>
      <c r="K403" s="17" t="str">
        <f>IF(B403="","",IF(AND(I403="",J403=""),"Unknown",IF(OR(AND(ISNUMBER(I403),I403=0),AND(ISNUMBER(J403),J403&lt;=EDATE('Scoring Settings'!$B$4,-'Scoring Settings'!$B$5))),"Not in use",IF(AND(ISNUMBER(I403),I403&lt;'Scoring Settings'!$B$6),"Low use","Active"))))</f>
        <v/>
      </c>
      <c r="L403" s="14"/>
      <c r="M403" s="14"/>
      <c r="N403" s="14"/>
      <c r="O403" s="14"/>
      <c r="P403" s="14"/>
      <c r="Q403" s="18"/>
      <c r="R403" s="14"/>
      <c r="S403" s="14"/>
      <c r="T403" s="14"/>
      <c r="U403" s="16"/>
      <c r="V403" s="14"/>
      <c r="W403" s="15"/>
      <c r="X403" s="14"/>
      <c r="Y403" s="18"/>
      <c r="Z403" s="14"/>
      <c r="AA403" s="14"/>
      <c r="AB403" s="18"/>
      <c r="AC403" s="14"/>
      <c r="AD403" s="14"/>
      <c r="AE403" s="14"/>
      <c r="AF403" s="19"/>
      <c r="AG403" s="16"/>
      <c r="AH403" s="19"/>
      <c r="AI403" s="19"/>
      <c r="AJ403" s="20" t="str">
        <f t="shared" si="6"/>
        <v/>
      </c>
      <c r="AK403" s="21" t="str">
        <f>IF(B403="","",OR(K403="Not in use",K403="Low use")+AND(N403&lt;&gt;"",N403&lt;&gt;"TBD")+AND(ISNUMBER(U403),U403&lt;=EDATE('Scoring Settings'!$B$4,'Scoring Settings'!$B$8))+AND(ISNUMBER(L403),L403&lt;='Scoring Settings'!$B$7))</f>
        <v/>
      </c>
      <c r="AL403" s="17" t="str">
        <f>IF(B403="","",IF(K403="Not in use","Priority – Not in use",IF(AK403&gt;='Scoring Settings'!$B$9,"Decommission",IF(AK403=1,"Review","Retain"))))</f>
        <v/>
      </c>
      <c r="AM403" s="17" t="str">
        <f>IF(B403="","",IF(Z403="N","Easy",IF(OR(AND(ISNUMBER(AB403),AB403&gt;'Scoring Settings'!$B$11),AND(ISNUMBER(W403),W403&gt;'Scoring Settings'!$B$12),AND(ISNUMBER(M403),M403&lt;='Scoring Settings'!$B$13)),"High","Medium")))</f>
        <v/>
      </c>
      <c r="AN403" s="14"/>
      <c r="AO403" s="16"/>
      <c r="AP403" s="14"/>
      <c r="AQ403" s="22"/>
    </row>
    <row r="404" spans="1:43">
      <c r="A404" s="14"/>
      <c r="B404" s="14"/>
      <c r="C404" s="14"/>
      <c r="D404" s="14"/>
      <c r="E404" s="14"/>
      <c r="F404" s="14"/>
      <c r="G404" s="14"/>
      <c r="H404" s="14"/>
      <c r="I404" s="15"/>
      <c r="J404" s="16"/>
      <c r="K404" s="17" t="str">
        <f>IF(B404="","",IF(AND(I404="",J404=""),"Unknown",IF(OR(AND(ISNUMBER(I404),I404=0),AND(ISNUMBER(J404),J404&lt;=EDATE('Scoring Settings'!$B$4,-'Scoring Settings'!$B$5))),"Not in use",IF(AND(ISNUMBER(I404),I404&lt;'Scoring Settings'!$B$6),"Low use","Active"))))</f>
        <v/>
      </c>
      <c r="L404" s="14"/>
      <c r="M404" s="14"/>
      <c r="N404" s="14"/>
      <c r="O404" s="14"/>
      <c r="P404" s="14"/>
      <c r="Q404" s="18"/>
      <c r="R404" s="14"/>
      <c r="S404" s="14"/>
      <c r="T404" s="14"/>
      <c r="U404" s="16"/>
      <c r="V404" s="14"/>
      <c r="W404" s="15"/>
      <c r="X404" s="14"/>
      <c r="Y404" s="18"/>
      <c r="Z404" s="14"/>
      <c r="AA404" s="14"/>
      <c r="AB404" s="18"/>
      <c r="AC404" s="14"/>
      <c r="AD404" s="14"/>
      <c r="AE404" s="14"/>
      <c r="AF404" s="19"/>
      <c r="AG404" s="16"/>
      <c r="AH404" s="19"/>
      <c r="AI404" s="19"/>
      <c r="AJ404" s="20" t="str">
        <f t="shared" si="6"/>
        <v/>
      </c>
      <c r="AK404" s="21" t="str">
        <f>IF(B404="","",OR(K404="Not in use",K404="Low use")+AND(N404&lt;&gt;"",N404&lt;&gt;"TBD")+AND(ISNUMBER(U404),U404&lt;=EDATE('Scoring Settings'!$B$4,'Scoring Settings'!$B$8))+AND(ISNUMBER(L404),L404&lt;='Scoring Settings'!$B$7))</f>
        <v/>
      </c>
      <c r="AL404" s="17" t="str">
        <f>IF(B404="","",IF(K404="Not in use","Priority – Not in use",IF(AK404&gt;='Scoring Settings'!$B$9,"Decommission",IF(AK404=1,"Review","Retain"))))</f>
        <v/>
      </c>
      <c r="AM404" s="17" t="str">
        <f>IF(B404="","",IF(Z404="N","Easy",IF(OR(AND(ISNUMBER(AB404),AB404&gt;'Scoring Settings'!$B$11),AND(ISNUMBER(W404),W404&gt;'Scoring Settings'!$B$12),AND(ISNUMBER(M404),M404&lt;='Scoring Settings'!$B$13)),"High","Medium")))</f>
        <v/>
      </c>
      <c r="AN404" s="14"/>
      <c r="AO404" s="16"/>
      <c r="AP404" s="14"/>
      <c r="AQ404" s="22"/>
    </row>
    <row r="405" spans="1:43">
      <c r="A405" s="14"/>
      <c r="B405" s="14"/>
      <c r="C405" s="14"/>
      <c r="D405" s="14"/>
      <c r="E405" s="14"/>
      <c r="F405" s="14"/>
      <c r="G405" s="14"/>
      <c r="H405" s="14"/>
      <c r="I405" s="15"/>
      <c r="J405" s="16"/>
      <c r="K405" s="17" t="str">
        <f>IF(B405="","",IF(AND(I405="",J405=""),"Unknown",IF(OR(AND(ISNUMBER(I405),I405=0),AND(ISNUMBER(J405),J405&lt;=EDATE('Scoring Settings'!$B$4,-'Scoring Settings'!$B$5))),"Not in use",IF(AND(ISNUMBER(I405),I405&lt;'Scoring Settings'!$B$6),"Low use","Active"))))</f>
        <v/>
      </c>
      <c r="L405" s="14"/>
      <c r="M405" s="14"/>
      <c r="N405" s="14"/>
      <c r="O405" s="14"/>
      <c r="P405" s="14"/>
      <c r="Q405" s="18"/>
      <c r="R405" s="14"/>
      <c r="S405" s="14"/>
      <c r="T405" s="14"/>
      <c r="U405" s="16"/>
      <c r="V405" s="14"/>
      <c r="W405" s="15"/>
      <c r="X405" s="14"/>
      <c r="Y405" s="18"/>
      <c r="Z405" s="14"/>
      <c r="AA405" s="14"/>
      <c r="AB405" s="18"/>
      <c r="AC405" s="14"/>
      <c r="AD405" s="14"/>
      <c r="AE405" s="14"/>
      <c r="AF405" s="19"/>
      <c r="AG405" s="16"/>
      <c r="AH405" s="19"/>
      <c r="AI405" s="19"/>
      <c r="AJ405" s="20" t="str">
        <f t="shared" si="6"/>
        <v/>
      </c>
      <c r="AK405" s="21" t="str">
        <f>IF(B405="","",OR(K405="Not in use",K405="Low use")+AND(N405&lt;&gt;"",N405&lt;&gt;"TBD")+AND(ISNUMBER(U405),U405&lt;=EDATE('Scoring Settings'!$B$4,'Scoring Settings'!$B$8))+AND(ISNUMBER(L405),L405&lt;='Scoring Settings'!$B$7))</f>
        <v/>
      </c>
      <c r="AL405" s="17" t="str">
        <f>IF(B405="","",IF(K405="Not in use","Priority – Not in use",IF(AK405&gt;='Scoring Settings'!$B$9,"Decommission",IF(AK405=1,"Review","Retain"))))</f>
        <v/>
      </c>
      <c r="AM405" s="17" t="str">
        <f>IF(B405="","",IF(Z405="N","Easy",IF(OR(AND(ISNUMBER(AB405),AB405&gt;'Scoring Settings'!$B$11),AND(ISNUMBER(W405),W405&gt;'Scoring Settings'!$B$12),AND(ISNUMBER(M405),M405&lt;='Scoring Settings'!$B$13)),"High","Medium")))</f>
        <v/>
      </c>
      <c r="AN405" s="14"/>
      <c r="AO405" s="16"/>
      <c r="AP405" s="14"/>
      <c r="AQ405" s="22"/>
    </row>
    <row r="406" spans="1:43">
      <c r="A406" s="14"/>
      <c r="B406" s="14"/>
      <c r="C406" s="14"/>
      <c r="D406" s="14"/>
      <c r="E406" s="14"/>
      <c r="F406" s="14"/>
      <c r="G406" s="14"/>
      <c r="H406" s="14"/>
      <c r="I406" s="15"/>
      <c r="J406" s="16"/>
      <c r="K406" s="17" t="str">
        <f>IF(B406="","",IF(AND(I406="",J406=""),"Unknown",IF(OR(AND(ISNUMBER(I406),I406=0),AND(ISNUMBER(J406),J406&lt;=EDATE('Scoring Settings'!$B$4,-'Scoring Settings'!$B$5))),"Not in use",IF(AND(ISNUMBER(I406),I406&lt;'Scoring Settings'!$B$6),"Low use","Active"))))</f>
        <v/>
      </c>
      <c r="L406" s="14"/>
      <c r="M406" s="14"/>
      <c r="N406" s="14"/>
      <c r="O406" s="14"/>
      <c r="P406" s="14"/>
      <c r="Q406" s="18"/>
      <c r="R406" s="14"/>
      <c r="S406" s="14"/>
      <c r="T406" s="14"/>
      <c r="U406" s="16"/>
      <c r="V406" s="14"/>
      <c r="W406" s="15"/>
      <c r="X406" s="14"/>
      <c r="Y406" s="18"/>
      <c r="Z406" s="14"/>
      <c r="AA406" s="14"/>
      <c r="AB406" s="18"/>
      <c r="AC406" s="14"/>
      <c r="AD406" s="14"/>
      <c r="AE406" s="14"/>
      <c r="AF406" s="19"/>
      <c r="AG406" s="16"/>
      <c r="AH406" s="19"/>
      <c r="AI406" s="19"/>
      <c r="AJ406" s="20" t="str">
        <f t="shared" si="6"/>
        <v/>
      </c>
      <c r="AK406" s="21" t="str">
        <f>IF(B406="","",OR(K406="Not in use",K406="Low use")+AND(N406&lt;&gt;"",N406&lt;&gt;"TBD")+AND(ISNUMBER(U406),U406&lt;=EDATE('Scoring Settings'!$B$4,'Scoring Settings'!$B$8))+AND(ISNUMBER(L406),L406&lt;='Scoring Settings'!$B$7))</f>
        <v/>
      </c>
      <c r="AL406" s="17" t="str">
        <f>IF(B406="","",IF(K406="Not in use","Priority – Not in use",IF(AK406&gt;='Scoring Settings'!$B$9,"Decommission",IF(AK406=1,"Review","Retain"))))</f>
        <v/>
      </c>
      <c r="AM406" s="17" t="str">
        <f>IF(B406="","",IF(Z406="N","Easy",IF(OR(AND(ISNUMBER(AB406),AB406&gt;'Scoring Settings'!$B$11),AND(ISNUMBER(W406),W406&gt;'Scoring Settings'!$B$12),AND(ISNUMBER(M406),M406&lt;='Scoring Settings'!$B$13)),"High","Medium")))</f>
        <v/>
      </c>
      <c r="AN406" s="14"/>
      <c r="AO406" s="16"/>
      <c r="AP406" s="14"/>
      <c r="AQ406" s="22"/>
    </row>
    <row r="407" spans="1:43">
      <c r="A407" s="14"/>
      <c r="B407" s="14"/>
      <c r="C407" s="14"/>
      <c r="D407" s="14"/>
      <c r="E407" s="14"/>
      <c r="F407" s="14"/>
      <c r="G407" s="14"/>
      <c r="H407" s="14"/>
      <c r="I407" s="15"/>
      <c r="J407" s="16"/>
      <c r="K407" s="17" t="str">
        <f>IF(B407="","",IF(AND(I407="",J407=""),"Unknown",IF(OR(AND(ISNUMBER(I407),I407=0),AND(ISNUMBER(J407),J407&lt;=EDATE('Scoring Settings'!$B$4,-'Scoring Settings'!$B$5))),"Not in use",IF(AND(ISNUMBER(I407),I407&lt;'Scoring Settings'!$B$6),"Low use","Active"))))</f>
        <v/>
      </c>
      <c r="L407" s="14"/>
      <c r="M407" s="14"/>
      <c r="N407" s="14"/>
      <c r="O407" s="14"/>
      <c r="P407" s="14"/>
      <c r="Q407" s="18"/>
      <c r="R407" s="14"/>
      <c r="S407" s="14"/>
      <c r="T407" s="14"/>
      <c r="U407" s="16"/>
      <c r="V407" s="14"/>
      <c r="W407" s="15"/>
      <c r="X407" s="14"/>
      <c r="Y407" s="18"/>
      <c r="Z407" s="14"/>
      <c r="AA407" s="14"/>
      <c r="AB407" s="18"/>
      <c r="AC407" s="14"/>
      <c r="AD407" s="14"/>
      <c r="AE407" s="14"/>
      <c r="AF407" s="19"/>
      <c r="AG407" s="16"/>
      <c r="AH407" s="19"/>
      <c r="AI407" s="19"/>
      <c r="AJ407" s="20" t="str">
        <f t="shared" si="6"/>
        <v/>
      </c>
      <c r="AK407" s="21" t="str">
        <f>IF(B407="","",OR(K407="Not in use",K407="Low use")+AND(N407&lt;&gt;"",N407&lt;&gt;"TBD")+AND(ISNUMBER(U407),U407&lt;=EDATE('Scoring Settings'!$B$4,'Scoring Settings'!$B$8))+AND(ISNUMBER(L407),L407&lt;='Scoring Settings'!$B$7))</f>
        <v/>
      </c>
      <c r="AL407" s="17" t="str">
        <f>IF(B407="","",IF(K407="Not in use","Priority – Not in use",IF(AK407&gt;='Scoring Settings'!$B$9,"Decommission",IF(AK407=1,"Review","Retain"))))</f>
        <v/>
      </c>
      <c r="AM407" s="17" t="str">
        <f>IF(B407="","",IF(Z407="N","Easy",IF(OR(AND(ISNUMBER(AB407),AB407&gt;'Scoring Settings'!$B$11),AND(ISNUMBER(W407),W407&gt;'Scoring Settings'!$B$12),AND(ISNUMBER(M407),M407&lt;='Scoring Settings'!$B$13)),"High","Medium")))</f>
        <v/>
      </c>
      <c r="AN407" s="14"/>
      <c r="AO407" s="16"/>
      <c r="AP407" s="14"/>
      <c r="AQ407" s="22"/>
    </row>
    <row r="408" spans="1:43">
      <c r="A408" s="14"/>
      <c r="B408" s="14"/>
      <c r="C408" s="14"/>
      <c r="D408" s="14"/>
      <c r="E408" s="14"/>
      <c r="F408" s="14"/>
      <c r="G408" s="14"/>
      <c r="H408" s="14"/>
      <c r="I408" s="15"/>
      <c r="J408" s="16"/>
      <c r="K408" s="17" t="str">
        <f>IF(B408="","",IF(AND(I408="",J408=""),"Unknown",IF(OR(AND(ISNUMBER(I408),I408=0),AND(ISNUMBER(J408),J408&lt;=EDATE('Scoring Settings'!$B$4,-'Scoring Settings'!$B$5))),"Not in use",IF(AND(ISNUMBER(I408),I408&lt;'Scoring Settings'!$B$6),"Low use","Active"))))</f>
        <v/>
      </c>
      <c r="L408" s="14"/>
      <c r="M408" s="14"/>
      <c r="N408" s="14"/>
      <c r="O408" s="14"/>
      <c r="P408" s="14"/>
      <c r="Q408" s="18"/>
      <c r="R408" s="14"/>
      <c r="S408" s="14"/>
      <c r="T408" s="14"/>
      <c r="U408" s="16"/>
      <c r="V408" s="14"/>
      <c r="W408" s="15"/>
      <c r="X408" s="14"/>
      <c r="Y408" s="18"/>
      <c r="Z408" s="14"/>
      <c r="AA408" s="14"/>
      <c r="AB408" s="18"/>
      <c r="AC408" s="14"/>
      <c r="AD408" s="14"/>
      <c r="AE408" s="14"/>
      <c r="AF408" s="19"/>
      <c r="AG408" s="16"/>
      <c r="AH408" s="19"/>
      <c r="AI408" s="19"/>
      <c r="AJ408" s="20" t="str">
        <f t="shared" si="6"/>
        <v/>
      </c>
      <c r="AK408" s="21" t="str">
        <f>IF(B408="","",OR(K408="Not in use",K408="Low use")+AND(N408&lt;&gt;"",N408&lt;&gt;"TBD")+AND(ISNUMBER(U408),U408&lt;=EDATE('Scoring Settings'!$B$4,'Scoring Settings'!$B$8))+AND(ISNUMBER(L408),L408&lt;='Scoring Settings'!$B$7))</f>
        <v/>
      </c>
      <c r="AL408" s="17" t="str">
        <f>IF(B408="","",IF(K408="Not in use","Priority – Not in use",IF(AK408&gt;='Scoring Settings'!$B$9,"Decommission",IF(AK408=1,"Review","Retain"))))</f>
        <v/>
      </c>
      <c r="AM408" s="17" t="str">
        <f>IF(B408="","",IF(Z408="N","Easy",IF(OR(AND(ISNUMBER(AB408),AB408&gt;'Scoring Settings'!$B$11),AND(ISNUMBER(W408),W408&gt;'Scoring Settings'!$B$12),AND(ISNUMBER(M408),M408&lt;='Scoring Settings'!$B$13)),"High","Medium")))</f>
        <v/>
      </c>
      <c r="AN408" s="14"/>
      <c r="AO408" s="16"/>
      <c r="AP408" s="14"/>
      <c r="AQ408" s="22"/>
    </row>
    <row r="409" spans="1:43">
      <c r="A409" s="14"/>
      <c r="B409" s="14"/>
      <c r="C409" s="14"/>
      <c r="D409" s="14"/>
      <c r="E409" s="14"/>
      <c r="F409" s="14"/>
      <c r="G409" s="14"/>
      <c r="H409" s="14"/>
      <c r="I409" s="15"/>
      <c r="J409" s="16"/>
      <c r="K409" s="17" t="str">
        <f>IF(B409="","",IF(AND(I409="",J409=""),"Unknown",IF(OR(AND(ISNUMBER(I409),I409=0),AND(ISNUMBER(J409),J409&lt;=EDATE('Scoring Settings'!$B$4,-'Scoring Settings'!$B$5))),"Not in use",IF(AND(ISNUMBER(I409),I409&lt;'Scoring Settings'!$B$6),"Low use","Active"))))</f>
        <v/>
      </c>
      <c r="L409" s="14"/>
      <c r="M409" s="14"/>
      <c r="N409" s="14"/>
      <c r="O409" s="14"/>
      <c r="P409" s="14"/>
      <c r="Q409" s="18"/>
      <c r="R409" s="14"/>
      <c r="S409" s="14"/>
      <c r="T409" s="14"/>
      <c r="U409" s="16"/>
      <c r="V409" s="14"/>
      <c r="W409" s="15"/>
      <c r="X409" s="14"/>
      <c r="Y409" s="18"/>
      <c r="Z409" s="14"/>
      <c r="AA409" s="14"/>
      <c r="AB409" s="18"/>
      <c r="AC409" s="14"/>
      <c r="AD409" s="14"/>
      <c r="AE409" s="14"/>
      <c r="AF409" s="19"/>
      <c r="AG409" s="16"/>
      <c r="AH409" s="19"/>
      <c r="AI409" s="19"/>
      <c r="AJ409" s="20" t="str">
        <f t="shared" si="6"/>
        <v/>
      </c>
      <c r="AK409" s="21" t="str">
        <f>IF(B409="","",OR(K409="Not in use",K409="Low use")+AND(N409&lt;&gt;"",N409&lt;&gt;"TBD")+AND(ISNUMBER(U409),U409&lt;=EDATE('Scoring Settings'!$B$4,'Scoring Settings'!$B$8))+AND(ISNUMBER(L409),L409&lt;='Scoring Settings'!$B$7))</f>
        <v/>
      </c>
      <c r="AL409" s="17" t="str">
        <f>IF(B409="","",IF(K409="Not in use","Priority – Not in use",IF(AK409&gt;='Scoring Settings'!$B$9,"Decommission",IF(AK409=1,"Review","Retain"))))</f>
        <v/>
      </c>
      <c r="AM409" s="17" t="str">
        <f>IF(B409="","",IF(Z409="N","Easy",IF(OR(AND(ISNUMBER(AB409),AB409&gt;'Scoring Settings'!$B$11),AND(ISNUMBER(W409),W409&gt;'Scoring Settings'!$B$12),AND(ISNUMBER(M409),M409&lt;='Scoring Settings'!$B$13)),"High","Medium")))</f>
        <v/>
      </c>
      <c r="AN409" s="14"/>
      <c r="AO409" s="16"/>
      <c r="AP409" s="14"/>
      <c r="AQ409" s="22"/>
    </row>
    <row r="410" spans="1:43">
      <c r="A410" s="14"/>
      <c r="B410" s="14"/>
      <c r="C410" s="14"/>
      <c r="D410" s="14"/>
      <c r="E410" s="14"/>
      <c r="F410" s="14"/>
      <c r="G410" s="14"/>
      <c r="H410" s="14"/>
      <c r="I410" s="15"/>
      <c r="J410" s="16"/>
      <c r="K410" s="17" t="str">
        <f>IF(B410="","",IF(AND(I410="",J410=""),"Unknown",IF(OR(AND(ISNUMBER(I410),I410=0),AND(ISNUMBER(J410),J410&lt;=EDATE('Scoring Settings'!$B$4,-'Scoring Settings'!$B$5))),"Not in use",IF(AND(ISNUMBER(I410),I410&lt;'Scoring Settings'!$B$6),"Low use","Active"))))</f>
        <v/>
      </c>
      <c r="L410" s="14"/>
      <c r="M410" s="14"/>
      <c r="N410" s="14"/>
      <c r="O410" s="14"/>
      <c r="P410" s="14"/>
      <c r="Q410" s="18"/>
      <c r="R410" s="14"/>
      <c r="S410" s="14"/>
      <c r="T410" s="14"/>
      <c r="U410" s="16"/>
      <c r="V410" s="14"/>
      <c r="W410" s="15"/>
      <c r="X410" s="14"/>
      <c r="Y410" s="18"/>
      <c r="Z410" s="14"/>
      <c r="AA410" s="14"/>
      <c r="AB410" s="18"/>
      <c r="AC410" s="14"/>
      <c r="AD410" s="14"/>
      <c r="AE410" s="14"/>
      <c r="AF410" s="19"/>
      <c r="AG410" s="16"/>
      <c r="AH410" s="19"/>
      <c r="AI410" s="19"/>
      <c r="AJ410" s="20" t="str">
        <f t="shared" si="6"/>
        <v/>
      </c>
      <c r="AK410" s="21" t="str">
        <f>IF(B410="","",OR(K410="Not in use",K410="Low use")+AND(N410&lt;&gt;"",N410&lt;&gt;"TBD")+AND(ISNUMBER(U410),U410&lt;=EDATE('Scoring Settings'!$B$4,'Scoring Settings'!$B$8))+AND(ISNUMBER(L410),L410&lt;='Scoring Settings'!$B$7))</f>
        <v/>
      </c>
      <c r="AL410" s="17" t="str">
        <f>IF(B410="","",IF(K410="Not in use","Priority – Not in use",IF(AK410&gt;='Scoring Settings'!$B$9,"Decommission",IF(AK410=1,"Review","Retain"))))</f>
        <v/>
      </c>
      <c r="AM410" s="17" t="str">
        <f>IF(B410="","",IF(Z410="N","Easy",IF(OR(AND(ISNUMBER(AB410),AB410&gt;'Scoring Settings'!$B$11),AND(ISNUMBER(W410),W410&gt;'Scoring Settings'!$B$12),AND(ISNUMBER(M410),M410&lt;='Scoring Settings'!$B$13)),"High","Medium")))</f>
        <v/>
      </c>
      <c r="AN410" s="14"/>
      <c r="AO410" s="16"/>
      <c r="AP410" s="14"/>
      <c r="AQ410" s="22"/>
    </row>
    <row r="411" spans="1:43">
      <c r="A411" s="14"/>
      <c r="B411" s="14"/>
      <c r="C411" s="14"/>
      <c r="D411" s="14"/>
      <c r="E411" s="14"/>
      <c r="F411" s="14"/>
      <c r="G411" s="14"/>
      <c r="H411" s="14"/>
      <c r="I411" s="15"/>
      <c r="J411" s="16"/>
      <c r="K411" s="17" t="str">
        <f>IF(B411="","",IF(AND(I411="",J411=""),"Unknown",IF(OR(AND(ISNUMBER(I411),I411=0),AND(ISNUMBER(J411),J411&lt;=EDATE('Scoring Settings'!$B$4,-'Scoring Settings'!$B$5))),"Not in use",IF(AND(ISNUMBER(I411),I411&lt;'Scoring Settings'!$B$6),"Low use","Active"))))</f>
        <v/>
      </c>
      <c r="L411" s="14"/>
      <c r="M411" s="14"/>
      <c r="N411" s="14"/>
      <c r="O411" s="14"/>
      <c r="P411" s="14"/>
      <c r="Q411" s="18"/>
      <c r="R411" s="14"/>
      <c r="S411" s="14"/>
      <c r="T411" s="14"/>
      <c r="U411" s="16"/>
      <c r="V411" s="14"/>
      <c r="W411" s="15"/>
      <c r="X411" s="14"/>
      <c r="Y411" s="18"/>
      <c r="Z411" s="14"/>
      <c r="AA411" s="14"/>
      <c r="AB411" s="18"/>
      <c r="AC411" s="14"/>
      <c r="AD411" s="14"/>
      <c r="AE411" s="14"/>
      <c r="AF411" s="19"/>
      <c r="AG411" s="16"/>
      <c r="AH411" s="19"/>
      <c r="AI411" s="19"/>
      <c r="AJ411" s="20" t="str">
        <f t="shared" si="6"/>
        <v/>
      </c>
      <c r="AK411" s="21" t="str">
        <f>IF(B411="","",OR(K411="Not in use",K411="Low use")+AND(N411&lt;&gt;"",N411&lt;&gt;"TBD")+AND(ISNUMBER(U411),U411&lt;=EDATE('Scoring Settings'!$B$4,'Scoring Settings'!$B$8))+AND(ISNUMBER(L411),L411&lt;='Scoring Settings'!$B$7))</f>
        <v/>
      </c>
      <c r="AL411" s="17" t="str">
        <f>IF(B411="","",IF(K411="Not in use","Priority – Not in use",IF(AK411&gt;='Scoring Settings'!$B$9,"Decommission",IF(AK411=1,"Review","Retain"))))</f>
        <v/>
      </c>
      <c r="AM411" s="17" t="str">
        <f>IF(B411="","",IF(Z411="N","Easy",IF(OR(AND(ISNUMBER(AB411),AB411&gt;'Scoring Settings'!$B$11),AND(ISNUMBER(W411),W411&gt;'Scoring Settings'!$B$12),AND(ISNUMBER(M411),M411&lt;='Scoring Settings'!$B$13)),"High","Medium")))</f>
        <v/>
      </c>
      <c r="AN411" s="14"/>
      <c r="AO411" s="16"/>
      <c r="AP411" s="14"/>
      <c r="AQ411" s="22"/>
    </row>
    <row r="412" spans="1:43">
      <c r="A412" s="14"/>
      <c r="B412" s="14"/>
      <c r="C412" s="14"/>
      <c r="D412" s="14"/>
      <c r="E412" s="14"/>
      <c r="F412" s="14"/>
      <c r="G412" s="14"/>
      <c r="H412" s="14"/>
      <c r="I412" s="15"/>
      <c r="J412" s="16"/>
      <c r="K412" s="17" t="str">
        <f>IF(B412="","",IF(AND(I412="",J412=""),"Unknown",IF(OR(AND(ISNUMBER(I412),I412=0),AND(ISNUMBER(J412),J412&lt;=EDATE('Scoring Settings'!$B$4,-'Scoring Settings'!$B$5))),"Not in use",IF(AND(ISNUMBER(I412),I412&lt;'Scoring Settings'!$B$6),"Low use","Active"))))</f>
        <v/>
      </c>
      <c r="L412" s="14"/>
      <c r="M412" s="14"/>
      <c r="N412" s="14"/>
      <c r="O412" s="14"/>
      <c r="P412" s="14"/>
      <c r="Q412" s="18"/>
      <c r="R412" s="14"/>
      <c r="S412" s="14"/>
      <c r="T412" s="14"/>
      <c r="U412" s="16"/>
      <c r="V412" s="14"/>
      <c r="W412" s="15"/>
      <c r="X412" s="14"/>
      <c r="Y412" s="18"/>
      <c r="Z412" s="14"/>
      <c r="AA412" s="14"/>
      <c r="AB412" s="18"/>
      <c r="AC412" s="14"/>
      <c r="AD412" s="14"/>
      <c r="AE412" s="14"/>
      <c r="AF412" s="19"/>
      <c r="AG412" s="16"/>
      <c r="AH412" s="19"/>
      <c r="AI412" s="19"/>
      <c r="AJ412" s="20" t="str">
        <f t="shared" si="6"/>
        <v/>
      </c>
      <c r="AK412" s="21" t="str">
        <f>IF(B412="","",OR(K412="Not in use",K412="Low use")+AND(N412&lt;&gt;"",N412&lt;&gt;"TBD")+AND(ISNUMBER(U412),U412&lt;=EDATE('Scoring Settings'!$B$4,'Scoring Settings'!$B$8))+AND(ISNUMBER(L412),L412&lt;='Scoring Settings'!$B$7))</f>
        <v/>
      </c>
      <c r="AL412" s="17" t="str">
        <f>IF(B412="","",IF(K412="Not in use","Priority – Not in use",IF(AK412&gt;='Scoring Settings'!$B$9,"Decommission",IF(AK412=1,"Review","Retain"))))</f>
        <v/>
      </c>
      <c r="AM412" s="17" t="str">
        <f>IF(B412="","",IF(Z412="N","Easy",IF(OR(AND(ISNUMBER(AB412),AB412&gt;'Scoring Settings'!$B$11),AND(ISNUMBER(W412),W412&gt;'Scoring Settings'!$B$12),AND(ISNUMBER(M412),M412&lt;='Scoring Settings'!$B$13)),"High","Medium")))</f>
        <v/>
      </c>
      <c r="AN412" s="14"/>
      <c r="AO412" s="16"/>
      <c r="AP412" s="14"/>
      <c r="AQ412" s="22"/>
    </row>
    <row r="413" spans="1:43">
      <c r="A413" s="14"/>
      <c r="B413" s="14"/>
      <c r="C413" s="14"/>
      <c r="D413" s="14"/>
      <c r="E413" s="14"/>
      <c r="F413" s="14"/>
      <c r="G413" s="14"/>
      <c r="H413" s="14"/>
      <c r="I413" s="15"/>
      <c r="J413" s="16"/>
      <c r="K413" s="17" t="str">
        <f>IF(B413="","",IF(AND(I413="",J413=""),"Unknown",IF(OR(AND(ISNUMBER(I413),I413=0),AND(ISNUMBER(J413),J413&lt;=EDATE('Scoring Settings'!$B$4,-'Scoring Settings'!$B$5))),"Not in use",IF(AND(ISNUMBER(I413),I413&lt;'Scoring Settings'!$B$6),"Low use","Active"))))</f>
        <v/>
      </c>
      <c r="L413" s="14"/>
      <c r="M413" s="14"/>
      <c r="N413" s="14"/>
      <c r="O413" s="14"/>
      <c r="P413" s="14"/>
      <c r="Q413" s="18"/>
      <c r="R413" s="14"/>
      <c r="S413" s="14"/>
      <c r="T413" s="14"/>
      <c r="U413" s="16"/>
      <c r="V413" s="14"/>
      <c r="W413" s="15"/>
      <c r="X413" s="14"/>
      <c r="Y413" s="18"/>
      <c r="Z413" s="14"/>
      <c r="AA413" s="14"/>
      <c r="AB413" s="18"/>
      <c r="AC413" s="14"/>
      <c r="AD413" s="14"/>
      <c r="AE413" s="14"/>
      <c r="AF413" s="19"/>
      <c r="AG413" s="16"/>
      <c r="AH413" s="19"/>
      <c r="AI413" s="19"/>
      <c r="AJ413" s="20" t="str">
        <f t="shared" si="6"/>
        <v/>
      </c>
      <c r="AK413" s="21" t="str">
        <f>IF(B413="","",OR(K413="Not in use",K413="Low use")+AND(N413&lt;&gt;"",N413&lt;&gt;"TBD")+AND(ISNUMBER(U413),U413&lt;=EDATE('Scoring Settings'!$B$4,'Scoring Settings'!$B$8))+AND(ISNUMBER(L413),L413&lt;='Scoring Settings'!$B$7))</f>
        <v/>
      </c>
      <c r="AL413" s="17" t="str">
        <f>IF(B413="","",IF(K413="Not in use","Priority – Not in use",IF(AK413&gt;='Scoring Settings'!$B$9,"Decommission",IF(AK413=1,"Review","Retain"))))</f>
        <v/>
      </c>
      <c r="AM413" s="17" t="str">
        <f>IF(B413="","",IF(Z413="N","Easy",IF(OR(AND(ISNUMBER(AB413),AB413&gt;'Scoring Settings'!$B$11),AND(ISNUMBER(W413),W413&gt;'Scoring Settings'!$B$12),AND(ISNUMBER(M413),M413&lt;='Scoring Settings'!$B$13)),"High","Medium")))</f>
        <v/>
      </c>
      <c r="AN413" s="14"/>
      <c r="AO413" s="16"/>
      <c r="AP413" s="14"/>
      <c r="AQ413" s="22"/>
    </row>
    <row r="414" spans="1:43">
      <c r="A414" s="14"/>
      <c r="B414" s="14"/>
      <c r="C414" s="14"/>
      <c r="D414" s="14"/>
      <c r="E414" s="14"/>
      <c r="F414" s="14"/>
      <c r="G414" s="14"/>
      <c r="H414" s="14"/>
      <c r="I414" s="15"/>
      <c r="J414" s="16"/>
      <c r="K414" s="17" t="str">
        <f>IF(B414="","",IF(AND(I414="",J414=""),"Unknown",IF(OR(AND(ISNUMBER(I414),I414=0),AND(ISNUMBER(J414),J414&lt;=EDATE('Scoring Settings'!$B$4,-'Scoring Settings'!$B$5))),"Not in use",IF(AND(ISNUMBER(I414),I414&lt;'Scoring Settings'!$B$6),"Low use","Active"))))</f>
        <v/>
      </c>
      <c r="L414" s="14"/>
      <c r="M414" s="14"/>
      <c r="N414" s="14"/>
      <c r="O414" s="14"/>
      <c r="P414" s="14"/>
      <c r="Q414" s="18"/>
      <c r="R414" s="14"/>
      <c r="S414" s="14"/>
      <c r="T414" s="14"/>
      <c r="U414" s="16"/>
      <c r="V414" s="14"/>
      <c r="W414" s="15"/>
      <c r="X414" s="14"/>
      <c r="Y414" s="18"/>
      <c r="Z414" s="14"/>
      <c r="AA414" s="14"/>
      <c r="AB414" s="18"/>
      <c r="AC414" s="14"/>
      <c r="AD414" s="14"/>
      <c r="AE414" s="14"/>
      <c r="AF414" s="19"/>
      <c r="AG414" s="16"/>
      <c r="AH414" s="19"/>
      <c r="AI414" s="19"/>
      <c r="AJ414" s="20" t="str">
        <f t="shared" si="6"/>
        <v/>
      </c>
      <c r="AK414" s="21" t="str">
        <f>IF(B414="","",OR(K414="Not in use",K414="Low use")+AND(N414&lt;&gt;"",N414&lt;&gt;"TBD")+AND(ISNUMBER(U414),U414&lt;=EDATE('Scoring Settings'!$B$4,'Scoring Settings'!$B$8))+AND(ISNUMBER(L414),L414&lt;='Scoring Settings'!$B$7))</f>
        <v/>
      </c>
      <c r="AL414" s="17" t="str">
        <f>IF(B414="","",IF(K414="Not in use","Priority – Not in use",IF(AK414&gt;='Scoring Settings'!$B$9,"Decommission",IF(AK414=1,"Review","Retain"))))</f>
        <v/>
      </c>
      <c r="AM414" s="17" t="str">
        <f>IF(B414="","",IF(Z414="N","Easy",IF(OR(AND(ISNUMBER(AB414),AB414&gt;'Scoring Settings'!$B$11),AND(ISNUMBER(W414),W414&gt;'Scoring Settings'!$B$12),AND(ISNUMBER(M414),M414&lt;='Scoring Settings'!$B$13)),"High","Medium")))</f>
        <v/>
      </c>
      <c r="AN414" s="14"/>
      <c r="AO414" s="16"/>
      <c r="AP414" s="14"/>
      <c r="AQ414" s="22"/>
    </row>
    <row r="415" spans="1:43">
      <c r="A415" s="14"/>
      <c r="B415" s="14"/>
      <c r="C415" s="14"/>
      <c r="D415" s="14"/>
      <c r="E415" s="14"/>
      <c r="F415" s="14"/>
      <c r="G415" s="14"/>
      <c r="H415" s="14"/>
      <c r="I415" s="15"/>
      <c r="J415" s="16"/>
      <c r="K415" s="17" t="str">
        <f>IF(B415="","",IF(AND(I415="",J415=""),"Unknown",IF(OR(AND(ISNUMBER(I415),I415=0),AND(ISNUMBER(J415),J415&lt;=EDATE('Scoring Settings'!$B$4,-'Scoring Settings'!$B$5))),"Not in use",IF(AND(ISNUMBER(I415),I415&lt;'Scoring Settings'!$B$6),"Low use","Active"))))</f>
        <v/>
      </c>
      <c r="L415" s="14"/>
      <c r="M415" s="14"/>
      <c r="N415" s="14"/>
      <c r="O415" s="14"/>
      <c r="P415" s="14"/>
      <c r="Q415" s="18"/>
      <c r="R415" s="14"/>
      <c r="S415" s="14"/>
      <c r="T415" s="14"/>
      <c r="U415" s="16"/>
      <c r="V415" s="14"/>
      <c r="W415" s="15"/>
      <c r="X415" s="14"/>
      <c r="Y415" s="18"/>
      <c r="Z415" s="14"/>
      <c r="AA415" s="14"/>
      <c r="AB415" s="18"/>
      <c r="AC415" s="14"/>
      <c r="AD415" s="14"/>
      <c r="AE415" s="14"/>
      <c r="AF415" s="19"/>
      <c r="AG415" s="16"/>
      <c r="AH415" s="19"/>
      <c r="AI415" s="19"/>
      <c r="AJ415" s="20" t="str">
        <f t="shared" si="6"/>
        <v/>
      </c>
      <c r="AK415" s="21" t="str">
        <f>IF(B415="","",OR(K415="Not in use",K415="Low use")+AND(N415&lt;&gt;"",N415&lt;&gt;"TBD")+AND(ISNUMBER(U415),U415&lt;=EDATE('Scoring Settings'!$B$4,'Scoring Settings'!$B$8))+AND(ISNUMBER(L415),L415&lt;='Scoring Settings'!$B$7))</f>
        <v/>
      </c>
      <c r="AL415" s="17" t="str">
        <f>IF(B415="","",IF(K415="Not in use","Priority – Not in use",IF(AK415&gt;='Scoring Settings'!$B$9,"Decommission",IF(AK415=1,"Review","Retain"))))</f>
        <v/>
      </c>
      <c r="AM415" s="17" t="str">
        <f>IF(B415="","",IF(Z415="N","Easy",IF(OR(AND(ISNUMBER(AB415),AB415&gt;'Scoring Settings'!$B$11),AND(ISNUMBER(W415),W415&gt;'Scoring Settings'!$B$12),AND(ISNUMBER(M415),M415&lt;='Scoring Settings'!$B$13)),"High","Medium")))</f>
        <v/>
      </c>
      <c r="AN415" s="14"/>
      <c r="AO415" s="16"/>
      <c r="AP415" s="14"/>
      <c r="AQ415" s="22"/>
    </row>
    <row r="416" spans="1:43">
      <c r="A416" s="14"/>
      <c r="B416" s="14"/>
      <c r="C416" s="14"/>
      <c r="D416" s="14"/>
      <c r="E416" s="14"/>
      <c r="F416" s="14"/>
      <c r="G416" s="14"/>
      <c r="H416" s="14"/>
      <c r="I416" s="15"/>
      <c r="J416" s="16"/>
      <c r="K416" s="17" t="str">
        <f>IF(B416="","",IF(AND(I416="",J416=""),"Unknown",IF(OR(AND(ISNUMBER(I416),I416=0),AND(ISNUMBER(J416),J416&lt;=EDATE('Scoring Settings'!$B$4,-'Scoring Settings'!$B$5))),"Not in use",IF(AND(ISNUMBER(I416),I416&lt;'Scoring Settings'!$B$6),"Low use","Active"))))</f>
        <v/>
      </c>
      <c r="L416" s="14"/>
      <c r="M416" s="14"/>
      <c r="N416" s="14"/>
      <c r="O416" s="14"/>
      <c r="P416" s="14"/>
      <c r="Q416" s="18"/>
      <c r="R416" s="14"/>
      <c r="S416" s="14"/>
      <c r="T416" s="14"/>
      <c r="U416" s="16"/>
      <c r="V416" s="14"/>
      <c r="W416" s="15"/>
      <c r="X416" s="14"/>
      <c r="Y416" s="18"/>
      <c r="Z416" s="14"/>
      <c r="AA416" s="14"/>
      <c r="AB416" s="18"/>
      <c r="AC416" s="14"/>
      <c r="AD416" s="14"/>
      <c r="AE416" s="14"/>
      <c r="AF416" s="19"/>
      <c r="AG416" s="16"/>
      <c r="AH416" s="19"/>
      <c r="AI416" s="19"/>
      <c r="AJ416" s="20" t="str">
        <f t="shared" si="6"/>
        <v/>
      </c>
      <c r="AK416" s="21" t="str">
        <f>IF(B416="","",OR(K416="Not in use",K416="Low use")+AND(N416&lt;&gt;"",N416&lt;&gt;"TBD")+AND(ISNUMBER(U416),U416&lt;=EDATE('Scoring Settings'!$B$4,'Scoring Settings'!$B$8))+AND(ISNUMBER(L416),L416&lt;='Scoring Settings'!$B$7))</f>
        <v/>
      </c>
      <c r="AL416" s="17" t="str">
        <f>IF(B416="","",IF(K416="Not in use","Priority – Not in use",IF(AK416&gt;='Scoring Settings'!$B$9,"Decommission",IF(AK416=1,"Review","Retain"))))</f>
        <v/>
      </c>
      <c r="AM416" s="17" t="str">
        <f>IF(B416="","",IF(Z416="N","Easy",IF(OR(AND(ISNUMBER(AB416),AB416&gt;'Scoring Settings'!$B$11),AND(ISNUMBER(W416),W416&gt;'Scoring Settings'!$B$12),AND(ISNUMBER(M416),M416&lt;='Scoring Settings'!$B$13)),"High","Medium")))</f>
        <v/>
      </c>
      <c r="AN416" s="14"/>
      <c r="AO416" s="16"/>
      <c r="AP416" s="14"/>
      <c r="AQ416" s="22"/>
    </row>
    <row r="417" spans="1:43">
      <c r="A417" s="14"/>
      <c r="B417" s="14"/>
      <c r="C417" s="14"/>
      <c r="D417" s="14"/>
      <c r="E417" s="14"/>
      <c r="F417" s="14"/>
      <c r="G417" s="14"/>
      <c r="H417" s="14"/>
      <c r="I417" s="15"/>
      <c r="J417" s="16"/>
      <c r="K417" s="17" t="str">
        <f>IF(B417="","",IF(AND(I417="",J417=""),"Unknown",IF(OR(AND(ISNUMBER(I417),I417=0),AND(ISNUMBER(J417),J417&lt;=EDATE('Scoring Settings'!$B$4,-'Scoring Settings'!$B$5))),"Not in use",IF(AND(ISNUMBER(I417),I417&lt;'Scoring Settings'!$B$6),"Low use","Active"))))</f>
        <v/>
      </c>
      <c r="L417" s="14"/>
      <c r="M417" s="14"/>
      <c r="N417" s="14"/>
      <c r="O417" s="14"/>
      <c r="P417" s="14"/>
      <c r="Q417" s="18"/>
      <c r="R417" s="14"/>
      <c r="S417" s="14"/>
      <c r="T417" s="14"/>
      <c r="U417" s="16"/>
      <c r="V417" s="14"/>
      <c r="W417" s="15"/>
      <c r="X417" s="14"/>
      <c r="Y417" s="18"/>
      <c r="Z417" s="14"/>
      <c r="AA417" s="14"/>
      <c r="AB417" s="18"/>
      <c r="AC417" s="14"/>
      <c r="AD417" s="14"/>
      <c r="AE417" s="14"/>
      <c r="AF417" s="19"/>
      <c r="AG417" s="16"/>
      <c r="AH417" s="19"/>
      <c r="AI417" s="19"/>
      <c r="AJ417" s="20" t="str">
        <f t="shared" si="6"/>
        <v/>
      </c>
      <c r="AK417" s="21" t="str">
        <f>IF(B417="","",OR(K417="Not in use",K417="Low use")+AND(N417&lt;&gt;"",N417&lt;&gt;"TBD")+AND(ISNUMBER(U417),U417&lt;=EDATE('Scoring Settings'!$B$4,'Scoring Settings'!$B$8))+AND(ISNUMBER(L417),L417&lt;='Scoring Settings'!$B$7))</f>
        <v/>
      </c>
      <c r="AL417" s="17" t="str">
        <f>IF(B417="","",IF(K417="Not in use","Priority – Not in use",IF(AK417&gt;='Scoring Settings'!$B$9,"Decommission",IF(AK417=1,"Review","Retain"))))</f>
        <v/>
      </c>
      <c r="AM417" s="17" t="str">
        <f>IF(B417="","",IF(Z417="N","Easy",IF(OR(AND(ISNUMBER(AB417),AB417&gt;'Scoring Settings'!$B$11),AND(ISNUMBER(W417),W417&gt;'Scoring Settings'!$B$12),AND(ISNUMBER(M417),M417&lt;='Scoring Settings'!$B$13)),"High","Medium")))</f>
        <v/>
      </c>
      <c r="AN417" s="14"/>
      <c r="AO417" s="16"/>
      <c r="AP417" s="14"/>
      <c r="AQ417" s="22"/>
    </row>
    <row r="418" spans="1:43">
      <c r="A418" s="14"/>
      <c r="B418" s="14"/>
      <c r="C418" s="14"/>
      <c r="D418" s="14"/>
      <c r="E418" s="14"/>
      <c r="F418" s="14"/>
      <c r="G418" s="14"/>
      <c r="H418" s="14"/>
      <c r="I418" s="15"/>
      <c r="J418" s="16"/>
      <c r="K418" s="17" t="str">
        <f>IF(B418="","",IF(AND(I418="",J418=""),"Unknown",IF(OR(AND(ISNUMBER(I418),I418=0),AND(ISNUMBER(J418),J418&lt;=EDATE('Scoring Settings'!$B$4,-'Scoring Settings'!$B$5))),"Not in use",IF(AND(ISNUMBER(I418),I418&lt;'Scoring Settings'!$B$6),"Low use","Active"))))</f>
        <v/>
      </c>
      <c r="L418" s="14"/>
      <c r="M418" s="14"/>
      <c r="N418" s="14"/>
      <c r="O418" s="14"/>
      <c r="P418" s="14"/>
      <c r="Q418" s="18"/>
      <c r="R418" s="14"/>
      <c r="S418" s="14"/>
      <c r="T418" s="14"/>
      <c r="U418" s="16"/>
      <c r="V418" s="14"/>
      <c r="W418" s="15"/>
      <c r="X418" s="14"/>
      <c r="Y418" s="18"/>
      <c r="Z418" s="14"/>
      <c r="AA418" s="14"/>
      <c r="AB418" s="18"/>
      <c r="AC418" s="14"/>
      <c r="AD418" s="14"/>
      <c r="AE418" s="14"/>
      <c r="AF418" s="19"/>
      <c r="AG418" s="16"/>
      <c r="AH418" s="19"/>
      <c r="AI418" s="19"/>
      <c r="AJ418" s="20" t="str">
        <f t="shared" si="6"/>
        <v/>
      </c>
      <c r="AK418" s="21" t="str">
        <f>IF(B418="","",OR(K418="Not in use",K418="Low use")+AND(N418&lt;&gt;"",N418&lt;&gt;"TBD")+AND(ISNUMBER(U418),U418&lt;=EDATE('Scoring Settings'!$B$4,'Scoring Settings'!$B$8))+AND(ISNUMBER(L418),L418&lt;='Scoring Settings'!$B$7))</f>
        <v/>
      </c>
      <c r="AL418" s="17" t="str">
        <f>IF(B418="","",IF(K418="Not in use","Priority – Not in use",IF(AK418&gt;='Scoring Settings'!$B$9,"Decommission",IF(AK418=1,"Review","Retain"))))</f>
        <v/>
      </c>
      <c r="AM418" s="17" t="str">
        <f>IF(B418="","",IF(Z418="N","Easy",IF(OR(AND(ISNUMBER(AB418),AB418&gt;'Scoring Settings'!$B$11),AND(ISNUMBER(W418),W418&gt;'Scoring Settings'!$B$12),AND(ISNUMBER(M418),M418&lt;='Scoring Settings'!$B$13)),"High","Medium")))</f>
        <v/>
      </c>
      <c r="AN418" s="14"/>
      <c r="AO418" s="16"/>
      <c r="AP418" s="14"/>
      <c r="AQ418" s="22"/>
    </row>
    <row r="419" spans="1:43">
      <c r="A419" s="14"/>
      <c r="B419" s="14"/>
      <c r="C419" s="14"/>
      <c r="D419" s="14"/>
      <c r="E419" s="14"/>
      <c r="F419" s="14"/>
      <c r="G419" s="14"/>
      <c r="H419" s="14"/>
      <c r="I419" s="15"/>
      <c r="J419" s="16"/>
      <c r="K419" s="17" t="str">
        <f>IF(B419="","",IF(AND(I419="",J419=""),"Unknown",IF(OR(AND(ISNUMBER(I419),I419=0),AND(ISNUMBER(J419),J419&lt;=EDATE('Scoring Settings'!$B$4,-'Scoring Settings'!$B$5))),"Not in use",IF(AND(ISNUMBER(I419),I419&lt;'Scoring Settings'!$B$6),"Low use","Active"))))</f>
        <v/>
      </c>
      <c r="L419" s="14"/>
      <c r="M419" s="14"/>
      <c r="N419" s="14"/>
      <c r="O419" s="14"/>
      <c r="P419" s="14"/>
      <c r="Q419" s="18"/>
      <c r="R419" s="14"/>
      <c r="S419" s="14"/>
      <c r="T419" s="14"/>
      <c r="U419" s="16"/>
      <c r="V419" s="14"/>
      <c r="W419" s="15"/>
      <c r="X419" s="14"/>
      <c r="Y419" s="18"/>
      <c r="Z419" s="14"/>
      <c r="AA419" s="14"/>
      <c r="AB419" s="18"/>
      <c r="AC419" s="14"/>
      <c r="AD419" s="14"/>
      <c r="AE419" s="14"/>
      <c r="AF419" s="19"/>
      <c r="AG419" s="16"/>
      <c r="AH419" s="19"/>
      <c r="AI419" s="19"/>
      <c r="AJ419" s="20" t="str">
        <f t="shared" si="6"/>
        <v/>
      </c>
      <c r="AK419" s="21" t="str">
        <f>IF(B419="","",OR(K419="Not in use",K419="Low use")+AND(N419&lt;&gt;"",N419&lt;&gt;"TBD")+AND(ISNUMBER(U419),U419&lt;=EDATE('Scoring Settings'!$B$4,'Scoring Settings'!$B$8))+AND(ISNUMBER(L419),L419&lt;='Scoring Settings'!$B$7))</f>
        <v/>
      </c>
      <c r="AL419" s="17" t="str">
        <f>IF(B419="","",IF(K419="Not in use","Priority – Not in use",IF(AK419&gt;='Scoring Settings'!$B$9,"Decommission",IF(AK419=1,"Review","Retain"))))</f>
        <v/>
      </c>
      <c r="AM419" s="17" t="str">
        <f>IF(B419="","",IF(Z419="N","Easy",IF(OR(AND(ISNUMBER(AB419),AB419&gt;'Scoring Settings'!$B$11),AND(ISNUMBER(W419),W419&gt;'Scoring Settings'!$B$12),AND(ISNUMBER(M419),M419&lt;='Scoring Settings'!$B$13)),"High","Medium")))</f>
        <v/>
      </c>
      <c r="AN419" s="14"/>
      <c r="AO419" s="16"/>
      <c r="AP419" s="14"/>
      <c r="AQ419" s="22"/>
    </row>
    <row r="420" spans="1:43">
      <c r="A420" s="14"/>
      <c r="B420" s="14"/>
      <c r="C420" s="14"/>
      <c r="D420" s="14"/>
      <c r="E420" s="14"/>
      <c r="F420" s="14"/>
      <c r="G420" s="14"/>
      <c r="H420" s="14"/>
      <c r="I420" s="15"/>
      <c r="J420" s="16"/>
      <c r="K420" s="17" t="str">
        <f>IF(B420="","",IF(AND(I420="",J420=""),"Unknown",IF(OR(AND(ISNUMBER(I420),I420=0),AND(ISNUMBER(J420),J420&lt;=EDATE('Scoring Settings'!$B$4,-'Scoring Settings'!$B$5))),"Not in use",IF(AND(ISNUMBER(I420),I420&lt;'Scoring Settings'!$B$6),"Low use","Active"))))</f>
        <v/>
      </c>
      <c r="L420" s="14"/>
      <c r="M420" s="14"/>
      <c r="N420" s="14"/>
      <c r="O420" s="14"/>
      <c r="P420" s="14"/>
      <c r="Q420" s="18"/>
      <c r="R420" s="14"/>
      <c r="S420" s="14"/>
      <c r="T420" s="14"/>
      <c r="U420" s="16"/>
      <c r="V420" s="14"/>
      <c r="W420" s="15"/>
      <c r="X420" s="14"/>
      <c r="Y420" s="18"/>
      <c r="Z420" s="14"/>
      <c r="AA420" s="14"/>
      <c r="AB420" s="18"/>
      <c r="AC420" s="14"/>
      <c r="AD420" s="14"/>
      <c r="AE420" s="14"/>
      <c r="AF420" s="19"/>
      <c r="AG420" s="16"/>
      <c r="AH420" s="19"/>
      <c r="AI420" s="19"/>
      <c r="AJ420" s="20" t="str">
        <f t="shared" si="6"/>
        <v/>
      </c>
      <c r="AK420" s="21" t="str">
        <f>IF(B420="","",OR(K420="Not in use",K420="Low use")+AND(N420&lt;&gt;"",N420&lt;&gt;"TBD")+AND(ISNUMBER(U420),U420&lt;=EDATE('Scoring Settings'!$B$4,'Scoring Settings'!$B$8))+AND(ISNUMBER(L420),L420&lt;='Scoring Settings'!$B$7))</f>
        <v/>
      </c>
      <c r="AL420" s="17" t="str">
        <f>IF(B420="","",IF(K420="Not in use","Priority – Not in use",IF(AK420&gt;='Scoring Settings'!$B$9,"Decommission",IF(AK420=1,"Review","Retain"))))</f>
        <v/>
      </c>
      <c r="AM420" s="17" t="str">
        <f>IF(B420="","",IF(Z420="N","Easy",IF(OR(AND(ISNUMBER(AB420),AB420&gt;'Scoring Settings'!$B$11),AND(ISNUMBER(W420),W420&gt;'Scoring Settings'!$B$12),AND(ISNUMBER(M420),M420&lt;='Scoring Settings'!$B$13)),"High","Medium")))</f>
        <v/>
      </c>
      <c r="AN420" s="14"/>
      <c r="AO420" s="16"/>
      <c r="AP420" s="14"/>
      <c r="AQ420" s="22"/>
    </row>
    <row r="421" spans="1:43">
      <c r="A421" s="14"/>
      <c r="B421" s="14"/>
      <c r="C421" s="14"/>
      <c r="D421" s="14"/>
      <c r="E421" s="14"/>
      <c r="F421" s="14"/>
      <c r="G421" s="14"/>
      <c r="H421" s="14"/>
      <c r="I421" s="15"/>
      <c r="J421" s="16"/>
      <c r="K421" s="17" t="str">
        <f>IF(B421="","",IF(AND(I421="",J421=""),"Unknown",IF(OR(AND(ISNUMBER(I421),I421=0),AND(ISNUMBER(J421),J421&lt;=EDATE('Scoring Settings'!$B$4,-'Scoring Settings'!$B$5))),"Not in use",IF(AND(ISNUMBER(I421),I421&lt;'Scoring Settings'!$B$6),"Low use","Active"))))</f>
        <v/>
      </c>
      <c r="L421" s="14"/>
      <c r="M421" s="14"/>
      <c r="N421" s="14"/>
      <c r="O421" s="14"/>
      <c r="P421" s="14"/>
      <c r="Q421" s="18"/>
      <c r="R421" s="14"/>
      <c r="S421" s="14"/>
      <c r="T421" s="14"/>
      <c r="U421" s="16"/>
      <c r="V421" s="14"/>
      <c r="W421" s="15"/>
      <c r="X421" s="14"/>
      <c r="Y421" s="18"/>
      <c r="Z421" s="14"/>
      <c r="AA421" s="14"/>
      <c r="AB421" s="18"/>
      <c r="AC421" s="14"/>
      <c r="AD421" s="14"/>
      <c r="AE421" s="14"/>
      <c r="AF421" s="19"/>
      <c r="AG421" s="16"/>
      <c r="AH421" s="19"/>
      <c r="AI421" s="19"/>
      <c r="AJ421" s="20" t="str">
        <f t="shared" si="6"/>
        <v/>
      </c>
      <c r="AK421" s="21" t="str">
        <f>IF(B421="","",OR(K421="Not in use",K421="Low use")+AND(N421&lt;&gt;"",N421&lt;&gt;"TBD")+AND(ISNUMBER(U421),U421&lt;=EDATE('Scoring Settings'!$B$4,'Scoring Settings'!$B$8))+AND(ISNUMBER(L421),L421&lt;='Scoring Settings'!$B$7))</f>
        <v/>
      </c>
      <c r="AL421" s="17" t="str">
        <f>IF(B421="","",IF(K421="Not in use","Priority – Not in use",IF(AK421&gt;='Scoring Settings'!$B$9,"Decommission",IF(AK421=1,"Review","Retain"))))</f>
        <v/>
      </c>
      <c r="AM421" s="17" t="str">
        <f>IF(B421="","",IF(Z421="N","Easy",IF(OR(AND(ISNUMBER(AB421),AB421&gt;'Scoring Settings'!$B$11),AND(ISNUMBER(W421),W421&gt;'Scoring Settings'!$B$12),AND(ISNUMBER(M421),M421&lt;='Scoring Settings'!$B$13)),"High","Medium")))</f>
        <v/>
      </c>
      <c r="AN421" s="14"/>
      <c r="AO421" s="16"/>
      <c r="AP421" s="14"/>
      <c r="AQ421" s="22"/>
    </row>
    <row r="422" spans="1:43">
      <c r="A422" s="14"/>
      <c r="B422" s="14"/>
      <c r="C422" s="14"/>
      <c r="D422" s="14"/>
      <c r="E422" s="14"/>
      <c r="F422" s="14"/>
      <c r="G422" s="14"/>
      <c r="H422" s="14"/>
      <c r="I422" s="15"/>
      <c r="J422" s="16"/>
      <c r="K422" s="17" t="str">
        <f>IF(B422="","",IF(AND(I422="",J422=""),"Unknown",IF(OR(AND(ISNUMBER(I422),I422=0),AND(ISNUMBER(J422),J422&lt;=EDATE('Scoring Settings'!$B$4,-'Scoring Settings'!$B$5))),"Not in use",IF(AND(ISNUMBER(I422),I422&lt;'Scoring Settings'!$B$6),"Low use","Active"))))</f>
        <v/>
      </c>
      <c r="L422" s="14"/>
      <c r="M422" s="14"/>
      <c r="N422" s="14"/>
      <c r="O422" s="14"/>
      <c r="P422" s="14"/>
      <c r="Q422" s="18"/>
      <c r="R422" s="14"/>
      <c r="S422" s="14"/>
      <c r="T422" s="14"/>
      <c r="U422" s="16"/>
      <c r="V422" s="14"/>
      <c r="W422" s="15"/>
      <c r="X422" s="14"/>
      <c r="Y422" s="18"/>
      <c r="Z422" s="14"/>
      <c r="AA422" s="14"/>
      <c r="AB422" s="18"/>
      <c r="AC422" s="14"/>
      <c r="AD422" s="14"/>
      <c r="AE422" s="14"/>
      <c r="AF422" s="19"/>
      <c r="AG422" s="16"/>
      <c r="AH422" s="19"/>
      <c r="AI422" s="19"/>
      <c r="AJ422" s="20" t="str">
        <f t="shared" si="6"/>
        <v/>
      </c>
      <c r="AK422" s="21" t="str">
        <f>IF(B422="","",OR(K422="Not in use",K422="Low use")+AND(N422&lt;&gt;"",N422&lt;&gt;"TBD")+AND(ISNUMBER(U422),U422&lt;=EDATE('Scoring Settings'!$B$4,'Scoring Settings'!$B$8))+AND(ISNUMBER(L422),L422&lt;='Scoring Settings'!$B$7))</f>
        <v/>
      </c>
      <c r="AL422" s="17" t="str">
        <f>IF(B422="","",IF(K422="Not in use","Priority – Not in use",IF(AK422&gt;='Scoring Settings'!$B$9,"Decommission",IF(AK422=1,"Review","Retain"))))</f>
        <v/>
      </c>
      <c r="AM422" s="17" t="str">
        <f>IF(B422="","",IF(Z422="N","Easy",IF(OR(AND(ISNUMBER(AB422),AB422&gt;'Scoring Settings'!$B$11),AND(ISNUMBER(W422),W422&gt;'Scoring Settings'!$B$12),AND(ISNUMBER(M422),M422&lt;='Scoring Settings'!$B$13)),"High","Medium")))</f>
        <v/>
      </c>
      <c r="AN422" s="14"/>
      <c r="AO422" s="16"/>
      <c r="AP422" s="14"/>
      <c r="AQ422" s="22"/>
    </row>
    <row r="423" spans="1:43">
      <c r="A423" s="14"/>
      <c r="B423" s="14"/>
      <c r="C423" s="14"/>
      <c r="D423" s="14"/>
      <c r="E423" s="14"/>
      <c r="F423" s="14"/>
      <c r="G423" s="14"/>
      <c r="H423" s="14"/>
      <c r="I423" s="15"/>
      <c r="J423" s="16"/>
      <c r="K423" s="17" t="str">
        <f>IF(B423="","",IF(AND(I423="",J423=""),"Unknown",IF(OR(AND(ISNUMBER(I423),I423=0),AND(ISNUMBER(J423),J423&lt;=EDATE('Scoring Settings'!$B$4,-'Scoring Settings'!$B$5))),"Not in use",IF(AND(ISNUMBER(I423),I423&lt;'Scoring Settings'!$B$6),"Low use","Active"))))</f>
        <v/>
      </c>
      <c r="L423" s="14"/>
      <c r="M423" s="14"/>
      <c r="N423" s="14"/>
      <c r="O423" s="14"/>
      <c r="P423" s="14"/>
      <c r="Q423" s="18"/>
      <c r="R423" s="14"/>
      <c r="S423" s="14"/>
      <c r="T423" s="14"/>
      <c r="U423" s="16"/>
      <c r="V423" s="14"/>
      <c r="W423" s="15"/>
      <c r="X423" s="14"/>
      <c r="Y423" s="18"/>
      <c r="Z423" s="14"/>
      <c r="AA423" s="14"/>
      <c r="AB423" s="18"/>
      <c r="AC423" s="14"/>
      <c r="AD423" s="14"/>
      <c r="AE423" s="14"/>
      <c r="AF423" s="19"/>
      <c r="AG423" s="16"/>
      <c r="AH423" s="19"/>
      <c r="AI423" s="19"/>
      <c r="AJ423" s="20" t="str">
        <f t="shared" si="6"/>
        <v/>
      </c>
      <c r="AK423" s="21" t="str">
        <f>IF(B423="","",OR(K423="Not in use",K423="Low use")+AND(N423&lt;&gt;"",N423&lt;&gt;"TBD")+AND(ISNUMBER(U423),U423&lt;=EDATE('Scoring Settings'!$B$4,'Scoring Settings'!$B$8))+AND(ISNUMBER(L423),L423&lt;='Scoring Settings'!$B$7))</f>
        <v/>
      </c>
      <c r="AL423" s="17" t="str">
        <f>IF(B423="","",IF(K423="Not in use","Priority – Not in use",IF(AK423&gt;='Scoring Settings'!$B$9,"Decommission",IF(AK423=1,"Review","Retain"))))</f>
        <v/>
      </c>
      <c r="AM423" s="17" t="str">
        <f>IF(B423="","",IF(Z423="N","Easy",IF(OR(AND(ISNUMBER(AB423),AB423&gt;'Scoring Settings'!$B$11),AND(ISNUMBER(W423),W423&gt;'Scoring Settings'!$B$12),AND(ISNUMBER(M423),M423&lt;='Scoring Settings'!$B$13)),"High","Medium")))</f>
        <v/>
      </c>
      <c r="AN423" s="14"/>
      <c r="AO423" s="16"/>
      <c r="AP423" s="14"/>
      <c r="AQ423" s="22"/>
    </row>
    <row r="424" spans="1:43">
      <c r="A424" s="14"/>
      <c r="B424" s="14"/>
      <c r="C424" s="14"/>
      <c r="D424" s="14"/>
      <c r="E424" s="14"/>
      <c r="F424" s="14"/>
      <c r="G424" s="14"/>
      <c r="H424" s="14"/>
      <c r="I424" s="15"/>
      <c r="J424" s="16"/>
      <c r="K424" s="17" t="str">
        <f>IF(B424="","",IF(AND(I424="",J424=""),"Unknown",IF(OR(AND(ISNUMBER(I424),I424=0),AND(ISNUMBER(J424),J424&lt;=EDATE('Scoring Settings'!$B$4,-'Scoring Settings'!$B$5))),"Not in use",IF(AND(ISNUMBER(I424),I424&lt;'Scoring Settings'!$B$6),"Low use","Active"))))</f>
        <v/>
      </c>
      <c r="L424" s="14"/>
      <c r="M424" s="14"/>
      <c r="N424" s="14"/>
      <c r="O424" s="14"/>
      <c r="P424" s="14"/>
      <c r="Q424" s="18"/>
      <c r="R424" s="14"/>
      <c r="S424" s="14"/>
      <c r="T424" s="14"/>
      <c r="U424" s="16"/>
      <c r="V424" s="14"/>
      <c r="W424" s="15"/>
      <c r="X424" s="14"/>
      <c r="Y424" s="18"/>
      <c r="Z424" s="14"/>
      <c r="AA424" s="14"/>
      <c r="AB424" s="18"/>
      <c r="AC424" s="14"/>
      <c r="AD424" s="14"/>
      <c r="AE424" s="14"/>
      <c r="AF424" s="19"/>
      <c r="AG424" s="16"/>
      <c r="AH424" s="19"/>
      <c r="AI424" s="19"/>
      <c r="AJ424" s="20" t="str">
        <f t="shared" si="6"/>
        <v/>
      </c>
      <c r="AK424" s="21" t="str">
        <f>IF(B424="","",OR(K424="Not in use",K424="Low use")+AND(N424&lt;&gt;"",N424&lt;&gt;"TBD")+AND(ISNUMBER(U424),U424&lt;=EDATE('Scoring Settings'!$B$4,'Scoring Settings'!$B$8))+AND(ISNUMBER(L424),L424&lt;='Scoring Settings'!$B$7))</f>
        <v/>
      </c>
      <c r="AL424" s="17" t="str">
        <f>IF(B424="","",IF(K424="Not in use","Priority – Not in use",IF(AK424&gt;='Scoring Settings'!$B$9,"Decommission",IF(AK424=1,"Review","Retain"))))</f>
        <v/>
      </c>
      <c r="AM424" s="17" t="str">
        <f>IF(B424="","",IF(Z424="N","Easy",IF(OR(AND(ISNUMBER(AB424),AB424&gt;'Scoring Settings'!$B$11),AND(ISNUMBER(W424),W424&gt;'Scoring Settings'!$B$12),AND(ISNUMBER(M424),M424&lt;='Scoring Settings'!$B$13)),"High","Medium")))</f>
        <v/>
      </c>
      <c r="AN424" s="14"/>
      <c r="AO424" s="16"/>
      <c r="AP424" s="14"/>
      <c r="AQ424" s="22"/>
    </row>
    <row r="425" spans="1:43">
      <c r="A425" s="14"/>
      <c r="B425" s="14"/>
      <c r="C425" s="14"/>
      <c r="D425" s="14"/>
      <c r="E425" s="14"/>
      <c r="F425" s="14"/>
      <c r="G425" s="14"/>
      <c r="H425" s="14"/>
      <c r="I425" s="15"/>
      <c r="J425" s="16"/>
      <c r="K425" s="17" t="str">
        <f>IF(B425="","",IF(AND(I425="",J425=""),"Unknown",IF(OR(AND(ISNUMBER(I425),I425=0),AND(ISNUMBER(J425),J425&lt;=EDATE('Scoring Settings'!$B$4,-'Scoring Settings'!$B$5))),"Not in use",IF(AND(ISNUMBER(I425),I425&lt;'Scoring Settings'!$B$6),"Low use","Active"))))</f>
        <v/>
      </c>
      <c r="L425" s="14"/>
      <c r="M425" s="14"/>
      <c r="N425" s="14"/>
      <c r="O425" s="14"/>
      <c r="P425" s="14"/>
      <c r="Q425" s="18"/>
      <c r="R425" s="14"/>
      <c r="S425" s="14"/>
      <c r="T425" s="14"/>
      <c r="U425" s="16"/>
      <c r="V425" s="14"/>
      <c r="W425" s="15"/>
      <c r="X425" s="14"/>
      <c r="Y425" s="18"/>
      <c r="Z425" s="14"/>
      <c r="AA425" s="14"/>
      <c r="AB425" s="18"/>
      <c r="AC425" s="14"/>
      <c r="AD425" s="14"/>
      <c r="AE425" s="14"/>
      <c r="AF425" s="19"/>
      <c r="AG425" s="16"/>
      <c r="AH425" s="19"/>
      <c r="AI425" s="19"/>
      <c r="AJ425" s="20" t="str">
        <f t="shared" si="6"/>
        <v/>
      </c>
      <c r="AK425" s="21" t="str">
        <f>IF(B425="","",OR(K425="Not in use",K425="Low use")+AND(N425&lt;&gt;"",N425&lt;&gt;"TBD")+AND(ISNUMBER(U425),U425&lt;=EDATE('Scoring Settings'!$B$4,'Scoring Settings'!$B$8))+AND(ISNUMBER(L425),L425&lt;='Scoring Settings'!$B$7))</f>
        <v/>
      </c>
      <c r="AL425" s="17" t="str">
        <f>IF(B425="","",IF(K425="Not in use","Priority – Not in use",IF(AK425&gt;='Scoring Settings'!$B$9,"Decommission",IF(AK425=1,"Review","Retain"))))</f>
        <v/>
      </c>
      <c r="AM425" s="17" t="str">
        <f>IF(B425="","",IF(Z425="N","Easy",IF(OR(AND(ISNUMBER(AB425),AB425&gt;'Scoring Settings'!$B$11),AND(ISNUMBER(W425),W425&gt;'Scoring Settings'!$B$12),AND(ISNUMBER(M425),M425&lt;='Scoring Settings'!$B$13)),"High","Medium")))</f>
        <v/>
      </c>
      <c r="AN425" s="14"/>
      <c r="AO425" s="16"/>
      <c r="AP425" s="14"/>
      <c r="AQ425" s="22"/>
    </row>
    <row r="426" spans="1:43">
      <c r="A426" s="14"/>
      <c r="B426" s="14"/>
      <c r="C426" s="14"/>
      <c r="D426" s="14"/>
      <c r="E426" s="14"/>
      <c r="F426" s="14"/>
      <c r="G426" s="14"/>
      <c r="H426" s="14"/>
      <c r="I426" s="15"/>
      <c r="J426" s="16"/>
      <c r="K426" s="17" t="str">
        <f>IF(B426="","",IF(AND(I426="",J426=""),"Unknown",IF(OR(AND(ISNUMBER(I426),I426=0),AND(ISNUMBER(J426),J426&lt;=EDATE('Scoring Settings'!$B$4,-'Scoring Settings'!$B$5))),"Not in use",IF(AND(ISNUMBER(I426),I426&lt;'Scoring Settings'!$B$6),"Low use","Active"))))</f>
        <v/>
      </c>
      <c r="L426" s="14"/>
      <c r="M426" s="14"/>
      <c r="N426" s="14"/>
      <c r="O426" s="14"/>
      <c r="P426" s="14"/>
      <c r="Q426" s="18"/>
      <c r="R426" s="14"/>
      <c r="S426" s="14"/>
      <c r="T426" s="14"/>
      <c r="U426" s="16"/>
      <c r="V426" s="14"/>
      <c r="W426" s="15"/>
      <c r="X426" s="14"/>
      <c r="Y426" s="18"/>
      <c r="Z426" s="14"/>
      <c r="AA426" s="14"/>
      <c r="AB426" s="18"/>
      <c r="AC426" s="14"/>
      <c r="AD426" s="14"/>
      <c r="AE426" s="14"/>
      <c r="AF426" s="19"/>
      <c r="AG426" s="16"/>
      <c r="AH426" s="19"/>
      <c r="AI426" s="19"/>
      <c r="AJ426" s="20" t="str">
        <f t="shared" si="6"/>
        <v/>
      </c>
      <c r="AK426" s="21" t="str">
        <f>IF(B426="","",OR(K426="Not in use",K426="Low use")+AND(N426&lt;&gt;"",N426&lt;&gt;"TBD")+AND(ISNUMBER(U426),U426&lt;=EDATE('Scoring Settings'!$B$4,'Scoring Settings'!$B$8))+AND(ISNUMBER(L426),L426&lt;='Scoring Settings'!$B$7))</f>
        <v/>
      </c>
      <c r="AL426" s="17" t="str">
        <f>IF(B426="","",IF(K426="Not in use","Priority – Not in use",IF(AK426&gt;='Scoring Settings'!$B$9,"Decommission",IF(AK426=1,"Review","Retain"))))</f>
        <v/>
      </c>
      <c r="AM426" s="17" t="str">
        <f>IF(B426="","",IF(Z426="N","Easy",IF(OR(AND(ISNUMBER(AB426),AB426&gt;'Scoring Settings'!$B$11),AND(ISNUMBER(W426),W426&gt;'Scoring Settings'!$B$12),AND(ISNUMBER(M426),M426&lt;='Scoring Settings'!$B$13)),"High","Medium")))</f>
        <v/>
      </c>
      <c r="AN426" s="14"/>
      <c r="AO426" s="16"/>
      <c r="AP426" s="14"/>
      <c r="AQ426" s="22"/>
    </row>
    <row r="427" spans="1:43">
      <c r="A427" s="14"/>
      <c r="B427" s="14"/>
      <c r="C427" s="14"/>
      <c r="D427" s="14"/>
      <c r="E427" s="14"/>
      <c r="F427" s="14"/>
      <c r="G427" s="14"/>
      <c r="H427" s="14"/>
      <c r="I427" s="15"/>
      <c r="J427" s="16"/>
      <c r="K427" s="17" t="str">
        <f>IF(B427="","",IF(AND(I427="",J427=""),"Unknown",IF(OR(AND(ISNUMBER(I427),I427=0),AND(ISNUMBER(J427),J427&lt;=EDATE('Scoring Settings'!$B$4,-'Scoring Settings'!$B$5))),"Not in use",IF(AND(ISNUMBER(I427),I427&lt;'Scoring Settings'!$B$6),"Low use","Active"))))</f>
        <v/>
      </c>
      <c r="L427" s="14"/>
      <c r="M427" s="14"/>
      <c r="N427" s="14"/>
      <c r="O427" s="14"/>
      <c r="P427" s="14"/>
      <c r="Q427" s="18"/>
      <c r="R427" s="14"/>
      <c r="S427" s="14"/>
      <c r="T427" s="14"/>
      <c r="U427" s="16"/>
      <c r="V427" s="14"/>
      <c r="W427" s="15"/>
      <c r="X427" s="14"/>
      <c r="Y427" s="18"/>
      <c r="Z427" s="14"/>
      <c r="AA427" s="14"/>
      <c r="AB427" s="18"/>
      <c r="AC427" s="14"/>
      <c r="AD427" s="14"/>
      <c r="AE427" s="14"/>
      <c r="AF427" s="19"/>
      <c r="AG427" s="16"/>
      <c r="AH427" s="19"/>
      <c r="AI427" s="19"/>
      <c r="AJ427" s="20" t="str">
        <f t="shared" si="6"/>
        <v/>
      </c>
      <c r="AK427" s="21" t="str">
        <f>IF(B427="","",OR(K427="Not in use",K427="Low use")+AND(N427&lt;&gt;"",N427&lt;&gt;"TBD")+AND(ISNUMBER(U427),U427&lt;=EDATE('Scoring Settings'!$B$4,'Scoring Settings'!$B$8))+AND(ISNUMBER(L427),L427&lt;='Scoring Settings'!$B$7))</f>
        <v/>
      </c>
      <c r="AL427" s="17" t="str">
        <f>IF(B427="","",IF(K427="Not in use","Priority – Not in use",IF(AK427&gt;='Scoring Settings'!$B$9,"Decommission",IF(AK427=1,"Review","Retain"))))</f>
        <v/>
      </c>
      <c r="AM427" s="17" t="str">
        <f>IF(B427="","",IF(Z427="N","Easy",IF(OR(AND(ISNUMBER(AB427),AB427&gt;'Scoring Settings'!$B$11),AND(ISNUMBER(W427),W427&gt;'Scoring Settings'!$B$12),AND(ISNUMBER(M427),M427&lt;='Scoring Settings'!$B$13)),"High","Medium")))</f>
        <v/>
      </c>
      <c r="AN427" s="14"/>
      <c r="AO427" s="16"/>
      <c r="AP427" s="14"/>
      <c r="AQ427" s="22"/>
    </row>
    <row r="428" spans="1:43">
      <c r="A428" s="14"/>
      <c r="B428" s="14"/>
      <c r="C428" s="14"/>
      <c r="D428" s="14"/>
      <c r="E428" s="14"/>
      <c r="F428" s="14"/>
      <c r="G428" s="14"/>
      <c r="H428" s="14"/>
      <c r="I428" s="15"/>
      <c r="J428" s="16"/>
      <c r="K428" s="17" t="str">
        <f>IF(B428="","",IF(AND(I428="",J428=""),"Unknown",IF(OR(AND(ISNUMBER(I428),I428=0),AND(ISNUMBER(J428),J428&lt;=EDATE('Scoring Settings'!$B$4,-'Scoring Settings'!$B$5))),"Not in use",IF(AND(ISNUMBER(I428),I428&lt;'Scoring Settings'!$B$6),"Low use","Active"))))</f>
        <v/>
      </c>
      <c r="L428" s="14"/>
      <c r="M428" s="14"/>
      <c r="N428" s="14"/>
      <c r="O428" s="14"/>
      <c r="P428" s="14"/>
      <c r="Q428" s="18"/>
      <c r="R428" s="14"/>
      <c r="S428" s="14"/>
      <c r="T428" s="14"/>
      <c r="U428" s="16"/>
      <c r="V428" s="14"/>
      <c r="W428" s="15"/>
      <c r="X428" s="14"/>
      <c r="Y428" s="18"/>
      <c r="Z428" s="14"/>
      <c r="AA428" s="14"/>
      <c r="AB428" s="18"/>
      <c r="AC428" s="14"/>
      <c r="AD428" s="14"/>
      <c r="AE428" s="14"/>
      <c r="AF428" s="19"/>
      <c r="AG428" s="16"/>
      <c r="AH428" s="19"/>
      <c r="AI428" s="19"/>
      <c r="AJ428" s="20" t="str">
        <f t="shared" si="6"/>
        <v/>
      </c>
      <c r="AK428" s="21" t="str">
        <f>IF(B428="","",OR(K428="Not in use",K428="Low use")+AND(N428&lt;&gt;"",N428&lt;&gt;"TBD")+AND(ISNUMBER(U428),U428&lt;=EDATE('Scoring Settings'!$B$4,'Scoring Settings'!$B$8))+AND(ISNUMBER(L428),L428&lt;='Scoring Settings'!$B$7))</f>
        <v/>
      </c>
      <c r="AL428" s="17" t="str">
        <f>IF(B428="","",IF(K428="Not in use","Priority – Not in use",IF(AK428&gt;='Scoring Settings'!$B$9,"Decommission",IF(AK428=1,"Review","Retain"))))</f>
        <v/>
      </c>
      <c r="AM428" s="17" t="str">
        <f>IF(B428="","",IF(Z428="N","Easy",IF(OR(AND(ISNUMBER(AB428),AB428&gt;'Scoring Settings'!$B$11),AND(ISNUMBER(W428),W428&gt;'Scoring Settings'!$B$12),AND(ISNUMBER(M428),M428&lt;='Scoring Settings'!$B$13)),"High","Medium")))</f>
        <v/>
      </c>
      <c r="AN428" s="14"/>
      <c r="AO428" s="16"/>
      <c r="AP428" s="14"/>
      <c r="AQ428" s="22"/>
    </row>
    <row r="429" spans="1:43">
      <c r="A429" s="14"/>
      <c r="B429" s="14"/>
      <c r="C429" s="14"/>
      <c r="D429" s="14"/>
      <c r="E429" s="14"/>
      <c r="F429" s="14"/>
      <c r="G429" s="14"/>
      <c r="H429" s="14"/>
      <c r="I429" s="15"/>
      <c r="J429" s="16"/>
      <c r="K429" s="17" t="str">
        <f>IF(B429="","",IF(AND(I429="",J429=""),"Unknown",IF(OR(AND(ISNUMBER(I429),I429=0),AND(ISNUMBER(J429),J429&lt;=EDATE('Scoring Settings'!$B$4,-'Scoring Settings'!$B$5))),"Not in use",IF(AND(ISNUMBER(I429),I429&lt;'Scoring Settings'!$B$6),"Low use","Active"))))</f>
        <v/>
      </c>
      <c r="L429" s="14"/>
      <c r="M429" s="14"/>
      <c r="N429" s="14"/>
      <c r="O429" s="14"/>
      <c r="P429" s="14"/>
      <c r="Q429" s="18"/>
      <c r="R429" s="14"/>
      <c r="S429" s="14"/>
      <c r="T429" s="14"/>
      <c r="U429" s="16"/>
      <c r="V429" s="14"/>
      <c r="W429" s="15"/>
      <c r="X429" s="14"/>
      <c r="Y429" s="18"/>
      <c r="Z429" s="14"/>
      <c r="AA429" s="14"/>
      <c r="AB429" s="18"/>
      <c r="AC429" s="14"/>
      <c r="AD429" s="14"/>
      <c r="AE429" s="14"/>
      <c r="AF429" s="19"/>
      <c r="AG429" s="16"/>
      <c r="AH429" s="19"/>
      <c r="AI429" s="19"/>
      <c r="AJ429" s="20" t="str">
        <f t="shared" si="6"/>
        <v/>
      </c>
      <c r="AK429" s="21" t="str">
        <f>IF(B429="","",OR(K429="Not in use",K429="Low use")+AND(N429&lt;&gt;"",N429&lt;&gt;"TBD")+AND(ISNUMBER(U429),U429&lt;=EDATE('Scoring Settings'!$B$4,'Scoring Settings'!$B$8))+AND(ISNUMBER(L429),L429&lt;='Scoring Settings'!$B$7))</f>
        <v/>
      </c>
      <c r="AL429" s="17" t="str">
        <f>IF(B429="","",IF(K429="Not in use","Priority – Not in use",IF(AK429&gt;='Scoring Settings'!$B$9,"Decommission",IF(AK429=1,"Review","Retain"))))</f>
        <v/>
      </c>
      <c r="AM429" s="17" t="str">
        <f>IF(B429="","",IF(Z429="N","Easy",IF(OR(AND(ISNUMBER(AB429),AB429&gt;'Scoring Settings'!$B$11),AND(ISNUMBER(W429),W429&gt;'Scoring Settings'!$B$12),AND(ISNUMBER(M429),M429&lt;='Scoring Settings'!$B$13)),"High","Medium")))</f>
        <v/>
      </c>
      <c r="AN429" s="14"/>
      <c r="AO429" s="16"/>
      <c r="AP429" s="14"/>
      <c r="AQ429" s="22"/>
    </row>
    <row r="430" spans="1:43">
      <c r="A430" s="14"/>
      <c r="B430" s="14"/>
      <c r="C430" s="14"/>
      <c r="D430" s="14"/>
      <c r="E430" s="14"/>
      <c r="F430" s="14"/>
      <c r="G430" s="14"/>
      <c r="H430" s="14"/>
      <c r="I430" s="15"/>
      <c r="J430" s="16"/>
      <c r="K430" s="17" t="str">
        <f>IF(B430="","",IF(AND(I430="",J430=""),"Unknown",IF(OR(AND(ISNUMBER(I430),I430=0),AND(ISNUMBER(J430),J430&lt;=EDATE('Scoring Settings'!$B$4,-'Scoring Settings'!$B$5))),"Not in use",IF(AND(ISNUMBER(I430),I430&lt;'Scoring Settings'!$B$6),"Low use","Active"))))</f>
        <v/>
      </c>
      <c r="L430" s="14"/>
      <c r="M430" s="14"/>
      <c r="N430" s="14"/>
      <c r="O430" s="14"/>
      <c r="P430" s="14"/>
      <c r="Q430" s="18"/>
      <c r="R430" s="14"/>
      <c r="S430" s="14"/>
      <c r="T430" s="14"/>
      <c r="U430" s="16"/>
      <c r="V430" s="14"/>
      <c r="W430" s="15"/>
      <c r="X430" s="14"/>
      <c r="Y430" s="18"/>
      <c r="Z430" s="14"/>
      <c r="AA430" s="14"/>
      <c r="AB430" s="18"/>
      <c r="AC430" s="14"/>
      <c r="AD430" s="14"/>
      <c r="AE430" s="14"/>
      <c r="AF430" s="19"/>
      <c r="AG430" s="16"/>
      <c r="AH430" s="19"/>
      <c r="AI430" s="19"/>
      <c r="AJ430" s="20" t="str">
        <f t="shared" si="6"/>
        <v/>
      </c>
      <c r="AK430" s="21" t="str">
        <f>IF(B430="","",OR(K430="Not in use",K430="Low use")+AND(N430&lt;&gt;"",N430&lt;&gt;"TBD")+AND(ISNUMBER(U430),U430&lt;=EDATE('Scoring Settings'!$B$4,'Scoring Settings'!$B$8))+AND(ISNUMBER(L430),L430&lt;='Scoring Settings'!$B$7))</f>
        <v/>
      </c>
      <c r="AL430" s="17" t="str">
        <f>IF(B430="","",IF(K430="Not in use","Priority – Not in use",IF(AK430&gt;='Scoring Settings'!$B$9,"Decommission",IF(AK430=1,"Review","Retain"))))</f>
        <v/>
      </c>
      <c r="AM430" s="17" t="str">
        <f>IF(B430="","",IF(Z430="N","Easy",IF(OR(AND(ISNUMBER(AB430),AB430&gt;'Scoring Settings'!$B$11),AND(ISNUMBER(W430),W430&gt;'Scoring Settings'!$B$12),AND(ISNUMBER(M430),M430&lt;='Scoring Settings'!$B$13)),"High","Medium")))</f>
        <v/>
      </c>
      <c r="AN430" s="14"/>
      <c r="AO430" s="16"/>
      <c r="AP430" s="14"/>
      <c r="AQ430" s="22"/>
    </row>
    <row r="431" spans="1:43">
      <c r="A431" s="14"/>
      <c r="B431" s="14"/>
      <c r="C431" s="14"/>
      <c r="D431" s="14"/>
      <c r="E431" s="14"/>
      <c r="F431" s="14"/>
      <c r="G431" s="14"/>
      <c r="H431" s="14"/>
      <c r="I431" s="15"/>
      <c r="J431" s="16"/>
      <c r="K431" s="17" t="str">
        <f>IF(B431="","",IF(AND(I431="",J431=""),"Unknown",IF(OR(AND(ISNUMBER(I431),I431=0),AND(ISNUMBER(J431),J431&lt;=EDATE('Scoring Settings'!$B$4,-'Scoring Settings'!$B$5))),"Not in use",IF(AND(ISNUMBER(I431),I431&lt;'Scoring Settings'!$B$6),"Low use","Active"))))</f>
        <v/>
      </c>
      <c r="L431" s="14"/>
      <c r="M431" s="14"/>
      <c r="N431" s="14"/>
      <c r="O431" s="14"/>
      <c r="P431" s="14"/>
      <c r="Q431" s="18"/>
      <c r="R431" s="14"/>
      <c r="S431" s="14"/>
      <c r="T431" s="14"/>
      <c r="U431" s="16"/>
      <c r="V431" s="14"/>
      <c r="W431" s="15"/>
      <c r="X431" s="14"/>
      <c r="Y431" s="18"/>
      <c r="Z431" s="14"/>
      <c r="AA431" s="14"/>
      <c r="AB431" s="18"/>
      <c r="AC431" s="14"/>
      <c r="AD431" s="14"/>
      <c r="AE431" s="14"/>
      <c r="AF431" s="19"/>
      <c r="AG431" s="16"/>
      <c r="AH431" s="19"/>
      <c r="AI431" s="19"/>
      <c r="AJ431" s="20" t="str">
        <f t="shared" si="6"/>
        <v/>
      </c>
      <c r="AK431" s="21" t="str">
        <f>IF(B431="","",OR(K431="Not in use",K431="Low use")+AND(N431&lt;&gt;"",N431&lt;&gt;"TBD")+AND(ISNUMBER(U431),U431&lt;=EDATE('Scoring Settings'!$B$4,'Scoring Settings'!$B$8))+AND(ISNUMBER(L431),L431&lt;='Scoring Settings'!$B$7))</f>
        <v/>
      </c>
      <c r="AL431" s="17" t="str">
        <f>IF(B431="","",IF(K431="Not in use","Priority – Not in use",IF(AK431&gt;='Scoring Settings'!$B$9,"Decommission",IF(AK431=1,"Review","Retain"))))</f>
        <v/>
      </c>
      <c r="AM431" s="17" t="str">
        <f>IF(B431="","",IF(Z431="N","Easy",IF(OR(AND(ISNUMBER(AB431),AB431&gt;'Scoring Settings'!$B$11),AND(ISNUMBER(W431),W431&gt;'Scoring Settings'!$B$12),AND(ISNUMBER(M431),M431&lt;='Scoring Settings'!$B$13)),"High","Medium")))</f>
        <v/>
      </c>
      <c r="AN431" s="14"/>
      <c r="AO431" s="16"/>
      <c r="AP431" s="14"/>
      <c r="AQ431" s="22"/>
    </row>
    <row r="432" spans="1:43">
      <c r="A432" s="14"/>
      <c r="B432" s="14"/>
      <c r="C432" s="14"/>
      <c r="D432" s="14"/>
      <c r="E432" s="14"/>
      <c r="F432" s="14"/>
      <c r="G432" s="14"/>
      <c r="H432" s="14"/>
      <c r="I432" s="15"/>
      <c r="J432" s="16"/>
      <c r="K432" s="17" t="str">
        <f>IF(B432="","",IF(AND(I432="",J432=""),"Unknown",IF(OR(AND(ISNUMBER(I432),I432=0),AND(ISNUMBER(J432),J432&lt;=EDATE('Scoring Settings'!$B$4,-'Scoring Settings'!$B$5))),"Not in use",IF(AND(ISNUMBER(I432),I432&lt;'Scoring Settings'!$B$6),"Low use","Active"))))</f>
        <v/>
      </c>
      <c r="L432" s="14"/>
      <c r="M432" s="14"/>
      <c r="N432" s="14"/>
      <c r="O432" s="14"/>
      <c r="P432" s="14"/>
      <c r="Q432" s="18"/>
      <c r="R432" s="14"/>
      <c r="S432" s="14"/>
      <c r="T432" s="14"/>
      <c r="U432" s="16"/>
      <c r="V432" s="14"/>
      <c r="W432" s="15"/>
      <c r="X432" s="14"/>
      <c r="Y432" s="18"/>
      <c r="Z432" s="14"/>
      <c r="AA432" s="14"/>
      <c r="AB432" s="18"/>
      <c r="AC432" s="14"/>
      <c r="AD432" s="14"/>
      <c r="AE432" s="14"/>
      <c r="AF432" s="19"/>
      <c r="AG432" s="16"/>
      <c r="AH432" s="19"/>
      <c r="AI432" s="19"/>
      <c r="AJ432" s="20" t="str">
        <f t="shared" si="6"/>
        <v/>
      </c>
      <c r="AK432" s="21" t="str">
        <f>IF(B432="","",OR(K432="Not in use",K432="Low use")+AND(N432&lt;&gt;"",N432&lt;&gt;"TBD")+AND(ISNUMBER(U432),U432&lt;=EDATE('Scoring Settings'!$B$4,'Scoring Settings'!$B$8))+AND(ISNUMBER(L432),L432&lt;='Scoring Settings'!$B$7))</f>
        <v/>
      </c>
      <c r="AL432" s="17" t="str">
        <f>IF(B432="","",IF(K432="Not in use","Priority – Not in use",IF(AK432&gt;='Scoring Settings'!$B$9,"Decommission",IF(AK432=1,"Review","Retain"))))</f>
        <v/>
      </c>
      <c r="AM432" s="17" t="str">
        <f>IF(B432="","",IF(Z432="N","Easy",IF(OR(AND(ISNUMBER(AB432),AB432&gt;'Scoring Settings'!$B$11),AND(ISNUMBER(W432),W432&gt;'Scoring Settings'!$B$12),AND(ISNUMBER(M432),M432&lt;='Scoring Settings'!$B$13)),"High","Medium")))</f>
        <v/>
      </c>
      <c r="AN432" s="14"/>
      <c r="AO432" s="16"/>
      <c r="AP432" s="14"/>
      <c r="AQ432" s="22"/>
    </row>
    <row r="433" spans="1:43">
      <c r="A433" s="14"/>
      <c r="B433" s="14"/>
      <c r="C433" s="14"/>
      <c r="D433" s="14"/>
      <c r="E433" s="14"/>
      <c r="F433" s="14"/>
      <c r="G433" s="14"/>
      <c r="H433" s="14"/>
      <c r="I433" s="15"/>
      <c r="J433" s="16"/>
      <c r="K433" s="17" t="str">
        <f>IF(B433="","",IF(AND(I433="",J433=""),"Unknown",IF(OR(AND(ISNUMBER(I433),I433=0),AND(ISNUMBER(J433),J433&lt;=EDATE('Scoring Settings'!$B$4,-'Scoring Settings'!$B$5))),"Not in use",IF(AND(ISNUMBER(I433),I433&lt;'Scoring Settings'!$B$6),"Low use","Active"))))</f>
        <v/>
      </c>
      <c r="L433" s="14"/>
      <c r="M433" s="14"/>
      <c r="N433" s="14"/>
      <c r="O433" s="14"/>
      <c r="P433" s="14"/>
      <c r="Q433" s="18"/>
      <c r="R433" s="14"/>
      <c r="S433" s="14"/>
      <c r="T433" s="14"/>
      <c r="U433" s="16"/>
      <c r="V433" s="14"/>
      <c r="W433" s="15"/>
      <c r="X433" s="14"/>
      <c r="Y433" s="18"/>
      <c r="Z433" s="14"/>
      <c r="AA433" s="14"/>
      <c r="AB433" s="18"/>
      <c r="AC433" s="14"/>
      <c r="AD433" s="14"/>
      <c r="AE433" s="14"/>
      <c r="AF433" s="19"/>
      <c r="AG433" s="16"/>
      <c r="AH433" s="19"/>
      <c r="AI433" s="19"/>
      <c r="AJ433" s="20" t="str">
        <f t="shared" si="6"/>
        <v/>
      </c>
      <c r="AK433" s="21" t="str">
        <f>IF(B433="","",OR(K433="Not in use",K433="Low use")+AND(N433&lt;&gt;"",N433&lt;&gt;"TBD")+AND(ISNUMBER(U433),U433&lt;=EDATE('Scoring Settings'!$B$4,'Scoring Settings'!$B$8))+AND(ISNUMBER(L433),L433&lt;='Scoring Settings'!$B$7))</f>
        <v/>
      </c>
      <c r="AL433" s="17" t="str">
        <f>IF(B433="","",IF(K433="Not in use","Priority – Not in use",IF(AK433&gt;='Scoring Settings'!$B$9,"Decommission",IF(AK433=1,"Review","Retain"))))</f>
        <v/>
      </c>
      <c r="AM433" s="17" t="str">
        <f>IF(B433="","",IF(Z433="N","Easy",IF(OR(AND(ISNUMBER(AB433),AB433&gt;'Scoring Settings'!$B$11),AND(ISNUMBER(W433),W433&gt;'Scoring Settings'!$B$12),AND(ISNUMBER(M433),M433&lt;='Scoring Settings'!$B$13)),"High","Medium")))</f>
        <v/>
      </c>
      <c r="AN433" s="14"/>
      <c r="AO433" s="16"/>
      <c r="AP433" s="14"/>
      <c r="AQ433" s="22"/>
    </row>
    <row r="434" spans="1:43">
      <c r="A434" s="14"/>
      <c r="B434" s="14"/>
      <c r="C434" s="14"/>
      <c r="D434" s="14"/>
      <c r="E434" s="14"/>
      <c r="F434" s="14"/>
      <c r="G434" s="14"/>
      <c r="H434" s="14"/>
      <c r="I434" s="15"/>
      <c r="J434" s="16"/>
      <c r="K434" s="17" t="str">
        <f>IF(B434="","",IF(AND(I434="",J434=""),"Unknown",IF(OR(AND(ISNUMBER(I434),I434=0),AND(ISNUMBER(J434),J434&lt;=EDATE('Scoring Settings'!$B$4,-'Scoring Settings'!$B$5))),"Not in use",IF(AND(ISNUMBER(I434),I434&lt;'Scoring Settings'!$B$6),"Low use","Active"))))</f>
        <v/>
      </c>
      <c r="L434" s="14"/>
      <c r="M434" s="14"/>
      <c r="N434" s="14"/>
      <c r="O434" s="14"/>
      <c r="P434" s="14"/>
      <c r="Q434" s="18"/>
      <c r="R434" s="14"/>
      <c r="S434" s="14"/>
      <c r="T434" s="14"/>
      <c r="U434" s="16"/>
      <c r="V434" s="14"/>
      <c r="W434" s="15"/>
      <c r="X434" s="14"/>
      <c r="Y434" s="18"/>
      <c r="Z434" s="14"/>
      <c r="AA434" s="14"/>
      <c r="AB434" s="18"/>
      <c r="AC434" s="14"/>
      <c r="AD434" s="14"/>
      <c r="AE434" s="14"/>
      <c r="AF434" s="19"/>
      <c r="AG434" s="16"/>
      <c r="AH434" s="19"/>
      <c r="AI434" s="19"/>
      <c r="AJ434" s="20" t="str">
        <f t="shared" si="6"/>
        <v/>
      </c>
      <c r="AK434" s="21" t="str">
        <f>IF(B434="","",OR(K434="Not in use",K434="Low use")+AND(N434&lt;&gt;"",N434&lt;&gt;"TBD")+AND(ISNUMBER(U434),U434&lt;=EDATE('Scoring Settings'!$B$4,'Scoring Settings'!$B$8))+AND(ISNUMBER(L434),L434&lt;='Scoring Settings'!$B$7))</f>
        <v/>
      </c>
      <c r="AL434" s="17" t="str">
        <f>IF(B434="","",IF(K434="Not in use","Priority – Not in use",IF(AK434&gt;='Scoring Settings'!$B$9,"Decommission",IF(AK434=1,"Review","Retain"))))</f>
        <v/>
      </c>
      <c r="AM434" s="17" t="str">
        <f>IF(B434="","",IF(Z434="N","Easy",IF(OR(AND(ISNUMBER(AB434),AB434&gt;'Scoring Settings'!$B$11),AND(ISNUMBER(W434),W434&gt;'Scoring Settings'!$B$12),AND(ISNUMBER(M434),M434&lt;='Scoring Settings'!$B$13)),"High","Medium")))</f>
        <v/>
      </c>
      <c r="AN434" s="14"/>
      <c r="AO434" s="16"/>
      <c r="AP434" s="14"/>
      <c r="AQ434" s="22"/>
    </row>
    <row r="435" spans="1:43">
      <c r="A435" s="14"/>
      <c r="B435" s="14"/>
      <c r="C435" s="14"/>
      <c r="D435" s="14"/>
      <c r="E435" s="14"/>
      <c r="F435" s="14"/>
      <c r="G435" s="14"/>
      <c r="H435" s="14"/>
      <c r="I435" s="15"/>
      <c r="J435" s="16"/>
      <c r="K435" s="17" t="str">
        <f>IF(B435="","",IF(AND(I435="",J435=""),"Unknown",IF(OR(AND(ISNUMBER(I435),I435=0),AND(ISNUMBER(J435),J435&lt;=EDATE('Scoring Settings'!$B$4,-'Scoring Settings'!$B$5))),"Not in use",IF(AND(ISNUMBER(I435),I435&lt;'Scoring Settings'!$B$6),"Low use","Active"))))</f>
        <v/>
      </c>
      <c r="L435" s="14"/>
      <c r="M435" s="14"/>
      <c r="N435" s="14"/>
      <c r="O435" s="14"/>
      <c r="P435" s="14"/>
      <c r="Q435" s="18"/>
      <c r="R435" s="14"/>
      <c r="S435" s="14"/>
      <c r="T435" s="14"/>
      <c r="U435" s="16"/>
      <c r="V435" s="14"/>
      <c r="W435" s="15"/>
      <c r="X435" s="14"/>
      <c r="Y435" s="18"/>
      <c r="Z435" s="14"/>
      <c r="AA435" s="14"/>
      <c r="AB435" s="18"/>
      <c r="AC435" s="14"/>
      <c r="AD435" s="14"/>
      <c r="AE435" s="14"/>
      <c r="AF435" s="19"/>
      <c r="AG435" s="16"/>
      <c r="AH435" s="19"/>
      <c r="AI435" s="19"/>
      <c r="AJ435" s="20" t="str">
        <f t="shared" si="6"/>
        <v/>
      </c>
      <c r="AK435" s="21" t="str">
        <f>IF(B435="","",OR(K435="Not in use",K435="Low use")+AND(N435&lt;&gt;"",N435&lt;&gt;"TBD")+AND(ISNUMBER(U435),U435&lt;=EDATE('Scoring Settings'!$B$4,'Scoring Settings'!$B$8))+AND(ISNUMBER(L435),L435&lt;='Scoring Settings'!$B$7))</f>
        <v/>
      </c>
      <c r="AL435" s="17" t="str">
        <f>IF(B435="","",IF(K435="Not in use","Priority – Not in use",IF(AK435&gt;='Scoring Settings'!$B$9,"Decommission",IF(AK435=1,"Review","Retain"))))</f>
        <v/>
      </c>
      <c r="AM435" s="17" t="str">
        <f>IF(B435="","",IF(Z435="N","Easy",IF(OR(AND(ISNUMBER(AB435),AB435&gt;'Scoring Settings'!$B$11),AND(ISNUMBER(W435),W435&gt;'Scoring Settings'!$B$12),AND(ISNUMBER(M435),M435&lt;='Scoring Settings'!$B$13)),"High","Medium")))</f>
        <v/>
      </c>
      <c r="AN435" s="14"/>
      <c r="AO435" s="16"/>
      <c r="AP435" s="14"/>
      <c r="AQ435" s="22"/>
    </row>
    <row r="436" spans="1:43">
      <c r="A436" s="14"/>
      <c r="B436" s="14"/>
      <c r="C436" s="14"/>
      <c r="D436" s="14"/>
      <c r="E436" s="14"/>
      <c r="F436" s="14"/>
      <c r="G436" s="14"/>
      <c r="H436" s="14"/>
      <c r="I436" s="15"/>
      <c r="J436" s="16"/>
      <c r="K436" s="17" t="str">
        <f>IF(B436="","",IF(AND(I436="",J436=""),"Unknown",IF(OR(AND(ISNUMBER(I436),I436=0),AND(ISNUMBER(J436),J436&lt;=EDATE('Scoring Settings'!$B$4,-'Scoring Settings'!$B$5))),"Not in use",IF(AND(ISNUMBER(I436),I436&lt;'Scoring Settings'!$B$6),"Low use","Active"))))</f>
        <v/>
      </c>
      <c r="L436" s="14"/>
      <c r="M436" s="14"/>
      <c r="N436" s="14"/>
      <c r="O436" s="14"/>
      <c r="P436" s="14"/>
      <c r="Q436" s="18"/>
      <c r="R436" s="14"/>
      <c r="S436" s="14"/>
      <c r="T436" s="14"/>
      <c r="U436" s="16"/>
      <c r="V436" s="14"/>
      <c r="W436" s="15"/>
      <c r="X436" s="14"/>
      <c r="Y436" s="18"/>
      <c r="Z436" s="14"/>
      <c r="AA436" s="14"/>
      <c r="AB436" s="18"/>
      <c r="AC436" s="14"/>
      <c r="AD436" s="14"/>
      <c r="AE436" s="14"/>
      <c r="AF436" s="19"/>
      <c r="AG436" s="16"/>
      <c r="AH436" s="19"/>
      <c r="AI436" s="19"/>
      <c r="AJ436" s="20" t="str">
        <f t="shared" si="6"/>
        <v/>
      </c>
      <c r="AK436" s="21" t="str">
        <f>IF(B436="","",OR(K436="Not in use",K436="Low use")+AND(N436&lt;&gt;"",N436&lt;&gt;"TBD")+AND(ISNUMBER(U436),U436&lt;=EDATE('Scoring Settings'!$B$4,'Scoring Settings'!$B$8))+AND(ISNUMBER(L436),L436&lt;='Scoring Settings'!$B$7))</f>
        <v/>
      </c>
      <c r="AL436" s="17" t="str">
        <f>IF(B436="","",IF(K436="Not in use","Priority – Not in use",IF(AK436&gt;='Scoring Settings'!$B$9,"Decommission",IF(AK436=1,"Review","Retain"))))</f>
        <v/>
      </c>
      <c r="AM436" s="17" t="str">
        <f>IF(B436="","",IF(Z436="N","Easy",IF(OR(AND(ISNUMBER(AB436),AB436&gt;'Scoring Settings'!$B$11),AND(ISNUMBER(W436),W436&gt;'Scoring Settings'!$B$12),AND(ISNUMBER(M436),M436&lt;='Scoring Settings'!$B$13)),"High","Medium")))</f>
        <v/>
      </c>
      <c r="AN436" s="14"/>
      <c r="AO436" s="16"/>
      <c r="AP436" s="14"/>
      <c r="AQ436" s="22"/>
    </row>
    <row r="437" spans="1:43">
      <c r="A437" s="14"/>
      <c r="B437" s="14"/>
      <c r="C437" s="14"/>
      <c r="D437" s="14"/>
      <c r="E437" s="14"/>
      <c r="F437" s="14"/>
      <c r="G437" s="14"/>
      <c r="H437" s="14"/>
      <c r="I437" s="15"/>
      <c r="J437" s="16"/>
      <c r="K437" s="17" t="str">
        <f>IF(B437="","",IF(AND(I437="",J437=""),"Unknown",IF(OR(AND(ISNUMBER(I437),I437=0),AND(ISNUMBER(J437),J437&lt;=EDATE('Scoring Settings'!$B$4,-'Scoring Settings'!$B$5))),"Not in use",IF(AND(ISNUMBER(I437),I437&lt;'Scoring Settings'!$B$6),"Low use","Active"))))</f>
        <v/>
      </c>
      <c r="L437" s="14"/>
      <c r="M437" s="14"/>
      <c r="N437" s="14"/>
      <c r="O437" s="14"/>
      <c r="P437" s="14"/>
      <c r="Q437" s="18"/>
      <c r="R437" s="14"/>
      <c r="S437" s="14"/>
      <c r="T437" s="14"/>
      <c r="U437" s="16"/>
      <c r="V437" s="14"/>
      <c r="W437" s="15"/>
      <c r="X437" s="14"/>
      <c r="Y437" s="18"/>
      <c r="Z437" s="14"/>
      <c r="AA437" s="14"/>
      <c r="AB437" s="18"/>
      <c r="AC437" s="14"/>
      <c r="AD437" s="14"/>
      <c r="AE437" s="14"/>
      <c r="AF437" s="19"/>
      <c r="AG437" s="16"/>
      <c r="AH437" s="19"/>
      <c r="AI437" s="19"/>
      <c r="AJ437" s="20" t="str">
        <f t="shared" si="6"/>
        <v/>
      </c>
      <c r="AK437" s="21" t="str">
        <f>IF(B437="","",OR(K437="Not in use",K437="Low use")+AND(N437&lt;&gt;"",N437&lt;&gt;"TBD")+AND(ISNUMBER(U437),U437&lt;=EDATE('Scoring Settings'!$B$4,'Scoring Settings'!$B$8))+AND(ISNUMBER(L437),L437&lt;='Scoring Settings'!$B$7))</f>
        <v/>
      </c>
      <c r="AL437" s="17" t="str">
        <f>IF(B437="","",IF(K437="Not in use","Priority – Not in use",IF(AK437&gt;='Scoring Settings'!$B$9,"Decommission",IF(AK437=1,"Review","Retain"))))</f>
        <v/>
      </c>
      <c r="AM437" s="17" t="str">
        <f>IF(B437="","",IF(Z437="N","Easy",IF(OR(AND(ISNUMBER(AB437),AB437&gt;'Scoring Settings'!$B$11),AND(ISNUMBER(W437),W437&gt;'Scoring Settings'!$B$12),AND(ISNUMBER(M437),M437&lt;='Scoring Settings'!$B$13)),"High","Medium")))</f>
        <v/>
      </c>
      <c r="AN437" s="14"/>
      <c r="AO437" s="16"/>
      <c r="AP437" s="14"/>
      <c r="AQ437" s="22"/>
    </row>
    <row r="438" spans="1:43">
      <c r="A438" s="14"/>
      <c r="B438" s="14"/>
      <c r="C438" s="14"/>
      <c r="D438" s="14"/>
      <c r="E438" s="14"/>
      <c r="F438" s="14"/>
      <c r="G438" s="14"/>
      <c r="H438" s="14"/>
      <c r="I438" s="15"/>
      <c r="J438" s="16"/>
      <c r="K438" s="17" t="str">
        <f>IF(B438="","",IF(AND(I438="",J438=""),"Unknown",IF(OR(AND(ISNUMBER(I438),I438=0),AND(ISNUMBER(J438),J438&lt;=EDATE('Scoring Settings'!$B$4,-'Scoring Settings'!$B$5))),"Not in use",IF(AND(ISNUMBER(I438),I438&lt;'Scoring Settings'!$B$6),"Low use","Active"))))</f>
        <v/>
      </c>
      <c r="L438" s="14"/>
      <c r="M438" s="14"/>
      <c r="N438" s="14"/>
      <c r="O438" s="14"/>
      <c r="P438" s="14"/>
      <c r="Q438" s="18"/>
      <c r="R438" s="14"/>
      <c r="S438" s="14"/>
      <c r="T438" s="14"/>
      <c r="U438" s="16"/>
      <c r="V438" s="14"/>
      <c r="W438" s="15"/>
      <c r="X438" s="14"/>
      <c r="Y438" s="18"/>
      <c r="Z438" s="14"/>
      <c r="AA438" s="14"/>
      <c r="AB438" s="18"/>
      <c r="AC438" s="14"/>
      <c r="AD438" s="14"/>
      <c r="AE438" s="14"/>
      <c r="AF438" s="19"/>
      <c r="AG438" s="16"/>
      <c r="AH438" s="19"/>
      <c r="AI438" s="19"/>
      <c r="AJ438" s="20" t="str">
        <f t="shared" si="6"/>
        <v/>
      </c>
      <c r="AK438" s="21" t="str">
        <f>IF(B438="","",OR(K438="Not in use",K438="Low use")+AND(N438&lt;&gt;"",N438&lt;&gt;"TBD")+AND(ISNUMBER(U438),U438&lt;=EDATE('Scoring Settings'!$B$4,'Scoring Settings'!$B$8))+AND(ISNUMBER(L438),L438&lt;='Scoring Settings'!$B$7))</f>
        <v/>
      </c>
      <c r="AL438" s="17" t="str">
        <f>IF(B438="","",IF(K438="Not in use","Priority – Not in use",IF(AK438&gt;='Scoring Settings'!$B$9,"Decommission",IF(AK438=1,"Review","Retain"))))</f>
        <v/>
      </c>
      <c r="AM438" s="17" t="str">
        <f>IF(B438="","",IF(Z438="N","Easy",IF(OR(AND(ISNUMBER(AB438),AB438&gt;'Scoring Settings'!$B$11),AND(ISNUMBER(W438),W438&gt;'Scoring Settings'!$B$12),AND(ISNUMBER(M438),M438&lt;='Scoring Settings'!$B$13)),"High","Medium")))</f>
        <v/>
      </c>
      <c r="AN438" s="14"/>
      <c r="AO438" s="16"/>
      <c r="AP438" s="14"/>
      <c r="AQ438" s="22"/>
    </row>
    <row r="439" spans="1:43">
      <c r="A439" s="14"/>
      <c r="B439" s="14"/>
      <c r="C439" s="14"/>
      <c r="D439" s="14"/>
      <c r="E439" s="14"/>
      <c r="F439" s="14"/>
      <c r="G439" s="14"/>
      <c r="H439" s="14"/>
      <c r="I439" s="15"/>
      <c r="J439" s="16"/>
      <c r="K439" s="17" t="str">
        <f>IF(B439="","",IF(AND(I439="",J439=""),"Unknown",IF(OR(AND(ISNUMBER(I439),I439=0),AND(ISNUMBER(J439),J439&lt;=EDATE('Scoring Settings'!$B$4,-'Scoring Settings'!$B$5))),"Not in use",IF(AND(ISNUMBER(I439),I439&lt;'Scoring Settings'!$B$6),"Low use","Active"))))</f>
        <v/>
      </c>
      <c r="L439" s="14"/>
      <c r="M439" s="14"/>
      <c r="N439" s="14"/>
      <c r="O439" s="14"/>
      <c r="P439" s="14"/>
      <c r="Q439" s="18"/>
      <c r="R439" s="14"/>
      <c r="S439" s="14"/>
      <c r="T439" s="14"/>
      <c r="U439" s="16"/>
      <c r="V439" s="14"/>
      <c r="W439" s="15"/>
      <c r="X439" s="14"/>
      <c r="Y439" s="18"/>
      <c r="Z439" s="14"/>
      <c r="AA439" s="14"/>
      <c r="AB439" s="18"/>
      <c r="AC439" s="14"/>
      <c r="AD439" s="14"/>
      <c r="AE439" s="14"/>
      <c r="AF439" s="19"/>
      <c r="AG439" s="16"/>
      <c r="AH439" s="19"/>
      <c r="AI439" s="19"/>
      <c r="AJ439" s="20" t="str">
        <f t="shared" si="6"/>
        <v/>
      </c>
      <c r="AK439" s="21" t="str">
        <f>IF(B439="","",OR(K439="Not in use",K439="Low use")+AND(N439&lt;&gt;"",N439&lt;&gt;"TBD")+AND(ISNUMBER(U439),U439&lt;=EDATE('Scoring Settings'!$B$4,'Scoring Settings'!$B$8))+AND(ISNUMBER(L439),L439&lt;='Scoring Settings'!$B$7))</f>
        <v/>
      </c>
      <c r="AL439" s="17" t="str">
        <f>IF(B439="","",IF(K439="Not in use","Priority – Not in use",IF(AK439&gt;='Scoring Settings'!$B$9,"Decommission",IF(AK439=1,"Review","Retain"))))</f>
        <v/>
      </c>
      <c r="AM439" s="17" t="str">
        <f>IF(B439="","",IF(Z439="N","Easy",IF(OR(AND(ISNUMBER(AB439),AB439&gt;'Scoring Settings'!$B$11),AND(ISNUMBER(W439),W439&gt;'Scoring Settings'!$B$12),AND(ISNUMBER(M439),M439&lt;='Scoring Settings'!$B$13)),"High","Medium")))</f>
        <v/>
      </c>
      <c r="AN439" s="14"/>
      <c r="AO439" s="16"/>
      <c r="AP439" s="14"/>
      <c r="AQ439" s="22"/>
    </row>
    <row r="440" spans="1:43">
      <c r="A440" s="14"/>
      <c r="B440" s="14"/>
      <c r="C440" s="14"/>
      <c r="D440" s="14"/>
      <c r="E440" s="14"/>
      <c r="F440" s="14"/>
      <c r="G440" s="14"/>
      <c r="H440" s="14"/>
      <c r="I440" s="15"/>
      <c r="J440" s="16"/>
      <c r="K440" s="17" t="str">
        <f>IF(B440="","",IF(AND(I440="",J440=""),"Unknown",IF(OR(AND(ISNUMBER(I440),I440=0),AND(ISNUMBER(J440),J440&lt;=EDATE('Scoring Settings'!$B$4,-'Scoring Settings'!$B$5))),"Not in use",IF(AND(ISNUMBER(I440),I440&lt;'Scoring Settings'!$B$6),"Low use","Active"))))</f>
        <v/>
      </c>
      <c r="L440" s="14"/>
      <c r="M440" s="14"/>
      <c r="N440" s="14"/>
      <c r="O440" s="14"/>
      <c r="P440" s="14"/>
      <c r="Q440" s="18"/>
      <c r="R440" s="14"/>
      <c r="S440" s="14"/>
      <c r="T440" s="14"/>
      <c r="U440" s="16"/>
      <c r="V440" s="14"/>
      <c r="W440" s="15"/>
      <c r="X440" s="14"/>
      <c r="Y440" s="18"/>
      <c r="Z440" s="14"/>
      <c r="AA440" s="14"/>
      <c r="AB440" s="18"/>
      <c r="AC440" s="14"/>
      <c r="AD440" s="14"/>
      <c r="AE440" s="14"/>
      <c r="AF440" s="19"/>
      <c r="AG440" s="16"/>
      <c r="AH440" s="19"/>
      <c r="AI440" s="19"/>
      <c r="AJ440" s="20" t="str">
        <f t="shared" si="6"/>
        <v/>
      </c>
      <c r="AK440" s="21" t="str">
        <f>IF(B440="","",OR(K440="Not in use",K440="Low use")+AND(N440&lt;&gt;"",N440&lt;&gt;"TBD")+AND(ISNUMBER(U440),U440&lt;=EDATE('Scoring Settings'!$B$4,'Scoring Settings'!$B$8))+AND(ISNUMBER(L440),L440&lt;='Scoring Settings'!$B$7))</f>
        <v/>
      </c>
      <c r="AL440" s="17" t="str">
        <f>IF(B440="","",IF(K440="Not in use","Priority – Not in use",IF(AK440&gt;='Scoring Settings'!$B$9,"Decommission",IF(AK440=1,"Review","Retain"))))</f>
        <v/>
      </c>
      <c r="AM440" s="17" t="str">
        <f>IF(B440="","",IF(Z440="N","Easy",IF(OR(AND(ISNUMBER(AB440),AB440&gt;'Scoring Settings'!$B$11),AND(ISNUMBER(W440),W440&gt;'Scoring Settings'!$B$12),AND(ISNUMBER(M440),M440&lt;='Scoring Settings'!$B$13)),"High","Medium")))</f>
        <v/>
      </c>
      <c r="AN440" s="14"/>
      <c r="AO440" s="16"/>
      <c r="AP440" s="14"/>
      <c r="AQ440" s="22"/>
    </row>
    <row r="441" spans="1:43">
      <c r="A441" s="14"/>
      <c r="B441" s="14"/>
      <c r="C441" s="14"/>
      <c r="D441" s="14"/>
      <c r="E441" s="14"/>
      <c r="F441" s="14"/>
      <c r="G441" s="14"/>
      <c r="H441" s="14"/>
      <c r="I441" s="15"/>
      <c r="J441" s="16"/>
      <c r="K441" s="17" t="str">
        <f>IF(B441="","",IF(AND(I441="",J441=""),"Unknown",IF(OR(AND(ISNUMBER(I441),I441=0),AND(ISNUMBER(J441),J441&lt;=EDATE('Scoring Settings'!$B$4,-'Scoring Settings'!$B$5))),"Not in use",IF(AND(ISNUMBER(I441),I441&lt;'Scoring Settings'!$B$6),"Low use","Active"))))</f>
        <v/>
      </c>
      <c r="L441" s="14"/>
      <c r="M441" s="14"/>
      <c r="N441" s="14"/>
      <c r="O441" s="14"/>
      <c r="P441" s="14"/>
      <c r="Q441" s="18"/>
      <c r="R441" s="14"/>
      <c r="S441" s="14"/>
      <c r="T441" s="14"/>
      <c r="U441" s="16"/>
      <c r="V441" s="14"/>
      <c r="W441" s="15"/>
      <c r="X441" s="14"/>
      <c r="Y441" s="18"/>
      <c r="Z441" s="14"/>
      <c r="AA441" s="14"/>
      <c r="AB441" s="18"/>
      <c r="AC441" s="14"/>
      <c r="AD441" s="14"/>
      <c r="AE441" s="14"/>
      <c r="AF441" s="19"/>
      <c r="AG441" s="16"/>
      <c r="AH441" s="19"/>
      <c r="AI441" s="19"/>
      <c r="AJ441" s="20" t="str">
        <f t="shared" si="6"/>
        <v/>
      </c>
      <c r="AK441" s="21" t="str">
        <f>IF(B441="","",OR(K441="Not in use",K441="Low use")+AND(N441&lt;&gt;"",N441&lt;&gt;"TBD")+AND(ISNUMBER(U441),U441&lt;=EDATE('Scoring Settings'!$B$4,'Scoring Settings'!$B$8))+AND(ISNUMBER(L441),L441&lt;='Scoring Settings'!$B$7))</f>
        <v/>
      </c>
      <c r="AL441" s="17" t="str">
        <f>IF(B441="","",IF(K441="Not in use","Priority – Not in use",IF(AK441&gt;='Scoring Settings'!$B$9,"Decommission",IF(AK441=1,"Review","Retain"))))</f>
        <v/>
      </c>
      <c r="AM441" s="17" t="str">
        <f>IF(B441="","",IF(Z441="N","Easy",IF(OR(AND(ISNUMBER(AB441),AB441&gt;'Scoring Settings'!$B$11),AND(ISNUMBER(W441),W441&gt;'Scoring Settings'!$B$12),AND(ISNUMBER(M441),M441&lt;='Scoring Settings'!$B$13)),"High","Medium")))</f>
        <v/>
      </c>
      <c r="AN441" s="14"/>
      <c r="AO441" s="16"/>
      <c r="AP441" s="14"/>
      <c r="AQ441" s="22"/>
    </row>
    <row r="442" spans="1:43">
      <c r="A442" s="14"/>
      <c r="B442" s="14"/>
      <c r="C442" s="14"/>
      <c r="D442" s="14"/>
      <c r="E442" s="14"/>
      <c r="F442" s="14"/>
      <c r="G442" s="14"/>
      <c r="H442" s="14"/>
      <c r="I442" s="15"/>
      <c r="J442" s="16"/>
      <c r="K442" s="17" t="str">
        <f>IF(B442="","",IF(AND(I442="",J442=""),"Unknown",IF(OR(AND(ISNUMBER(I442),I442=0),AND(ISNUMBER(J442),J442&lt;=EDATE('Scoring Settings'!$B$4,-'Scoring Settings'!$B$5))),"Not in use",IF(AND(ISNUMBER(I442),I442&lt;'Scoring Settings'!$B$6),"Low use","Active"))))</f>
        <v/>
      </c>
      <c r="L442" s="14"/>
      <c r="M442" s="14"/>
      <c r="N442" s="14"/>
      <c r="O442" s="14"/>
      <c r="P442" s="14"/>
      <c r="Q442" s="18"/>
      <c r="R442" s="14"/>
      <c r="S442" s="14"/>
      <c r="T442" s="14"/>
      <c r="U442" s="16"/>
      <c r="V442" s="14"/>
      <c r="W442" s="15"/>
      <c r="X442" s="14"/>
      <c r="Y442" s="18"/>
      <c r="Z442" s="14"/>
      <c r="AA442" s="14"/>
      <c r="AB442" s="18"/>
      <c r="AC442" s="14"/>
      <c r="AD442" s="14"/>
      <c r="AE442" s="14"/>
      <c r="AF442" s="19"/>
      <c r="AG442" s="16"/>
      <c r="AH442" s="19"/>
      <c r="AI442" s="19"/>
      <c r="AJ442" s="20" t="str">
        <f t="shared" si="6"/>
        <v/>
      </c>
      <c r="AK442" s="21" t="str">
        <f>IF(B442="","",OR(K442="Not in use",K442="Low use")+AND(N442&lt;&gt;"",N442&lt;&gt;"TBD")+AND(ISNUMBER(U442),U442&lt;=EDATE('Scoring Settings'!$B$4,'Scoring Settings'!$B$8))+AND(ISNUMBER(L442),L442&lt;='Scoring Settings'!$B$7))</f>
        <v/>
      </c>
      <c r="AL442" s="17" t="str">
        <f>IF(B442="","",IF(K442="Not in use","Priority – Not in use",IF(AK442&gt;='Scoring Settings'!$B$9,"Decommission",IF(AK442=1,"Review","Retain"))))</f>
        <v/>
      </c>
      <c r="AM442" s="17" t="str">
        <f>IF(B442="","",IF(Z442="N","Easy",IF(OR(AND(ISNUMBER(AB442),AB442&gt;'Scoring Settings'!$B$11),AND(ISNUMBER(W442),W442&gt;'Scoring Settings'!$B$12),AND(ISNUMBER(M442),M442&lt;='Scoring Settings'!$B$13)),"High","Medium")))</f>
        <v/>
      </c>
      <c r="AN442" s="14"/>
      <c r="AO442" s="16"/>
      <c r="AP442" s="14"/>
      <c r="AQ442" s="22"/>
    </row>
    <row r="443" spans="1:43">
      <c r="A443" s="14"/>
      <c r="B443" s="14"/>
      <c r="C443" s="14"/>
      <c r="D443" s="14"/>
      <c r="E443" s="14"/>
      <c r="F443" s="14"/>
      <c r="G443" s="14"/>
      <c r="H443" s="14"/>
      <c r="I443" s="15"/>
      <c r="J443" s="16"/>
      <c r="K443" s="17" t="str">
        <f>IF(B443="","",IF(AND(I443="",J443=""),"Unknown",IF(OR(AND(ISNUMBER(I443),I443=0),AND(ISNUMBER(J443),J443&lt;=EDATE('Scoring Settings'!$B$4,-'Scoring Settings'!$B$5))),"Not in use",IF(AND(ISNUMBER(I443),I443&lt;'Scoring Settings'!$B$6),"Low use","Active"))))</f>
        <v/>
      </c>
      <c r="L443" s="14"/>
      <c r="M443" s="14"/>
      <c r="N443" s="14"/>
      <c r="O443" s="14"/>
      <c r="P443" s="14"/>
      <c r="Q443" s="18"/>
      <c r="R443" s="14"/>
      <c r="S443" s="14"/>
      <c r="T443" s="14"/>
      <c r="U443" s="16"/>
      <c r="V443" s="14"/>
      <c r="W443" s="15"/>
      <c r="X443" s="14"/>
      <c r="Y443" s="18"/>
      <c r="Z443" s="14"/>
      <c r="AA443" s="14"/>
      <c r="AB443" s="18"/>
      <c r="AC443" s="14"/>
      <c r="AD443" s="14"/>
      <c r="AE443" s="14"/>
      <c r="AF443" s="19"/>
      <c r="AG443" s="16"/>
      <c r="AH443" s="19"/>
      <c r="AI443" s="19"/>
      <c r="AJ443" s="20" t="str">
        <f t="shared" si="6"/>
        <v/>
      </c>
      <c r="AK443" s="21" t="str">
        <f>IF(B443="","",OR(K443="Not in use",K443="Low use")+AND(N443&lt;&gt;"",N443&lt;&gt;"TBD")+AND(ISNUMBER(U443),U443&lt;=EDATE('Scoring Settings'!$B$4,'Scoring Settings'!$B$8))+AND(ISNUMBER(L443),L443&lt;='Scoring Settings'!$B$7))</f>
        <v/>
      </c>
      <c r="AL443" s="17" t="str">
        <f>IF(B443="","",IF(K443="Not in use","Priority – Not in use",IF(AK443&gt;='Scoring Settings'!$B$9,"Decommission",IF(AK443=1,"Review","Retain"))))</f>
        <v/>
      </c>
      <c r="AM443" s="17" t="str">
        <f>IF(B443="","",IF(Z443="N","Easy",IF(OR(AND(ISNUMBER(AB443),AB443&gt;'Scoring Settings'!$B$11),AND(ISNUMBER(W443),W443&gt;'Scoring Settings'!$B$12),AND(ISNUMBER(M443),M443&lt;='Scoring Settings'!$B$13)),"High","Medium")))</f>
        <v/>
      </c>
      <c r="AN443" s="14"/>
      <c r="AO443" s="16"/>
      <c r="AP443" s="14"/>
      <c r="AQ443" s="22"/>
    </row>
    <row r="444" spans="1:43">
      <c r="A444" s="14"/>
      <c r="B444" s="14"/>
      <c r="C444" s="14"/>
      <c r="D444" s="14"/>
      <c r="E444" s="14"/>
      <c r="F444" s="14"/>
      <c r="G444" s="14"/>
      <c r="H444" s="14"/>
      <c r="I444" s="15"/>
      <c r="J444" s="16"/>
      <c r="K444" s="17" t="str">
        <f>IF(B444="","",IF(AND(I444="",J444=""),"Unknown",IF(OR(AND(ISNUMBER(I444),I444=0),AND(ISNUMBER(J444),J444&lt;=EDATE('Scoring Settings'!$B$4,-'Scoring Settings'!$B$5))),"Not in use",IF(AND(ISNUMBER(I444),I444&lt;'Scoring Settings'!$B$6),"Low use","Active"))))</f>
        <v/>
      </c>
      <c r="L444" s="14"/>
      <c r="M444" s="14"/>
      <c r="N444" s="14"/>
      <c r="O444" s="14"/>
      <c r="P444" s="14"/>
      <c r="Q444" s="18"/>
      <c r="R444" s="14"/>
      <c r="S444" s="14"/>
      <c r="T444" s="14"/>
      <c r="U444" s="16"/>
      <c r="V444" s="14"/>
      <c r="W444" s="15"/>
      <c r="X444" s="14"/>
      <c r="Y444" s="18"/>
      <c r="Z444" s="14"/>
      <c r="AA444" s="14"/>
      <c r="AB444" s="18"/>
      <c r="AC444" s="14"/>
      <c r="AD444" s="14"/>
      <c r="AE444" s="14"/>
      <c r="AF444" s="19"/>
      <c r="AG444" s="16"/>
      <c r="AH444" s="19"/>
      <c r="AI444" s="19"/>
      <c r="AJ444" s="20" t="str">
        <f t="shared" si="6"/>
        <v/>
      </c>
      <c r="AK444" s="21" t="str">
        <f>IF(B444="","",OR(K444="Not in use",K444="Low use")+AND(N444&lt;&gt;"",N444&lt;&gt;"TBD")+AND(ISNUMBER(U444),U444&lt;=EDATE('Scoring Settings'!$B$4,'Scoring Settings'!$B$8))+AND(ISNUMBER(L444),L444&lt;='Scoring Settings'!$B$7))</f>
        <v/>
      </c>
      <c r="AL444" s="17" t="str">
        <f>IF(B444="","",IF(K444="Not in use","Priority – Not in use",IF(AK444&gt;='Scoring Settings'!$B$9,"Decommission",IF(AK444=1,"Review","Retain"))))</f>
        <v/>
      </c>
      <c r="AM444" s="17" t="str">
        <f>IF(B444="","",IF(Z444="N","Easy",IF(OR(AND(ISNUMBER(AB444),AB444&gt;'Scoring Settings'!$B$11),AND(ISNUMBER(W444),W444&gt;'Scoring Settings'!$B$12),AND(ISNUMBER(M444),M444&lt;='Scoring Settings'!$B$13)),"High","Medium")))</f>
        <v/>
      </c>
      <c r="AN444" s="14"/>
      <c r="AO444" s="16"/>
      <c r="AP444" s="14"/>
      <c r="AQ444" s="22"/>
    </row>
    <row r="445" spans="1:43">
      <c r="A445" s="14"/>
      <c r="B445" s="14"/>
      <c r="C445" s="14"/>
      <c r="D445" s="14"/>
      <c r="E445" s="14"/>
      <c r="F445" s="14"/>
      <c r="G445" s="14"/>
      <c r="H445" s="14"/>
      <c r="I445" s="15"/>
      <c r="J445" s="16"/>
      <c r="K445" s="17" t="str">
        <f>IF(B445="","",IF(AND(I445="",J445=""),"Unknown",IF(OR(AND(ISNUMBER(I445),I445=0),AND(ISNUMBER(J445),J445&lt;=EDATE('Scoring Settings'!$B$4,-'Scoring Settings'!$B$5))),"Not in use",IF(AND(ISNUMBER(I445),I445&lt;'Scoring Settings'!$B$6),"Low use","Active"))))</f>
        <v/>
      </c>
      <c r="L445" s="14"/>
      <c r="M445" s="14"/>
      <c r="N445" s="14"/>
      <c r="O445" s="14"/>
      <c r="P445" s="14"/>
      <c r="Q445" s="18"/>
      <c r="R445" s="14"/>
      <c r="S445" s="14"/>
      <c r="T445" s="14"/>
      <c r="U445" s="16"/>
      <c r="V445" s="14"/>
      <c r="W445" s="15"/>
      <c r="X445" s="14"/>
      <c r="Y445" s="18"/>
      <c r="Z445" s="14"/>
      <c r="AA445" s="14"/>
      <c r="AB445" s="18"/>
      <c r="AC445" s="14"/>
      <c r="AD445" s="14"/>
      <c r="AE445" s="14"/>
      <c r="AF445" s="19"/>
      <c r="AG445" s="16"/>
      <c r="AH445" s="19"/>
      <c r="AI445" s="19"/>
      <c r="AJ445" s="20" t="str">
        <f t="shared" si="6"/>
        <v/>
      </c>
      <c r="AK445" s="21" t="str">
        <f>IF(B445="","",OR(K445="Not in use",K445="Low use")+AND(N445&lt;&gt;"",N445&lt;&gt;"TBD")+AND(ISNUMBER(U445),U445&lt;=EDATE('Scoring Settings'!$B$4,'Scoring Settings'!$B$8))+AND(ISNUMBER(L445),L445&lt;='Scoring Settings'!$B$7))</f>
        <v/>
      </c>
      <c r="AL445" s="17" t="str">
        <f>IF(B445="","",IF(K445="Not in use","Priority – Not in use",IF(AK445&gt;='Scoring Settings'!$B$9,"Decommission",IF(AK445=1,"Review","Retain"))))</f>
        <v/>
      </c>
      <c r="AM445" s="17" t="str">
        <f>IF(B445="","",IF(Z445="N","Easy",IF(OR(AND(ISNUMBER(AB445),AB445&gt;'Scoring Settings'!$B$11),AND(ISNUMBER(W445),W445&gt;'Scoring Settings'!$B$12),AND(ISNUMBER(M445),M445&lt;='Scoring Settings'!$B$13)),"High","Medium")))</f>
        <v/>
      </c>
      <c r="AN445" s="14"/>
      <c r="AO445" s="16"/>
      <c r="AP445" s="14"/>
      <c r="AQ445" s="22"/>
    </row>
    <row r="446" spans="1:43">
      <c r="A446" s="14"/>
      <c r="B446" s="14"/>
      <c r="C446" s="14"/>
      <c r="D446" s="14"/>
      <c r="E446" s="14"/>
      <c r="F446" s="14"/>
      <c r="G446" s="14"/>
      <c r="H446" s="14"/>
      <c r="I446" s="15"/>
      <c r="J446" s="16"/>
      <c r="K446" s="17" t="str">
        <f>IF(B446="","",IF(AND(I446="",J446=""),"Unknown",IF(OR(AND(ISNUMBER(I446),I446=0),AND(ISNUMBER(J446),J446&lt;=EDATE('Scoring Settings'!$B$4,-'Scoring Settings'!$B$5))),"Not in use",IF(AND(ISNUMBER(I446),I446&lt;'Scoring Settings'!$B$6),"Low use","Active"))))</f>
        <v/>
      </c>
      <c r="L446" s="14"/>
      <c r="M446" s="14"/>
      <c r="N446" s="14"/>
      <c r="O446" s="14"/>
      <c r="P446" s="14"/>
      <c r="Q446" s="18"/>
      <c r="R446" s="14"/>
      <c r="S446" s="14"/>
      <c r="T446" s="14"/>
      <c r="U446" s="16"/>
      <c r="V446" s="14"/>
      <c r="W446" s="15"/>
      <c r="X446" s="14"/>
      <c r="Y446" s="18"/>
      <c r="Z446" s="14"/>
      <c r="AA446" s="14"/>
      <c r="AB446" s="18"/>
      <c r="AC446" s="14"/>
      <c r="AD446" s="14"/>
      <c r="AE446" s="14"/>
      <c r="AF446" s="19"/>
      <c r="AG446" s="16"/>
      <c r="AH446" s="19"/>
      <c r="AI446" s="19"/>
      <c r="AJ446" s="20" t="str">
        <f t="shared" si="6"/>
        <v/>
      </c>
      <c r="AK446" s="21" t="str">
        <f>IF(B446="","",OR(K446="Not in use",K446="Low use")+AND(N446&lt;&gt;"",N446&lt;&gt;"TBD")+AND(ISNUMBER(U446),U446&lt;=EDATE('Scoring Settings'!$B$4,'Scoring Settings'!$B$8))+AND(ISNUMBER(L446),L446&lt;='Scoring Settings'!$B$7))</f>
        <v/>
      </c>
      <c r="AL446" s="17" t="str">
        <f>IF(B446="","",IF(K446="Not in use","Priority – Not in use",IF(AK446&gt;='Scoring Settings'!$B$9,"Decommission",IF(AK446=1,"Review","Retain"))))</f>
        <v/>
      </c>
      <c r="AM446" s="17" t="str">
        <f>IF(B446="","",IF(Z446="N","Easy",IF(OR(AND(ISNUMBER(AB446),AB446&gt;'Scoring Settings'!$B$11),AND(ISNUMBER(W446),W446&gt;'Scoring Settings'!$B$12),AND(ISNUMBER(M446),M446&lt;='Scoring Settings'!$B$13)),"High","Medium")))</f>
        <v/>
      </c>
      <c r="AN446" s="14"/>
      <c r="AO446" s="16"/>
      <c r="AP446" s="14"/>
      <c r="AQ446" s="22"/>
    </row>
    <row r="447" spans="1:43">
      <c r="A447" s="14"/>
      <c r="B447" s="14"/>
      <c r="C447" s="14"/>
      <c r="D447" s="14"/>
      <c r="E447" s="14"/>
      <c r="F447" s="14"/>
      <c r="G447" s="14"/>
      <c r="H447" s="14"/>
      <c r="I447" s="15"/>
      <c r="J447" s="16"/>
      <c r="K447" s="17" t="str">
        <f>IF(B447="","",IF(AND(I447="",J447=""),"Unknown",IF(OR(AND(ISNUMBER(I447),I447=0),AND(ISNUMBER(J447),J447&lt;=EDATE('Scoring Settings'!$B$4,-'Scoring Settings'!$B$5))),"Not in use",IF(AND(ISNUMBER(I447),I447&lt;'Scoring Settings'!$B$6),"Low use","Active"))))</f>
        <v/>
      </c>
      <c r="L447" s="14"/>
      <c r="M447" s="14"/>
      <c r="N447" s="14"/>
      <c r="O447" s="14"/>
      <c r="P447" s="14"/>
      <c r="Q447" s="18"/>
      <c r="R447" s="14"/>
      <c r="S447" s="14"/>
      <c r="T447" s="14"/>
      <c r="U447" s="16"/>
      <c r="V447" s="14"/>
      <c r="W447" s="15"/>
      <c r="X447" s="14"/>
      <c r="Y447" s="18"/>
      <c r="Z447" s="14"/>
      <c r="AA447" s="14"/>
      <c r="AB447" s="18"/>
      <c r="AC447" s="14"/>
      <c r="AD447" s="14"/>
      <c r="AE447" s="14"/>
      <c r="AF447" s="19"/>
      <c r="AG447" s="16"/>
      <c r="AH447" s="19"/>
      <c r="AI447" s="19"/>
      <c r="AJ447" s="20" t="str">
        <f t="shared" si="6"/>
        <v/>
      </c>
      <c r="AK447" s="21" t="str">
        <f>IF(B447="","",OR(K447="Not in use",K447="Low use")+AND(N447&lt;&gt;"",N447&lt;&gt;"TBD")+AND(ISNUMBER(U447),U447&lt;=EDATE('Scoring Settings'!$B$4,'Scoring Settings'!$B$8))+AND(ISNUMBER(L447),L447&lt;='Scoring Settings'!$B$7))</f>
        <v/>
      </c>
      <c r="AL447" s="17" t="str">
        <f>IF(B447="","",IF(K447="Not in use","Priority – Not in use",IF(AK447&gt;='Scoring Settings'!$B$9,"Decommission",IF(AK447=1,"Review","Retain"))))</f>
        <v/>
      </c>
      <c r="AM447" s="17" t="str">
        <f>IF(B447="","",IF(Z447="N","Easy",IF(OR(AND(ISNUMBER(AB447),AB447&gt;'Scoring Settings'!$B$11),AND(ISNUMBER(W447),W447&gt;'Scoring Settings'!$B$12),AND(ISNUMBER(M447),M447&lt;='Scoring Settings'!$B$13)),"High","Medium")))</f>
        <v/>
      </c>
      <c r="AN447" s="14"/>
      <c r="AO447" s="16"/>
      <c r="AP447" s="14"/>
      <c r="AQ447" s="22"/>
    </row>
    <row r="448" spans="1:43">
      <c r="A448" s="14"/>
      <c r="B448" s="14"/>
      <c r="C448" s="14"/>
      <c r="D448" s="14"/>
      <c r="E448" s="14"/>
      <c r="F448" s="14"/>
      <c r="G448" s="14"/>
      <c r="H448" s="14"/>
      <c r="I448" s="15"/>
      <c r="J448" s="16"/>
      <c r="K448" s="17" t="str">
        <f>IF(B448="","",IF(AND(I448="",J448=""),"Unknown",IF(OR(AND(ISNUMBER(I448),I448=0),AND(ISNUMBER(J448),J448&lt;=EDATE('Scoring Settings'!$B$4,-'Scoring Settings'!$B$5))),"Not in use",IF(AND(ISNUMBER(I448),I448&lt;'Scoring Settings'!$B$6),"Low use","Active"))))</f>
        <v/>
      </c>
      <c r="L448" s="14"/>
      <c r="M448" s="14"/>
      <c r="N448" s="14"/>
      <c r="O448" s="14"/>
      <c r="P448" s="14"/>
      <c r="Q448" s="18"/>
      <c r="R448" s="14"/>
      <c r="S448" s="14"/>
      <c r="T448" s="14"/>
      <c r="U448" s="16"/>
      <c r="V448" s="14"/>
      <c r="W448" s="15"/>
      <c r="X448" s="14"/>
      <c r="Y448" s="18"/>
      <c r="Z448" s="14"/>
      <c r="AA448" s="14"/>
      <c r="AB448" s="18"/>
      <c r="AC448" s="14"/>
      <c r="AD448" s="14"/>
      <c r="AE448" s="14"/>
      <c r="AF448" s="19"/>
      <c r="AG448" s="16"/>
      <c r="AH448" s="19"/>
      <c r="AI448" s="19"/>
      <c r="AJ448" s="20" t="str">
        <f t="shared" si="6"/>
        <v/>
      </c>
      <c r="AK448" s="21" t="str">
        <f>IF(B448="","",OR(K448="Not in use",K448="Low use")+AND(N448&lt;&gt;"",N448&lt;&gt;"TBD")+AND(ISNUMBER(U448),U448&lt;=EDATE('Scoring Settings'!$B$4,'Scoring Settings'!$B$8))+AND(ISNUMBER(L448),L448&lt;='Scoring Settings'!$B$7))</f>
        <v/>
      </c>
      <c r="AL448" s="17" t="str">
        <f>IF(B448="","",IF(K448="Not in use","Priority – Not in use",IF(AK448&gt;='Scoring Settings'!$B$9,"Decommission",IF(AK448=1,"Review","Retain"))))</f>
        <v/>
      </c>
      <c r="AM448" s="17" t="str">
        <f>IF(B448="","",IF(Z448="N","Easy",IF(OR(AND(ISNUMBER(AB448),AB448&gt;'Scoring Settings'!$B$11),AND(ISNUMBER(W448),W448&gt;'Scoring Settings'!$B$12),AND(ISNUMBER(M448),M448&lt;='Scoring Settings'!$B$13)),"High","Medium")))</f>
        <v/>
      </c>
      <c r="AN448" s="14"/>
      <c r="AO448" s="16"/>
      <c r="AP448" s="14"/>
      <c r="AQ448" s="22"/>
    </row>
    <row r="449" spans="1:43">
      <c r="A449" s="14"/>
      <c r="B449" s="14"/>
      <c r="C449" s="14"/>
      <c r="D449" s="14"/>
      <c r="E449" s="14"/>
      <c r="F449" s="14"/>
      <c r="G449" s="14"/>
      <c r="H449" s="14"/>
      <c r="I449" s="15"/>
      <c r="J449" s="16"/>
      <c r="K449" s="17" t="str">
        <f>IF(B449="","",IF(AND(I449="",J449=""),"Unknown",IF(OR(AND(ISNUMBER(I449),I449=0),AND(ISNUMBER(J449),J449&lt;=EDATE('Scoring Settings'!$B$4,-'Scoring Settings'!$B$5))),"Not in use",IF(AND(ISNUMBER(I449),I449&lt;'Scoring Settings'!$B$6),"Low use","Active"))))</f>
        <v/>
      </c>
      <c r="L449" s="14"/>
      <c r="M449" s="14"/>
      <c r="N449" s="14"/>
      <c r="O449" s="14"/>
      <c r="P449" s="14"/>
      <c r="Q449" s="18"/>
      <c r="R449" s="14"/>
      <c r="S449" s="14"/>
      <c r="T449" s="14"/>
      <c r="U449" s="16"/>
      <c r="V449" s="14"/>
      <c r="W449" s="15"/>
      <c r="X449" s="14"/>
      <c r="Y449" s="18"/>
      <c r="Z449" s="14"/>
      <c r="AA449" s="14"/>
      <c r="AB449" s="18"/>
      <c r="AC449" s="14"/>
      <c r="AD449" s="14"/>
      <c r="AE449" s="14"/>
      <c r="AF449" s="19"/>
      <c r="AG449" s="16"/>
      <c r="AH449" s="19"/>
      <c r="AI449" s="19"/>
      <c r="AJ449" s="20" t="str">
        <f t="shared" si="6"/>
        <v/>
      </c>
      <c r="AK449" s="21" t="str">
        <f>IF(B449="","",OR(K449="Not in use",K449="Low use")+AND(N449&lt;&gt;"",N449&lt;&gt;"TBD")+AND(ISNUMBER(U449),U449&lt;=EDATE('Scoring Settings'!$B$4,'Scoring Settings'!$B$8))+AND(ISNUMBER(L449),L449&lt;='Scoring Settings'!$B$7))</f>
        <v/>
      </c>
      <c r="AL449" s="17" t="str">
        <f>IF(B449="","",IF(K449="Not in use","Priority – Not in use",IF(AK449&gt;='Scoring Settings'!$B$9,"Decommission",IF(AK449=1,"Review","Retain"))))</f>
        <v/>
      </c>
      <c r="AM449" s="17" t="str">
        <f>IF(B449="","",IF(Z449="N","Easy",IF(OR(AND(ISNUMBER(AB449),AB449&gt;'Scoring Settings'!$B$11),AND(ISNUMBER(W449),W449&gt;'Scoring Settings'!$B$12),AND(ISNUMBER(M449),M449&lt;='Scoring Settings'!$B$13)),"High","Medium")))</f>
        <v/>
      </c>
      <c r="AN449" s="14"/>
      <c r="AO449" s="16"/>
      <c r="AP449" s="14"/>
      <c r="AQ449" s="22"/>
    </row>
    <row r="450" spans="1:43">
      <c r="A450" s="14"/>
      <c r="B450" s="14"/>
      <c r="C450" s="14"/>
      <c r="D450" s="14"/>
      <c r="E450" s="14"/>
      <c r="F450" s="14"/>
      <c r="G450" s="14"/>
      <c r="H450" s="14"/>
      <c r="I450" s="15"/>
      <c r="J450" s="16"/>
      <c r="K450" s="17" t="str">
        <f>IF(B450="","",IF(AND(I450="",J450=""),"Unknown",IF(OR(AND(ISNUMBER(I450),I450=0),AND(ISNUMBER(J450),J450&lt;=EDATE('Scoring Settings'!$B$4,-'Scoring Settings'!$B$5))),"Not in use",IF(AND(ISNUMBER(I450),I450&lt;'Scoring Settings'!$B$6),"Low use","Active"))))</f>
        <v/>
      </c>
      <c r="L450" s="14"/>
      <c r="M450" s="14"/>
      <c r="N450" s="14"/>
      <c r="O450" s="14"/>
      <c r="P450" s="14"/>
      <c r="Q450" s="18"/>
      <c r="R450" s="14"/>
      <c r="S450" s="14"/>
      <c r="T450" s="14"/>
      <c r="U450" s="16"/>
      <c r="V450" s="14"/>
      <c r="W450" s="15"/>
      <c r="X450" s="14"/>
      <c r="Y450" s="18"/>
      <c r="Z450" s="14"/>
      <c r="AA450" s="14"/>
      <c r="AB450" s="18"/>
      <c r="AC450" s="14"/>
      <c r="AD450" s="14"/>
      <c r="AE450" s="14"/>
      <c r="AF450" s="19"/>
      <c r="AG450" s="16"/>
      <c r="AH450" s="19"/>
      <c r="AI450" s="19"/>
      <c r="AJ450" s="20" t="str">
        <f t="shared" si="6"/>
        <v/>
      </c>
      <c r="AK450" s="21" t="str">
        <f>IF(B450="","",OR(K450="Not in use",K450="Low use")+AND(N450&lt;&gt;"",N450&lt;&gt;"TBD")+AND(ISNUMBER(U450),U450&lt;=EDATE('Scoring Settings'!$B$4,'Scoring Settings'!$B$8))+AND(ISNUMBER(L450),L450&lt;='Scoring Settings'!$B$7))</f>
        <v/>
      </c>
      <c r="AL450" s="17" t="str">
        <f>IF(B450="","",IF(K450="Not in use","Priority – Not in use",IF(AK450&gt;='Scoring Settings'!$B$9,"Decommission",IF(AK450=1,"Review","Retain"))))</f>
        <v/>
      </c>
      <c r="AM450" s="17" t="str">
        <f>IF(B450="","",IF(Z450="N","Easy",IF(OR(AND(ISNUMBER(AB450),AB450&gt;'Scoring Settings'!$B$11),AND(ISNUMBER(W450),W450&gt;'Scoring Settings'!$B$12),AND(ISNUMBER(M450),M450&lt;='Scoring Settings'!$B$13)),"High","Medium")))</f>
        <v/>
      </c>
      <c r="AN450" s="14"/>
      <c r="AO450" s="16"/>
      <c r="AP450" s="14"/>
      <c r="AQ450" s="22"/>
    </row>
    <row r="451" spans="1:43">
      <c r="A451" s="14"/>
      <c r="B451" s="14"/>
      <c r="C451" s="14"/>
      <c r="D451" s="14"/>
      <c r="E451" s="14"/>
      <c r="F451" s="14"/>
      <c r="G451" s="14"/>
      <c r="H451" s="14"/>
      <c r="I451" s="15"/>
      <c r="J451" s="16"/>
      <c r="K451" s="17" t="str">
        <f>IF(B451="","",IF(AND(I451="",J451=""),"Unknown",IF(OR(AND(ISNUMBER(I451),I451=0),AND(ISNUMBER(J451),J451&lt;=EDATE('Scoring Settings'!$B$4,-'Scoring Settings'!$B$5))),"Not in use",IF(AND(ISNUMBER(I451),I451&lt;'Scoring Settings'!$B$6),"Low use","Active"))))</f>
        <v/>
      </c>
      <c r="L451" s="14"/>
      <c r="M451" s="14"/>
      <c r="N451" s="14"/>
      <c r="O451" s="14"/>
      <c r="P451" s="14"/>
      <c r="Q451" s="18"/>
      <c r="R451" s="14"/>
      <c r="S451" s="14"/>
      <c r="T451" s="14"/>
      <c r="U451" s="16"/>
      <c r="V451" s="14"/>
      <c r="W451" s="15"/>
      <c r="X451" s="14"/>
      <c r="Y451" s="18"/>
      <c r="Z451" s="14"/>
      <c r="AA451" s="14"/>
      <c r="AB451" s="18"/>
      <c r="AC451" s="14"/>
      <c r="AD451" s="14"/>
      <c r="AE451" s="14"/>
      <c r="AF451" s="19"/>
      <c r="AG451" s="16"/>
      <c r="AH451" s="19"/>
      <c r="AI451" s="19"/>
      <c r="AJ451" s="20" t="str">
        <f t="shared" si="6"/>
        <v/>
      </c>
      <c r="AK451" s="21" t="str">
        <f>IF(B451="","",OR(K451="Not in use",K451="Low use")+AND(N451&lt;&gt;"",N451&lt;&gt;"TBD")+AND(ISNUMBER(U451),U451&lt;=EDATE('Scoring Settings'!$B$4,'Scoring Settings'!$B$8))+AND(ISNUMBER(L451),L451&lt;='Scoring Settings'!$B$7))</f>
        <v/>
      </c>
      <c r="AL451" s="17" t="str">
        <f>IF(B451="","",IF(K451="Not in use","Priority – Not in use",IF(AK451&gt;='Scoring Settings'!$B$9,"Decommission",IF(AK451=1,"Review","Retain"))))</f>
        <v/>
      </c>
      <c r="AM451" s="17" t="str">
        <f>IF(B451="","",IF(Z451="N","Easy",IF(OR(AND(ISNUMBER(AB451),AB451&gt;'Scoring Settings'!$B$11),AND(ISNUMBER(W451),W451&gt;'Scoring Settings'!$B$12),AND(ISNUMBER(M451),M451&lt;='Scoring Settings'!$B$13)),"High","Medium")))</f>
        <v/>
      </c>
      <c r="AN451" s="14"/>
      <c r="AO451" s="16"/>
      <c r="AP451" s="14"/>
      <c r="AQ451" s="22"/>
    </row>
    <row r="452" spans="1:43">
      <c r="A452" s="14"/>
      <c r="B452" s="14"/>
      <c r="C452" s="14"/>
      <c r="D452" s="14"/>
      <c r="E452" s="14"/>
      <c r="F452" s="14"/>
      <c r="G452" s="14"/>
      <c r="H452" s="14"/>
      <c r="I452" s="15"/>
      <c r="J452" s="16"/>
      <c r="K452" s="17" t="str">
        <f>IF(B452="","",IF(AND(I452="",J452=""),"Unknown",IF(OR(AND(ISNUMBER(I452),I452=0),AND(ISNUMBER(J452),J452&lt;=EDATE('Scoring Settings'!$B$4,-'Scoring Settings'!$B$5))),"Not in use",IF(AND(ISNUMBER(I452),I452&lt;'Scoring Settings'!$B$6),"Low use","Active"))))</f>
        <v/>
      </c>
      <c r="L452" s="14"/>
      <c r="M452" s="14"/>
      <c r="N452" s="14"/>
      <c r="O452" s="14"/>
      <c r="P452" s="14"/>
      <c r="Q452" s="18"/>
      <c r="R452" s="14"/>
      <c r="S452" s="14"/>
      <c r="T452" s="14"/>
      <c r="U452" s="16"/>
      <c r="V452" s="14"/>
      <c r="W452" s="15"/>
      <c r="X452" s="14"/>
      <c r="Y452" s="18"/>
      <c r="Z452" s="14"/>
      <c r="AA452" s="14"/>
      <c r="AB452" s="18"/>
      <c r="AC452" s="14"/>
      <c r="AD452" s="14"/>
      <c r="AE452" s="14"/>
      <c r="AF452" s="19"/>
      <c r="AG452" s="16"/>
      <c r="AH452" s="19"/>
      <c r="AI452" s="19"/>
      <c r="AJ452" s="20" t="str">
        <f t="shared" si="6"/>
        <v/>
      </c>
      <c r="AK452" s="21" t="str">
        <f>IF(B452="","",OR(K452="Not in use",K452="Low use")+AND(N452&lt;&gt;"",N452&lt;&gt;"TBD")+AND(ISNUMBER(U452),U452&lt;=EDATE('Scoring Settings'!$B$4,'Scoring Settings'!$B$8))+AND(ISNUMBER(L452),L452&lt;='Scoring Settings'!$B$7))</f>
        <v/>
      </c>
      <c r="AL452" s="17" t="str">
        <f>IF(B452="","",IF(K452="Not in use","Priority – Not in use",IF(AK452&gt;='Scoring Settings'!$B$9,"Decommission",IF(AK452=1,"Review","Retain"))))</f>
        <v/>
      </c>
      <c r="AM452" s="17" t="str">
        <f>IF(B452="","",IF(Z452="N","Easy",IF(OR(AND(ISNUMBER(AB452),AB452&gt;'Scoring Settings'!$B$11),AND(ISNUMBER(W452),W452&gt;'Scoring Settings'!$B$12),AND(ISNUMBER(M452),M452&lt;='Scoring Settings'!$B$13)),"High","Medium")))</f>
        <v/>
      </c>
      <c r="AN452" s="14"/>
      <c r="AO452" s="16"/>
      <c r="AP452" s="14"/>
      <c r="AQ452" s="22"/>
    </row>
    <row r="453" spans="1:43">
      <c r="A453" s="14"/>
      <c r="B453" s="14"/>
      <c r="C453" s="14"/>
      <c r="D453" s="14"/>
      <c r="E453" s="14"/>
      <c r="F453" s="14"/>
      <c r="G453" s="14"/>
      <c r="H453" s="14"/>
      <c r="I453" s="15"/>
      <c r="J453" s="16"/>
      <c r="K453" s="17" t="str">
        <f>IF(B453="","",IF(AND(I453="",J453=""),"Unknown",IF(OR(AND(ISNUMBER(I453),I453=0),AND(ISNUMBER(J453),J453&lt;=EDATE('Scoring Settings'!$B$4,-'Scoring Settings'!$B$5))),"Not in use",IF(AND(ISNUMBER(I453),I453&lt;'Scoring Settings'!$B$6),"Low use","Active"))))</f>
        <v/>
      </c>
      <c r="L453" s="14"/>
      <c r="M453" s="14"/>
      <c r="N453" s="14"/>
      <c r="O453" s="14"/>
      <c r="P453" s="14"/>
      <c r="Q453" s="18"/>
      <c r="R453" s="14"/>
      <c r="S453" s="14"/>
      <c r="T453" s="14"/>
      <c r="U453" s="16"/>
      <c r="V453" s="14"/>
      <c r="W453" s="15"/>
      <c r="X453" s="14"/>
      <c r="Y453" s="18"/>
      <c r="Z453" s="14"/>
      <c r="AA453" s="14"/>
      <c r="AB453" s="18"/>
      <c r="AC453" s="14"/>
      <c r="AD453" s="14"/>
      <c r="AE453" s="14"/>
      <c r="AF453" s="19"/>
      <c r="AG453" s="16"/>
      <c r="AH453" s="19"/>
      <c r="AI453" s="19"/>
      <c r="AJ453" s="20" t="str">
        <f t="shared" ref="AJ453:AJ516" si="7">IF(AND(ISNUMBER(AH453),ISNUMBER(AI453),N(AI453)&gt;0),AH453/AI453*12,"")</f>
        <v/>
      </c>
      <c r="AK453" s="21" t="str">
        <f>IF(B453="","",OR(K453="Not in use",K453="Low use")+AND(N453&lt;&gt;"",N453&lt;&gt;"TBD")+AND(ISNUMBER(U453),U453&lt;=EDATE('Scoring Settings'!$B$4,'Scoring Settings'!$B$8))+AND(ISNUMBER(L453),L453&lt;='Scoring Settings'!$B$7))</f>
        <v/>
      </c>
      <c r="AL453" s="17" t="str">
        <f>IF(B453="","",IF(K453="Not in use","Priority – Not in use",IF(AK453&gt;='Scoring Settings'!$B$9,"Decommission",IF(AK453=1,"Review","Retain"))))</f>
        <v/>
      </c>
      <c r="AM453" s="17" t="str">
        <f>IF(B453="","",IF(Z453="N","Easy",IF(OR(AND(ISNUMBER(AB453),AB453&gt;'Scoring Settings'!$B$11),AND(ISNUMBER(W453),W453&gt;'Scoring Settings'!$B$12),AND(ISNUMBER(M453),M453&lt;='Scoring Settings'!$B$13)),"High","Medium")))</f>
        <v/>
      </c>
      <c r="AN453" s="14"/>
      <c r="AO453" s="16"/>
      <c r="AP453" s="14"/>
      <c r="AQ453" s="22"/>
    </row>
    <row r="454" spans="1:43">
      <c r="A454" s="14"/>
      <c r="B454" s="14"/>
      <c r="C454" s="14"/>
      <c r="D454" s="14"/>
      <c r="E454" s="14"/>
      <c r="F454" s="14"/>
      <c r="G454" s="14"/>
      <c r="H454" s="14"/>
      <c r="I454" s="15"/>
      <c r="J454" s="16"/>
      <c r="K454" s="17" t="str">
        <f>IF(B454="","",IF(AND(I454="",J454=""),"Unknown",IF(OR(AND(ISNUMBER(I454),I454=0),AND(ISNUMBER(J454),J454&lt;=EDATE('Scoring Settings'!$B$4,-'Scoring Settings'!$B$5))),"Not in use",IF(AND(ISNUMBER(I454),I454&lt;'Scoring Settings'!$B$6),"Low use","Active"))))</f>
        <v/>
      </c>
      <c r="L454" s="14"/>
      <c r="M454" s="14"/>
      <c r="N454" s="14"/>
      <c r="O454" s="14"/>
      <c r="P454" s="14"/>
      <c r="Q454" s="18"/>
      <c r="R454" s="14"/>
      <c r="S454" s="14"/>
      <c r="T454" s="14"/>
      <c r="U454" s="16"/>
      <c r="V454" s="14"/>
      <c r="W454" s="15"/>
      <c r="X454" s="14"/>
      <c r="Y454" s="18"/>
      <c r="Z454" s="14"/>
      <c r="AA454" s="14"/>
      <c r="AB454" s="18"/>
      <c r="AC454" s="14"/>
      <c r="AD454" s="14"/>
      <c r="AE454" s="14"/>
      <c r="AF454" s="19"/>
      <c r="AG454" s="16"/>
      <c r="AH454" s="19"/>
      <c r="AI454" s="19"/>
      <c r="AJ454" s="20" t="str">
        <f t="shared" si="7"/>
        <v/>
      </c>
      <c r="AK454" s="21" t="str">
        <f>IF(B454="","",OR(K454="Not in use",K454="Low use")+AND(N454&lt;&gt;"",N454&lt;&gt;"TBD")+AND(ISNUMBER(U454),U454&lt;=EDATE('Scoring Settings'!$B$4,'Scoring Settings'!$B$8))+AND(ISNUMBER(L454),L454&lt;='Scoring Settings'!$B$7))</f>
        <v/>
      </c>
      <c r="AL454" s="17" t="str">
        <f>IF(B454="","",IF(K454="Not in use","Priority – Not in use",IF(AK454&gt;='Scoring Settings'!$B$9,"Decommission",IF(AK454=1,"Review","Retain"))))</f>
        <v/>
      </c>
      <c r="AM454" s="17" t="str">
        <f>IF(B454="","",IF(Z454="N","Easy",IF(OR(AND(ISNUMBER(AB454),AB454&gt;'Scoring Settings'!$B$11),AND(ISNUMBER(W454),W454&gt;'Scoring Settings'!$B$12),AND(ISNUMBER(M454),M454&lt;='Scoring Settings'!$B$13)),"High","Medium")))</f>
        <v/>
      </c>
      <c r="AN454" s="14"/>
      <c r="AO454" s="16"/>
      <c r="AP454" s="14"/>
      <c r="AQ454" s="22"/>
    </row>
    <row r="455" spans="1:43">
      <c r="A455" s="14"/>
      <c r="B455" s="14"/>
      <c r="C455" s="14"/>
      <c r="D455" s="14"/>
      <c r="E455" s="14"/>
      <c r="F455" s="14"/>
      <c r="G455" s="14"/>
      <c r="H455" s="14"/>
      <c r="I455" s="15"/>
      <c r="J455" s="16"/>
      <c r="K455" s="17" t="str">
        <f>IF(B455="","",IF(AND(I455="",J455=""),"Unknown",IF(OR(AND(ISNUMBER(I455),I455=0),AND(ISNUMBER(J455),J455&lt;=EDATE('Scoring Settings'!$B$4,-'Scoring Settings'!$B$5))),"Not in use",IF(AND(ISNUMBER(I455),I455&lt;'Scoring Settings'!$B$6),"Low use","Active"))))</f>
        <v/>
      </c>
      <c r="L455" s="14"/>
      <c r="M455" s="14"/>
      <c r="N455" s="14"/>
      <c r="O455" s="14"/>
      <c r="P455" s="14"/>
      <c r="Q455" s="18"/>
      <c r="R455" s="14"/>
      <c r="S455" s="14"/>
      <c r="T455" s="14"/>
      <c r="U455" s="16"/>
      <c r="V455" s="14"/>
      <c r="W455" s="15"/>
      <c r="X455" s="14"/>
      <c r="Y455" s="18"/>
      <c r="Z455" s="14"/>
      <c r="AA455" s="14"/>
      <c r="AB455" s="18"/>
      <c r="AC455" s="14"/>
      <c r="AD455" s="14"/>
      <c r="AE455" s="14"/>
      <c r="AF455" s="19"/>
      <c r="AG455" s="16"/>
      <c r="AH455" s="19"/>
      <c r="AI455" s="19"/>
      <c r="AJ455" s="20" t="str">
        <f t="shared" si="7"/>
        <v/>
      </c>
      <c r="AK455" s="21" t="str">
        <f>IF(B455="","",OR(K455="Not in use",K455="Low use")+AND(N455&lt;&gt;"",N455&lt;&gt;"TBD")+AND(ISNUMBER(U455),U455&lt;=EDATE('Scoring Settings'!$B$4,'Scoring Settings'!$B$8))+AND(ISNUMBER(L455),L455&lt;='Scoring Settings'!$B$7))</f>
        <v/>
      </c>
      <c r="AL455" s="17" t="str">
        <f>IF(B455="","",IF(K455="Not in use","Priority – Not in use",IF(AK455&gt;='Scoring Settings'!$B$9,"Decommission",IF(AK455=1,"Review","Retain"))))</f>
        <v/>
      </c>
      <c r="AM455" s="17" t="str">
        <f>IF(B455="","",IF(Z455="N","Easy",IF(OR(AND(ISNUMBER(AB455),AB455&gt;'Scoring Settings'!$B$11),AND(ISNUMBER(W455),W455&gt;'Scoring Settings'!$B$12),AND(ISNUMBER(M455),M455&lt;='Scoring Settings'!$B$13)),"High","Medium")))</f>
        <v/>
      </c>
      <c r="AN455" s="14"/>
      <c r="AO455" s="16"/>
      <c r="AP455" s="14"/>
      <c r="AQ455" s="22"/>
    </row>
    <row r="456" spans="1:43">
      <c r="A456" s="14"/>
      <c r="B456" s="14"/>
      <c r="C456" s="14"/>
      <c r="D456" s="14"/>
      <c r="E456" s="14"/>
      <c r="F456" s="14"/>
      <c r="G456" s="14"/>
      <c r="H456" s="14"/>
      <c r="I456" s="15"/>
      <c r="J456" s="16"/>
      <c r="K456" s="17" t="str">
        <f>IF(B456="","",IF(AND(I456="",J456=""),"Unknown",IF(OR(AND(ISNUMBER(I456),I456=0),AND(ISNUMBER(J456),J456&lt;=EDATE('Scoring Settings'!$B$4,-'Scoring Settings'!$B$5))),"Not in use",IF(AND(ISNUMBER(I456),I456&lt;'Scoring Settings'!$B$6),"Low use","Active"))))</f>
        <v/>
      </c>
      <c r="L456" s="14"/>
      <c r="M456" s="14"/>
      <c r="N456" s="14"/>
      <c r="O456" s="14"/>
      <c r="P456" s="14"/>
      <c r="Q456" s="18"/>
      <c r="R456" s="14"/>
      <c r="S456" s="14"/>
      <c r="T456" s="14"/>
      <c r="U456" s="16"/>
      <c r="V456" s="14"/>
      <c r="W456" s="15"/>
      <c r="X456" s="14"/>
      <c r="Y456" s="18"/>
      <c r="Z456" s="14"/>
      <c r="AA456" s="14"/>
      <c r="AB456" s="18"/>
      <c r="AC456" s="14"/>
      <c r="AD456" s="14"/>
      <c r="AE456" s="14"/>
      <c r="AF456" s="19"/>
      <c r="AG456" s="16"/>
      <c r="AH456" s="19"/>
      <c r="AI456" s="19"/>
      <c r="AJ456" s="20" t="str">
        <f t="shared" si="7"/>
        <v/>
      </c>
      <c r="AK456" s="21" t="str">
        <f>IF(B456="","",OR(K456="Not in use",K456="Low use")+AND(N456&lt;&gt;"",N456&lt;&gt;"TBD")+AND(ISNUMBER(U456),U456&lt;=EDATE('Scoring Settings'!$B$4,'Scoring Settings'!$B$8))+AND(ISNUMBER(L456),L456&lt;='Scoring Settings'!$B$7))</f>
        <v/>
      </c>
      <c r="AL456" s="17" t="str">
        <f>IF(B456="","",IF(K456="Not in use","Priority – Not in use",IF(AK456&gt;='Scoring Settings'!$B$9,"Decommission",IF(AK456=1,"Review","Retain"))))</f>
        <v/>
      </c>
      <c r="AM456" s="17" t="str">
        <f>IF(B456="","",IF(Z456="N","Easy",IF(OR(AND(ISNUMBER(AB456),AB456&gt;'Scoring Settings'!$B$11),AND(ISNUMBER(W456),W456&gt;'Scoring Settings'!$B$12),AND(ISNUMBER(M456),M456&lt;='Scoring Settings'!$B$13)),"High","Medium")))</f>
        <v/>
      </c>
      <c r="AN456" s="14"/>
      <c r="AO456" s="16"/>
      <c r="AP456" s="14"/>
      <c r="AQ456" s="22"/>
    </row>
    <row r="457" spans="1:43">
      <c r="A457" s="14"/>
      <c r="B457" s="14"/>
      <c r="C457" s="14"/>
      <c r="D457" s="14"/>
      <c r="E457" s="14"/>
      <c r="F457" s="14"/>
      <c r="G457" s="14"/>
      <c r="H457" s="14"/>
      <c r="I457" s="15"/>
      <c r="J457" s="16"/>
      <c r="K457" s="17" t="str">
        <f>IF(B457="","",IF(AND(I457="",J457=""),"Unknown",IF(OR(AND(ISNUMBER(I457),I457=0),AND(ISNUMBER(J457),J457&lt;=EDATE('Scoring Settings'!$B$4,-'Scoring Settings'!$B$5))),"Not in use",IF(AND(ISNUMBER(I457),I457&lt;'Scoring Settings'!$B$6),"Low use","Active"))))</f>
        <v/>
      </c>
      <c r="L457" s="14"/>
      <c r="M457" s="14"/>
      <c r="N457" s="14"/>
      <c r="O457" s="14"/>
      <c r="P457" s="14"/>
      <c r="Q457" s="18"/>
      <c r="R457" s="14"/>
      <c r="S457" s="14"/>
      <c r="T457" s="14"/>
      <c r="U457" s="16"/>
      <c r="V457" s="14"/>
      <c r="W457" s="15"/>
      <c r="X457" s="14"/>
      <c r="Y457" s="18"/>
      <c r="Z457" s="14"/>
      <c r="AA457" s="14"/>
      <c r="AB457" s="18"/>
      <c r="AC457" s="14"/>
      <c r="AD457" s="14"/>
      <c r="AE457" s="14"/>
      <c r="AF457" s="19"/>
      <c r="AG457" s="16"/>
      <c r="AH457" s="19"/>
      <c r="AI457" s="19"/>
      <c r="AJ457" s="20" t="str">
        <f t="shared" si="7"/>
        <v/>
      </c>
      <c r="AK457" s="21" t="str">
        <f>IF(B457="","",OR(K457="Not in use",K457="Low use")+AND(N457&lt;&gt;"",N457&lt;&gt;"TBD")+AND(ISNUMBER(U457),U457&lt;=EDATE('Scoring Settings'!$B$4,'Scoring Settings'!$B$8))+AND(ISNUMBER(L457),L457&lt;='Scoring Settings'!$B$7))</f>
        <v/>
      </c>
      <c r="AL457" s="17" t="str">
        <f>IF(B457="","",IF(K457="Not in use","Priority – Not in use",IF(AK457&gt;='Scoring Settings'!$B$9,"Decommission",IF(AK457=1,"Review","Retain"))))</f>
        <v/>
      </c>
      <c r="AM457" s="17" t="str">
        <f>IF(B457="","",IF(Z457="N","Easy",IF(OR(AND(ISNUMBER(AB457),AB457&gt;'Scoring Settings'!$B$11),AND(ISNUMBER(W457),W457&gt;'Scoring Settings'!$B$12),AND(ISNUMBER(M457),M457&lt;='Scoring Settings'!$B$13)),"High","Medium")))</f>
        <v/>
      </c>
      <c r="AN457" s="14"/>
      <c r="AO457" s="16"/>
      <c r="AP457" s="14"/>
      <c r="AQ457" s="22"/>
    </row>
    <row r="458" spans="1:43">
      <c r="A458" s="14"/>
      <c r="B458" s="14"/>
      <c r="C458" s="14"/>
      <c r="D458" s="14"/>
      <c r="E458" s="14"/>
      <c r="F458" s="14"/>
      <c r="G458" s="14"/>
      <c r="H458" s="14"/>
      <c r="I458" s="15"/>
      <c r="J458" s="16"/>
      <c r="K458" s="17" t="str">
        <f>IF(B458="","",IF(AND(I458="",J458=""),"Unknown",IF(OR(AND(ISNUMBER(I458),I458=0),AND(ISNUMBER(J458),J458&lt;=EDATE('Scoring Settings'!$B$4,-'Scoring Settings'!$B$5))),"Not in use",IF(AND(ISNUMBER(I458),I458&lt;'Scoring Settings'!$B$6),"Low use","Active"))))</f>
        <v/>
      </c>
      <c r="L458" s="14"/>
      <c r="M458" s="14"/>
      <c r="N458" s="14"/>
      <c r="O458" s="14"/>
      <c r="P458" s="14"/>
      <c r="Q458" s="18"/>
      <c r="R458" s="14"/>
      <c r="S458" s="14"/>
      <c r="T458" s="14"/>
      <c r="U458" s="16"/>
      <c r="V458" s="14"/>
      <c r="W458" s="15"/>
      <c r="X458" s="14"/>
      <c r="Y458" s="18"/>
      <c r="Z458" s="14"/>
      <c r="AA458" s="14"/>
      <c r="AB458" s="18"/>
      <c r="AC458" s="14"/>
      <c r="AD458" s="14"/>
      <c r="AE458" s="14"/>
      <c r="AF458" s="19"/>
      <c r="AG458" s="16"/>
      <c r="AH458" s="19"/>
      <c r="AI458" s="19"/>
      <c r="AJ458" s="20" t="str">
        <f t="shared" si="7"/>
        <v/>
      </c>
      <c r="AK458" s="21" t="str">
        <f>IF(B458="","",OR(K458="Not in use",K458="Low use")+AND(N458&lt;&gt;"",N458&lt;&gt;"TBD")+AND(ISNUMBER(U458),U458&lt;=EDATE('Scoring Settings'!$B$4,'Scoring Settings'!$B$8))+AND(ISNUMBER(L458),L458&lt;='Scoring Settings'!$B$7))</f>
        <v/>
      </c>
      <c r="AL458" s="17" t="str">
        <f>IF(B458="","",IF(K458="Not in use","Priority – Not in use",IF(AK458&gt;='Scoring Settings'!$B$9,"Decommission",IF(AK458=1,"Review","Retain"))))</f>
        <v/>
      </c>
      <c r="AM458" s="17" t="str">
        <f>IF(B458="","",IF(Z458="N","Easy",IF(OR(AND(ISNUMBER(AB458),AB458&gt;'Scoring Settings'!$B$11),AND(ISNUMBER(W458),W458&gt;'Scoring Settings'!$B$12),AND(ISNUMBER(M458),M458&lt;='Scoring Settings'!$B$13)),"High","Medium")))</f>
        <v/>
      </c>
      <c r="AN458" s="14"/>
      <c r="AO458" s="16"/>
      <c r="AP458" s="14"/>
      <c r="AQ458" s="22"/>
    </row>
    <row r="459" spans="1:43">
      <c r="A459" s="14"/>
      <c r="B459" s="14"/>
      <c r="C459" s="14"/>
      <c r="D459" s="14"/>
      <c r="E459" s="14"/>
      <c r="F459" s="14"/>
      <c r="G459" s="14"/>
      <c r="H459" s="14"/>
      <c r="I459" s="15"/>
      <c r="J459" s="16"/>
      <c r="K459" s="17" t="str">
        <f>IF(B459="","",IF(AND(I459="",J459=""),"Unknown",IF(OR(AND(ISNUMBER(I459),I459=0),AND(ISNUMBER(J459),J459&lt;=EDATE('Scoring Settings'!$B$4,-'Scoring Settings'!$B$5))),"Not in use",IF(AND(ISNUMBER(I459),I459&lt;'Scoring Settings'!$B$6),"Low use","Active"))))</f>
        <v/>
      </c>
      <c r="L459" s="14"/>
      <c r="M459" s="14"/>
      <c r="N459" s="14"/>
      <c r="O459" s="14"/>
      <c r="P459" s="14"/>
      <c r="Q459" s="18"/>
      <c r="R459" s="14"/>
      <c r="S459" s="14"/>
      <c r="T459" s="14"/>
      <c r="U459" s="16"/>
      <c r="V459" s="14"/>
      <c r="W459" s="15"/>
      <c r="X459" s="14"/>
      <c r="Y459" s="18"/>
      <c r="Z459" s="14"/>
      <c r="AA459" s="14"/>
      <c r="AB459" s="18"/>
      <c r="AC459" s="14"/>
      <c r="AD459" s="14"/>
      <c r="AE459" s="14"/>
      <c r="AF459" s="19"/>
      <c r="AG459" s="16"/>
      <c r="AH459" s="19"/>
      <c r="AI459" s="19"/>
      <c r="AJ459" s="20" t="str">
        <f t="shared" si="7"/>
        <v/>
      </c>
      <c r="AK459" s="21" t="str">
        <f>IF(B459="","",OR(K459="Not in use",K459="Low use")+AND(N459&lt;&gt;"",N459&lt;&gt;"TBD")+AND(ISNUMBER(U459),U459&lt;=EDATE('Scoring Settings'!$B$4,'Scoring Settings'!$B$8))+AND(ISNUMBER(L459),L459&lt;='Scoring Settings'!$B$7))</f>
        <v/>
      </c>
      <c r="AL459" s="17" t="str">
        <f>IF(B459="","",IF(K459="Not in use","Priority – Not in use",IF(AK459&gt;='Scoring Settings'!$B$9,"Decommission",IF(AK459=1,"Review","Retain"))))</f>
        <v/>
      </c>
      <c r="AM459" s="17" t="str">
        <f>IF(B459="","",IF(Z459="N","Easy",IF(OR(AND(ISNUMBER(AB459),AB459&gt;'Scoring Settings'!$B$11),AND(ISNUMBER(W459),W459&gt;'Scoring Settings'!$B$12),AND(ISNUMBER(M459),M459&lt;='Scoring Settings'!$B$13)),"High","Medium")))</f>
        <v/>
      </c>
      <c r="AN459" s="14"/>
      <c r="AO459" s="16"/>
      <c r="AP459" s="14"/>
      <c r="AQ459" s="22"/>
    </row>
    <row r="460" spans="1:43">
      <c r="A460" s="14"/>
      <c r="B460" s="14"/>
      <c r="C460" s="14"/>
      <c r="D460" s="14"/>
      <c r="E460" s="14"/>
      <c r="F460" s="14"/>
      <c r="G460" s="14"/>
      <c r="H460" s="14"/>
      <c r="I460" s="15"/>
      <c r="J460" s="16"/>
      <c r="K460" s="17" t="str">
        <f>IF(B460="","",IF(AND(I460="",J460=""),"Unknown",IF(OR(AND(ISNUMBER(I460),I460=0),AND(ISNUMBER(J460),J460&lt;=EDATE('Scoring Settings'!$B$4,-'Scoring Settings'!$B$5))),"Not in use",IF(AND(ISNUMBER(I460),I460&lt;'Scoring Settings'!$B$6),"Low use","Active"))))</f>
        <v/>
      </c>
      <c r="L460" s="14"/>
      <c r="M460" s="14"/>
      <c r="N460" s="14"/>
      <c r="O460" s="14"/>
      <c r="P460" s="14"/>
      <c r="Q460" s="18"/>
      <c r="R460" s="14"/>
      <c r="S460" s="14"/>
      <c r="T460" s="14"/>
      <c r="U460" s="16"/>
      <c r="V460" s="14"/>
      <c r="W460" s="15"/>
      <c r="X460" s="14"/>
      <c r="Y460" s="18"/>
      <c r="Z460" s="14"/>
      <c r="AA460" s="14"/>
      <c r="AB460" s="18"/>
      <c r="AC460" s="14"/>
      <c r="AD460" s="14"/>
      <c r="AE460" s="14"/>
      <c r="AF460" s="19"/>
      <c r="AG460" s="16"/>
      <c r="AH460" s="19"/>
      <c r="AI460" s="19"/>
      <c r="AJ460" s="20" t="str">
        <f t="shared" si="7"/>
        <v/>
      </c>
      <c r="AK460" s="21" t="str">
        <f>IF(B460="","",OR(K460="Not in use",K460="Low use")+AND(N460&lt;&gt;"",N460&lt;&gt;"TBD")+AND(ISNUMBER(U460),U460&lt;=EDATE('Scoring Settings'!$B$4,'Scoring Settings'!$B$8))+AND(ISNUMBER(L460),L460&lt;='Scoring Settings'!$B$7))</f>
        <v/>
      </c>
      <c r="AL460" s="17" t="str">
        <f>IF(B460="","",IF(K460="Not in use","Priority – Not in use",IF(AK460&gt;='Scoring Settings'!$B$9,"Decommission",IF(AK460=1,"Review","Retain"))))</f>
        <v/>
      </c>
      <c r="AM460" s="17" t="str">
        <f>IF(B460="","",IF(Z460="N","Easy",IF(OR(AND(ISNUMBER(AB460),AB460&gt;'Scoring Settings'!$B$11),AND(ISNUMBER(W460),W460&gt;'Scoring Settings'!$B$12),AND(ISNUMBER(M460),M460&lt;='Scoring Settings'!$B$13)),"High","Medium")))</f>
        <v/>
      </c>
      <c r="AN460" s="14"/>
      <c r="AO460" s="16"/>
      <c r="AP460" s="14"/>
      <c r="AQ460" s="22"/>
    </row>
    <row r="461" spans="1:43">
      <c r="A461" s="14"/>
      <c r="B461" s="14"/>
      <c r="C461" s="14"/>
      <c r="D461" s="14"/>
      <c r="E461" s="14"/>
      <c r="F461" s="14"/>
      <c r="G461" s="14"/>
      <c r="H461" s="14"/>
      <c r="I461" s="15"/>
      <c r="J461" s="16"/>
      <c r="K461" s="17" t="str">
        <f>IF(B461="","",IF(AND(I461="",J461=""),"Unknown",IF(OR(AND(ISNUMBER(I461),I461=0),AND(ISNUMBER(J461),J461&lt;=EDATE('Scoring Settings'!$B$4,-'Scoring Settings'!$B$5))),"Not in use",IF(AND(ISNUMBER(I461),I461&lt;'Scoring Settings'!$B$6),"Low use","Active"))))</f>
        <v/>
      </c>
      <c r="L461" s="14"/>
      <c r="M461" s="14"/>
      <c r="N461" s="14"/>
      <c r="O461" s="14"/>
      <c r="P461" s="14"/>
      <c r="Q461" s="18"/>
      <c r="R461" s="14"/>
      <c r="S461" s="14"/>
      <c r="T461" s="14"/>
      <c r="U461" s="16"/>
      <c r="V461" s="14"/>
      <c r="W461" s="15"/>
      <c r="X461" s="14"/>
      <c r="Y461" s="18"/>
      <c r="Z461" s="14"/>
      <c r="AA461" s="14"/>
      <c r="AB461" s="18"/>
      <c r="AC461" s="14"/>
      <c r="AD461" s="14"/>
      <c r="AE461" s="14"/>
      <c r="AF461" s="19"/>
      <c r="AG461" s="16"/>
      <c r="AH461" s="19"/>
      <c r="AI461" s="19"/>
      <c r="AJ461" s="20" t="str">
        <f t="shared" si="7"/>
        <v/>
      </c>
      <c r="AK461" s="21" t="str">
        <f>IF(B461="","",OR(K461="Not in use",K461="Low use")+AND(N461&lt;&gt;"",N461&lt;&gt;"TBD")+AND(ISNUMBER(U461),U461&lt;=EDATE('Scoring Settings'!$B$4,'Scoring Settings'!$B$8))+AND(ISNUMBER(L461),L461&lt;='Scoring Settings'!$B$7))</f>
        <v/>
      </c>
      <c r="AL461" s="17" t="str">
        <f>IF(B461="","",IF(K461="Not in use","Priority – Not in use",IF(AK461&gt;='Scoring Settings'!$B$9,"Decommission",IF(AK461=1,"Review","Retain"))))</f>
        <v/>
      </c>
      <c r="AM461" s="17" t="str">
        <f>IF(B461="","",IF(Z461="N","Easy",IF(OR(AND(ISNUMBER(AB461),AB461&gt;'Scoring Settings'!$B$11),AND(ISNUMBER(W461),W461&gt;'Scoring Settings'!$B$12),AND(ISNUMBER(M461),M461&lt;='Scoring Settings'!$B$13)),"High","Medium")))</f>
        <v/>
      </c>
      <c r="AN461" s="14"/>
      <c r="AO461" s="16"/>
      <c r="AP461" s="14"/>
      <c r="AQ461" s="22"/>
    </row>
    <row r="462" spans="1:43">
      <c r="A462" s="14"/>
      <c r="B462" s="14"/>
      <c r="C462" s="14"/>
      <c r="D462" s="14"/>
      <c r="E462" s="14"/>
      <c r="F462" s="14"/>
      <c r="G462" s="14"/>
      <c r="H462" s="14"/>
      <c r="I462" s="15"/>
      <c r="J462" s="16"/>
      <c r="K462" s="17" t="str">
        <f>IF(B462="","",IF(AND(I462="",J462=""),"Unknown",IF(OR(AND(ISNUMBER(I462),I462=0),AND(ISNUMBER(J462),J462&lt;=EDATE('Scoring Settings'!$B$4,-'Scoring Settings'!$B$5))),"Not in use",IF(AND(ISNUMBER(I462),I462&lt;'Scoring Settings'!$B$6),"Low use","Active"))))</f>
        <v/>
      </c>
      <c r="L462" s="14"/>
      <c r="M462" s="14"/>
      <c r="N462" s="14"/>
      <c r="O462" s="14"/>
      <c r="P462" s="14"/>
      <c r="Q462" s="18"/>
      <c r="R462" s="14"/>
      <c r="S462" s="14"/>
      <c r="T462" s="14"/>
      <c r="U462" s="16"/>
      <c r="V462" s="14"/>
      <c r="W462" s="15"/>
      <c r="X462" s="14"/>
      <c r="Y462" s="18"/>
      <c r="Z462" s="14"/>
      <c r="AA462" s="14"/>
      <c r="AB462" s="18"/>
      <c r="AC462" s="14"/>
      <c r="AD462" s="14"/>
      <c r="AE462" s="14"/>
      <c r="AF462" s="19"/>
      <c r="AG462" s="16"/>
      <c r="AH462" s="19"/>
      <c r="AI462" s="19"/>
      <c r="AJ462" s="20" t="str">
        <f t="shared" si="7"/>
        <v/>
      </c>
      <c r="AK462" s="21" t="str">
        <f>IF(B462="","",OR(K462="Not in use",K462="Low use")+AND(N462&lt;&gt;"",N462&lt;&gt;"TBD")+AND(ISNUMBER(U462),U462&lt;=EDATE('Scoring Settings'!$B$4,'Scoring Settings'!$B$8))+AND(ISNUMBER(L462),L462&lt;='Scoring Settings'!$B$7))</f>
        <v/>
      </c>
      <c r="AL462" s="17" t="str">
        <f>IF(B462="","",IF(K462="Not in use","Priority – Not in use",IF(AK462&gt;='Scoring Settings'!$B$9,"Decommission",IF(AK462=1,"Review","Retain"))))</f>
        <v/>
      </c>
      <c r="AM462" s="17" t="str">
        <f>IF(B462="","",IF(Z462="N","Easy",IF(OR(AND(ISNUMBER(AB462),AB462&gt;'Scoring Settings'!$B$11),AND(ISNUMBER(W462),W462&gt;'Scoring Settings'!$B$12),AND(ISNUMBER(M462),M462&lt;='Scoring Settings'!$B$13)),"High","Medium")))</f>
        <v/>
      </c>
      <c r="AN462" s="14"/>
      <c r="AO462" s="16"/>
      <c r="AP462" s="14"/>
      <c r="AQ462" s="22"/>
    </row>
    <row r="463" spans="1:43">
      <c r="A463" s="14"/>
      <c r="B463" s="14"/>
      <c r="C463" s="14"/>
      <c r="D463" s="14"/>
      <c r="E463" s="14"/>
      <c r="F463" s="14"/>
      <c r="G463" s="14"/>
      <c r="H463" s="14"/>
      <c r="I463" s="15"/>
      <c r="J463" s="16"/>
      <c r="K463" s="17" t="str">
        <f>IF(B463="","",IF(AND(I463="",J463=""),"Unknown",IF(OR(AND(ISNUMBER(I463),I463=0),AND(ISNUMBER(J463),J463&lt;=EDATE('Scoring Settings'!$B$4,-'Scoring Settings'!$B$5))),"Not in use",IF(AND(ISNUMBER(I463),I463&lt;'Scoring Settings'!$B$6),"Low use","Active"))))</f>
        <v/>
      </c>
      <c r="L463" s="14"/>
      <c r="M463" s="14"/>
      <c r="N463" s="14"/>
      <c r="O463" s="14"/>
      <c r="P463" s="14"/>
      <c r="Q463" s="18"/>
      <c r="R463" s="14"/>
      <c r="S463" s="14"/>
      <c r="T463" s="14"/>
      <c r="U463" s="16"/>
      <c r="V463" s="14"/>
      <c r="W463" s="15"/>
      <c r="X463" s="14"/>
      <c r="Y463" s="18"/>
      <c r="Z463" s="14"/>
      <c r="AA463" s="14"/>
      <c r="AB463" s="18"/>
      <c r="AC463" s="14"/>
      <c r="AD463" s="14"/>
      <c r="AE463" s="14"/>
      <c r="AF463" s="19"/>
      <c r="AG463" s="16"/>
      <c r="AH463" s="19"/>
      <c r="AI463" s="19"/>
      <c r="AJ463" s="20" t="str">
        <f t="shared" si="7"/>
        <v/>
      </c>
      <c r="AK463" s="21" t="str">
        <f>IF(B463="","",OR(K463="Not in use",K463="Low use")+AND(N463&lt;&gt;"",N463&lt;&gt;"TBD")+AND(ISNUMBER(U463),U463&lt;=EDATE('Scoring Settings'!$B$4,'Scoring Settings'!$B$8))+AND(ISNUMBER(L463),L463&lt;='Scoring Settings'!$B$7))</f>
        <v/>
      </c>
      <c r="AL463" s="17" t="str">
        <f>IF(B463="","",IF(K463="Not in use","Priority – Not in use",IF(AK463&gt;='Scoring Settings'!$B$9,"Decommission",IF(AK463=1,"Review","Retain"))))</f>
        <v/>
      </c>
      <c r="AM463" s="17" t="str">
        <f>IF(B463="","",IF(Z463="N","Easy",IF(OR(AND(ISNUMBER(AB463),AB463&gt;'Scoring Settings'!$B$11),AND(ISNUMBER(W463),W463&gt;'Scoring Settings'!$B$12),AND(ISNUMBER(M463),M463&lt;='Scoring Settings'!$B$13)),"High","Medium")))</f>
        <v/>
      </c>
      <c r="AN463" s="14"/>
      <c r="AO463" s="16"/>
      <c r="AP463" s="14"/>
      <c r="AQ463" s="22"/>
    </row>
    <row r="464" spans="1:43">
      <c r="A464" s="14"/>
      <c r="B464" s="14"/>
      <c r="C464" s="14"/>
      <c r="D464" s="14"/>
      <c r="E464" s="14"/>
      <c r="F464" s="14"/>
      <c r="G464" s="14"/>
      <c r="H464" s="14"/>
      <c r="I464" s="15"/>
      <c r="J464" s="16"/>
      <c r="K464" s="17" t="str">
        <f>IF(B464="","",IF(AND(I464="",J464=""),"Unknown",IF(OR(AND(ISNUMBER(I464),I464=0),AND(ISNUMBER(J464),J464&lt;=EDATE('Scoring Settings'!$B$4,-'Scoring Settings'!$B$5))),"Not in use",IF(AND(ISNUMBER(I464),I464&lt;'Scoring Settings'!$B$6),"Low use","Active"))))</f>
        <v/>
      </c>
      <c r="L464" s="14"/>
      <c r="M464" s="14"/>
      <c r="N464" s="14"/>
      <c r="O464" s="14"/>
      <c r="P464" s="14"/>
      <c r="Q464" s="18"/>
      <c r="R464" s="14"/>
      <c r="S464" s="14"/>
      <c r="T464" s="14"/>
      <c r="U464" s="16"/>
      <c r="V464" s="14"/>
      <c r="W464" s="15"/>
      <c r="X464" s="14"/>
      <c r="Y464" s="18"/>
      <c r="Z464" s="14"/>
      <c r="AA464" s="14"/>
      <c r="AB464" s="18"/>
      <c r="AC464" s="14"/>
      <c r="AD464" s="14"/>
      <c r="AE464" s="14"/>
      <c r="AF464" s="19"/>
      <c r="AG464" s="16"/>
      <c r="AH464" s="19"/>
      <c r="AI464" s="19"/>
      <c r="AJ464" s="20" t="str">
        <f t="shared" si="7"/>
        <v/>
      </c>
      <c r="AK464" s="21" t="str">
        <f>IF(B464="","",OR(K464="Not in use",K464="Low use")+AND(N464&lt;&gt;"",N464&lt;&gt;"TBD")+AND(ISNUMBER(U464),U464&lt;=EDATE('Scoring Settings'!$B$4,'Scoring Settings'!$B$8))+AND(ISNUMBER(L464),L464&lt;='Scoring Settings'!$B$7))</f>
        <v/>
      </c>
      <c r="AL464" s="17" t="str">
        <f>IF(B464="","",IF(K464="Not in use","Priority – Not in use",IF(AK464&gt;='Scoring Settings'!$B$9,"Decommission",IF(AK464=1,"Review","Retain"))))</f>
        <v/>
      </c>
      <c r="AM464" s="17" t="str">
        <f>IF(B464="","",IF(Z464="N","Easy",IF(OR(AND(ISNUMBER(AB464),AB464&gt;'Scoring Settings'!$B$11),AND(ISNUMBER(W464),W464&gt;'Scoring Settings'!$B$12),AND(ISNUMBER(M464),M464&lt;='Scoring Settings'!$B$13)),"High","Medium")))</f>
        <v/>
      </c>
      <c r="AN464" s="14"/>
      <c r="AO464" s="16"/>
      <c r="AP464" s="14"/>
      <c r="AQ464" s="22"/>
    </row>
    <row r="465" spans="1:43">
      <c r="A465" s="14"/>
      <c r="B465" s="14"/>
      <c r="C465" s="14"/>
      <c r="D465" s="14"/>
      <c r="E465" s="14"/>
      <c r="F465" s="14"/>
      <c r="G465" s="14"/>
      <c r="H465" s="14"/>
      <c r="I465" s="15"/>
      <c r="J465" s="16"/>
      <c r="K465" s="17" t="str">
        <f>IF(B465="","",IF(AND(I465="",J465=""),"Unknown",IF(OR(AND(ISNUMBER(I465),I465=0),AND(ISNUMBER(J465),J465&lt;=EDATE('Scoring Settings'!$B$4,-'Scoring Settings'!$B$5))),"Not in use",IF(AND(ISNUMBER(I465),I465&lt;'Scoring Settings'!$B$6),"Low use","Active"))))</f>
        <v/>
      </c>
      <c r="L465" s="14"/>
      <c r="M465" s="14"/>
      <c r="N465" s="14"/>
      <c r="O465" s="14"/>
      <c r="P465" s="14"/>
      <c r="Q465" s="18"/>
      <c r="R465" s="14"/>
      <c r="S465" s="14"/>
      <c r="T465" s="14"/>
      <c r="U465" s="16"/>
      <c r="V465" s="14"/>
      <c r="W465" s="15"/>
      <c r="X465" s="14"/>
      <c r="Y465" s="18"/>
      <c r="Z465" s="14"/>
      <c r="AA465" s="14"/>
      <c r="AB465" s="18"/>
      <c r="AC465" s="14"/>
      <c r="AD465" s="14"/>
      <c r="AE465" s="14"/>
      <c r="AF465" s="19"/>
      <c r="AG465" s="16"/>
      <c r="AH465" s="19"/>
      <c r="AI465" s="19"/>
      <c r="AJ465" s="20" t="str">
        <f t="shared" si="7"/>
        <v/>
      </c>
      <c r="AK465" s="21" t="str">
        <f>IF(B465="","",OR(K465="Not in use",K465="Low use")+AND(N465&lt;&gt;"",N465&lt;&gt;"TBD")+AND(ISNUMBER(U465),U465&lt;=EDATE('Scoring Settings'!$B$4,'Scoring Settings'!$B$8))+AND(ISNUMBER(L465),L465&lt;='Scoring Settings'!$B$7))</f>
        <v/>
      </c>
      <c r="AL465" s="17" t="str">
        <f>IF(B465="","",IF(K465="Not in use","Priority – Not in use",IF(AK465&gt;='Scoring Settings'!$B$9,"Decommission",IF(AK465=1,"Review","Retain"))))</f>
        <v/>
      </c>
      <c r="AM465" s="17" t="str">
        <f>IF(B465="","",IF(Z465="N","Easy",IF(OR(AND(ISNUMBER(AB465),AB465&gt;'Scoring Settings'!$B$11),AND(ISNUMBER(W465),W465&gt;'Scoring Settings'!$B$12),AND(ISNUMBER(M465),M465&lt;='Scoring Settings'!$B$13)),"High","Medium")))</f>
        <v/>
      </c>
      <c r="AN465" s="14"/>
      <c r="AO465" s="16"/>
      <c r="AP465" s="14"/>
      <c r="AQ465" s="22"/>
    </row>
    <row r="466" spans="1:43">
      <c r="A466" s="14"/>
      <c r="B466" s="14"/>
      <c r="C466" s="14"/>
      <c r="D466" s="14"/>
      <c r="E466" s="14"/>
      <c r="F466" s="14"/>
      <c r="G466" s="14"/>
      <c r="H466" s="14"/>
      <c r="I466" s="15"/>
      <c r="J466" s="16"/>
      <c r="K466" s="17" t="str">
        <f>IF(B466="","",IF(AND(I466="",J466=""),"Unknown",IF(OR(AND(ISNUMBER(I466),I466=0),AND(ISNUMBER(J466),J466&lt;=EDATE('Scoring Settings'!$B$4,-'Scoring Settings'!$B$5))),"Not in use",IF(AND(ISNUMBER(I466),I466&lt;'Scoring Settings'!$B$6),"Low use","Active"))))</f>
        <v/>
      </c>
      <c r="L466" s="14"/>
      <c r="M466" s="14"/>
      <c r="N466" s="14"/>
      <c r="O466" s="14"/>
      <c r="P466" s="14"/>
      <c r="Q466" s="18"/>
      <c r="R466" s="14"/>
      <c r="S466" s="14"/>
      <c r="T466" s="14"/>
      <c r="U466" s="16"/>
      <c r="V466" s="14"/>
      <c r="W466" s="15"/>
      <c r="X466" s="14"/>
      <c r="Y466" s="18"/>
      <c r="Z466" s="14"/>
      <c r="AA466" s="14"/>
      <c r="AB466" s="18"/>
      <c r="AC466" s="14"/>
      <c r="AD466" s="14"/>
      <c r="AE466" s="14"/>
      <c r="AF466" s="19"/>
      <c r="AG466" s="16"/>
      <c r="AH466" s="19"/>
      <c r="AI466" s="19"/>
      <c r="AJ466" s="20" t="str">
        <f t="shared" si="7"/>
        <v/>
      </c>
      <c r="AK466" s="21" t="str">
        <f>IF(B466="","",OR(K466="Not in use",K466="Low use")+AND(N466&lt;&gt;"",N466&lt;&gt;"TBD")+AND(ISNUMBER(U466),U466&lt;=EDATE('Scoring Settings'!$B$4,'Scoring Settings'!$B$8))+AND(ISNUMBER(L466),L466&lt;='Scoring Settings'!$B$7))</f>
        <v/>
      </c>
      <c r="AL466" s="17" t="str">
        <f>IF(B466="","",IF(K466="Not in use","Priority – Not in use",IF(AK466&gt;='Scoring Settings'!$B$9,"Decommission",IF(AK466=1,"Review","Retain"))))</f>
        <v/>
      </c>
      <c r="AM466" s="17" t="str">
        <f>IF(B466="","",IF(Z466="N","Easy",IF(OR(AND(ISNUMBER(AB466),AB466&gt;'Scoring Settings'!$B$11),AND(ISNUMBER(W466),W466&gt;'Scoring Settings'!$B$12),AND(ISNUMBER(M466),M466&lt;='Scoring Settings'!$B$13)),"High","Medium")))</f>
        <v/>
      </c>
      <c r="AN466" s="14"/>
      <c r="AO466" s="16"/>
      <c r="AP466" s="14"/>
      <c r="AQ466" s="22"/>
    </row>
    <row r="467" spans="1:43">
      <c r="A467" s="14"/>
      <c r="B467" s="14"/>
      <c r="C467" s="14"/>
      <c r="D467" s="14"/>
      <c r="E467" s="14"/>
      <c r="F467" s="14"/>
      <c r="G467" s="14"/>
      <c r="H467" s="14"/>
      <c r="I467" s="15"/>
      <c r="J467" s="16"/>
      <c r="K467" s="17" t="str">
        <f>IF(B467="","",IF(AND(I467="",J467=""),"Unknown",IF(OR(AND(ISNUMBER(I467),I467=0),AND(ISNUMBER(J467),J467&lt;=EDATE('Scoring Settings'!$B$4,-'Scoring Settings'!$B$5))),"Not in use",IF(AND(ISNUMBER(I467),I467&lt;'Scoring Settings'!$B$6),"Low use","Active"))))</f>
        <v/>
      </c>
      <c r="L467" s="14"/>
      <c r="M467" s="14"/>
      <c r="N467" s="14"/>
      <c r="O467" s="14"/>
      <c r="P467" s="14"/>
      <c r="Q467" s="18"/>
      <c r="R467" s="14"/>
      <c r="S467" s="14"/>
      <c r="T467" s="14"/>
      <c r="U467" s="16"/>
      <c r="V467" s="14"/>
      <c r="W467" s="15"/>
      <c r="X467" s="14"/>
      <c r="Y467" s="18"/>
      <c r="Z467" s="14"/>
      <c r="AA467" s="14"/>
      <c r="AB467" s="18"/>
      <c r="AC467" s="14"/>
      <c r="AD467" s="14"/>
      <c r="AE467" s="14"/>
      <c r="AF467" s="19"/>
      <c r="AG467" s="16"/>
      <c r="AH467" s="19"/>
      <c r="AI467" s="19"/>
      <c r="AJ467" s="20" t="str">
        <f t="shared" si="7"/>
        <v/>
      </c>
      <c r="AK467" s="21" t="str">
        <f>IF(B467="","",OR(K467="Not in use",K467="Low use")+AND(N467&lt;&gt;"",N467&lt;&gt;"TBD")+AND(ISNUMBER(U467),U467&lt;=EDATE('Scoring Settings'!$B$4,'Scoring Settings'!$B$8))+AND(ISNUMBER(L467),L467&lt;='Scoring Settings'!$B$7))</f>
        <v/>
      </c>
      <c r="AL467" s="17" t="str">
        <f>IF(B467="","",IF(K467="Not in use","Priority – Not in use",IF(AK467&gt;='Scoring Settings'!$B$9,"Decommission",IF(AK467=1,"Review","Retain"))))</f>
        <v/>
      </c>
      <c r="AM467" s="17" t="str">
        <f>IF(B467="","",IF(Z467="N","Easy",IF(OR(AND(ISNUMBER(AB467),AB467&gt;'Scoring Settings'!$B$11),AND(ISNUMBER(W467),W467&gt;'Scoring Settings'!$B$12),AND(ISNUMBER(M467),M467&lt;='Scoring Settings'!$B$13)),"High","Medium")))</f>
        <v/>
      </c>
      <c r="AN467" s="14"/>
      <c r="AO467" s="16"/>
      <c r="AP467" s="14"/>
      <c r="AQ467" s="22"/>
    </row>
    <row r="468" spans="1:43">
      <c r="A468" s="14"/>
      <c r="B468" s="14"/>
      <c r="C468" s="14"/>
      <c r="D468" s="14"/>
      <c r="E468" s="14"/>
      <c r="F468" s="14"/>
      <c r="G468" s="14"/>
      <c r="H468" s="14"/>
      <c r="I468" s="15"/>
      <c r="J468" s="16"/>
      <c r="K468" s="17" t="str">
        <f>IF(B468="","",IF(AND(I468="",J468=""),"Unknown",IF(OR(AND(ISNUMBER(I468),I468=0),AND(ISNUMBER(J468),J468&lt;=EDATE('Scoring Settings'!$B$4,-'Scoring Settings'!$B$5))),"Not in use",IF(AND(ISNUMBER(I468),I468&lt;'Scoring Settings'!$B$6),"Low use","Active"))))</f>
        <v/>
      </c>
      <c r="L468" s="14"/>
      <c r="M468" s="14"/>
      <c r="N468" s="14"/>
      <c r="O468" s="14"/>
      <c r="P468" s="14"/>
      <c r="Q468" s="18"/>
      <c r="R468" s="14"/>
      <c r="S468" s="14"/>
      <c r="T468" s="14"/>
      <c r="U468" s="16"/>
      <c r="V468" s="14"/>
      <c r="W468" s="15"/>
      <c r="X468" s="14"/>
      <c r="Y468" s="18"/>
      <c r="Z468" s="14"/>
      <c r="AA468" s="14"/>
      <c r="AB468" s="18"/>
      <c r="AC468" s="14"/>
      <c r="AD468" s="14"/>
      <c r="AE468" s="14"/>
      <c r="AF468" s="19"/>
      <c r="AG468" s="16"/>
      <c r="AH468" s="19"/>
      <c r="AI468" s="19"/>
      <c r="AJ468" s="20" t="str">
        <f t="shared" si="7"/>
        <v/>
      </c>
      <c r="AK468" s="21" t="str">
        <f>IF(B468="","",OR(K468="Not in use",K468="Low use")+AND(N468&lt;&gt;"",N468&lt;&gt;"TBD")+AND(ISNUMBER(U468),U468&lt;=EDATE('Scoring Settings'!$B$4,'Scoring Settings'!$B$8))+AND(ISNUMBER(L468),L468&lt;='Scoring Settings'!$B$7))</f>
        <v/>
      </c>
      <c r="AL468" s="17" t="str">
        <f>IF(B468="","",IF(K468="Not in use","Priority – Not in use",IF(AK468&gt;='Scoring Settings'!$B$9,"Decommission",IF(AK468=1,"Review","Retain"))))</f>
        <v/>
      </c>
      <c r="AM468" s="17" t="str">
        <f>IF(B468="","",IF(Z468="N","Easy",IF(OR(AND(ISNUMBER(AB468),AB468&gt;'Scoring Settings'!$B$11),AND(ISNUMBER(W468),W468&gt;'Scoring Settings'!$B$12),AND(ISNUMBER(M468),M468&lt;='Scoring Settings'!$B$13)),"High","Medium")))</f>
        <v/>
      </c>
      <c r="AN468" s="14"/>
      <c r="AO468" s="16"/>
      <c r="AP468" s="14"/>
      <c r="AQ468" s="22"/>
    </row>
    <row r="469" spans="1:43">
      <c r="A469" s="14"/>
      <c r="B469" s="14"/>
      <c r="C469" s="14"/>
      <c r="D469" s="14"/>
      <c r="E469" s="14"/>
      <c r="F469" s="14"/>
      <c r="G469" s="14"/>
      <c r="H469" s="14"/>
      <c r="I469" s="15"/>
      <c r="J469" s="16"/>
      <c r="K469" s="17" t="str">
        <f>IF(B469="","",IF(AND(I469="",J469=""),"Unknown",IF(OR(AND(ISNUMBER(I469),I469=0),AND(ISNUMBER(J469),J469&lt;=EDATE('Scoring Settings'!$B$4,-'Scoring Settings'!$B$5))),"Not in use",IF(AND(ISNUMBER(I469),I469&lt;'Scoring Settings'!$B$6),"Low use","Active"))))</f>
        <v/>
      </c>
      <c r="L469" s="14"/>
      <c r="M469" s="14"/>
      <c r="N469" s="14"/>
      <c r="O469" s="14"/>
      <c r="P469" s="14"/>
      <c r="Q469" s="18"/>
      <c r="R469" s="14"/>
      <c r="S469" s="14"/>
      <c r="T469" s="14"/>
      <c r="U469" s="16"/>
      <c r="V469" s="14"/>
      <c r="W469" s="15"/>
      <c r="X469" s="14"/>
      <c r="Y469" s="18"/>
      <c r="Z469" s="14"/>
      <c r="AA469" s="14"/>
      <c r="AB469" s="18"/>
      <c r="AC469" s="14"/>
      <c r="AD469" s="14"/>
      <c r="AE469" s="14"/>
      <c r="AF469" s="19"/>
      <c r="AG469" s="16"/>
      <c r="AH469" s="19"/>
      <c r="AI469" s="19"/>
      <c r="AJ469" s="20" t="str">
        <f t="shared" si="7"/>
        <v/>
      </c>
      <c r="AK469" s="21" t="str">
        <f>IF(B469="","",OR(K469="Not in use",K469="Low use")+AND(N469&lt;&gt;"",N469&lt;&gt;"TBD")+AND(ISNUMBER(U469),U469&lt;=EDATE('Scoring Settings'!$B$4,'Scoring Settings'!$B$8))+AND(ISNUMBER(L469),L469&lt;='Scoring Settings'!$B$7))</f>
        <v/>
      </c>
      <c r="AL469" s="17" t="str">
        <f>IF(B469="","",IF(K469="Not in use","Priority – Not in use",IF(AK469&gt;='Scoring Settings'!$B$9,"Decommission",IF(AK469=1,"Review","Retain"))))</f>
        <v/>
      </c>
      <c r="AM469" s="17" t="str">
        <f>IF(B469="","",IF(Z469="N","Easy",IF(OR(AND(ISNUMBER(AB469),AB469&gt;'Scoring Settings'!$B$11),AND(ISNUMBER(W469),W469&gt;'Scoring Settings'!$B$12),AND(ISNUMBER(M469),M469&lt;='Scoring Settings'!$B$13)),"High","Medium")))</f>
        <v/>
      </c>
      <c r="AN469" s="14"/>
      <c r="AO469" s="16"/>
      <c r="AP469" s="14"/>
      <c r="AQ469" s="22"/>
    </row>
    <row r="470" spans="1:43">
      <c r="A470" s="14"/>
      <c r="B470" s="14"/>
      <c r="C470" s="14"/>
      <c r="D470" s="14"/>
      <c r="E470" s="14"/>
      <c r="F470" s="14"/>
      <c r="G470" s="14"/>
      <c r="H470" s="14"/>
      <c r="I470" s="15"/>
      <c r="J470" s="16"/>
      <c r="K470" s="17" t="str">
        <f>IF(B470="","",IF(AND(I470="",J470=""),"Unknown",IF(OR(AND(ISNUMBER(I470),I470=0),AND(ISNUMBER(J470),J470&lt;=EDATE('Scoring Settings'!$B$4,-'Scoring Settings'!$B$5))),"Not in use",IF(AND(ISNUMBER(I470),I470&lt;'Scoring Settings'!$B$6),"Low use","Active"))))</f>
        <v/>
      </c>
      <c r="L470" s="14"/>
      <c r="M470" s="14"/>
      <c r="N470" s="14"/>
      <c r="O470" s="14"/>
      <c r="P470" s="14"/>
      <c r="Q470" s="18"/>
      <c r="R470" s="14"/>
      <c r="S470" s="14"/>
      <c r="T470" s="14"/>
      <c r="U470" s="16"/>
      <c r="V470" s="14"/>
      <c r="W470" s="15"/>
      <c r="X470" s="14"/>
      <c r="Y470" s="18"/>
      <c r="Z470" s="14"/>
      <c r="AA470" s="14"/>
      <c r="AB470" s="18"/>
      <c r="AC470" s="14"/>
      <c r="AD470" s="14"/>
      <c r="AE470" s="14"/>
      <c r="AF470" s="19"/>
      <c r="AG470" s="16"/>
      <c r="AH470" s="19"/>
      <c r="AI470" s="19"/>
      <c r="AJ470" s="20" t="str">
        <f t="shared" si="7"/>
        <v/>
      </c>
      <c r="AK470" s="21" t="str">
        <f>IF(B470="","",OR(K470="Not in use",K470="Low use")+AND(N470&lt;&gt;"",N470&lt;&gt;"TBD")+AND(ISNUMBER(U470),U470&lt;=EDATE('Scoring Settings'!$B$4,'Scoring Settings'!$B$8))+AND(ISNUMBER(L470),L470&lt;='Scoring Settings'!$B$7))</f>
        <v/>
      </c>
      <c r="AL470" s="17" t="str">
        <f>IF(B470="","",IF(K470="Not in use","Priority – Not in use",IF(AK470&gt;='Scoring Settings'!$B$9,"Decommission",IF(AK470=1,"Review","Retain"))))</f>
        <v/>
      </c>
      <c r="AM470" s="17" t="str">
        <f>IF(B470="","",IF(Z470="N","Easy",IF(OR(AND(ISNUMBER(AB470),AB470&gt;'Scoring Settings'!$B$11),AND(ISNUMBER(W470),W470&gt;'Scoring Settings'!$B$12),AND(ISNUMBER(M470),M470&lt;='Scoring Settings'!$B$13)),"High","Medium")))</f>
        <v/>
      </c>
      <c r="AN470" s="14"/>
      <c r="AO470" s="16"/>
      <c r="AP470" s="14"/>
      <c r="AQ470" s="22"/>
    </row>
    <row r="471" spans="1:43">
      <c r="A471" s="14"/>
      <c r="B471" s="14"/>
      <c r="C471" s="14"/>
      <c r="D471" s="14"/>
      <c r="E471" s="14"/>
      <c r="F471" s="14"/>
      <c r="G471" s="14"/>
      <c r="H471" s="14"/>
      <c r="I471" s="15"/>
      <c r="J471" s="16"/>
      <c r="K471" s="17" t="str">
        <f>IF(B471="","",IF(AND(I471="",J471=""),"Unknown",IF(OR(AND(ISNUMBER(I471),I471=0),AND(ISNUMBER(J471),J471&lt;=EDATE('Scoring Settings'!$B$4,-'Scoring Settings'!$B$5))),"Not in use",IF(AND(ISNUMBER(I471),I471&lt;'Scoring Settings'!$B$6),"Low use","Active"))))</f>
        <v/>
      </c>
      <c r="L471" s="14"/>
      <c r="M471" s="14"/>
      <c r="N471" s="14"/>
      <c r="O471" s="14"/>
      <c r="P471" s="14"/>
      <c r="Q471" s="18"/>
      <c r="R471" s="14"/>
      <c r="S471" s="14"/>
      <c r="T471" s="14"/>
      <c r="U471" s="16"/>
      <c r="V471" s="14"/>
      <c r="W471" s="15"/>
      <c r="X471" s="14"/>
      <c r="Y471" s="18"/>
      <c r="Z471" s="14"/>
      <c r="AA471" s="14"/>
      <c r="AB471" s="18"/>
      <c r="AC471" s="14"/>
      <c r="AD471" s="14"/>
      <c r="AE471" s="14"/>
      <c r="AF471" s="19"/>
      <c r="AG471" s="16"/>
      <c r="AH471" s="19"/>
      <c r="AI471" s="19"/>
      <c r="AJ471" s="20" t="str">
        <f t="shared" si="7"/>
        <v/>
      </c>
      <c r="AK471" s="21" t="str">
        <f>IF(B471="","",OR(K471="Not in use",K471="Low use")+AND(N471&lt;&gt;"",N471&lt;&gt;"TBD")+AND(ISNUMBER(U471),U471&lt;=EDATE('Scoring Settings'!$B$4,'Scoring Settings'!$B$8))+AND(ISNUMBER(L471),L471&lt;='Scoring Settings'!$B$7))</f>
        <v/>
      </c>
      <c r="AL471" s="17" t="str">
        <f>IF(B471="","",IF(K471="Not in use","Priority – Not in use",IF(AK471&gt;='Scoring Settings'!$B$9,"Decommission",IF(AK471=1,"Review","Retain"))))</f>
        <v/>
      </c>
      <c r="AM471" s="17" t="str">
        <f>IF(B471="","",IF(Z471="N","Easy",IF(OR(AND(ISNUMBER(AB471),AB471&gt;'Scoring Settings'!$B$11),AND(ISNUMBER(W471),W471&gt;'Scoring Settings'!$B$12),AND(ISNUMBER(M471),M471&lt;='Scoring Settings'!$B$13)),"High","Medium")))</f>
        <v/>
      </c>
      <c r="AN471" s="14"/>
      <c r="AO471" s="16"/>
      <c r="AP471" s="14"/>
      <c r="AQ471" s="22"/>
    </row>
    <row r="472" spans="1:43">
      <c r="A472" s="14"/>
      <c r="B472" s="14"/>
      <c r="C472" s="14"/>
      <c r="D472" s="14"/>
      <c r="E472" s="14"/>
      <c r="F472" s="14"/>
      <c r="G472" s="14"/>
      <c r="H472" s="14"/>
      <c r="I472" s="15"/>
      <c r="J472" s="16"/>
      <c r="K472" s="17" t="str">
        <f>IF(B472="","",IF(AND(I472="",J472=""),"Unknown",IF(OR(AND(ISNUMBER(I472),I472=0),AND(ISNUMBER(J472),J472&lt;=EDATE('Scoring Settings'!$B$4,-'Scoring Settings'!$B$5))),"Not in use",IF(AND(ISNUMBER(I472),I472&lt;'Scoring Settings'!$B$6),"Low use","Active"))))</f>
        <v/>
      </c>
      <c r="L472" s="14"/>
      <c r="M472" s="14"/>
      <c r="N472" s="14"/>
      <c r="O472" s="14"/>
      <c r="P472" s="14"/>
      <c r="Q472" s="18"/>
      <c r="R472" s="14"/>
      <c r="S472" s="14"/>
      <c r="T472" s="14"/>
      <c r="U472" s="16"/>
      <c r="V472" s="14"/>
      <c r="W472" s="15"/>
      <c r="X472" s="14"/>
      <c r="Y472" s="18"/>
      <c r="Z472" s="14"/>
      <c r="AA472" s="14"/>
      <c r="AB472" s="18"/>
      <c r="AC472" s="14"/>
      <c r="AD472" s="14"/>
      <c r="AE472" s="14"/>
      <c r="AF472" s="19"/>
      <c r="AG472" s="16"/>
      <c r="AH472" s="19"/>
      <c r="AI472" s="19"/>
      <c r="AJ472" s="20" t="str">
        <f t="shared" si="7"/>
        <v/>
      </c>
      <c r="AK472" s="21" t="str">
        <f>IF(B472="","",OR(K472="Not in use",K472="Low use")+AND(N472&lt;&gt;"",N472&lt;&gt;"TBD")+AND(ISNUMBER(U472),U472&lt;=EDATE('Scoring Settings'!$B$4,'Scoring Settings'!$B$8))+AND(ISNUMBER(L472),L472&lt;='Scoring Settings'!$B$7))</f>
        <v/>
      </c>
      <c r="AL472" s="17" t="str">
        <f>IF(B472="","",IF(K472="Not in use","Priority – Not in use",IF(AK472&gt;='Scoring Settings'!$B$9,"Decommission",IF(AK472=1,"Review","Retain"))))</f>
        <v/>
      </c>
      <c r="AM472" s="17" t="str">
        <f>IF(B472="","",IF(Z472="N","Easy",IF(OR(AND(ISNUMBER(AB472),AB472&gt;'Scoring Settings'!$B$11),AND(ISNUMBER(W472),W472&gt;'Scoring Settings'!$B$12),AND(ISNUMBER(M472),M472&lt;='Scoring Settings'!$B$13)),"High","Medium")))</f>
        <v/>
      </c>
      <c r="AN472" s="14"/>
      <c r="AO472" s="16"/>
      <c r="AP472" s="14"/>
      <c r="AQ472" s="22"/>
    </row>
    <row r="473" spans="1:43">
      <c r="A473" s="14"/>
      <c r="B473" s="14"/>
      <c r="C473" s="14"/>
      <c r="D473" s="14"/>
      <c r="E473" s="14"/>
      <c r="F473" s="14"/>
      <c r="G473" s="14"/>
      <c r="H473" s="14"/>
      <c r="I473" s="15"/>
      <c r="J473" s="16"/>
      <c r="K473" s="17" t="str">
        <f>IF(B473="","",IF(AND(I473="",J473=""),"Unknown",IF(OR(AND(ISNUMBER(I473),I473=0),AND(ISNUMBER(J473),J473&lt;=EDATE('Scoring Settings'!$B$4,-'Scoring Settings'!$B$5))),"Not in use",IF(AND(ISNUMBER(I473),I473&lt;'Scoring Settings'!$B$6),"Low use","Active"))))</f>
        <v/>
      </c>
      <c r="L473" s="14"/>
      <c r="M473" s="14"/>
      <c r="N473" s="14"/>
      <c r="O473" s="14"/>
      <c r="P473" s="14"/>
      <c r="Q473" s="18"/>
      <c r="R473" s="14"/>
      <c r="S473" s="14"/>
      <c r="T473" s="14"/>
      <c r="U473" s="16"/>
      <c r="V473" s="14"/>
      <c r="W473" s="15"/>
      <c r="X473" s="14"/>
      <c r="Y473" s="18"/>
      <c r="Z473" s="14"/>
      <c r="AA473" s="14"/>
      <c r="AB473" s="18"/>
      <c r="AC473" s="14"/>
      <c r="AD473" s="14"/>
      <c r="AE473" s="14"/>
      <c r="AF473" s="19"/>
      <c r="AG473" s="16"/>
      <c r="AH473" s="19"/>
      <c r="AI473" s="19"/>
      <c r="AJ473" s="20" t="str">
        <f t="shared" si="7"/>
        <v/>
      </c>
      <c r="AK473" s="21" t="str">
        <f>IF(B473="","",OR(K473="Not in use",K473="Low use")+AND(N473&lt;&gt;"",N473&lt;&gt;"TBD")+AND(ISNUMBER(U473),U473&lt;=EDATE('Scoring Settings'!$B$4,'Scoring Settings'!$B$8))+AND(ISNUMBER(L473),L473&lt;='Scoring Settings'!$B$7))</f>
        <v/>
      </c>
      <c r="AL473" s="17" t="str">
        <f>IF(B473="","",IF(K473="Not in use","Priority – Not in use",IF(AK473&gt;='Scoring Settings'!$B$9,"Decommission",IF(AK473=1,"Review","Retain"))))</f>
        <v/>
      </c>
      <c r="AM473" s="17" t="str">
        <f>IF(B473="","",IF(Z473="N","Easy",IF(OR(AND(ISNUMBER(AB473),AB473&gt;'Scoring Settings'!$B$11),AND(ISNUMBER(W473),W473&gt;'Scoring Settings'!$B$12),AND(ISNUMBER(M473),M473&lt;='Scoring Settings'!$B$13)),"High","Medium")))</f>
        <v/>
      </c>
      <c r="AN473" s="14"/>
      <c r="AO473" s="16"/>
      <c r="AP473" s="14"/>
      <c r="AQ473" s="22"/>
    </row>
    <row r="474" spans="1:43">
      <c r="A474" s="14"/>
      <c r="B474" s="14"/>
      <c r="C474" s="14"/>
      <c r="D474" s="14"/>
      <c r="E474" s="14"/>
      <c r="F474" s="14"/>
      <c r="G474" s="14"/>
      <c r="H474" s="14"/>
      <c r="I474" s="15"/>
      <c r="J474" s="16"/>
      <c r="K474" s="17" t="str">
        <f>IF(B474="","",IF(AND(I474="",J474=""),"Unknown",IF(OR(AND(ISNUMBER(I474),I474=0),AND(ISNUMBER(J474),J474&lt;=EDATE('Scoring Settings'!$B$4,-'Scoring Settings'!$B$5))),"Not in use",IF(AND(ISNUMBER(I474),I474&lt;'Scoring Settings'!$B$6),"Low use","Active"))))</f>
        <v/>
      </c>
      <c r="L474" s="14"/>
      <c r="M474" s="14"/>
      <c r="N474" s="14"/>
      <c r="O474" s="14"/>
      <c r="P474" s="14"/>
      <c r="Q474" s="18"/>
      <c r="R474" s="14"/>
      <c r="S474" s="14"/>
      <c r="T474" s="14"/>
      <c r="U474" s="16"/>
      <c r="V474" s="14"/>
      <c r="W474" s="15"/>
      <c r="X474" s="14"/>
      <c r="Y474" s="18"/>
      <c r="Z474" s="14"/>
      <c r="AA474" s="14"/>
      <c r="AB474" s="18"/>
      <c r="AC474" s="14"/>
      <c r="AD474" s="14"/>
      <c r="AE474" s="14"/>
      <c r="AF474" s="19"/>
      <c r="AG474" s="16"/>
      <c r="AH474" s="19"/>
      <c r="AI474" s="19"/>
      <c r="AJ474" s="20" t="str">
        <f t="shared" si="7"/>
        <v/>
      </c>
      <c r="AK474" s="21" t="str">
        <f>IF(B474="","",OR(K474="Not in use",K474="Low use")+AND(N474&lt;&gt;"",N474&lt;&gt;"TBD")+AND(ISNUMBER(U474),U474&lt;=EDATE('Scoring Settings'!$B$4,'Scoring Settings'!$B$8))+AND(ISNUMBER(L474),L474&lt;='Scoring Settings'!$B$7))</f>
        <v/>
      </c>
      <c r="AL474" s="17" t="str">
        <f>IF(B474="","",IF(K474="Not in use","Priority – Not in use",IF(AK474&gt;='Scoring Settings'!$B$9,"Decommission",IF(AK474=1,"Review","Retain"))))</f>
        <v/>
      </c>
      <c r="AM474" s="17" t="str">
        <f>IF(B474="","",IF(Z474="N","Easy",IF(OR(AND(ISNUMBER(AB474),AB474&gt;'Scoring Settings'!$B$11),AND(ISNUMBER(W474),W474&gt;'Scoring Settings'!$B$12),AND(ISNUMBER(M474),M474&lt;='Scoring Settings'!$B$13)),"High","Medium")))</f>
        <v/>
      </c>
      <c r="AN474" s="14"/>
      <c r="AO474" s="16"/>
      <c r="AP474" s="14"/>
      <c r="AQ474" s="22"/>
    </row>
    <row r="475" spans="1:43">
      <c r="A475" s="14"/>
      <c r="B475" s="14"/>
      <c r="C475" s="14"/>
      <c r="D475" s="14"/>
      <c r="E475" s="14"/>
      <c r="F475" s="14"/>
      <c r="G475" s="14"/>
      <c r="H475" s="14"/>
      <c r="I475" s="15"/>
      <c r="J475" s="16"/>
      <c r="K475" s="17" t="str">
        <f>IF(B475="","",IF(AND(I475="",J475=""),"Unknown",IF(OR(AND(ISNUMBER(I475),I475=0),AND(ISNUMBER(J475),J475&lt;=EDATE('Scoring Settings'!$B$4,-'Scoring Settings'!$B$5))),"Not in use",IF(AND(ISNUMBER(I475),I475&lt;'Scoring Settings'!$B$6),"Low use","Active"))))</f>
        <v/>
      </c>
      <c r="L475" s="14"/>
      <c r="M475" s="14"/>
      <c r="N475" s="14"/>
      <c r="O475" s="14"/>
      <c r="P475" s="14"/>
      <c r="Q475" s="18"/>
      <c r="R475" s="14"/>
      <c r="S475" s="14"/>
      <c r="T475" s="14"/>
      <c r="U475" s="16"/>
      <c r="V475" s="14"/>
      <c r="W475" s="15"/>
      <c r="X475" s="14"/>
      <c r="Y475" s="18"/>
      <c r="Z475" s="14"/>
      <c r="AA475" s="14"/>
      <c r="AB475" s="18"/>
      <c r="AC475" s="14"/>
      <c r="AD475" s="14"/>
      <c r="AE475" s="14"/>
      <c r="AF475" s="19"/>
      <c r="AG475" s="16"/>
      <c r="AH475" s="19"/>
      <c r="AI475" s="19"/>
      <c r="AJ475" s="20" t="str">
        <f t="shared" si="7"/>
        <v/>
      </c>
      <c r="AK475" s="21" t="str">
        <f>IF(B475="","",OR(K475="Not in use",K475="Low use")+AND(N475&lt;&gt;"",N475&lt;&gt;"TBD")+AND(ISNUMBER(U475),U475&lt;=EDATE('Scoring Settings'!$B$4,'Scoring Settings'!$B$8))+AND(ISNUMBER(L475),L475&lt;='Scoring Settings'!$B$7))</f>
        <v/>
      </c>
      <c r="AL475" s="17" t="str">
        <f>IF(B475="","",IF(K475="Not in use","Priority – Not in use",IF(AK475&gt;='Scoring Settings'!$B$9,"Decommission",IF(AK475=1,"Review","Retain"))))</f>
        <v/>
      </c>
      <c r="AM475" s="17" t="str">
        <f>IF(B475="","",IF(Z475="N","Easy",IF(OR(AND(ISNUMBER(AB475),AB475&gt;'Scoring Settings'!$B$11),AND(ISNUMBER(W475),W475&gt;'Scoring Settings'!$B$12),AND(ISNUMBER(M475),M475&lt;='Scoring Settings'!$B$13)),"High","Medium")))</f>
        <v/>
      </c>
      <c r="AN475" s="14"/>
      <c r="AO475" s="16"/>
      <c r="AP475" s="14"/>
      <c r="AQ475" s="22"/>
    </row>
    <row r="476" spans="1:43">
      <c r="A476" s="14"/>
      <c r="B476" s="14"/>
      <c r="C476" s="14"/>
      <c r="D476" s="14"/>
      <c r="E476" s="14"/>
      <c r="F476" s="14"/>
      <c r="G476" s="14"/>
      <c r="H476" s="14"/>
      <c r="I476" s="15"/>
      <c r="J476" s="16"/>
      <c r="K476" s="17" t="str">
        <f>IF(B476="","",IF(AND(I476="",J476=""),"Unknown",IF(OR(AND(ISNUMBER(I476),I476=0),AND(ISNUMBER(J476),J476&lt;=EDATE('Scoring Settings'!$B$4,-'Scoring Settings'!$B$5))),"Not in use",IF(AND(ISNUMBER(I476),I476&lt;'Scoring Settings'!$B$6),"Low use","Active"))))</f>
        <v/>
      </c>
      <c r="L476" s="14"/>
      <c r="M476" s="14"/>
      <c r="N476" s="14"/>
      <c r="O476" s="14"/>
      <c r="P476" s="14"/>
      <c r="Q476" s="18"/>
      <c r="R476" s="14"/>
      <c r="S476" s="14"/>
      <c r="T476" s="14"/>
      <c r="U476" s="16"/>
      <c r="V476" s="14"/>
      <c r="W476" s="15"/>
      <c r="X476" s="14"/>
      <c r="Y476" s="18"/>
      <c r="Z476" s="14"/>
      <c r="AA476" s="14"/>
      <c r="AB476" s="18"/>
      <c r="AC476" s="14"/>
      <c r="AD476" s="14"/>
      <c r="AE476" s="14"/>
      <c r="AF476" s="19"/>
      <c r="AG476" s="16"/>
      <c r="AH476" s="19"/>
      <c r="AI476" s="19"/>
      <c r="AJ476" s="20" t="str">
        <f t="shared" si="7"/>
        <v/>
      </c>
      <c r="AK476" s="21" t="str">
        <f>IF(B476="","",OR(K476="Not in use",K476="Low use")+AND(N476&lt;&gt;"",N476&lt;&gt;"TBD")+AND(ISNUMBER(U476),U476&lt;=EDATE('Scoring Settings'!$B$4,'Scoring Settings'!$B$8))+AND(ISNUMBER(L476),L476&lt;='Scoring Settings'!$B$7))</f>
        <v/>
      </c>
      <c r="AL476" s="17" t="str">
        <f>IF(B476="","",IF(K476="Not in use","Priority – Not in use",IF(AK476&gt;='Scoring Settings'!$B$9,"Decommission",IF(AK476=1,"Review","Retain"))))</f>
        <v/>
      </c>
      <c r="AM476" s="17" t="str">
        <f>IF(B476="","",IF(Z476="N","Easy",IF(OR(AND(ISNUMBER(AB476),AB476&gt;'Scoring Settings'!$B$11),AND(ISNUMBER(W476),W476&gt;'Scoring Settings'!$B$12),AND(ISNUMBER(M476),M476&lt;='Scoring Settings'!$B$13)),"High","Medium")))</f>
        <v/>
      </c>
      <c r="AN476" s="14"/>
      <c r="AO476" s="16"/>
      <c r="AP476" s="14"/>
      <c r="AQ476" s="22"/>
    </row>
    <row r="477" spans="1:43">
      <c r="A477" s="14"/>
      <c r="B477" s="14"/>
      <c r="C477" s="14"/>
      <c r="D477" s="14"/>
      <c r="E477" s="14"/>
      <c r="F477" s="14"/>
      <c r="G477" s="14"/>
      <c r="H477" s="14"/>
      <c r="I477" s="15"/>
      <c r="J477" s="16"/>
      <c r="K477" s="17" t="str">
        <f>IF(B477="","",IF(AND(I477="",J477=""),"Unknown",IF(OR(AND(ISNUMBER(I477),I477=0),AND(ISNUMBER(J477),J477&lt;=EDATE('Scoring Settings'!$B$4,-'Scoring Settings'!$B$5))),"Not in use",IF(AND(ISNUMBER(I477),I477&lt;'Scoring Settings'!$B$6),"Low use","Active"))))</f>
        <v/>
      </c>
      <c r="L477" s="14"/>
      <c r="M477" s="14"/>
      <c r="N477" s="14"/>
      <c r="O477" s="14"/>
      <c r="P477" s="14"/>
      <c r="Q477" s="18"/>
      <c r="R477" s="14"/>
      <c r="S477" s="14"/>
      <c r="T477" s="14"/>
      <c r="U477" s="16"/>
      <c r="V477" s="14"/>
      <c r="W477" s="15"/>
      <c r="X477" s="14"/>
      <c r="Y477" s="18"/>
      <c r="Z477" s="14"/>
      <c r="AA477" s="14"/>
      <c r="AB477" s="18"/>
      <c r="AC477" s="14"/>
      <c r="AD477" s="14"/>
      <c r="AE477" s="14"/>
      <c r="AF477" s="19"/>
      <c r="AG477" s="16"/>
      <c r="AH477" s="19"/>
      <c r="AI477" s="19"/>
      <c r="AJ477" s="20" t="str">
        <f t="shared" si="7"/>
        <v/>
      </c>
      <c r="AK477" s="21" t="str">
        <f>IF(B477="","",OR(K477="Not in use",K477="Low use")+AND(N477&lt;&gt;"",N477&lt;&gt;"TBD")+AND(ISNUMBER(U477),U477&lt;=EDATE('Scoring Settings'!$B$4,'Scoring Settings'!$B$8))+AND(ISNUMBER(L477),L477&lt;='Scoring Settings'!$B$7))</f>
        <v/>
      </c>
      <c r="AL477" s="17" t="str">
        <f>IF(B477="","",IF(K477="Not in use","Priority – Not in use",IF(AK477&gt;='Scoring Settings'!$B$9,"Decommission",IF(AK477=1,"Review","Retain"))))</f>
        <v/>
      </c>
      <c r="AM477" s="17" t="str">
        <f>IF(B477="","",IF(Z477="N","Easy",IF(OR(AND(ISNUMBER(AB477),AB477&gt;'Scoring Settings'!$B$11),AND(ISNUMBER(W477),W477&gt;'Scoring Settings'!$B$12),AND(ISNUMBER(M477),M477&lt;='Scoring Settings'!$B$13)),"High","Medium")))</f>
        <v/>
      </c>
      <c r="AN477" s="14"/>
      <c r="AO477" s="16"/>
      <c r="AP477" s="14"/>
      <c r="AQ477" s="22"/>
    </row>
    <row r="478" spans="1:43">
      <c r="A478" s="14"/>
      <c r="B478" s="14"/>
      <c r="C478" s="14"/>
      <c r="D478" s="14"/>
      <c r="E478" s="14"/>
      <c r="F478" s="14"/>
      <c r="G478" s="14"/>
      <c r="H478" s="14"/>
      <c r="I478" s="15"/>
      <c r="J478" s="16"/>
      <c r="K478" s="17" t="str">
        <f>IF(B478="","",IF(AND(I478="",J478=""),"Unknown",IF(OR(AND(ISNUMBER(I478),I478=0),AND(ISNUMBER(J478),J478&lt;=EDATE('Scoring Settings'!$B$4,-'Scoring Settings'!$B$5))),"Not in use",IF(AND(ISNUMBER(I478),I478&lt;'Scoring Settings'!$B$6),"Low use","Active"))))</f>
        <v/>
      </c>
      <c r="L478" s="14"/>
      <c r="M478" s="14"/>
      <c r="N478" s="14"/>
      <c r="O478" s="14"/>
      <c r="P478" s="14"/>
      <c r="Q478" s="18"/>
      <c r="R478" s="14"/>
      <c r="S478" s="14"/>
      <c r="T478" s="14"/>
      <c r="U478" s="16"/>
      <c r="V478" s="14"/>
      <c r="W478" s="15"/>
      <c r="X478" s="14"/>
      <c r="Y478" s="18"/>
      <c r="Z478" s="14"/>
      <c r="AA478" s="14"/>
      <c r="AB478" s="18"/>
      <c r="AC478" s="14"/>
      <c r="AD478" s="14"/>
      <c r="AE478" s="14"/>
      <c r="AF478" s="19"/>
      <c r="AG478" s="16"/>
      <c r="AH478" s="19"/>
      <c r="AI478" s="19"/>
      <c r="AJ478" s="20" t="str">
        <f t="shared" si="7"/>
        <v/>
      </c>
      <c r="AK478" s="21" t="str">
        <f>IF(B478="","",OR(K478="Not in use",K478="Low use")+AND(N478&lt;&gt;"",N478&lt;&gt;"TBD")+AND(ISNUMBER(U478),U478&lt;=EDATE('Scoring Settings'!$B$4,'Scoring Settings'!$B$8))+AND(ISNUMBER(L478),L478&lt;='Scoring Settings'!$B$7))</f>
        <v/>
      </c>
      <c r="AL478" s="17" t="str">
        <f>IF(B478="","",IF(K478="Not in use","Priority – Not in use",IF(AK478&gt;='Scoring Settings'!$B$9,"Decommission",IF(AK478=1,"Review","Retain"))))</f>
        <v/>
      </c>
      <c r="AM478" s="17" t="str">
        <f>IF(B478="","",IF(Z478="N","Easy",IF(OR(AND(ISNUMBER(AB478),AB478&gt;'Scoring Settings'!$B$11),AND(ISNUMBER(W478),W478&gt;'Scoring Settings'!$B$12),AND(ISNUMBER(M478),M478&lt;='Scoring Settings'!$B$13)),"High","Medium")))</f>
        <v/>
      </c>
      <c r="AN478" s="14"/>
      <c r="AO478" s="16"/>
      <c r="AP478" s="14"/>
      <c r="AQ478" s="22"/>
    </row>
    <row r="479" spans="1:43">
      <c r="A479" s="14"/>
      <c r="B479" s="14"/>
      <c r="C479" s="14"/>
      <c r="D479" s="14"/>
      <c r="E479" s="14"/>
      <c r="F479" s="14"/>
      <c r="G479" s="14"/>
      <c r="H479" s="14"/>
      <c r="I479" s="15"/>
      <c r="J479" s="16"/>
      <c r="K479" s="17" t="str">
        <f>IF(B479="","",IF(AND(I479="",J479=""),"Unknown",IF(OR(AND(ISNUMBER(I479),I479=0),AND(ISNUMBER(J479),J479&lt;=EDATE('Scoring Settings'!$B$4,-'Scoring Settings'!$B$5))),"Not in use",IF(AND(ISNUMBER(I479),I479&lt;'Scoring Settings'!$B$6),"Low use","Active"))))</f>
        <v/>
      </c>
      <c r="L479" s="14"/>
      <c r="M479" s="14"/>
      <c r="N479" s="14"/>
      <c r="O479" s="14"/>
      <c r="P479" s="14"/>
      <c r="Q479" s="18"/>
      <c r="R479" s="14"/>
      <c r="S479" s="14"/>
      <c r="T479" s="14"/>
      <c r="U479" s="16"/>
      <c r="V479" s="14"/>
      <c r="W479" s="15"/>
      <c r="X479" s="14"/>
      <c r="Y479" s="18"/>
      <c r="Z479" s="14"/>
      <c r="AA479" s="14"/>
      <c r="AB479" s="18"/>
      <c r="AC479" s="14"/>
      <c r="AD479" s="14"/>
      <c r="AE479" s="14"/>
      <c r="AF479" s="19"/>
      <c r="AG479" s="16"/>
      <c r="AH479" s="19"/>
      <c r="AI479" s="19"/>
      <c r="AJ479" s="20" t="str">
        <f t="shared" si="7"/>
        <v/>
      </c>
      <c r="AK479" s="21" t="str">
        <f>IF(B479="","",OR(K479="Not in use",K479="Low use")+AND(N479&lt;&gt;"",N479&lt;&gt;"TBD")+AND(ISNUMBER(U479),U479&lt;=EDATE('Scoring Settings'!$B$4,'Scoring Settings'!$B$8))+AND(ISNUMBER(L479),L479&lt;='Scoring Settings'!$B$7))</f>
        <v/>
      </c>
      <c r="AL479" s="17" t="str">
        <f>IF(B479="","",IF(K479="Not in use","Priority – Not in use",IF(AK479&gt;='Scoring Settings'!$B$9,"Decommission",IF(AK479=1,"Review","Retain"))))</f>
        <v/>
      </c>
      <c r="AM479" s="17" t="str">
        <f>IF(B479="","",IF(Z479="N","Easy",IF(OR(AND(ISNUMBER(AB479),AB479&gt;'Scoring Settings'!$B$11),AND(ISNUMBER(W479),W479&gt;'Scoring Settings'!$B$12),AND(ISNUMBER(M479),M479&lt;='Scoring Settings'!$B$13)),"High","Medium")))</f>
        <v/>
      </c>
      <c r="AN479" s="14"/>
      <c r="AO479" s="16"/>
      <c r="AP479" s="14"/>
      <c r="AQ479" s="22"/>
    </row>
    <row r="480" spans="1:43">
      <c r="A480" s="14"/>
      <c r="B480" s="14"/>
      <c r="C480" s="14"/>
      <c r="D480" s="14"/>
      <c r="E480" s="14"/>
      <c r="F480" s="14"/>
      <c r="G480" s="14"/>
      <c r="H480" s="14"/>
      <c r="I480" s="15"/>
      <c r="J480" s="16"/>
      <c r="K480" s="17" t="str">
        <f>IF(B480="","",IF(AND(I480="",J480=""),"Unknown",IF(OR(AND(ISNUMBER(I480),I480=0),AND(ISNUMBER(J480),J480&lt;=EDATE('Scoring Settings'!$B$4,-'Scoring Settings'!$B$5))),"Not in use",IF(AND(ISNUMBER(I480),I480&lt;'Scoring Settings'!$B$6),"Low use","Active"))))</f>
        <v/>
      </c>
      <c r="L480" s="14"/>
      <c r="M480" s="14"/>
      <c r="N480" s="14"/>
      <c r="O480" s="14"/>
      <c r="P480" s="14"/>
      <c r="Q480" s="18"/>
      <c r="R480" s="14"/>
      <c r="S480" s="14"/>
      <c r="T480" s="14"/>
      <c r="U480" s="16"/>
      <c r="V480" s="14"/>
      <c r="W480" s="15"/>
      <c r="X480" s="14"/>
      <c r="Y480" s="18"/>
      <c r="Z480" s="14"/>
      <c r="AA480" s="14"/>
      <c r="AB480" s="18"/>
      <c r="AC480" s="14"/>
      <c r="AD480" s="14"/>
      <c r="AE480" s="14"/>
      <c r="AF480" s="19"/>
      <c r="AG480" s="16"/>
      <c r="AH480" s="19"/>
      <c r="AI480" s="19"/>
      <c r="AJ480" s="20" t="str">
        <f t="shared" si="7"/>
        <v/>
      </c>
      <c r="AK480" s="21" t="str">
        <f>IF(B480="","",OR(K480="Not in use",K480="Low use")+AND(N480&lt;&gt;"",N480&lt;&gt;"TBD")+AND(ISNUMBER(U480),U480&lt;=EDATE('Scoring Settings'!$B$4,'Scoring Settings'!$B$8))+AND(ISNUMBER(L480),L480&lt;='Scoring Settings'!$B$7))</f>
        <v/>
      </c>
      <c r="AL480" s="17" t="str">
        <f>IF(B480="","",IF(K480="Not in use","Priority – Not in use",IF(AK480&gt;='Scoring Settings'!$B$9,"Decommission",IF(AK480=1,"Review","Retain"))))</f>
        <v/>
      </c>
      <c r="AM480" s="17" t="str">
        <f>IF(B480="","",IF(Z480="N","Easy",IF(OR(AND(ISNUMBER(AB480),AB480&gt;'Scoring Settings'!$B$11),AND(ISNUMBER(W480),W480&gt;'Scoring Settings'!$B$12),AND(ISNUMBER(M480),M480&lt;='Scoring Settings'!$B$13)),"High","Medium")))</f>
        <v/>
      </c>
      <c r="AN480" s="14"/>
      <c r="AO480" s="16"/>
      <c r="AP480" s="14"/>
      <c r="AQ480" s="22"/>
    </row>
    <row r="481" spans="1:43">
      <c r="A481" s="14"/>
      <c r="B481" s="14"/>
      <c r="C481" s="14"/>
      <c r="D481" s="14"/>
      <c r="E481" s="14"/>
      <c r="F481" s="14"/>
      <c r="G481" s="14"/>
      <c r="H481" s="14"/>
      <c r="I481" s="15"/>
      <c r="J481" s="16"/>
      <c r="K481" s="17" t="str">
        <f>IF(B481="","",IF(AND(I481="",J481=""),"Unknown",IF(OR(AND(ISNUMBER(I481),I481=0),AND(ISNUMBER(J481),J481&lt;=EDATE('Scoring Settings'!$B$4,-'Scoring Settings'!$B$5))),"Not in use",IF(AND(ISNUMBER(I481),I481&lt;'Scoring Settings'!$B$6),"Low use","Active"))))</f>
        <v/>
      </c>
      <c r="L481" s="14"/>
      <c r="M481" s="14"/>
      <c r="N481" s="14"/>
      <c r="O481" s="14"/>
      <c r="P481" s="14"/>
      <c r="Q481" s="18"/>
      <c r="R481" s="14"/>
      <c r="S481" s="14"/>
      <c r="T481" s="14"/>
      <c r="U481" s="16"/>
      <c r="V481" s="14"/>
      <c r="W481" s="15"/>
      <c r="X481" s="14"/>
      <c r="Y481" s="18"/>
      <c r="Z481" s="14"/>
      <c r="AA481" s="14"/>
      <c r="AB481" s="18"/>
      <c r="AC481" s="14"/>
      <c r="AD481" s="14"/>
      <c r="AE481" s="14"/>
      <c r="AF481" s="19"/>
      <c r="AG481" s="16"/>
      <c r="AH481" s="19"/>
      <c r="AI481" s="19"/>
      <c r="AJ481" s="20" t="str">
        <f t="shared" si="7"/>
        <v/>
      </c>
      <c r="AK481" s="21" t="str">
        <f>IF(B481="","",OR(K481="Not in use",K481="Low use")+AND(N481&lt;&gt;"",N481&lt;&gt;"TBD")+AND(ISNUMBER(U481),U481&lt;=EDATE('Scoring Settings'!$B$4,'Scoring Settings'!$B$8))+AND(ISNUMBER(L481),L481&lt;='Scoring Settings'!$B$7))</f>
        <v/>
      </c>
      <c r="AL481" s="17" t="str">
        <f>IF(B481="","",IF(K481="Not in use","Priority – Not in use",IF(AK481&gt;='Scoring Settings'!$B$9,"Decommission",IF(AK481=1,"Review","Retain"))))</f>
        <v/>
      </c>
      <c r="AM481" s="17" t="str">
        <f>IF(B481="","",IF(Z481="N","Easy",IF(OR(AND(ISNUMBER(AB481),AB481&gt;'Scoring Settings'!$B$11),AND(ISNUMBER(W481),W481&gt;'Scoring Settings'!$B$12),AND(ISNUMBER(M481),M481&lt;='Scoring Settings'!$B$13)),"High","Medium")))</f>
        <v/>
      </c>
      <c r="AN481" s="14"/>
      <c r="AO481" s="16"/>
      <c r="AP481" s="14"/>
      <c r="AQ481" s="22"/>
    </row>
    <row r="482" spans="1:43">
      <c r="A482" s="14"/>
      <c r="B482" s="14"/>
      <c r="C482" s="14"/>
      <c r="D482" s="14"/>
      <c r="E482" s="14"/>
      <c r="F482" s="14"/>
      <c r="G482" s="14"/>
      <c r="H482" s="14"/>
      <c r="I482" s="15"/>
      <c r="J482" s="16"/>
      <c r="K482" s="17" t="str">
        <f>IF(B482="","",IF(AND(I482="",J482=""),"Unknown",IF(OR(AND(ISNUMBER(I482),I482=0),AND(ISNUMBER(J482),J482&lt;=EDATE('Scoring Settings'!$B$4,-'Scoring Settings'!$B$5))),"Not in use",IF(AND(ISNUMBER(I482),I482&lt;'Scoring Settings'!$B$6),"Low use","Active"))))</f>
        <v/>
      </c>
      <c r="L482" s="14"/>
      <c r="M482" s="14"/>
      <c r="N482" s="14"/>
      <c r="O482" s="14"/>
      <c r="P482" s="14"/>
      <c r="Q482" s="18"/>
      <c r="R482" s="14"/>
      <c r="S482" s="14"/>
      <c r="T482" s="14"/>
      <c r="U482" s="16"/>
      <c r="V482" s="14"/>
      <c r="W482" s="15"/>
      <c r="X482" s="14"/>
      <c r="Y482" s="18"/>
      <c r="Z482" s="14"/>
      <c r="AA482" s="14"/>
      <c r="AB482" s="18"/>
      <c r="AC482" s="14"/>
      <c r="AD482" s="14"/>
      <c r="AE482" s="14"/>
      <c r="AF482" s="19"/>
      <c r="AG482" s="16"/>
      <c r="AH482" s="19"/>
      <c r="AI482" s="19"/>
      <c r="AJ482" s="20" t="str">
        <f t="shared" si="7"/>
        <v/>
      </c>
      <c r="AK482" s="21" t="str">
        <f>IF(B482="","",OR(K482="Not in use",K482="Low use")+AND(N482&lt;&gt;"",N482&lt;&gt;"TBD")+AND(ISNUMBER(U482),U482&lt;=EDATE('Scoring Settings'!$B$4,'Scoring Settings'!$B$8))+AND(ISNUMBER(L482),L482&lt;='Scoring Settings'!$B$7))</f>
        <v/>
      </c>
      <c r="AL482" s="17" t="str">
        <f>IF(B482="","",IF(K482="Not in use","Priority – Not in use",IF(AK482&gt;='Scoring Settings'!$B$9,"Decommission",IF(AK482=1,"Review","Retain"))))</f>
        <v/>
      </c>
      <c r="AM482" s="17" t="str">
        <f>IF(B482="","",IF(Z482="N","Easy",IF(OR(AND(ISNUMBER(AB482),AB482&gt;'Scoring Settings'!$B$11),AND(ISNUMBER(W482),W482&gt;'Scoring Settings'!$B$12),AND(ISNUMBER(M482),M482&lt;='Scoring Settings'!$B$13)),"High","Medium")))</f>
        <v/>
      </c>
      <c r="AN482" s="14"/>
      <c r="AO482" s="16"/>
      <c r="AP482" s="14"/>
      <c r="AQ482" s="22"/>
    </row>
    <row r="483" spans="1:43">
      <c r="A483" s="14"/>
      <c r="B483" s="14"/>
      <c r="C483" s="14"/>
      <c r="D483" s="14"/>
      <c r="E483" s="14"/>
      <c r="F483" s="14"/>
      <c r="G483" s="14"/>
      <c r="H483" s="14"/>
      <c r="I483" s="15"/>
      <c r="J483" s="16"/>
      <c r="K483" s="17" t="str">
        <f>IF(B483="","",IF(AND(I483="",J483=""),"Unknown",IF(OR(AND(ISNUMBER(I483),I483=0),AND(ISNUMBER(J483),J483&lt;=EDATE('Scoring Settings'!$B$4,-'Scoring Settings'!$B$5))),"Not in use",IF(AND(ISNUMBER(I483),I483&lt;'Scoring Settings'!$B$6),"Low use","Active"))))</f>
        <v/>
      </c>
      <c r="L483" s="14"/>
      <c r="M483" s="14"/>
      <c r="N483" s="14"/>
      <c r="O483" s="14"/>
      <c r="P483" s="14"/>
      <c r="Q483" s="18"/>
      <c r="R483" s="14"/>
      <c r="S483" s="14"/>
      <c r="T483" s="14"/>
      <c r="U483" s="16"/>
      <c r="V483" s="14"/>
      <c r="W483" s="15"/>
      <c r="X483" s="14"/>
      <c r="Y483" s="18"/>
      <c r="Z483" s="14"/>
      <c r="AA483" s="14"/>
      <c r="AB483" s="18"/>
      <c r="AC483" s="14"/>
      <c r="AD483" s="14"/>
      <c r="AE483" s="14"/>
      <c r="AF483" s="19"/>
      <c r="AG483" s="16"/>
      <c r="AH483" s="19"/>
      <c r="AI483" s="19"/>
      <c r="AJ483" s="20" t="str">
        <f t="shared" si="7"/>
        <v/>
      </c>
      <c r="AK483" s="21" t="str">
        <f>IF(B483="","",OR(K483="Not in use",K483="Low use")+AND(N483&lt;&gt;"",N483&lt;&gt;"TBD")+AND(ISNUMBER(U483),U483&lt;=EDATE('Scoring Settings'!$B$4,'Scoring Settings'!$B$8))+AND(ISNUMBER(L483),L483&lt;='Scoring Settings'!$B$7))</f>
        <v/>
      </c>
      <c r="AL483" s="17" t="str">
        <f>IF(B483="","",IF(K483="Not in use","Priority – Not in use",IF(AK483&gt;='Scoring Settings'!$B$9,"Decommission",IF(AK483=1,"Review","Retain"))))</f>
        <v/>
      </c>
      <c r="AM483" s="17" t="str">
        <f>IF(B483="","",IF(Z483="N","Easy",IF(OR(AND(ISNUMBER(AB483),AB483&gt;'Scoring Settings'!$B$11),AND(ISNUMBER(W483),W483&gt;'Scoring Settings'!$B$12),AND(ISNUMBER(M483),M483&lt;='Scoring Settings'!$B$13)),"High","Medium")))</f>
        <v/>
      </c>
      <c r="AN483" s="14"/>
      <c r="AO483" s="16"/>
      <c r="AP483" s="14"/>
      <c r="AQ483" s="22"/>
    </row>
    <row r="484" spans="1:43">
      <c r="A484" s="14"/>
      <c r="B484" s="14"/>
      <c r="C484" s="14"/>
      <c r="D484" s="14"/>
      <c r="E484" s="14"/>
      <c r="F484" s="14"/>
      <c r="G484" s="14"/>
      <c r="H484" s="14"/>
      <c r="I484" s="15"/>
      <c r="J484" s="16"/>
      <c r="K484" s="17" t="str">
        <f>IF(B484="","",IF(AND(I484="",J484=""),"Unknown",IF(OR(AND(ISNUMBER(I484),I484=0),AND(ISNUMBER(J484),J484&lt;=EDATE('Scoring Settings'!$B$4,-'Scoring Settings'!$B$5))),"Not in use",IF(AND(ISNUMBER(I484),I484&lt;'Scoring Settings'!$B$6),"Low use","Active"))))</f>
        <v/>
      </c>
      <c r="L484" s="14"/>
      <c r="M484" s="14"/>
      <c r="N484" s="14"/>
      <c r="O484" s="14"/>
      <c r="P484" s="14"/>
      <c r="Q484" s="18"/>
      <c r="R484" s="14"/>
      <c r="S484" s="14"/>
      <c r="T484" s="14"/>
      <c r="U484" s="16"/>
      <c r="V484" s="14"/>
      <c r="W484" s="15"/>
      <c r="X484" s="14"/>
      <c r="Y484" s="18"/>
      <c r="Z484" s="14"/>
      <c r="AA484" s="14"/>
      <c r="AB484" s="18"/>
      <c r="AC484" s="14"/>
      <c r="AD484" s="14"/>
      <c r="AE484" s="14"/>
      <c r="AF484" s="19"/>
      <c r="AG484" s="16"/>
      <c r="AH484" s="19"/>
      <c r="AI484" s="19"/>
      <c r="AJ484" s="20" t="str">
        <f t="shared" si="7"/>
        <v/>
      </c>
      <c r="AK484" s="21" t="str">
        <f>IF(B484="","",OR(K484="Not in use",K484="Low use")+AND(N484&lt;&gt;"",N484&lt;&gt;"TBD")+AND(ISNUMBER(U484),U484&lt;=EDATE('Scoring Settings'!$B$4,'Scoring Settings'!$B$8))+AND(ISNUMBER(L484),L484&lt;='Scoring Settings'!$B$7))</f>
        <v/>
      </c>
      <c r="AL484" s="17" t="str">
        <f>IF(B484="","",IF(K484="Not in use","Priority – Not in use",IF(AK484&gt;='Scoring Settings'!$B$9,"Decommission",IF(AK484=1,"Review","Retain"))))</f>
        <v/>
      </c>
      <c r="AM484" s="17" t="str">
        <f>IF(B484="","",IF(Z484="N","Easy",IF(OR(AND(ISNUMBER(AB484),AB484&gt;'Scoring Settings'!$B$11),AND(ISNUMBER(W484),W484&gt;'Scoring Settings'!$B$12),AND(ISNUMBER(M484),M484&lt;='Scoring Settings'!$B$13)),"High","Medium")))</f>
        <v/>
      </c>
      <c r="AN484" s="14"/>
      <c r="AO484" s="16"/>
      <c r="AP484" s="14"/>
      <c r="AQ484" s="22"/>
    </row>
    <row r="485" spans="1:43">
      <c r="A485" s="14"/>
      <c r="B485" s="14"/>
      <c r="C485" s="14"/>
      <c r="D485" s="14"/>
      <c r="E485" s="14"/>
      <c r="F485" s="14"/>
      <c r="G485" s="14"/>
      <c r="H485" s="14"/>
      <c r="I485" s="15"/>
      <c r="J485" s="16"/>
      <c r="K485" s="17" t="str">
        <f>IF(B485="","",IF(AND(I485="",J485=""),"Unknown",IF(OR(AND(ISNUMBER(I485),I485=0),AND(ISNUMBER(J485),J485&lt;=EDATE('Scoring Settings'!$B$4,-'Scoring Settings'!$B$5))),"Not in use",IF(AND(ISNUMBER(I485),I485&lt;'Scoring Settings'!$B$6),"Low use","Active"))))</f>
        <v/>
      </c>
      <c r="L485" s="14"/>
      <c r="M485" s="14"/>
      <c r="N485" s="14"/>
      <c r="O485" s="14"/>
      <c r="P485" s="14"/>
      <c r="Q485" s="18"/>
      <c r="R485" s="14"/>
      <c r="S485" s="14"/>
      <c r="T485" s="14"/>
      <c r="U485" s="16"/>
      <c r="V485" s="14"/>
      <c r="W485" s="15"/>
      <c r="X485" s="14"/>
      <c r="Y485" s="18"/>
      <c r="Z485" s="14"/>
      <c r="AA485" s="14"/>
      <c r="AB485" s="18"/>
      <c r="AC485" s="14"/>
      <c r="AD485" s="14"/>
      <c r="AE485" s="14"/>
      <c r="AF485" s="19"/>
      <c r="AG485" s="16"/>
      <c r="AH485" s="19"/>
      <c r="AI485" s="19"/>
      <c r="AJ485" s="20" t="str">
        <f t="shared" si="7"/>
        <v/>
      </c>
      <c r="AK485" s="21" t="str">
        <f>IF(B485="","",OR(K485="Not in use",K485="Low use")+AND(N485&lt;&gt;"",N485&lt;&gt;"TBD")+AND(ISNUMBER(U485),U485&lt;=EDATE('Scoring Settings'!$B$4,'Scoring Settings'!$B$8))+AND(ISNUMBER(L485),L485&lt;='Scoring Settings'!$B$7))</f>
        <v/>
      </c>
      <c r="AL485" s="17" t="str">
        <f>IF(B485="","",IF(K485="Not in use","Priority – Not in use",IF(AK485&gt;='Scoring Settings'!$B$9,"Decommission",IF(AK485=1,"Review","Retain"))))</f>
        <v/>
      </c>
      <c r="AM485" s="17" t="str">
        <f>IF(B485="","",IF(Z485="N","Easy",IF(OR(AND(ISNUMBER(AB485),AB485&gt;'Scoring Settings'!$B$11),AND(ISNUMBER(W485),W485&gt;'Scoring Settings'!$B$12),AND(ISNUMBER(M485),M485&lt;='Scoring Settings'!$B$13)),"High","Medium")))</f>
        <v/>
      </c>
      <c r="AN485" s="14"/>
      <c r="AO485" s="16"/>
      <c r="AP485" s="14"/>
      <c r="AQ485" s="22"/>
    </row>
    <row r="486" spans="1:43">
      <c r="A486" s="14"/>
      <c r="B486" s="14"/>
      <c r="C486" s="14"/>
      <c r="D486" s="14"/>
      <c r="E486" s="14"/>
      <c r="F486" s="14"/>
      <c r="G486" s="14"/>
      <c r="H486" s="14"/>
      <c r="I486" s="15"/>
      <c r="J486" s="16"/>
      <c r="K486" s="17" t="str">
        <f>IF(B486="","",IF(AND(I486="",J486=""),"Unknown",IF(OR(AND(ISNUMBER(I486),I486=0),AND(ISNUMBER(J486),J486&lt;=EDATE('Scoring Settings'!$B$4,-'Scoring Settings'!$B$5))),"Not in use",IF(AND(ISNUMBER(I486),I486&lt;'Scoring Settings'!$B$6),"Low use","Active"))))</f>
        <v/>
      </c>
      <c r="L486" s="14"/>
      <c r="M486" s="14"/>
      <c r="N486" s="14"/>
      <c r="O486" s="14"/>
      <c r="P486" s="14"/>
      <c r="Q486" s="18"/>
      <c r="R486" s="14"/>
      <c r="S486" s="14"/>
      <c r="T486" s="14"/>
      <c r="U486" s="16"/>
      <c r="V486" s="14"/>
      <c r="W486" s="15"/>
      <c r="X486" s="14"/>
      <c r="Y486" s="18"/>
      <c r="Z486" s="14"/>
      <c r="AA486" s="14"/>
      <c r="AB486" s="18"/>
      <c r="AC486" s="14"/>
      <c r="AD486" s="14"/>
      <c r="AE486" s="14"/>
      <c r="AF486" s="19"/>
      <c r="AG486" s="16"/>
      <c r="AH486" s="19"/>
      <c r="AI486" s="19"/>
      <c r="AJ486" s="20" t="str">
        <f t="shared" si="7"/>
        <v/>
      </c>
      <c r="AK486" s="21" t="str">
        <f>IF(B486="","",OR(K486="Not in use",K486="Low use")+AND(N486&lt;&gt;"",N486&lt;&gt;"TBD")+AND(ISNUMBER(U486),U486&lt;=EDATE('Scoring Settings'!$B$4,'Scoring Settings'!$B$8))+AND(ISNUMBER(L486),L486&lt;='Scoring Settings'!$B$7))</f>
        <v/>
      </c>
      <c r="AL486" s="17" t="str">
        <f>IF(B486="","",IF(K486="Not in use","Priority – Not in use",IF(AK486&gt;='Scoring Settings'!$B$9,"Decommission",IF(AK486=1,"Review","Retain"))))</f>
        <v/>
      </c>
      <c r="AM486" s="17" t="str">
        <f>IF(B486="","",IF(Z486="N","Easy",IF(OR(AND(ISNUMBER(AB486),AB486&gt;'Scoring Settings'!$B$11),AND(ISNUMBER(W486),W486&gt;'Scoring Settings'!$B$12),AND(ISNUMBER(M486),M486&lt;='Scoring Settings'!$B$13)),"High","Medium")))</f>
        <v/>
      </c>
      <c r="AN486" s="14"/>
      <c r="AO486" s="16"/>
      <c r="AP486" s="14"/>
      <c r="AQ486" s="22"/>
    </row>
    <row r="487" spans="1:43">
      <c r="A487" s="14"/>
      <c r="B487" s="14"/>
      <c r="C487" s="14"/>
      <c r="D487" s="14"/>
      <c r="E487" s="14"/>
      <c r="F487" s="14"/>
      <c r="G487" s="14"/>
      <c r="H487" s="14"/>
      <c r="I487" s="15"/>
      <c r="J487" s="16"/>
      <c r="K487" s="17" t="str">
        <f>IF(B487="","",IF(AND(I487="",J487=""),"Unknown",IF(OR(AND(ISNUMBER(I487),I487=0),AND(ISNUMBER(J487),J487&lt;=EDATE('Scoring Settings'!$B$4,-'Scoring Settings'!$B$5))),"Not in use",IF(AND(ISNUMBER(I487),I487&lt;'Scoring Settings'!$B$6),"Low use","Active"))))</f>
        <v/>
      </c>
      <c r="L487" s="14"/>
      <c r="M487" s="14"/>
      <c r="N487" s="14"/>
      <c r="O487" s="14"/>
      <c r="P487" s="14"/>
      <c r="Q487" s="18"/>
      <c r="R487" s="14"/>
      <c r="S487" s="14"/>
      <c r="T487" s="14"/>
      <c r="U487" s="16"/>
      <c r="V487" s="14"/>
      <c r="W487" s="15"/>
      <c r="X487" s="14"/>
      <c r="Y487" s="18"/>
      <c r="Z487" s="14"/>
      <c r="AA487" s="14"/>
      <c r="AB487" s="18"/>
      <c r="AC487" s="14"/>
      <c r="AD487" s="14"/>
      <c r="AE487" s="14"/>
      <c r="AF487" s="19"/>
      <c r="AG487" s="16"/>
      <c r="AH487" s="19"/>
      <c r="AI487" s="19"/>
      <c r="AJ487" s="20" t="str">
        <f t="shared" si="7"/>
        <v/>
      </c>
      <c r="AK487" s="21" t="str">
        <f>IF(B487="","",OR(K487="Not in use",K487="Low use")+AND(N487&lt;&gt;"",N487&lt;&gt;"TBD")+AND(ISNUMBER(U487),U487&lt;=EDATE('Scoring Settings'!$B$4,'Scoring Settings'!$B$8))+AND(ISNUMBER(L487),L487&lt;='Scoring Settings'!$B$7))</f>
        <v/>
      </c>
      <c r="AL487" s="17" t="str">
        <f>IF(B487="","",IF(K487="Not in use","Priority – Not in use",IF(AK487&gt;='Scoring Settings'!$B$9,"Decommission",IF(AK487=1,"Review","Retain"))))</f>
        <v/>
      </c>
      <c r="AM487" s="17" t="str">
        <f>IF(B487="","",IF(Z487="N","Easy",IF(OR(AND(ISNUMBER(AB487),AB487&gt;'Scoring Settings'!$B$11),AND(ISNUMBER(W487),W487&gt;'Scoring Settings'!$B$12),AND(ISNUMBER(M487),M487&lt;='Scoring Settings'!$B$13)),"High","Medium")))</f>
        <v/>
      </c>
      <c r="AN487" s="14"/>
      <c r="AO487" s="16"/>
      <c r="AP487" s="14"/>
      <c r="AQ487" s="22"/>
    </row>
    <row r="488" spans="1:43">
      <c r="A488" s="14"/>
      <c r="B488" s="14"/>
      <c r="C488" s="14"/>
      <c r="D488" s="14"/>
      <c r="E488" s="14"/>
      <c r="F488" s="14"/>
      <c r="G488" s="14"/>
      <c r="H488" s="14"/>
      <c r="I488" s="15"/>
      <c r="J488" s="16"/>
      <c r="K488" s="17" t="str">
        <f>IF(B488="","",IF(AND(I488="",J488=""),"Unknown",IF(OR(AND(ISNUMBER(I488),I488=0),AND(ISNUMBER(J488),J488&lt;=EDATE('Scoring Settings'!$B$4,-'Scoring Settings'!$B$5))),"Not in use",IF(AND(ISNUMBER(I488),I488&lt;'Scoring Settings'!$B$6),"Low use","Active"))))</f>
        <v/>
      </c>
      <c r="L488" s="14"/>
      <c r="M488" s="14"/>
      <c r="N488" s="14"/>
      <c r="O488" s="14"/>
      <c r="P488" s="14"/>
      <c r="Q488" s="18"/>
      <c r="R488" s="14"/>
      <c r="S488" s="14"/>
      <c r="T488" s="14"/>
      <c r="U488" s="16"/>
      <c r="V488" s="14"/>
      <c r="W488" s="15"/>
      <c r="X488" s="14"/>
      <c r="Y488" s="18"/>
      <c r="Z488" s="14"/>
      <c r="AA488" s="14"/>
      <c r="AB488" s="18"/>
      <c r="AC488" s="14"/>
      <c r="AD488" s="14"/>
      <c r="AE488" s="14"/>
      <c r="AF488" s="19"/>
      <c r="AG488" s="16"/>
      <c r="AH488" s="19"/>
      <c r="AI488" s="19"/>
      <c r="AJ488" s="20" t="str">
        <f t="shared" si="7"/>
        <v/>
      </c>
      <c r="AK488" s="21" t="str">
        <f>IF(B488="","",OR(K488="Not in use",K488="Low use")+AND(N488&lt;&gt;"",N488&lt;&gt;"TBD")+AND(ISNUMBER(U488),U488&lt;=EDATE('Scoring Settings'!$B$4,'Scoring Settings'!$B$8))+AND(ISNUMBER(L488),L488&lt;='Scoring Settings'!$B$7))</f>
        <v/>
      </c>
      <c r="AL488" s="17" t="str">
        <f>IF(B488="","",IF(K488="Not in use","Priority – Not in use",IF(AK488&gt;='Scoring Settings'!$B$9,"Decommission",IF(AK488=1,"Review","Retain"))))</f>
        <v/>
      </c>
      <c r="AM488" s="17" t="str">
        <f>IF(B488="","",IF(Z488="N","Easy",IF(OR(AND(ISNUMBER(AB488),AB488&gt;'Scoring Settings'!$B$11),AND(ISNUMBER(W488),W488&gt;'Scoring Settings'!$B$12),AND(ISNUMBER(M488),M488&lt;='Scoring Settings'!$B$13)),"High","Medium")))</f>
        <v/>
      </c>
      <c r="AN488" s="14"/>
      <c r="AO488" s="16"/>
      <c r="AP488" s="14"/>
      <c r="AQ488" s="22"/>
    </row>
    <row r="489" spans="1:43">
      <c r="A489" s="14"/>
      <c r="B489" s="14"/>
      <c r="C489" s="14"/>
      <c r="D489" s="14"/>
      <c r="E489" s="14"/>
      <c r="F489" s="14"/>
      <c r="G489" s="14"/>
      <c r="H489" s="14"/>
      <c r="I489" s="15"/>
      <c r="J489" s="16"/>
      <c r="K489" s="17" t="str">
        <f>IF(B489="","",IF(AND(I489="",J489=""),"Unknown",IF(OR(AND(ISNUMBER(I489),I489=0),AND(ISNUMBER(J489),J489&lt;=EDATE('Scoring Settings'!$B$4,-'Scoring Settings'!$B$5))),"Not in use",IF(AND(ISNUMBER(I489),I489&lt;'Scoring Settings'!$B$6),"Low use","Active"))))</f>
        <v/>
      </c>
      <c r="L489" s="14"/>
      <c r="M489" s="14"/>
      <c r="N489" s="14"/>
      <c r="O489" s="14"/>
      <c r="P489" s="14"/>
      <c r="Q489" s="18"/>
      <c r="R489" s="14"/>
      <c r="S489" s="14"/>
      <c r="T489" s="14"/>
      <c r="U489" s="16"/>
      <c r="V489" s="14"/>
      <c r="W489" s="15"/>
      <c r="X489" s="14"/>
      <c r="Y489" s="18"/>
      <c r="Z489" s="14"/>
      <c r="AA489" s="14"/>
      <c r="AB489" s="18"/>
      <c r="AC489" s="14"/>
      <c r="AD489" s="14"/>
      <c r="AE489" s="14"/>
      <c r="AF489" s="19"/>
      <c r="AG489" s="16"/>
      <c r="AH489" s="19"/>
      <c r="AI489" s="19"/>
      <c r="AJ489" s="20" t="str">
        <f t="shared" si="7"/>
        <v/>
      </c>
      <c r="AK489" s="21" t="str">
        <f>IF(B489="","",OR(K489="Not in use",K489="Low use")+AND(N489&lt;&gt;"",N489&lt;&gt;"TBD")+AND(ISNUMBER(U489),U489&lt;=EDATE('Scoring Settings'!$B$4,'Scoring Settings'!$B$8))+AND(ISNUMBER(L489),L489&lt;='Scoring Settings'!$B$7))</f>
        <v/>
      </c>
      <c r="AL489" s="17" t="str">
        <f>IF(B489="","",IF(K489="Not in use","Priority – Not in use",IF(AK489&gt;='Scoring Settings'!$B$9,"Decommission",IF(AK489=1,"Review","Retain"))))</f>
        <v/>
      </c>
      <c r="AM489" s="17" t="str">
        <f>IF(B489="","",IF(Z489="N","Easy",IF(OR(AND(ISNUMBER(AB489),AB489&gt;'Scoring Settings'!$B$11),AND(ISNUMBER(W489),W489&gt;'Scoring Settings'!$B$12),AND(ISNUMBER(M489),M489&lt;='Scoring Settings'!$B$13)),"High","Medium")))</f>
        <v/>
      </c>
      <c r="AN489" s="14"/>
      <c r="AO489" s="16"/>
      <c r="AP489" s="14"/>
      <c r="AQ489" s="22"/>
    </row>
    <row r="490" spans="1:43">
      <c r="A490" s="14"/>
      <c r="B490" s="14"/>
      <c r="C490" s="14"/>
      <c r="D490" s="14"/>
      <c r="E490" s="14"/>
      <c r="F490" s="14"/>
      <c r="G490" s="14"/>
      <c r="H490" s="14"/>
      <c r="I490" s="15"/>
      <c r="J490" s="16"/>
      <c r="K490" s="17" t="str">
        <f>IF(B490="","",IF(AND(I490="",J490=""),"Unknown",IF(OR(AND(ISNUMBER(I490),I490=0),AND(ISNUMBER(J490),J490&lt;=EDATE('Scoring Settings'!$B$4,-'Scoring Settings'!$B$5))),"Not in use",IF(AND(ISNUMBER(I490),I490&lt;'Scoring Settings'!$B$6),"Low use","Active"))))</f>
        <v/>
      </c>
      <c r="L490" s="14"/>
      <c r="M490" s="14"/>
      <c r="N490" s="14"/>
      <c r="O490" s="14"/>
      <c r="P490" s="14"/>
      <c r="Q490" s="18"/>
      <c r="R490" s="14"/>
      <c r="S490" s="14"/>
      <c r="T490" s="14"/>
      <c r="U490" s="16"/>
      <c r="V490" s="14"/>
      <c r="W490" s="15"/>
      <c r="X490" s="14"/>
      <c r="Y490" s="18"/>
      <c r="Z490" s="14"/>
      <c r="AA490" s="14"/>
      <c r="AB490" s="18"/>
      <c r="AC490" s="14"/>
      <c r="AD490" s="14"/>
      <c r="AE490" s="14"/>
      <c r="AF490" s="19"/>
      <c r="AG490" s="16"/>
      <c r="AH490" s="19"/>
      <c r="AI490" s="19"/>
      <c r="AJ490" s="20" t="str">
        <f t="shared" si="7"/>
        <v/>
      </c>
      <c r="AK490" s="21" t="str">
        <f>IF(B490="","",OR(K490="Not in use",K490="Low use")+AND(N490&lt;&gt;"",N490&lt;&gt;"TBD")+AND(ISNUMBER(U490),U490&lt;=EDATE('Scoring Settings'!$B$4,'Scoring Settings'!$B$8))+AND(ISNUMBER(L490),L490&lt;='Scoring Settings'!$B$7))</f>
        <v/>
      </c>
      <c r="AL490" s="17" t="str">
        <f>IF(B490="","",IF(K490="Not in use","Priority – Not in use",IF(AK490&gt;='Scoring Settings'!$B$9,"Decommission",IF(AK490=1,"Review","Retain"))))</f>
        <v/>
      </c>
      <c r="AM490" s="17" t="str">
        <f>IF(B490="","",IF(Z490="N","Easy",IF(OR(AND(ISNUMBER(AB490),AB490&gt;'Scoring Settings'!$B$11),AND(ISNUMBER(W490),W490&gt;'Scoring Settings'!$B$12),AND(ISNUMBER(M490),M490&lt;='Scoring Settings'!$B$13)),"High","Medium")))</f>
        <v/>
      </c>
      <c r="AN490" s="14"/>
      <c r="AO490" s="16"/>
      <c r="AP490" s="14"/>
      <c r="AQ490" s="22"/>
    </row>
    <row r="491" spans="1:43">
      <c r="A491" s="14"/>
      <c r="B491" s="14"/>
      <c r="C491" s="14"/>
      <c r="D491" s="14"/>
      <c r="E491" s="14"/>
      <c r="F491" s="14"/>
      <c r="G491" s="14"/>
      <c r="H491" s="14"/>
      <c r="I491" s="15"/>
      <c r="J491" s="16"/>
      <c r="K491" s="17" t="str">
        <f>IF(B491="","",IF(AND(I491="",J491=""),"Unknown",IF(OR(AND(ISNUMBER(I491),I491=0),AND(ISNUMBER(J491),J491&lt;=EDATE('Scoring Settings'!$B$4,-'Scoring Settings'!$B$5))),"Not in use",IF(AND(ISNUMBER(I491),I491&lt;'Scoring Settings'!$B$6),"Low use","Active"))))</f>
        <v/>
      </c>
      <c r="L491" s="14"/>
      <c r="M491" s="14"/>
      <c r="N491" s="14"/>
      <c r="O491" s="14"/>
      <c r="P491" s="14"/>
      <c r="Q491" s="18"/>
      <c r="R491" s="14"/>
      <c r="S491" s="14"/>
      <c r="T491" s="14"/>
      <c r="U491" s="16"/>
      <c r="V491" s="14"/>
      <c r="W491" s="15"/>
      <c r="X491" s="14"/>
      <c r="Y491" s="18"/>
      <c r="Z491" s="14"/>
      <c r="AA491" s="14"/>
      <c r="AB491" s="18"/>
      <c r="AC491" s="14"/>
      <c r="AD491" s="14"/>
      <c r="AE491" s="14"/>
      <c r="AF491" s="19"/>
      <c r="AG491" s="16"/>
      <c r="AH491" s="19"/>
      <c r="AI491" s="19"/>
      <c r="AJ491" s="20" t="str">
        <f t="shared" si="7"/>
        <v/>
      </c>
      <c r="AK491" s="21" t="str">
        <f>IF(B491="","",OR(K491="Not in use",K491="Low use")+AND(N491&lt;&gt;"",N491&lt;&gt;"TBD")+AND(ISNUMBER(U491),U491&lt;=EDATE('Scoring Settings'!$B$4,'Scoring Settings'!$B$8))+AND(ISNUMBER(L491),L491&lt;='Scoring Settings'!$B$7))</f>
        <v/>
      </c>
      <c r="AL491" s="17" t="str">
        <f>IF(B491="","",IF(K491="Not in use","Priority – Not in use",IF(AK491&gt;='Scoring Settings'!$B$9,"Decommission",IF(AK491=1,"Review","Retain"))))</f>
        <v/>
      </c>
      <c r="AM491" s="17" t="str">
        <f>IF(B491="","",IF(Z491="N","Easy",IF(OR(AND(ISNUMBER(AB491),AB491&gt;'Scoring Settings'!$B$11),AND(ISNUMBER(W491),W491&gt;'Scoring Settings'!$B$12),AND(ISNUMBER(M491),M491&lt;='Scoring Settings'!$B$13)),"High","Medium")))</f>
        <v/>
      </c>
      <c r="AN491" s="14"/>
      <c r="AO491" s="16"/>
      <c r="AP491" s="14"/>
      <c r="AQ491" s="22"/>
    </row>
    <row r="492" spans="1:43">
      <c r="A492" s="14"/>
      <c r="B492" s="14"/>
      <c r="C492" s="14"/>
      <c r="D492" s="14"/>
      <c r="E492" s="14"/>
      <c r="F492" s="14"/>
      <c r="G492" s="14"/>
      <c r="H492" s="14"/>
      <c r="I492" s="15"/>
      <c r="J492" s="16"/>
      <c r="K492" s="17" t="str">
        <f>IF(B492="","",IF(AND(I492="",J492=""),"Unknown",IF(OR(AND(ISNUMBER(I492),I492=0),AND(ISNUMBER(J492),J492&lt;=EDATE('Scoring Settings'!$B$4,-'Scoring Settings'!$B$5))),"Not in use",IF(AND(ISNUMBER(I492),I492&lt;'Scoring Settings'!$B$6),"Low use","Active"))))</f>
        <v/>
      </c>
      <c r="L492" s="14"/>
      <c r="M492" s="14"/>
      <c r="N492" s="14"/>
      <c r="O492" s="14"/>
      <c r="P492" s="14"/>
      <c r="Q492" s="18"/>
      <c r="R492" s="14"/>
      <c r="S492" s="14"/>
      <c r="T492" s="14"/>
      <c r="U492" s="16"/>
      <c r="V492" s="14"/>
      <c r="W492" s="15"/>
      <c r="X492" s="14"/>
      <c r="Y492" s="18"/>
      <c r="Z492" s="14"/>
      <c r="AA492" s="14"/>
      <c r="AB492" s="18"/>
      <c r="AC492" s="14"/>
      <c r="AD492" s="14"/>
      <c r="AE492" s="14"/>
      <c r="AF492" s="19"/>
      <c r="AG492" s="16"/>
      <c r="AH492" s="19"/>
      <c r="AI492" s="19"/>
      <c r="AJ492" s="20" t="str">
        <f t="shared" si="7"/>
        <v/>
      </c>
      <c r="AK492" s="21" t="str">
        <f>IF(B492="","",OR(K492="Not in use",K492="Low use")+AND(N492&lt;&gt;"",N492&lt;&gt;"TBD")+AND(ISNUMBER(U492),U492&lt;=EDATE('Scoring Settings'!$B$4,'Scoring Settings'!$B$8))+AND(ISNUMBER(L492),L492&lt;='Scoring Settings'!$B$7))</f>
        <v/>
      </c>
      <c r="AL492" s="17" t="str">
        <f>IF(B492="","",IF(K492="Not in use","Priority – Not in use",IF(AK492&gt;='Scoring Settings'!$B$9,"Decommission",IF(AK492=1,"Review","Retain"))))</f>
        <v/>
      </c>
      <c r="AM492" s="17" t="str">
        <f>IF(B492="","",IF(Z492="N","Easy",IF(OR(AND(ISNUMBER(AB492),AB492&gt;'Scoring Settings'!$B$11),AND(ISNUMBER(W492),W492&gt;'Scoring Settings'!$B$12),AND(ISNUMBER(M492),M492&lt;='Scoring Settings'!$B$13)),"High","Medium")))</f>
        <v/>
      </c>
      <c r="AN492" s="14"/>
      <c r="AO492" s="16"/>
      <c r="AP492" s="14"/>
      <c r="AQ492" s="22"/>
    </row>
    <row r="493" spans="1:43">
      <c r="A493" s="14"/>
      <c r="B493" s="14"/>
      <c r="C493" s="14"/>
      <c r="D493" s="14"/>
      <c r="E493" s="14"/>
      <c r="F493" s="14"/>
      <c r="G493" s="14"/>
      <c r="H493" s="14"/>
      <c r="I493" s="15"/>
      <c r="J493" s="16"/>
      <c r="K493" s="17" t="str">
        <f>IF(B493="","",IF(AND(I493="",J493=""),"Unknown",IF(OR(AND(ISNUMBER(I493),I493=0),AND(ISNUMBER(J493),J493&lt;=EDATE('Scoring Settings'!$B$4,-'Scoring Settings'!$B$5))),"Not in use",IF(AND(ISNUMBER(I493),I493&lt;'Scoring Settings'!$B$6),"Low use","Active"))))</f>
        <v/>
      </c>
      <c r="L493" s="14"/>
      <c r="M493" s="14"/>
      <c r="N493" s="14"/>
      <c r="O493" s="14"/>
      <c r="P493" s="14"/>
      <c r="Q493" s="18"/>
      <c r="R493" s="14"/>
      <c r="S493" s="14"/>
      <c r="T493" s="14"/>
      <c r="U493" s="16"/>
      <c r="V493" s="14"/>
      <c r="W493" s="15"/>
      <c r="X493" s="14"/>
      <c r="Y493" s="18"/>
      <c r="Z493" s="14"/>
      <c r="AA493" s="14"/>
      <c r="AB493" s="18"/>
      <c r="AC493" s="14"/>
      <c r="AD493" s="14"/>
      <c r="AE493" s="14"/>
      <c r="AF493" s="19"/>
      <c r="AG493" s="16"/>
      <c r="AH493" s="19"/>
      <c r="AI493" s="19"/>
      <c r="AJ493" s="20" t="str">
        <f t="shared" si="7"/>
        <v/>
      </c>
      <c r="AK493" s="21" t="str">
        <f>IF(B493="","",OR(K493="Not in use",K493="Low use")+AND(N493&lt;&gt;"",N493&lt;&gt;"TBD")+AND(ISNUMBER(U493),U493&lt;=EDATE('Scoring Settings'!$B$4,'Scoring Settings'!$B$8))+AND(ISNUMBER(L493),L493&lt;='Scoring Settings'!$B$7))</f>
        <v/>
      </c>
      <c r="AL493" s="17" t="str">
        <f>IF(B493="","",IF(K493="Not in use","Priority – Not in use",IF(AK493&gt;='Scoring Settings'!$B$9,"Decommission",IF(AK493=1,"Review","Retain"))))</f>
        <v/>
      </c>
      <c r="AM493" s="17" t="str">
        <f>IF(B493="","",IF(Z493="N","Easy",IF(OR(AND(ISNUMBER(AB493),AB493&gt;'Scoring Settings'!$B$11),AND(ISNUMBER(W493),W493&gt;'Scoring Settings'!$B$12),AND(ISNUMBER(M493),M493&lt;='Scoring Settings'!$B$13)),"High","Medium")))</f>
        <v/>
      </c>
      <c r="AN493" s="14"/>
      <c r="AO493" s="16"/>
      <c r="AP493" s="14"/>
      <c r="AQ493" s="22"/>
    </row>
    <row r="494" spans="1:43">
      <c r="A494" s="14"/>
      <c r="B494" s="14"/>
      <c r="C494" s="14"/>
      <c r="D494" s="14"/>
      <c r="E494" s="14"/>
      <c r="F494" s="14"/>
      <c r="G494" s="14"/>
      <c r="H494" s="14"/>
      <c r="I494" s="15"/>
      <c r="J494" s="16"/>
      <c r="K494" s="17" t="str">
        <f>IF(B494="","",IF(AND(I494="",J494=""),"Unknown",IF(OR(AND(ISNUMBER(I494),I494=0),AND(ISNUMBER(J494),J494&lt;=EDATE('Scoring Settings'!$B$4,-'Scoring Settings'!$B$5))),"Not in use",IF(AND(ISNUMBER(I494),I494&lt;'Scoring Settings'!$B$6),"Low use","Active"))))</f>
        <v/>
      </c>
      <c r="L494" s="14"/>
      <c r="M494" s="14"/>
      <c r="N494" s="14"/>
      <c r="O494" s="14"/>
      <c r="P494" s="14"/>
      <c r="Q494" s="18"/>
      <c r="R494" s="14"/>
      <c r="S494" s="14"/>
      <c r="T494" s="14"/>
      <c r="U494" s="16"/>
      <c r="V494" s="14"/>
      <c r="W494" s="15"/>
      <c r="X494" s="14"/>
      <c r="Y494" s="18"/>
      <c r="Z494" s="14"/>
      <c r="AA494" s="14"/>
      <c r="AB494" s="18"/>
      <c r="AC494" s="14"/>
      <c r="AD494" s="14"/>
      <c r="AE494" s="14"/>
      <c r="AF494" s="19"/>
      <c r="AG494" s="16"/>
      <c r="AH494" s="19"/>
      <c r="AI494" s="19"/>
      <c r="AJ494" s="20" t="str">
        <f t="shared" si="7"/>
        <v/>
      </c>
      <c r="AK494" s="21" t="str">
        <f>IF(B494="","",OR(K494="Not in use",K494="Low use")+AND(N494&lt;&gt;"",N494&lt;&gt;"TBD")+AND(ISNUMBER(U494),U494&lt;=EDATE('Scoring Settings'!$B$4,'Scoring Settings'!$B$8))+AND(ISNUMBER(L494),L494&lt;='Scoring Settings'!$B$7))</f>
        <v/>
      </c>
      <c r="AL494" s="17" t="str">
        <f>IF(B494="","",IF(K494="Not in use","Priority – Not in use",IF(AK494&gt;='Scoring Settings'!$B$9,"Decommission",IF(AK494=1,"Review","Retain"))))</f>
        <v/>
      </c>
      <c r="AM494" s="17" t="str">
        <f>IF(B494="","",IF(Z494="N","Easy",IF(OR(AND(ISNUMBER(AB494),AB494&gt;'Scoring Settings'!$B$11),AND(ISNUMBER(W494),W494&gt;'Scoring Settings'!$B$12),AND(ISNUMBER(M494),M494&lt;='Scoring Settings'!$B$13)),"High","Medium")))</f>
        <v/>
      </c>
      <c r="AN494" s="14"/>
      <c r="AO494" s="16"/>
      <c r="AP494" s="14"/>
      <c r="AQ494" s="22"/>
    </row>
    <row r="495" spans="1:43">
      <c r="A495" s="14"/>
      <c r="B495" s="14"/>
      <c r="C495" s="14"/>
      <c r="D495" s="14"/>
      <c r="E495" s="14"/>
      <c r="F495" s="14"/>
      <c r="G495" s="14"/>
      <c r="H495" s="14"/>
      <c r="I495" s="15"/>
      <c r="J495" s="16"/>
      <c r="K495" s="17" t="str">
        <f>IF(B495="","",IF(AND(I495="",J495=""),"Unknown",IF(OR(AND(ISNUMBER(I495),I495=0),AND(ISNUMBER(J495),J495&lt;=EDATE('Scoring Settings'!$B$4,-'Scoring Settings'!$B$5))),"Not in use",IF(AND(ISNUMBER(I495),I495&lt;'Scoring Settings'!$B$6),"Low use","Active"))))</f>
        <v/>
      </c>
      <c r="L495" s="14"/>
      <c r="M495" s="14"/>
      <c r="N495" s="14"/>
      <c r="O495" s="14"/>
      <c r="P495" s="14"/>
      <c r="Q495" s="18"/>
      <c r="R495" s="14"/>
      <c r="S495" s="14"/>
      <c r="T495" s="14"/>
      <c r="U495" s="16"/>
      <c r="V495" s="14"/>
      <c r="W495" s="15"/>
      <c r="X495" s="14"/>
      <c r="Y495" s="18"/>
      <c r="Z495" s="14"/>
      <c r="AA495" s="14"/>
      <c r="AB495" s="18"/>
      <c r="AC495" s="14"/>
      <c r="AD495" s="14"/>
      <c r="AE495" s="14"/>
      <c r="AF495" s="19"/>
      <c r="AG495" s="16"/>
      <c r="AH495" s="19"/>
      <c r="AI495" s="19"/>
      <c r="AJ495" s="20" t="str">
        <f t="shared" si="7"/>
        <v/>
      </c>
      <c r="AK495" s="21" t="str">
        <f>IF(B495="","",OR(K495="Not in use",K495="Low use")+AND(N495&lt;&gt;"",N495&lt;&gt;"TBD")+AND(ISNUMBER(U495),U495&lt;=EDATE('Scoring Settings'!$B$4,'Scoring Settings'!$B$8))+AND(ISNUMBER(L495),L495&lt;='Scoring Settings'!$B$7))</f>
        <v/>
      </c>
      <c r="AL495" s="17" t="str">
        <f>IF(B495="","",IF(K495="Not in use","Priority – Not in use",IF(AK495&gt;='Scoring Settings'!$B$9,"Decommission",IF(AK495=1,"Review","Retain"))))</f>
        <v/>
      </c>
      <c r="AM495" s="17" t="str">
        <f>IF(B495="","",IF(Z495="N","Easy",IF(OR(AND(ISNUMBER(AB495),AB495&gt;'Scoring Settings'!$B$11),AND(ISNUMBER(W495),W495&gt;'Scoring Settings'!$B$12),AND(ISNUMBER(M495),M495&lt;='Scoring Settings'!$B$13)),"High","Medium")))</f>
        <v/>
      </c>
      <c r="AN495" s="14"/>
      <c r="AO495" s="16"/>
      <c r="AP495" s="14"/>
      <c r="AQ495" s="22"/>
    </row>
    <row r="496" spans="1:43">
      <c r="A496" s="14"/>
      <c r="B496" s="14"/>
      <c r="C496" s="14"/>
      <c r="D496" s="14"/>
      <c r="E496" s="14"/>
      <c r="F496" s="14"/>
      <c r="G496" s="14"/>
      <c r="H496" s="14"/>
      <c r="I496" s="15"/>
      <c r="J496" s="16"/>
      <c r="K496" s="17" t="str">
        <f>IF(B496="","",IF(AND(I496="",J496=""),"Unknown",IF(OR(AND(ISNUMBER(I496),I496=0),AND(ISNUMBER(J496),J496&lt;=EDATE('Scoring Settings'!$B$4,-'Scoring Settings'!$B$5))),"Not in use",IF(AND(ISNUMBER(I496),I496&lt;'Scoring Settings'!$B$6),"Low use","Active"))))</f>
        <v/>
      </c>
      <c r="L496" s="14"/>
      <c r="M496" s="14"/>
      <c r="N496" s="14"/>
      <c r="O496" s="14"/>
      <c r="P496" s="14"/>
      <c r="Q496" s="18"/>
      <c r="R496" s="14"/>
      <c r="S496" s="14"/>
      <c r="T496" s="14"/>
      <c r="U496" s="16"/>
      <c r="V496" s="14"/>
      <c r="W496" s="15"/>
      <c r="X496" s="14"/>
      <c r="Y496" s="18"/>
      <c r="Z496" s="14"/>
      <c r="AA496" s="14"/>
      <c r="AB496" s="18"/>
      <c r="AC496" s="14"/>
      <c r="AD496" s="14"/>
      <c r="AE496" s="14"/>
      <c r="AF496" s="19"/>
      <c r="AG496" s="16"/>
      <c r="AH496" s="19"/>
      <c r="AI496" s="19"/>
      <c r="AJ496" s="20" t="str">
        <f t="shared" si="7"/>
        <v/>
      </c>
      <c r="AK496" s="21" t="str">
        <f>IF(B496="","",OR(K496="Not in use",K496="Low use")+AND(N496&lt;&gt;"",N496&lt;&gt;"TBD")+AND(ISNUMBER(U496),U496&lt;=EDATE('Scoring Settings'!$B$4,'Scoring Settings'!$B$8))+AND(ISNUMBER(L496),L496&lt;='Scoring Settings'!$B$7))</f>
        <v/>
      </c>
      <c r="AL496" s="17" t="str">
        <f>IF(B496="","",IF(K496="Not in use","Priority – Not in use",IF(AK496&gt;='Scoring Settings'!$B$9,"Decommission",IF(AK496=1,"Review","Retain"))))</f>
        <v/>
      </c>
      <c r="AM496" s="17" t="str">
        <f>IF(B496="","",IF(Z496="N","Easy",IF(OR(AND(ISNUMBER(AB496),AB496&gt;'Scoring Settings'!$B$11),AND(ISNUMBER(W496),W496&gt;'Scoring Settings'!$B$12),AND(ISNUMBER(M496),M496&lt;='Scoring Settings'!$B$13)),"High","Medium")))</f>
        <v/>
      </c>
      <c r="AN496" s="14"/>
      <c r="AO496" s="16"/>
      <c r="AP496" s="14"/>
      <c r="AQ496" s="22"/>
    </row>
    <row r="497" spans="1:43">
      <c r="A497" s="14"/>
      <c r="B497" s="14"/>
      <c r="C497" s="14"/>
      <c r="D497" s="14"/>
      <c r="E497" s="14"/>
      <c r="F497" s="14"/>
      <c r="G497" s="14"/>
      <c r="H497" s="14"/>
      <c r="I497" s="15"/>
      <c r="J497" s="16"/>
      <c r="K497" s="17" t="str">
        <f>IF(B497="","",IF(AND(I497="",J497=""),"Unknown",IF(OR(AND(ISNUMBER(I497),I497=0),AND(ISNUMBER(J497),J497&lt;=EDATE('Scoring Settings'!$B$4,-'Scoring Settings'!$B$5))),"Not in use",IF(AND(ISNUMBER(I497),I497&lt;'Scoring Settings'!$B$6),"Low use","Active"))))</f>
        <v/>
      </c>
      <c r="L497" s="14"/>
      <c r="M497" s="14"/>
      <c r="N497" s="14"/>
      <c r="O497" s="14"/>
      <c r="P497" s="14"/>
      <c r="Q497" s="18"/>
      <c r="R497" s="14"/>
      <c r="S497" s="14"/>
      <c r="T497" s="14"/>
      <c r="U497" s="16"/>
      <c r="V497" s="14"/>
      <c r="W497" s="15"/>
      <c r="X497" s="14"/>
      <c r="Y497" s="18"/>
      <c r="Z497" s="14"/>
      <c r="AA497" s="14"/>
      <c r="AB497" s="18"/>
      <c r="AC497" s="14"/>
      <c r="AD497" s="14"/>
      <c r="AE497" s="14"/>
      <c r="AF497" s="19"/>
      <c r="AG497" s="16"/>
      <c r="AH497" s="19"/>
      <c r="AI497" s="19"/>
      <c r="AJ497" s="20" t="str">
        <f t="shared" si="7"/>
        <v/>
      </c>
      <c r="AK497" s="21" t="str">
        <f>IF(B497="","",OR(K497="Not in use",K497="Low use")+AND(N497&lt;&gt;"",N497&lt;&gt;"TBD")+AND(ISNUMBER(U497),U497&lt;=EDATE('Scoring Settings'!$B$4,'Scoring Settings'!$B$8))+AND(ISNUMBER(L497),L497&lt;='Scoring Settings'!$B$7))</f>
        <v/>
      </c>
      <c r="AL497" s="17" t="str">
        <f>IF(B497="","",IF(K497="Not in use","Priority – Not in use",IF(AK497&gt;='Scoring Settings'!$B$9,"Decommission",IF(AK497=1,"Review","Retain"))))</f>
        <v/>
      </c>
      <c r="AM497" s="17" t="str">
        <f>IF(B497="","",IF(Z497="N","Easy",IF(OR(AND(ISNUMBER(AB497),AB497&gt;'Scoring Settings'!$B$11),AND(ISNUMBER(W497),W497&gt;'Scoring Settings'!$B$12),AND(ISNUMBER(M497),M497&lt;='Scoring Settings'!$B$13)),"High","Medium")))</f>
        <v/>
      </c>
      <c r="AN497" s="14"/>
      <c r="AO497" s="16"/>
      <c r="AP497" s="14"/>
      <c r="AQ497" s="22"/>
    </row>
    <row r="498" spans="1:43">
      <c r="A498" s="14"/>
      <c r="B498" s="14"/>
      <c r="C498" s="14"/>
      <c r="D498" s="14"/>
      <c r="E498" s="14"/>
      <c r="F498" s="14"/>
      <c r="G498" s="14"/>
      <c r="H498" s="14"/>
      <c r="I498" s="15"/>
      <c r="J498" s="16"/>
      <c r="K498" s="17" t="str">
        <f>IF(B498="","",IF(AND(I498="",J498=""),"Unknown",IF(OR(AND(ISNUMBER(I498),I498=0),AND(ISNUMBER(J498),J498&lt;=EDATE('Scoring Settings'!$B$4,-'Scoring Settings'!$B$5))),"Not in use",IF(AND(ISNUMBER(I498),I498&lt;'Scoring Settings'!$B$6),"Low use","Active"))))</f>
        <v/>
      </c>
      <c r="L498" s="14"/>
      <c r="M498" s="14"/>
      <c r="N498" s="14"/>
      <c r="O498" s="14"/>
      <c r="P498" s="14"/>
      <c r="Q498" s="18"/>
      <c r="R498" s="14"/>
      <c r="S498" s="14"/>
      <c r="T498" s="14"/>
      <c r="U498" s="16"/>
      <c r="V498" s="14"/>
      <c r="W498" s="15"/>
      <c r="X498" s="14"/>
      <c r="Y498" s="18"/>
      <c r="Z498" s="14"/>
      <c r="AA498" s="14"/>
      <c r="AB498" s="18"/>
      <c r="AC498" s="14"/>
      <c r="AD498" s="14"/>
      <c r="AE498" s="14"/>
      <c r="AF498" s="19"/>
      <c r="AG498" s="16"/>
      <c r="AH498" s="19"/>
      <c r="AI498" s="19"/>
      <c r="AJ498" s="20" t="str">
        <f t="shared" si="7"/>
        <v/>
      </c>
      <c r="AK498" s="21" t="str">
        <f>IF(B498="","",OR(K498="Not in use",K498="Low use")+AND(N498&lt;&gt;"",N498&lt;&gt;"TBD")+AND(ISNUMBER(U498),U498&lt;=EDATE('Scoring Settings'!$B$4,'Scoring Settings'!$B$8))+AND(ISNUMBER(L498),L498&lt;='Scoring Settings'!$B$7))</f>
        <v/>
      </c>
      <c r="AL498" s="17" t="str">
        <f>IF(B498="","",IF(K498="Not in use","Priority – Not in use",IF(AK498&gt;='Scoring Settings'!$B$9,"Decommission",IF(AK498=1,"Review","Retain"))))</f>
        <v/>
      </c>
      <c r="AM498" s="17" t="str">
        <f>IF(B498="","",IF(Z498="N","Easy",IF(OR(AND(ISNUMBER(AB498),AB498&gt;'Scoring Settings'!$B$11),AND(ISNUMBER(W498),W498&gt;'Scoring Settings'!$B$12),AND(ISNUMBER(M498),M498&lt;='Scoring Settings'!$B$13)),"High","Medium")))</f>
        <v/>
      </c>
      <c r="AN498" s="14"/>
      <c r="AO498" s="16"/>
      <c r="AP498" s="14"/>
      <c r="AQ498" s="22"/>
    </row>
    <row r="499" spans="1:43">
      <c r="A499" s="14"/>
      <c r="B499" s="14"/>
      <c r="C499" s="14"/>
      <c r="D499" s="14"/>
      <c r="E499" s="14"/>
      <c r="F499" s="14"/>
      <c r="G499" s="14"/>
      <c r="H499" s="14"/>
      <c r="I499" s="15"/>
      <c r="J499" s="16"/>
      <c r="K499" s="17" t="str">
        <f>IF(B499="","",IF(AND(I499="",J499=""),"Unknown",IF(OR(AND(ISNUMBER(I499),I499=0),AND(ISNUMBER(J499),J499&lt;=EDATE('Scoring Settings'!$B$4,-'Scoring Settings'!$B$5))),"Not in use",IF(AND(ISNUMBER(I499),I499&lt;'Scoring Settings'!$B$6),"Low use","Active"))))</f>
        <v/>
      </c>
      <c r="L499" s="14"/>
      <c r="M499" s="14"/>
      <c r="N499" s="14"/>
      <c r="O499" s="14"/>
      <c r="P499" s="14"/>
      <c r="Q499" s="18"/>
      <c r="R499" s="14"/>
      <c r="S499" s="14"/>
      <c r="T499" s="14"/>
      <c r="U499" s="16"/>
      <c r="V499" s="14"/>
      <c r="W499" s="15"/>
      <c r="X499" s="14"/>
      <c r="Y499" s="18"/>
      <c r="Z499" s="14"/>
      <c r="AA499" s="14"/>
      <c r="AB499" s="18"/>
      <c r="AC499" s="14"/>
      <c r="AD499" s="14"/>
      <c r="AE499" s="14"/>
      <c r="AF499" s="19"/>
      <c r="AG499" s="16"/>
      <c r="AH499" s="19"/>
      <c r="AI499" s="19"/>
      <c r="AJ499" s="20" t="str">
        <f t="shared" si="7"/>
        <v/>
      </c>
      <c r="AK499" s="21" t="str">
        <f>IF(B499="","",OR(K499="Not in use",K499="Low use")+AND(N499&lt;&gt;"",N499&lt;&gt;"TBD")+AND(ISNUMBER(U499),U499&lt;=EDATE('Scoring Settings'!$B$4,'Scoring Settings'!$B$8))+AND(ISNUMBER(L499),L499&lt;='Scoring Settings'!$B$7))</f>
        <v/>
      </c>
      <c r="AL499" s="17" t="str">
        <f>IF(B499="","",IF(K499="Not in use","Priority – Not in use",IF(AK499&gt;='Scoring Settings'!$B$9,"Decommission",IF(AK499=1,"Review","Retain"))))</f>
        <v/>
      </c>
      <c r="AM499" s="17" t="str">
        <f>IF(B499="","",IF(Z499="N","Easy",IF(OR(AND(ISNUMBER(AB499),AB499&gt;'Scoring Settings'!$B$11),AND(ISNUMBER(W499),W499&gt;'Scoring Settings'!$B$12),AND(ISNUMBER(M499),M499&lt;='Scoring Settings'!$B$13)),"High","Medium")))</f>
        <v/>
      </c>
      <c r="AN499" s="14"/>
      <c r="AO499" s="16"/>
      <c r="AP499" s="14"/>
      <c r="AQ499" s="22"/>
    </row>
    <row r="500" spans="1:43">
      <c r="A500" s="14"/>
      <c r="B500" s="14"/>
      <c r="C500" s="14"/>
      <c r="D500" s="14"/>
      <c r="E500" s="14"/>
      <c r="F500" s="14"/>
      <c r="G500" s="14"/>
      <c r="H500" s="14"/>
      <c r="I500" s="15"/>
      <c r="J500" s="16"/>
      <c r="K500" s="17" t="str">
        <f>IF(B500="","",IF(AND(I500="",J500=""),"Unknown",IF(OR(AND(ISNUMBER(I500),I500=0),AND(ISNUMBER(J500),J500&lt;=EDATE('Scoring Settings'!$B$4,-'Scoring Settings'!$B$5))),"Not in use",IF(AND(ISNUMBER(I500),I500&lt;'Scoring Settings'!$B$6),"Low use","Active"))))</f>
        <v/>
      </c>
      <c r="L500" s="14"/>
      <c r="M500" s="14"/>
      <c r="N500" s="14"/>
      <c r="O500" s="14"/>
      <c r="P500" s="14"/>
      <c r="Q500" s="18"/>
      <c r="R500" s="14"/>
      <c r="S500" s="14"/>
      <c r="T500" s="14"/>
      <c r="U500" s="16"/>
      <c r="V500" s="14"/>
      <c r="W500" s="15"/>
      <c r="X500" s="14"/>
      <c r="Y500" s="18"/>
      <c r="Z500" s="14"/>
      <c r="AA500" s="14"/>
      <c r="AB500" s="18"/>
      <c r="AC500" s="14"/>
      <c r="AD500" s="14"/>
      <c r="AE500" s="14"/>
      <c r="AF500" s="19"/>
      <c r="AG500" s="16"/>
      <c r="AH500" s="19"/>
      <c r="AI500" s="19"/>
      <c r="AJ500" s="20" t="str">
        <f t="shared" si="7"/>
        <v/>
      </c>
      <c r="AK500" s="21" t="str">
        <f>IF(B500="","",OR(K500="Not in use",K500="Low use")+AND(N500&lt;&gt;"",N500&lt;&gt;"TBD")+AND(ISNUMBER(U500),U500&lt;=EDATE('Scoring Settings'!$B$4,'Scoring Settings'!$B$8))+AND(ISNUMBER(L500),L500&lt;='Scoring Settings'!$B$7))</f>
        <v/>
      </c>
      <c r="AL500" s="17" t="str">
        <f>IF(B500="","",IF(K500="Not in use","Priority – Not in use",IF(AK500&gt;='Scoring Settings'!$B$9,"Decommission",IF(AK500=1,"Review","Retain"))))</f>
        <v/>
      </c>
      <c r="AM500" s="17" t="str">
        <f>IF(B500="","",IF(Z500="N","Easy",IF(OR(AND(ISNUMBER(AB500),AB500&gt;'Scoring Settings'!$B$11),AND(ISNUMBER(W500),W500&gt;'Scoring Settings'!$B$12),AND(ISNUMBER(M500),M500&lt;='Scoring Settings'!$B$13)),"High","Medium")))</f>
        <v/>
      </c>
      <c r="AN500" s="14"/>
      <c r="AO500" s="16"/>
      <c r="AP500" s="14"/>
      <c r="AQ500" s="22"/>
    </row>
    <row r="501" spans="1:43">
      <c r="A501" s="14"/>
      <c r="B501" s="14"/>
      <c r="C501" s="14"/>
      <c r="D501" s="14"/>
      <c r="E501" s="14"/>
      <c r="F501" s="14"/>
      <c r="G501" s="14"/>
      <c r="H501" s="14"/>
      <c r="I501" s="15"/>
      <c r="J501" s="16"/>
      <c r="K501" s="17" t="str">
        <f>IF(B501="","",IF(AND(I501="",J501=""),"Unknown",IF(OR(AND(ISNUMBER(I501),I501=0),AND(ISNUMBER(J501),J501&lt;=EDATE('Scoring Settings'!$B$4,-'Scoring Settings'!$B$5))),"Not in use",IF(AND(ISNUMBER(I501),I501&lt;'Scoring Settings'!$B$6),"Low use","Active"))))</f>
        <v/>
      </c>
      <c r="L501" s="14"/>
      <c r="M501" s="14"/>
      <c r="N501" s="14"/>
      <c r="O501" s="14"/>
      <c r="P501" s="14"/>
      <c r="Q501" s="18"/>
      <c r="R501" s="14"/>
      <c r="S501" s="14"/>
      <c r="T501" s="14"/>
      <c r="U501" s="16"/>
      <c r="V501" s="14"/>
      <c r="W501" s="15"/>
      <c r="X501" s="14"/>
      <c r="Y501" s="18"/>
      <c r="Z501" s="14"/>
      <c r="AA501" s="14"/>
      <c r="AB501" s="18"/>
      <c r="AC501" s="14"/>
      <c r="AD501" s="14"/>
      <c r="AE501" s="14"/>
      <c r="AF501" s="19"/>
      <c r="AG501" s="16"/>
      <c r="AH501" s="19"/>
      <c r="AI501" s="19"/>
      <c r="AJ501" s="20" t="str">
        <f t="shared" si="7"/>
        <v/>
      </c>
      <c r="AK501" s="21" t="str">
        <f>IF(B501="","",OR(K501="Not in use",K501="Low use")+AND(N501&lt;&gt;"",N501&lt;&gt;"TBD")+AND(ISNUMBER(U501),U501&lt;=EDATE('Scoring Settings'!$B$4,'Scoring Settings'!$B$8))+AND(ISNUMBER(L501),L501&lt;='Scoring Settings'!$B$7))</f>
        <v/>
      </c>
      <c r="AL501" s="17" t="str">
        <f>IF(B501="","",IF(K501="Not in use","Priority – Not in use",IF(AK501&gt;='Scoring Settings'!$B$9,"Decommission",IF(AK501=1,"Review","Retain"))))</f>
        <v/>
      </c>
      <c r="AM501" s="17" t="str">
        <f>IF(B501="","",IF(Z501="N","Easy",IF(OR(AND(ISNUMBER(AB501),AB501&gt;'Scoring Settings'!$B$11),AND(ISNUMBER(W501),W501&gt;'Scoring Settings'!$B$12),AND(ISNUMBER(M501),M501&lt;='Scoring Settings'!$B$13)),"High","Medium")))</f>
        <v/>
      </c>
      <c r="AN501" s="14"/>
      <c r="AO501" s="16"/>
      <c r="AP501" s="14"/>
      <c r="AQ501" s="22"/>
    </row>
    <row r="502" spans="1:43">
      <c r="A502" s="14"/>
      <c r="B502" s="14"/>
      <c r="C502" s="14"/>
      <c r="D502" s="14"/>
      <c r="E502" s="14"/>
      <c r="F502" s="14"/>
      <c r="G502" s="14"/>
      <c r="H502" s="14"/>
      <c r="I502" s="15"/>
      <c r="J502" s="16"/>
      <c r="K502" s="17" t="str">
        <f>IF(B502="","",IF(AND(I502="",J502=""),"Unknown",IF(OR(AND(ISNUMBER(I502),I502=0),AND(ISNUMBER(J502),J502&lt;=EDATE('Scoring Settings'!$B$4,-'Scoring Settings'!$B$5))),"Not in use",IF(AND(ISNUMBER(I502),I502&lt;'Scoring Settings'!$B$6),"Low use","Active"))))</f>
        <v/>
      </c>
      <c r="L502" s="14"/>
      <c r="M502" s="14"/>
      <c r="N502" s="14"/>
      <c r="O502" s="14"/>
      <c r="P502" s="14"/>
      <c r="Q502" s="18"/>
      <c r="R502" s="14"/>
      <c r="S502" s="14"/>
      <c r="T502" s="14"/>
      <c r="U502" s="16"/>
      <c r="V502" s="14"/>
      <c r="W502" s="15"/>
      <c r="X502" s="14"/>
      <c r="Y502" s="18"/>
      <c r="Z502" s="14"/>
      <c r="AA502" s="14"/>
      <c r="AB502" s="18"/>
      <c r="AC502" s="14"/>
      <c r="AD502" s="14"/>
      <c r="AE502" s="14"/>
      <c r="AF502" s="19"/>
      <c r="AG502" s="16"/>
      <c r="AH502" s="19"/>
      <c r="AI502" s="19"/>
      <c r="AJ502" s="20" t="str">
        <f t="shared" si="7"/>
        <v/>
      </c>
      <c r="AK502" s="21" t="str">
        <f>IF(B502="","",OR(K502="Not in use",K502="Low use")+AND(N502&lt;&gt;"",N502&lt;&gt;"TBD")+AND(ISNUMBER(U502),U502&lt;=EDATE('Scoring Settings'!$B$4,'Scoring Settings'!$B$8))+AND(ISNUMBER(L502),L502&lt;='Scoring Settings'!$B$7))</f>
        <v/>
      </c>
      <c r="AL502" s="17" t="str">
        <f>IF(B502="","",IF(K502="Not in use","Priority – Not in use",IF(AK502&gt;='Scoring Settings'!$B$9,"Decommission",IF(AK502=1,"Review","Retain"))))</f>
        <v/>
      </c>
      <c r="AM502" s="17" t="str">
        <f>IF(B502="","",IF(Z502="N","Easy",IF(OR(AND(ISNUMBER(AB502),AB502&gt;'Scoring Settings'!$B$11),AND(ISNUMBER(W502),W502&gt;'Scoring Settings'!$B$12),AND(ISNUMBER(M502),M502&lt;='Scoring Settings'!$B$13)),"High","Medium")))</f>
        <v/>
      </c>
      <c r="AN502" s="14"/>
      <c r="AO502" s="16"/>
      <c r="AP502" s="14"/>
      <c r="AQ502" s="22"/>
    </row>
    <row r="503" spans="1:43">
      <c r="A503" s="14"/>
      <c r="B503" s="14"/>
      <c r="C503" s="14"/>
      <c r="D503" s="14"/>
      <c r="E503" s="14"/>
      <c r="F503" s="14"/>
      <c r="G503" s="14"/>
      <c r="H503" s="14"/>
      <c r="I503" s="15"/>
      <c r="J503" s="16"/>
      <c r="K503" s="17" t="str">
        <f>IF(B503="","",IF(AND(I503="",J503=""),"Unknown",IF(OR(AND(ISNUMBER(I503),I503=0),AND(ISNUMBER(J503),J503&lt;=EDATE('Scoring Settings'!$B$4,-'Scoring Settings'!$B$5))),"Not in use",IF(AND(ISNUMBER(I503),I503&lt;'Scoring Settings'!$B$6),"Low use","Active"))))</f>
        <v/>
      </c>
      <c r="L503" s="14"/>
      <c r="M503" s="14"/>
      <c r="N503" s="14"/>
      <c r="O503" s="14"/>
      <c r="P503" s="14"/>
      <c r="Q503" s="18"/>
      <c r="R503" s="14"/>
      <c r="S503" s="14"/>
      <c r="T503" s="14"/>
      <c r="U503" s="16"/>
      <c r="V503" s="14"/>
      <c r="W503" s="15"/>
      <c r="X503" s="14"/>
      <c r="Y503" s="18"/>
      <c r="Z503" s="14"/>
      <c r="AA503" s="14"/>
      <c r="AB503" s="18"/>
      <c r="AC503" s="14"/>
      <c r="AD503" s="14"/>
      <c r="AE503" s="14"/>
      <c r="AF503" s="19"/>
      <c r="AG503" s="16"/>
      <c r="AH503" s="19"/>
      <c r="AI503" s="19"/>
      <c r="AJ503" s="20" t="str">
        <f t="shared" si="7"/>
        <v/>
      </c>
      <c r="AK503" s="21" t="str">
        <f>IF(B503="","",OR(K503="Not in use",K503="Low use")+AND(N503&lt;&gt;"",N503&lt;&gt;"TBD")+AND(ISNUMBER(U503),U503&lt;=EDATE('Scoring Settings'!$B$4,'Scoring Settings'!$B$8))+AND(ISNUMBER(L503),L503&lt;='Scoring Settings'!$B$7))</f>
        <v/>
      </c>
      <c r="AL503" s="17" t="str">
        <f>IF(B503="","",IF(K503="Not in use","Priority – Not in use",IF(AK503&gt;='Scoring Settings'!$B$9,"Decommission",IF(AK503=1,"Review","Retain"))))</f>
        <v/>
      </c>
      <c r="AM503" s="17" t="str">
        <f>IF(B503="","",IF(Z503="N","Easy",IF(OR(AND(ISNUMBER(AB503),AB503&gt;'Scoring Settings'!$B$11),AND(ISNUMBER(W503),W503&gt;'Scoring Settings'!$B$12),AND(ISNUMBER(M503),M503&lt;='Scoring Settings'!$B$13)),"High","Medium")))</f>
        <v/>
      </c>
      <c r="AN503" s="14"/>
      <c r="AO503" s="16"/>
      <c r="AP503" s="14"/>
      <c r="AQ503" s="22"/>
    </row>
    <row r="504" spans="1:43">
      <c r="A504" s="14"/>
      <c r="B504" s="14"/>
      <c r="C504" s="14"/>
      <c r="D504" s="14"/>
      <c r="E504" s="14"/>
      <c r="F504" s="14"/>
      <c r="G504" s="14"/>
      <c r="H504" s="14"/>
      <c r="I504" s="15"/>
      <c r="J504" s="16"/>
      <c r="K504" s="17" t="str">
        <f>IF(B504="","",IF(AND(I504="",J504=""),"Unknown",IF(OR(AND(ISNUMBER(I504),I504=0),AND(ISNUMBER(J504),J504&lt;=EDATE('Scoring Settings'!$B$4,-'Scoring Settings'!$B$5))),"Not in use",IF(AND(ISNUMBER(I504),I504&lt;'Scoring Settings'!$B$6),"Low use","Active"))))</f>
        <v/>
      </c>
      <c r="L504" s="14"/>
      <c r="M504" s="14"/>
      <c r="N504" s="14"/>
      <c r="O504" s="14"/>
      <c r="P504" s="14"/>
      <c r="Q504" s="18"/>
      <c r="R504" s="14"/>
      <c r="S504" s="14"/>
      <c r="T504" s="14"/>
      <c r="U504" s="16"/>
      <c r="V504" s="14"/>
      <c r="W504" s="15"/>
      <c r="X504" s="14"/>
      <c r="Y504" s="18"/>
      <c r="Z504" s="14"/>
      <c r="AA504" s="14"/>
      <c r="AB504" s="18"/>
      <c r="AC504" s="14"/>
      <c r="AD504" s="14"/>
      <c r="AE504" s="14"/>
      <c r="AF504" s="19"/>
      <c r="AG504" s="16"/>
      <c r="AH504" s="19"/>
      <c r="AI504" s="19"/>
      <c r="AJ504" s="20" t="str">
        <f t="shared" si="7"/>
        <v/>
      </c>
      <c r="AK504" s="21" t="str">
        <f>IF(B504="","",OR(K504="Not in use",K504="Low use")+AND(N504&lt;&gt;"",N504&lt;&gt;"TBD")+AND(ISNUMBER(U504),U504&lt;=EDATE('Scoring Settings'!$B$4,'Scoring Settings'!$B$8))+AND(ISNUMBER(L504),L504&lt;='Scoring Settings'!$B$7))</f>
        <v/>
      </c>
      <c r="AL504" s="17" t="str">
        <f>IF(B504="","",IF(K504="Not in use","Priority – Not in use",IF(AK504&gt;='Scoring Settings'!$B$9,"Decommission",IF(AK504=1,"Review","Retain"))))</f>
        <v/>
      </c>
      <c r="AM504" s="17" t="str">
        <f>IF(B504="","",IF(Z504="N","Easy",IF(OR(AND(ISNUMBER(AB504),AB504&gt;'Scoring Settings'!$B$11),AND(ISNUMBER(W504),W504&gt;'Scoring Settings'!$B$12),AND(ISNUMBER(M504),M504&lt;='Scoring Settings'!$B$13)),"High","Medium")))</f>
        <v/>
      </c>
      <c r="AN504" s="14"/>
      <c r="AO504" s="16"/>
      <c r="AP504" s="14"/>
      <c r="AQ504" s="22"/>
    </row>
  </sheetData>
  <autoFilter ref="A4:AQ504"/>
  <mergeCells count="9">
    <mergeCell ref="AC3:AE3"/>
    <mergeCell ref="AF3:AJ3"/>
    <mergeCell ref="AK3:AM3"/>
    <mergeCell ref="AN3:AQ3"/>
    <mergeCell ref="A3:E3"/>
    <mergeCell ref="F3:H3"/>
    <mergeCell ref="I3:N3"/>
    <mergeCell ref="O3:U3"/>
    <mergeCell ref="V3:AA3"/>
  </mergeCells>
  <dataValidations count="14">
    <dataValidation type="list" allowBlank="1" sqref="D5:D504">
      <formula1>"Finance,HR,Sales,Operations,Supply Chain,IT,Marketing"</formula1>
      <formula2>0</formula2>
    </dataValidation>
    <dataValidation type="list" allowBlank="1" sqref="E5:E504">
      <formula1>"Internal,External,Partner"</formula1>
      <formula2>0</formula2>
    </dataValidation>
    <dataValidation type="list" allowBlank="1" sqref="L5:L504">
      <formula1>"1,2,3,4,5"</formula1>
      <formula2>0</formula2>
    </dataValidation>
    <dataValidation type="list" allowBlank="1" sqref="M5:M504">
      <formula1>"1,2,3,4"</formula1>
      <formula2>0</formula2>
    </dataValidation>
    <dataValidation type="list" allowBlank="1" sqref="O5:O504">
      <formula1>"On-prem DC,IaaS,PaaS,SaaS"</formula1>
      <formula2>0</formula2>
    </dataValidation>
    <dataValidation type="list" allowBlank="1" sqref="V5:V504">
      <formula1>"Structured,Unstructured,Both"</formula1>
      <formula2>0</formula2>
    </dataValidation>
    <dataValidation type="list" allowBlank="1" sqref="X5:X504">
      <formula1>"Y,N"</formula1>
      <formula2>0</formula2>
    </dataValidation>
    <dataValidation type="list" allowBlank="1" sqref="Z5:Z504">
      <formula1>"Y,N"</formula1>
      <formula2>0</formula2>
    </dataValidation>
    <dataValidation type="list" allowBlank="1" sqref="AA5:AA504">
      <formula1>"None,Data archive,Read-only access,Archive + read-only,Legal hold,Reporting extract"</formula1>
      <formula2>0</formula2>
    </dataValidation>
    <dataValidation type="list" allowBlank="1" sqref="AC5:AC504">
      <formula1>"Y,Partial,N"</formula1>
      <formula2>0</formula2>
    </dataValidation>
    <dataValidation type="list" allowBlank="1" sqref="AD5:AD504">
      <formula1>"Y,Partial,N"</formula1>
      <formula2>0</formula2>
    </dataValidation>
    <dataValidation type="list" allowBlank="1" sqref="AE5:AE504">
      <formula1>"Y,Partial,N"</formula1>
      <formula2>0</formula2>
    </dataValidation>
    <dataValidation type="list" allowBlank="1" sqref="AN5:AN504">
      <formula1>"Wave 1,Wave 2,Wave 3,Backlog"</formula1>
      <formula2>0</formula2>
    </dataValidation>
    <dataValidation type="list" allowBlank="1" sqref="AP5:AP504">
      <formula1>"Candidate,Validated,Approved,In progress,Retired,Rejected"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I30"/>
  <sheetViews>
    <sheetView workbookViewId="0"/>
  </sheetViews>
  <sheetFormatPr defaultColWidth="8.7109375" defaultRowHeight="15"/>
  <cols>
    <col min="1" max="1" width="40" customWidth="1"/>
    <col min="2" max="9" width="15" customWidth="1"/>
  </cols>
  <sheetData>
    <row r="1" spans="1:9" ht="18">
      <c r="A1" s="9" t="s">
        <v>166</v>
      </c>
    </row>
    <row r="2" spans="1:9">
      <c r="A2" s="11" t="s">
        <v>167</v>
      </c>
    </row>
    <row r="4" spans="1:9">
      <c r="A4" s="24" t="s">
        <v>168</v>
      </c>
      <c r="B4" s="25">
        <f>COUNTA('Application Inventory'!$B$5:$B$504)</f>
        <v>10</v>
      </c>
    </row>
    <row r="5" spans="1:9">
      <c r="A5" s="24" t="s">
        <v>169</v>
      </c>
      <c r="B5" s="25">
        <f>COUNTIF('Application Inventory'!$AL$5:$AL$504,"Priority – Not in use")</f>
        <v>1</v>
      </c>
    </row>
    <row r="6" spans="1:9">
      <c r="A6" s="24" t="s">
        <v>170</v>
      </c>
      <c r="B6" s="25">
        <f>COUNTIF('Application Inventory'!$AL$5:$AL$504,"Priority – Not in use")+COUNTIF('Application Inventory'!$AL$5:$AL$504,"Decommission")</f>
        <v>6</v>
      </c>
    </row>
    <row r="7" spans="1:9">
      <c r="A7" s="24" t="s">
        <v>171</v>
      </c>
      <c r="B7" s="25">
        <f>COUNTIFS('Application Inventory'!$AL$5:$AL$504,"Priority – Not in use",'Application Inventory'!$AM$5:$AM$504,"Easy")+COUNTIFS('Application Inventory'!$AL$5:$AL$504,"Decommission",'Application Inventory'!$AM$5:$AM$504,"Easy")</f>
        <v>3</v>
      </c>
    </row>
    <row r="8" spans="1:9">
      <c r="A8" s="24" t="s">
        <v>172</v>
      </c>
      <c r="B8" s="26">
        <f>SUMIF('Application Inventory'!$AL$5:$AL$504,"Priority – Not in use",'Application Inventory'!$AI$5:$AI$504)+SUMIF('Application Inventory'!$AL$5:$AL$504,"Decommission",'Application Inventory'!$AI$5:$AI$504)</f>
        <v>141000</v>
      </c>
    </row>
    <row r="11" spans="1:9" ht="30">
      <c r="A11" s="27" t="s">
        <v>20</v>
      </c>
      <c r="B11" s="27" t="s">
        <v>173</v>
      </c>
      <c r="C11" s="27" t="s">
        <v>174</v>
      </c>
      <c r="D11" s="27" t="s">
        <v>175</v>
      </c>
      <c r="E11" s="27" t="s">
        <v>176</v>
      </c>
      <c r="F11" s="27" t="s">
        <v>53</v>
      </c>
      <c r="G11" s="27" t="s">
        <v>56</v>
      </c>
      <c r="H11" s="27" t="s">
        <v>55</v>
      </c>
      <c r="I11" s="27" t="s">
        <v>44</v>
      </c>
    </row>
    <row r="12" spans="1:9">
      <c r="A12" s="28" t="s">
        <v>177</v>
      </c>
      <c r="B12" s="28">
        <f>COUNTIFS('Application Inventory'!$AL$5:$AL$504,$A12,'Application Inventory'!$AM$5:$AM$504,"Easy")</f>
        <v>1</v>
      </c>
      <c r="C12" s="28">
        <f>COUNTIFS('Application Inventory'!$AL$5:$AL$504,$A12,'Application Inventory'!$AM$5:$AM$504,"Medium")</f>
        <v>0</v>
      </c>
      <c r="D12" s="28">
        <f>COUNTIFS('Application Inventory'!$AL$5:$AL$504,$A12,'Application Inventory'!$AM$5:$AM$504,"High")</f>
        <v>0</v>
      </c>
      <c r="E12" s="28">
        <f>SUM(B12:D12)</f>
        <v>1</v>
      </c>
      <c r="F12" s="29">
        <f>SUMIF('Application Inventory'!$AL$5:$AL$504,$A12,'Application Inventory'!$AF$5:$AF$504)</f>
        <v>3000</v>
      </c>
      <c r="G12" s="29">
        <f>SUMIF('Application Inventory'!$AL$5:$AL$504,$A12,'Application Inventory'!$AI$5:$AI$504)</f>
        <v>3000</v>
      </c>
      <c r="H12" s="29">
        <f>SUMIF('Application Inventory'!$AL$5:$AL$504,$A12,'Application Inventory'!$AH$5:$AH$504)</f>
        <v>2000</v>
      </c>
      <c r="I12" s="30">
        <f>SUMIF('Application Inventory'!$AL$5:$AL$504,$A12,'Application Inventory'!$W$5:$W$504)</f>
        <v>2</v>
      </c>
    </row>
    <row r="13" spans="1:9">
      <c r="A13" s="28" t="s">
        <v>178</v>
      </c>
      <c r="B13" s="28">
        <f>COUNTIFS('Application Inventory'!$AL$5:$AL$504,$A13,'Application Inventory'!$AM$5:$AM$504,"Easy")</f>
        <v>2</v>
      </c>
      <c r="C13" s="28">
        <f>COUNTIFS('Application Inventory'!$AL$5:$AL$504,$A13,'Application Inventory'!$AM$5:$AM$504,"Medium")</f>
        <v>1</v>
      </c>
      <c r="D13" s="28">
        <f>COUNTIFS('Application Inventory'!$AL$5:$AL$504,$A13,'Application Inventory'!$AM$5:$AM$504,"High")</f>
        <v>2</v>
      </c>
      <c r="E13" s="28">
        <f>SUM(B13:D13)</f>
        <v>5</v>
      </c>
      <c r="F13" s="29">
        <f>SUMIF('Application Inventory'!$AL$5:$AL$504,$A13,'Application Inventory'!$AF$5:$AF$504)</f>
        <v>152000</v>
      </c>
      <c r="G13" s="29">
        <f>SUMIF('Application Inventory'!$AL$5:$AL$504,$A13,'Application Inventory'!$AI$5:$AI$504)</f>
        <v>138000</v>
      </c>
      <c r="H13" s="29">
        <f>SUMIF('Application Inventory'!$AL$5:$AL$504,$A13,'Application Inventory'!$AH$5:$AH$504)</f>
        <v>155000</v>
      </c>
      <c r="I13" s="30">
        <f>SUMIF('Application Inventory'!$AL$5:$AL$504,$A13,'Application Inventory'!$W$5:$W$504)</f>
        <v>3340</v>
      </c>
    </row>
    <row r="14" spans="1:9">
      <c r="A14" s="28" t="s">
        <v>179</v>
      </c>
      <c r="B14" s="28">
        <f>COUNTIFS('Application Inventory'!$AL$5:$AL$504,$A14,'Application Inventory'!$AM$5:$AM$504,"Easy")</f>
        <v>0</v>
      </c>
      <c r="C14" s="28">
        <f>COUNTIFS('Application Inventory'!$AL$5:$AL$504,$A14,'Application Inventory'!$AM$5:$AM$504,"Medium")</f>
        <v>0</v>
      </c>
      <c r="D14" s="28">
        <f>COUNTIFS('Application Inventory'!$AL$5:$AL$504,$A14,'Application Inventory'!$AM$5:$AM$504,"High")</f>
        <v>2</v>
      </c>
      <c r="E14" s="28">
        <f>SUM(B14:D14)</f>
        <v>2</v>
      </c>
      <c r="F14" s="29">
        <f>SUMIF('Application Inventory'!$AL$5:$AL$504,$A14,'Application Inventory'!$AF$5:$AF$504)</f>
        <v>725000</v>
      </c>
      <c r="G14" s="29">
        <f>SUMIF('Application Inventory'!$AL$5:$AL$504,$A14,'Application Inventory'!$AI$5:$AI$504)</f>
        <v>355000</v>
      </c>
      <c r="H14" s="29">
        <f>SUMIF('Application Inventory'!$AL$5:$AL$504,$A14,'Application Inventory'!$AH$5:$AH$504)</f>
        <v>2320000</v>
      </c>
      <c r="I14" s="30">
        <f>SUMIF('Application Inventory'!$AL$5:$AL$504,$A14,'Application Inventory'!$W$5:$W$504)</f>
        <v>4750</v>
      </c>
    </row>
    <row r="15" spans="1:9">
      <c r="A15" s="28" t="s">
        <v>180</v>
      </c>
      <c r="B15" s="28">
        <f>COUNTIFS('Application Inventory'!$AL$5:$AL$504,$A15,'Application Inventory'!$AM$5:$AM$504,"Easy")</f>
        <v>1</v>
      </c>
      <c r="C15" s="28">
        <f>COUNTIFS('Application Inventory'!$AL$5:$AL$504,$A15,'Application Inventory'!$AM$5:$AM$504,"Medium")</f>
        <v>0</v>
      </c>
      <c r="D15" s="28">
        <f>COUNTIFS('Application Inventory'!$AL$5:$AL$504,$A15,'Application Inventory'!$AM$5:$AM$504,"High")</f>
        <v>1</v>
      </c>
      <c r="E15" s="28">
        <f>SUM(B15:D15)</f>
        <v>2</v>
      </c>
      <c r="F15" s="29">
        <f>SUMIF('Application Inventory'!$AL$5:$AL$504,$A15,'Application Inventory'!$AF$5:$AF$504)</f>
        <v>142500</v>
      </c>
      <c r="G15" s="29">
        <f>SUMIF('Application Inventory'!$AL$5:$AL$504,$A15,'Application Inventory'!$AI$5:$AI$504)</f>
        <v>2500</v>
      </c>
      <c r="H15" s="29">
        <f>SUMIF('Application Inventory'!$AL$5:$AL$504,$A15,'Application Inventory'!$AH$5:$AH$504)</f>
        <v>1500</v>
      </c>
      <c r="I15" s="30">
        <f>SUMIF('Application Inventory'!$AL$5:$AL$504,$A15,'Application Inventory'!$W$5:$W$504)</f>
        <v>1205</v>
      </c>
    </row>
    <row r="16" spans="1:9">
      <c r="A16" s="31" t="s">
        <v>176</v>
      </c>
      <c r="B16" s="31">
        <f t="shared" ref="B16:I16" si="0">SUM(B12:B15)</f>
        <v>4</v>
      </c>
      <c r="C16" s="31">
        <f t="shared" si="0"/>
        <v>1</v>
      </c>
      <c r="D16" s="31">
        <f t="shared" si="0"/>
        <v>5</v>
      </c>
      <c r="E16" s="31">
        <f t="shared" si="0"/>
        <v>10</v>
      </c>
      <c r="F16" s="32">
        <f t="shared" si="0"/>
        <v>1022500</v>
      </c>
      <c r="G16" s="32">
        <f t="shared" si="0"/>
        <v>498500</v>
      </c>
      <c r="H16" s="32">
        <f t="shared" si="0"/>
        <v>2478500</v>
      </c>
      <c r="I16" s="33">
        <f t="shared" si="0"/>
        <v>9297</v>
      </c>
    </row>
    <row r="18" spans="1:4" ht="30">
      <c r="A18" s="27" t="s">
        <v>60</v>
      </c>
      <c r="B18" s="27" t="s">
        <v>181</v>
      </c>
      <c r="C18" s="27" t="s">
        <v>56</v>
      </c>
      <c r="D18" s="27" t="s">
        <v>55</v>
      </c>
    </row>
    <row r="19" spans="1:4">
      <c r="A19" s="28" t="s">
        <v>79</v>
      </c>
      <c r="B19" s="28">
        <f>COUNTIF('Application Inventory'!$AN$5:$AN$504,A19)</f>
        <v>4</v>
      </c>
      <c r="C19" s="29">
        <f>SUMIF('Application Inventory'!$AN$5:$AN$504,A19,'Application Inventory'!$AI$5:$AI$504)</f>
        <v>69000</v>
      </c>
      <c r="D19" s="29">
        <f>SUMIF('Application Inventory'!$AN$5:$AN$504,A19,'Application Inventory'!$AH$5:$AH$504)</f>
        <v>57000</v>
      </c>
    </row>
    <row r="20" spans="1:4">
      <c r="A20" s="28" t="s">
        <v>130</v>
      </c>
      <c r="B20" s="28">
        <f>COUNTIF('Application Inventory'!$AN$5:$AN$504,A20)</f>
        <v>2</v>
      </c>
      <c r="C20" s="29">
        <f>SUMIF('Application Inventory'!$AN$5:$AN$504,A20,'Application Inventory'!$AI$5:$AI$504)</f>
        <v>72000</v>
      </c>
      <c r="D20" s="29">
        <f>SUMIF('Application Inventory'!$AN$5:$AN$504,A20,'Application Inventory'!$AH$5:$AH$504)</f>
        <v>100000</v>
      </c>
    </row>
    <row r="21" spans="1:4">
      <c r="A21" s="28" t="s">
        <v>149</v>
      </c>
      <c r="B21" s="28">
        <f>COUNTIF('Application Inventory'!$AN$5:$AN$504,A21)</f>
        <v>1</v>
      </c>
      <c r="C21" s="29">
        <f>SUMIF('Application Inventory'!$AN$5:$AN$504,A21,'Application Inventory'!$AI$5:$AI$504)</f>
        <v>55000</v>
      </c>
      <c r="D21" s="29">
        <f>SUMIF('Application Inventory'!$AN$5:$AN$504,A21,'Application Inventory'!$AH$5:$AH$504)</f>
        <v>120000</v>
      </c>
    </row>
    <row r="22" spans="1:4">
      <c r="A22" s="28" t="s">
        <v>90</v>
      </c>
      <c r="B22" s="28">
        <f>COUNTIF('Application Inventory'!$AN$5:$AN$504,A22)</f>
        <v>1</v>
      </c>
      <c r="C22" s="29">
        <f>SUMIF('Application Inventory'!$AN$5:$AN$504,A22,'Application Inventory'!$AI$5:$AI$504)</f>
        <v>300000</v>
      </c>
      <c r="D22" s="29">
        <f>SUMIF('Application Inventory'!$AN$5:$AN$504,A22,'Application Inventory'!$AH$5:$AH$504)</f>
        <v>2200000</v>
      </c>
    </row>
    <row r="24" spans="1:4">
      <c r="A24" s="27" t="s">
        <v>62</v>
      </c>
      <c r="B24" s="27" t="s">
        <v>181</v>
      </c>
    </row>
    <row r="25" spans="1:4">
      <c r="A25" s="28" t="s">
        <v>92</v>
      </c>
      <c r="B25" s="28">
        <f>COUNTIF('Application Inventory'!$AP$5:$AP$504,A25)</f>
        <v>2</v>
      </c>
    </row>
    <row r="26" spans="1:4">
      <c r="A26" s="28" t="s">
        <v>111</v>
      </c>
      <c r="B26" s="28">
        <f>COUNTIF('Application Inventory'!$AP$5:$AP$504,A26)</f>
        <v>3</v>
      </c>
    </row>
    <row r="27" spans="1:4">
      <c r="A27" s="28" t="s">
        <v>80</v>
      </c>
      <c r="B27" s="28">
        <f>COUNTIF('Application Inventory'!$AP$5:$AP$504,A27)</f>
        <v>2</v>
      </c>
    </row>
    <row r="28" spans="1:4">
      <c r="A28" s="28" t="s">
        <v>103</v>
      </c>
      <c r="B28" s="28">
        <f>COUNTIF('Application Inventory'!$AP$5:$AP$504,A28)</f>
        <v>1</v>
      </c>
    </row>
    <row r="29" spans="1:4">
      <c r="A29" s="28" t="s">
        <v>182</v>
      </c>
      <c r="B29" s="28">
        <f>COUNTIF('Application Inventory'!$AP$5:$AP$504,A29)</f>
        <v>0</v>
      </c>
    </row>
    <row r="30" spans="1:4">
      <c r="A30" s="28" t="s">
        <v>120</v>
      </c>
      <c r="B30" s="28">
        <f>COUNTIF('Application Inventory'!$AP$5:$AP$504,A30)</f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ColWidth="8.7109375" defaultRowHeight="15"/>
  <sheetData>
    <row r="1" spans="1:1" ht="18">
      <c r="A1" s="9" t="s">
        <v>183</v>
      </c>
    </row>
    <row r="2" spans="1:1">
      <c r="A2" s="11" t="s">
        <v>184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8"/>
  <sheetViews>
    <sheetView workbookViewId="0"/>
  </sheetViews>
  <sheetFormatPr defaultColWidth="8.7109375" defaultRowHeight="15"/>
  <cols>
    <col min="1" max="1" width="46" customWidth="1"/>
    <col min="2" max="2" width="14" customWidth="1"/>
    <col min="3" max="3" width="52" customWidth="1"/>
  </cols>
  <sheetData>
    <row r="1" spans="1:3" ht="18">
      <c r="A1" s="9" t="s">
        <v>185</v>
      </c>
    </row>
    <row r="2" spans="1:3">
      <c r="A2" s="11" t="s">
        <v>186</v>
      </c>
    </row>
    <row r="3" spans="1:3">
      <c r="A3" s="34" t="s">
        <v>187</v>
      </c>
    </row>
    <row r="4" spans="1:3">
      <c r="A4" s="10" t="s">
        <v>188</v>
      </c>
      <c r="B4" s="35">
        <v>42736</v>
      </c>
      <c r="C4" s="36" t="s">
        <v>189</v>
      </c>
    </row>
    <row r="5" spans="1:3">
      <c r="A5" s="10" t="s">
        <v>190</v>
      </c>
      <c r="B5" s="18">
        <v>6</v>
      </c>
      <c r="C5" s="36" t="s">
        <v>191</v>
      </c>
    </row>
    <row r="6" spans="1:3">
      <c r="A6" s="10" t="s">
        <v>192</v>
      </c>
      <c r="B6" s="18">
        <v>25</v>
      </c>
      <c r="C6" s="36" t="s">
        <v>193</v>
      </c>
    </row>
    <row r="7" spans="1:3">
      <c r="A7" s="10" t="s">
        <v>194</v>
      </c>
      <c r="B7" s="18">
        <v>2</v>
      </c>
      <c r="C7" s="36" t="s">
        <v>193</v>
      </c>
    </row>
    <row r="8" spans="1:3">
      <c r="A8" s="10" t="s">
        <v>195</v>
      </c>
      <c r="B8" s="18">
        <v>12</v>
      </c>
      <c r="C8" s="36" t="s">
        <v>196</v>
      </c>
    </row>
    <row r="9" spans="1:3">
      <c r="A9" s="10" t="s">
        <v>197</v>
      </c>
      <c r="B9" s="18">
        <v>2</v>
      </c>
      <c r="C9" s="36" t="s">
        <v>198</v>
      </c>
    </row>
    <row r="10" spans="1:3">
      <c r="A10" s="34" t="s">
        <v>199</v>
      </c>
    </row>
    <row r="11" spans="1:3">
      <c r="A11" s="10" t="s">
        <v>200</v>
      </c>
      <c r="B11" s="18">
        <v>5</v>
      </c>
      <c r="C11" s="36" t="s">
        <v>201</v>
      </c>
    </row>
    <row r="12" spans="1:3">
      <c r="A12" s="10" t="s">
        <v>202</v>
      </c>
      <c r="B12" s="15">
        <v>1000</v>
      </c>
      <c r="C12" s="36" t="s">
        <v>201</v>
      </c>
    </row>
    <row r="13" spans="1:3">
      <c r="A13" s="10" t="s">
        <v>203</v>
      </c>
      <c r="B13" s="18">
        <v>2</v>
      </c>
      <c r="C13" s="36" t="s">
        <v>204</v>
      </c>
    </row>
    <row r="15" spans="1:3">
      <c r="A15" s="34" t="s">
        <v>205</v>
      </c>
    </row>
    <row r="16" spans="1:3">
      <c r="A16" s="37" t="s">
        <v>206</v>
      </c>
    </row>
    <row r="17" spans="1:1">
      <c r="A17" s="37" t="s">
        <v>207</v>
      </c>
    </row>
    <row r="18" spans="1:1">
      <c r="A18" s="37" t="s">
        <v>208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Application Inventory</vt:lpstr>
      <vt:lpstr>Summary</vt:lpstr>
      <vt:lpstr>Dashboard</vt:lpstr>
      <vt:lpstr>Scoring Settings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Yash Kalra</cp:lastModifiedBy>
  <cp:revision>1</cp:revision>
  <dcterms:created xsi:type="dcterms:W3CDTF">2026-09-29T20:39:28Z</dcterms:created>
  <dcterms:modified xsi:type="dcterms:W3CDTF">2026-09-29T20:40:59Z</dcterms:modified>
  <dc:language>en-US</dc:language>
</cp:coreProperties>
</file>