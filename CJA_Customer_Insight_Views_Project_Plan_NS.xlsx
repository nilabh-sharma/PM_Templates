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Gantt" sheetId="1" r:id="rId1"/>
    <sheet name="Milestones" sheetId="2" r:id="rId2"/>
    <sheet name="Attribute Tracker" sheetId="3" r:id="rId3"/>
    <sheet name="RAID Log" sheetId="4" r:id="rId4"/>
  </sheets>
  <definedNames>
    <definedName name="_xlnm._FilterDatabase" localSheetId="2" hidden="1">'Attribute Tracker'!$A$12:$R$62</definedName>
    <definedName name="_xlnm.Print_Titles" localSheetId="0">Gantt!$4:$5</definedName>
  </definedNames>
  <calcPr calcId="124519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3"/>
  <c r="G9"/>
  <c r="F9"/>
  <c r="E9"/>
  <c r="D9"/>
  <c r="C9"/>
  <c r="B9"/>
  <c r="H8"/>
  <c r="G8"/>
  <c r="F8"/>
  <c r="E8"/>
  <c r="D8"/>
  <c r="C8"/>
  <c r="B8"/>
  <c r="H7"/>
  <c r="G7"/>
  <c r="F7"/>
  <c r="E7"/>
  <c r="D7"/>
  <c r="C7"/>
  <c r="B7"/>
  <c r="H6"/>
  <c r="G6"/>
  <c r="F6"/>
  <c r="E6"/>
  <c r="D6"/>
  <c r="C6"/>
  <c r="B6"/>
  <c r="F17" i="2"/>
  <c r="C17"/>
  <c r="B17"/>
  <c r="A17"/>
  <c r="F16"/>
  <c r="C16"/>
  <c r="B16"/>
  <c r="A16"/>
  <c r="F15"/>
  <c r="C15"/>
  <c r="B15"/>
  <c r="A15"/>
  <c r="F14"/>
  <c r="C14"/>
  <c r="B14"/>
  <c r="A14"/>
  <c r="F13"/>
  <c r="C13"/>
  <c r="B13"/>
  <c r="A13"/>
  <c r="F12"/>
  <c r="C12"/>
  <c r="B12"/>
  <c r="A12"/>
  <c r="F11"/>
  <c r="C11"/>
  <c r="B11"/>
  <c r="A11"/>
  <c r="F10"/>
  <c r="C10"/>
  <c r="B10"/>
  <c r="A10"/>
  <c r="F9"/>
  <c r="C9"/>
  <c r="B9"/>
  <c r="A9"/>
  <c r="F8"/>
  <c r="C8"/>
  <c r="B8"/>
  <c r="A8"/>
  <c r="F7"/>
  <c r="C7"/>
  <c r="B7"/>
  <c r="A7"/>
  <c r="F6"/>
  <c r="C6"/>
  <c r="B6"/>
  <c r="A6"/>
  <c r="F5"/>
  <c r="C5"/>
  <c r="B5"/>
  <c r="A5"/>
  <c r="F4"/>
  <c r="C4"/>
  <c r="B4"/>
  <c r="A4"/>
  <c r="G68" i="1"/>
  <c r="D17" i="2" s="1"/>
  <c r="E17" s="1"/>
  <c r="G67" i="1"/>
  <c r="H67" s="1"/>
  <c r="G66"/>
  <c r="G65"/>
  <c r="H65" s="1"/>
  <c r="G64"/>
  <c r="H64" s="1"/>
  <c r="K63"/>
  <c r="E63"/>
  <c r="G62"/>
  <c r="H62" s="1"/>
  <c r="G61"/>
  <c r="H61" s="1"/>
  <c r="G60"/>
  <c r="H60" s="1"/>
  <c r="H59"/>
  <c r="G59"/>
  <c r="G58"/>
  <c r="K57"/>
  <c r="E57"/>
  <c r="G56"/>
  <c r="G55"/>
  <c r="H55" s="1"/>
  <c r="G54"/>
  <c r="H54" s="1"/>
  <c r="G53"/>
  <c r="H53" s="1"/>
  <c r="G52"/>
  <c r="H52" s="1"/>
  <c r="G51"/>
  <c r="H51" s="1"/>
  <c r="G50"/>
  <c r="K49"/>
  <c r="E49"/>
  <c r="G48"/>
  <c r="G47"/>
  <c r="H47" s="1"/>
  <c r="G46"/>
  <c r="H46" s="1"/>
  <c r="G45"/>
  <c r="H45" s="1"/>
  <c r="G44"/>
  <c r="H44" s="1"/>
  <c r="G43"/>
  <c r="H43" s="1"/>
  <c r="G42"/>
  <c r="H42" s="1"/>
  <c r="G41"/>
  <c r="H41" s="1"/>
  <c r="G40"/>
  <c r="H40" s="1"/>
  <c r="K39"/>
  <c r="E39"/>
  <c r="G38"/>
  <c r="G37"/>
  <c r="H37" s="1"/>
  <c r="G36"/>
  <c r="H36" s="1"/>
  <c r="G35"/>
  <c r="H35" s="1"/>
  <c r="G34"/>
  <c r="H34" s="1"/>
  <c r="G33"/>
  <c r="K32"/>
  <c r="E32"/>
  <c r="G31"/>
  <c r="G30"/>
  <c r="H30" s="1"/>
  <c r="G29"/>
  <c r="G28"/>
  <c r="H28" s="1"/>
  <c r="G27"/>
  <c r="H27" s="1"/>
  <c r="G26"/>
  <c r="D9" i="2" s="1"/>
  <c r="E9" s="1"/>
  <c r="G25" i="1"/>
  <c r="H25" s="1"/>
  <c r="K24"/>
  <c r="E24"/>
  <c r="G23"/>
  <c r="G22"/>
  <c r="G21"/>
  <c r="H21" s="1"/>
  <c r="G20"/>
  <c r="H20" s="1"/>
  <c r="G19"/>
  <c r="H19" s="1"/>
  <c r="G18"/>
  <c r="H18" s="1"/>
  <c r="G17"/>
  <c r="G16"/>
  <c r="H16" s="1"/>
  <c r="G15"/>
  <c r="H15" s="1"/>
  <c r="G14"/>
  <c r="G13"/>
  <c r="H13" s="1"/>
  <c r="G12"/>
  <c r="K11"/>
  <c r="E11"/>
  <c r="G10"/>
  <c r="G9"/>
  <c r="H9" s="1"/>
  <c r="G8"/>
  <c r="H8" s="1"/>
  <c r="G7"/>
  <c r="H7" s="1"/>
  <c r="K6"/>
  <c r="E6"/>
  <c r="S5"/>
  <c r="R5"/>
  <c r="Q5"/>
  <c r="P5"/>
  <c r="O5"/>
  <c r="N5"/>
  <c r="M5"/>
  <c r="L5"/>
  <c r="L23" l="1"/>
  <c r="Q62"/>
  <c r="L17"/>
  <c r="S62"/>
  <c r="P62"/>
  <c r="P68"/>
  <c r="P56"/>
  <c r="L66"/>
  <c r="N38"/>
  <c r="G6"/>
  <c r="P14"/>
  <c r="P22"/>
  <c r="P29"/>
  <c r="D10" i="2"/>
  <c r="G57" i="1"/>
  <c r="Q10"/>
  <c r="P17"/>
  <c r="P38"/>
  <c r="G11"/>
  <c r="Q17"/>
  <c r="M23"/>
  <c r="Q26"/>
  <c r="Q29"/>
  <c r="G32"/>
  <c r="S48"/>
  <c r="O62"/>
  <c r="S29"/>
  <c r="O29"/>
  <c r="L26"/>
  <c r="M29"/>
  <c r="Q38"/>
  <c r="H58"/>
  <c r="H57" s="1"/>
  <c r="F57" s="1"/>
  <c r="M62"/>
  <c r="N66"/>
  <c r="S26"/>
  <c r="Q48"/>
  <c r="R17"/>
  <c r="N23"/>
  <c r="H26"/>
  <c r="H29"/>
  <c r="Q31"/>
  <c r="R38"/>
  <c r="R62"/>
  <c r="S10"/>
  <c r="S31"/>
  <c r="G49"/>
  <c r="Q68"/>
  <c r="D5" i="2"/>
  <c r="E5" s="1"/>
  <c r="G17"/>
  <c r="G9"/>
  <c r="N22" i="1"/>
  <c r="R10"/>
  <c r="H12"/>
  <c r="O14"/>
  <c r="O22"/>
  <c r="N29"/>
  <c r="R31"/>
  <c r="H33"/>
  <c r="R48"/>
  <c r="H50"/>
  <c r="O56"/>
  <c r="M66"/>
  <c r="D11" i="2"/>
  <c r="E11" s="1"/>
  <c r="P10" i="1"/>
  <c r="M14"/>
  <c r="O17"/>
  <c r="M22"/>
  <c r="H23"/>
  <c r="S23"/>
  <c r="R26"/>
  <c r="L29"/>
  <c r="P31"/>
  <c r="O38"/>
  <c r="P48"/>
  <c r="M56"/>
  <c r="N62"/>
  <c r="G63"/>
  <c r="H66"/>
  <c r="E2" s="1"/>
  <c r="S66"/>
  <c r="O68"/>
  <c r="D4" i="2"/>
  <c r="E4" s="1"/>
  <c r="D12"/>
  <c r="E12" s="1"/>
  <c r="D13"/>
  <c r="E13" s="1"/>
  <c r="N10" i="1"/>
  <c r="H14"/>
  <c r="S14"/>
  <c r="M17"/>
  <c r="H22"/>
  <c r="S22"/>
  <c r="Q23"/>
  <c r="P26"/>
  <c r="R29"/>
  <c r="N31"/>
  <c r="M38"/>
  <c r="N48"/>
  <c r="H56"/>
  <c r="S56"/>
  <c r="L62"/>
  <c r="Q66"/>
  <c r="M68"/>
  <c r="D6" i="2"/>
  <c r="D14"/>
  <c r="D15"/>
  <c r="E15" s="1"/>
  <c r="N17" i="1"/>
  <c r="R23"/>
  <c r="O48"/>
  <c r="L56"/>
  <c r="R66"/>
  <c r="N68"/>
  <c r="M10"/>
  <c r="O26"/>
  <c r="M31"/>
  <c r="L38"/>
  <c r="M48"/>
  <c r="R56"/>
  <c r="P66"/>
  <c r="L68"/>
  <c r="D7" i="2"/>
  <c r="E7" s="1"/>
  <c r="L10" i="1"/>
  <c r="Q14"/>
  <c r="H17"/>
  <c r="S17"/>
  <c r="Q22"/>
  <c r="O23"/>
  <c r="N26"/>
  <c r="L31"/>
  <c r="H38"/>
  <c r="S38"/>
  <c r="L48"/>
  <c r="Q56"/>
  <c r="O66"/>
  <c r="H68"/>
  <c r="S68"/>
  <c r="D8" i="2"/>
  <c r="D16"/>
  <c r="N14" i="1"/>
  <c r="N56"/>
  <c r="O10"/>
  <c r="L14"/>
  <c r="L22"/>
  <c r="O31"/>
  <c r="G39"/>
  <c r="R14"/>
  <c r="R22"/>
  <c r="P23"/>
  <c r="H10"/>
  <c r="H6" s="1"/>
  <c r="G24"/>
  <c r="M26"/>
  <c r="H31"/>
  <c r="H48"/>
  <c r="H39" s="1"/>
  <c r="R68"/>
  <c r="G12" i="2" l="1"/>
  <c r="G5"/>
  <c r="E10"/>
  <c r="G10"/>
  <c r="H32" i="1"/>
  <c r="F32" s="1"/>
  <c r="F6"/>
  <c r="G4" i="2"/>
  <c r="H49" i="1"/>
  <c r="F49" s="1"/>
  <c r="H24"/>
  <c r="F24" s="1"/>
  <c r="H63"/>
  <c r="F63" s="1"/>
  <c r="E6" i="2"/>
  <c r="G6"/>
  <c r="H11" i="1"/>
  <c r="F11" s="1"/>
  <c r="G7" i="2"/>
  <c r="E14"/>
  <c r="G14"/>
  <c r="E16"/>
  <c r="G16"/>
  <c r="G11"/>
  <c r="G13"/>
  <c r="E8"/>
  <c r="G8"/>
  <c r="F39" i="1"/>
  <c r="G15" i="2"/>
</calcChain>
</file>

<file path=xl/comments1.xml><?xml version="1.0" encoding="utf-8"?>
<comments xmlns="http://schemas.openxmlformats.org/spreadsheetml/2006/main">
  <authors>
    <author>Unknown Author</author>
  </authors>
  <commentList>
    <comment ref="C2" authorId="0">
      <text>
        <r>
          <rPr>
            <sz val="10"/>
            <rFont val="Arial"/>
            <family val="2"/>
          </rPr>
          <t>Input. Change this and every date in the plan shifts. Must be a Monday. Assumed 5-Oct-2026.</t>
        </r>
      </text>
    </comment>
  </commentList>
</comments>
</file>

<file path=xl/sharedStrings.xml><?xml version="1.0" encoding="utf-8"?>
<sst xmlns="http://schemas.openxmlformats.org/spreadsheetml/2006/main" count="982" uniqueCount="331">
  <si>
    <t>CJA Customer Insight Backend Views – Project Plan</t>
  </si>
  <si>
    <t>Project start (Monday):</t>
  </si>
  <si>
    <t>Go-live:</t>
  </si>
  <si>
    <t>ID</t>
  </si>
  <si>
    <t>Phase / Task</t>
  </si>
  <si>
    <t>Owner (role)</t>
  </si>
  <si>
    <t>Type</t>
  </si>
  <si>
    <t>Start offset (wd)</t>
  </si>
  <si>
    <t>Duration (wd)</t>
  </si>
  <si>
    <t>Start</t>
  </si>
  <si>
    <t>End</t>
  </si>
  <si>
    <t>Depends on</t>
  </si>
  <si>
    <t>Status</t>
  </si>
  <si>
    <t>% Complete</t>
  </si>
  <si>
    <t>W1</t>
  </si>
  <si>
    <t>W2</t>
  </si>
  <si>
    <t>W3</t>
  </si>
  <si>
    <t>W4</t>
  </si>
  <si>
    <t>W5</t>
  </si>
  <si>
    <t>W6</t>
  </si>
  <si>
    <t>W7</t>
  </si>
  <si>
    <t>W8</t>
  </si>
  <si>
    <t>0</t>
  </si>
  <si>
    <t>Mobilisation &amp; Governance</t>
  </si>
  <si>
    <t>Phase</t>
  </si>
  <si>
    <t>0.1</t>
  </si>
  <si>
    <t>Kickoff, stakeholder map, RACI</t>
  </si>
  <si>
    <t>PM</t>
  </si>
  <si>
    <t>Task</t>
  </si>
  <si>
    <t>Not started</t>
  </si>
  <si>
    <t>0.2</t>
  </si>
  <si>
    <t>Databricks workspace / Unity Catalog + source-system access requests</t>
  </si>
  <si>
    <t>Platform / DevOps</t>
  </si>
  <si>
    <t>0.3</t>
  </si>
  <si>
    <t>Governance cadence set up (weekly status, steering)</t>
  </si>
  <si>
    <t>M0</t>
  </si>
  <si>
    <t>Kickoff complete</t>
  </si>
  <si>
    <t>Milestone</t>
  </si>
  <si>
    <t>1</t>
  </si>
  <si>
    <t>Requirements &amp; Data Analysis (iterative, by batch)</t>
  </si>
  <si>
    <t>1.1</t>
  </si>
  <si>
    <t>Batch A (~20 attrs, internal sources) – requirements &amp; definitions</t>
  </si>
  <si>
    <t>BA / Business SME</t>
  </si>
  <si>
    <t>1.2</t>
  </si>
  <si>
    <t>Batch A – source mapping, profiling, DQ assessment</t>
  </si>
  <si>
    <t>Data Analyst</t>
  </si>
  <si>
    <t>M1A</t>
  </si>
  <si>
    <t>Batch A requirements + analysis sign-off</t>
  </si>
  <si>
    <t>Business SME</t>
  </si>
  <si>
    <t>1.3</t>
  </si>
  <si>
    <t>Batch B (~20 attrs, derived / multi-source) – requirements</t>
  </si>
  <si>
    <t>1.4</t>
  </si>
  <si>
    <t>Batch B – source mapping, profiling, DQ assessment</t>
  </si>
  <si>
    <t>M1B</t>
  </si>
  <si>
    <t>Batch B requirements + analysis sign-off</t>
  </si>
  <si>
    <t>1.5</t>
  </si>
  <si>
    <t>Batch C (~10 attrs, third-party / ambiguous) – requirements</t>
  </si>
  <si>
    <t>1.6</t>
  </si>
  <si>
    <t>Batch C – source mapping, profiling (needs 3P sample)</t>
  </si>
  <si>
    <t>1.5, 2.2</t>
  </si>
  <si>
    <t>1.7</t>
  </si>
  <si>
    <t>Customer identity / key-stitching analysis across sources</t>
  </si>
  <si>
    <t>Data Architect</t>
  </si>
  <si>
    <t>1.8</t>
  </si>
  <si>
    <t>Gap list: unsourced / partial attributes – resolution</t>
  </si>
  <si>
    <t>BA / Data Analyst</t>
  </si>
  <si>
    <t>M1R</t>
  </si>
  <si>
    <t>Requirements baseline gate (Batch C conditional)</t>
  </si>
  <si>
    <t>PM / Business SME</t>
  </si>
  <si>
    <t>M1A, M1B</t>
  </si>
  <si>
    <t>M1C</t>
  </si>
  <si>
    <t>Batch C sign-off</t>
  </si>
  <si>
    <t>2</t>
  </si>
  <si>
    <t>Third-Party Dependency Track (critical path)</t>
  </si>
  <si>
    <t>2.1</t>
  </si>
  <si>
    <t>Interface spec agreed (fields, format, frequency, keys, SLA)</t>
  </si>
  <si>
    <t>PM / Third party</t>
  </si>
  <si>
    <t>M2S</t>
  </si>
  <si>
    <t>3P interface spec signed</t>
  </si>
  <si>
    <t>Third party</t>
  </si>
  <si>
    <t>2.2</t>
  </si>
  <si>
    <t>Sample data received &amp; analysed</t>
  </si>
  <si>
    <t>Third party / Data Analyst</t>
  </si>
  <si>
    <t>2.3</t>
  </si>
  <si>
    <t>Test feed delivered &amp; validated</t>
  </si>
  <si>
    <t>Third party / Data Engineer</t>
  </si>
  <si>
    <t>M2F</t>
  </si>
  <si>
    <t>Fallback decision: descope / stub 3P attrs if test feed not validated</t>
  </si>
  <si>
    <t>Steering</t>
  </si>
  <si>
    <t>2.4</t>
  </si>
  <si>
    <t>Production feed setup &amp; first delivery</t>
  </si>
  <si>
    <t>M2P</t>
  </si>
  <si>
    <t>3P production feed live</t>
  </si>
  <si>
    <t>3</t>
  </si>
  <si>
    <t>Design &amp; Business Rules</t>
  </si>
  <si>
    <t>3.1</t>
  </si>
  <si>
    <t>Target model (bronze / silver / gold) &amp; curated view design standards</t>
  </si>
  <si>
    <t>3.2</t>
  </si>
  <si>
    <t>Batch A – source-to-target mapping (STTM) &amp; business rules</t>
  </si>
  <si>
    <t>Data Architect / BA</t>
  </si>
  <si>
    <t>3.3</t>
  </si>
  <si>
    <t>Batch B – STTM &amp; business rules</t>
  </si>
  <si>
    <t>3.4</t>
  </si>
  <si>
    <t>Batch C – STTM &amp; business rules</t>
  </si>
  <si>
    <t>3.5</t>
  </si>
  <si>
    <t>Business rule review &amp; approval (rolling)</t>
  </si>
  <si>
    <t>M3</t>
  </si>
  <si>
    <t>Design sign-off (all batches)</t>
  </si>
  <si>
    <t>Data Architect / Business SME</t>
  </si>
  <si>
    <t>3.4, 3.5</t>
  </si>
  <si>
    <t>4</t>
  </si>
  <si>
    <t>Integration &amp; Build</t>
  </si>
  <si>
    <t>4.1</t>
  </si>
  <si>
    <t>Env setup: catalogs, schemas, permissions, CI/CD (Asset Bundles)</t>
  </si>
  <si>
    <t>4.2</t>
  </si>
  <si>
    <t>Batch A – ingestion to bronze, conform to silver</t>
  </si>
  <si>
    <t>Data Engineer</t>
  </si>
  <si>
    <t>3.2, 4.1</t>
  </si>
  <si>
    <t>4.3</t>
  </si>
  <si>
    <t>Batch A – gold curated views</t>
  </si>
  <si>
    <t>4.4</t>
  </si>
  <si>
    <t>Batch B – ingestion to bronze, conform to silver</t>
  </si>
  <si>
    <t>4.5</t>
  </si>
  <si>
    <t>Batch B – gold curated views</t>
  </si>
  <si>
    <t>4.6</t>
  </si>
  <si>
    <t>Batch C – third-party ingestion to bronze / silver</t>
  </si>
  <si>
    <t>3.4, 2.3</t>
  </si>
  <si>
    <t>4.7</t>
  </si>
  <si>
    <t>Batch C – gold curated views</t>
  </si>
  <si>
    <t>4.8</t>
  </si>
  <si>
    <t>Orchestration (Workflows / Jobs) &amp; DQ expectations</t>
  </si>
  <si>
    <t>M4</t>
  </si>
  <si>
    <t>Build complete</t>
  </si>
  <si>
    <t>Data Engineering Lead</t>
  </si>
  <si>
    <t>4.7, 4.8</t>
  </si>
  <si>
    <t>5</t>
  </si>
  <si>
    <t>Testing</t>
  </si>
  <si>
    <t>5.1</t>
  </si>
  <si>
    <t>Unit testing (rolling, per batch)</t>
  </si>
  <si>
    <t>5.2</t>
  </si>
  <si>
    <t>SIT – Batch A</t>
  </si>
  <si>
    <t>QA</t>
  </si>
  <si>
    <t>5.3</t>
  </si>
  <si>
    <t>SIT – Batch B &amp; C</t>
  </si>
  <si>
    <t>4.5, 4.7</t>
  </si>
  <si>
    <t>5.4</t>
  </si>
  <si>
    <t>Source-to-target reconciliation</t>
  </si>
  <si>
    <t>QA / Data Analyst</t>
  </si>
  <si>
    <t>5.5</t>
  </si>
  <si>
    <t>Performance &amp; refresh-SLA testing</t>
  </si>
  <si>
    <t>QA / Data Engineer</t>
  </si>
  <si>
    <t>5.6</t>
  </si>
  <si>
    <t>Defect triage &amp; fixes</t>
  </si>
  <si>
    <t>M5</t>
  </si>
  <si>
    <t>SIT exit</t>
  </si>
  <si>
    <t>QA Lead</t>
  </si>
  <si>
    <t>5.3, 5.4, 5.5</t>
  </si>
  <si>
    <t>6</t>
  </si>
  <si>
    <t>UAT</t>
  </si>
  <si>
    <t>6.1</t>
  </si>
  <si>
    <t>UAT prep: scripts, test data, CJA test connection</t>
  </si>
  <si>
    <t>QA / BA</t>
  </si>
  <si>
    <t>6.2</t>
  </si>
  <si>
    <t>Business validation of all 50 attributes</t>
  </si>
  <si>
    <t>6.1, M5</t>
  </si>
  <si>
    <t>6.3</t>
  </si>
  <si>
    <t>CJA end-to-end ingestion test</t>
  </si>
  <si>
    <t>CJA Admin / Data Engineer</t>
  </si>
  <si>
    <t>6.4</t>
  </si>
  <si>
    <t>UAT defect fixes</t>
  </si>
  <si>
    <t>M6</t>
  </si>
  <si>
    <t>UAT sign-off</t>
  </si>
  <si>
    <t>6.2, 6.3, 6.4</t>
  </si>
  <si>
    <t>7</t>
  </si>
  <si>
    <t>Deployment &amp; Hypercare</t>
  </si>
  <si>
    <t>7.1</t>
  </si>
  <si>
    <t>Runbook, support model, handover</t>
  </si>
  <si>
    <t>Data Engineer / Support</t>
  </si>
  <si>
    <t>7.2</t>
  </si>
  <si>
    <t>Prod deployment (Asset Bundles) &amp; CJA prod connection</t>
  </si>
  <si>
    <t>M7G</t>
  </si>
  <si>
    <t>Go-live</t>
  </si>
  <si>
    <t>7.3</t>
  </si>
  <si>
    <t>Hypercare</t>
  </si>
  <si>
    <t>M7C</t>
  </si>
  <si>
    <t>Project close</t>
  </si>
  <si>
    <t>How to use</t>
  </si>
  <si>
    <t>• Yellow cell C3 = project start (must be a Monday). All dates are formulas off it.</t>
  </si>
  <si>
    <t>• Blue numbers (Start offset / Duration, in working days) are the inputs. Edit these to move a task; Start/End recalculate.</t>
  </si>
  <si>
    <t>• Update Status and % Complete (cream cells) weekly. Tasks at 100% turn grey on the timeline. Phase % is duration-weighted.</t>
  </si>
  <si>
    <t>• ◆ = milestone / gate. The current week is highlighted yellow in the header.</t>
  </si>
  <si>
    <t>• Assumptions: Mon–Fri working days, no public holidays loaded; batch split A≈20 / B≈20 / C≈10 attributes is a placeholder – see Attribute Tracker.</t>
  </si>
  <si>
    <t>• Critical path: 3P interface spec (W2) → test feed (W4) → Batch C build (W5–W6). Fallback decision at end W4 is non-negotiable to hold go-live.</t>
  </si>
  <si>
    <t>Milestones &amp; Gates</t>
  </si>
  <si>
    <t>Milestone / Gate</t>
  </si>
  <si>
    <t>Owner</t>
  </si>
  <si>
    <t>Date</t>
  </si>
  <si>
    <t>Week</t>
  </si>
  <si>
    <t>Days to go</t>
  </si>
  <si>
    <t>All cells link to the Gantt sheet (green) – update status there.</t>
  </si>
  <si>
    <t>Attribute Tracker – 50 CJA attributes</t>
  </si>
  <si>
    <t>Fill one row per business attribute. Row 1 is a worked example (replace it). Yellow = drop-down status columns.</t>
  </si>
  <si>
    <t>Progress summary (count of attributes = Done)</t>
  </si>
  <si>
    <t>Batch</t>
  </si>
  <si>
    <t>Requirements</t>
  </si>
  <si>
    <t>Data analysis</t>
  </si>
  <si>
    <t>Design</t>
  </si>
  <si>
    <t>Build</t>
  </si>
  <si>
    <t>SIT</t>
  </si>
  <si>
    <t>Total attrs</t>
  </si>
  <si>
    <t>A</t>
  </si>
  <si>
    <t>B</t>
  </si>
  <si>
    <t>C</t>
  </si>
  <si>
    <t>Total</t>
  </si>
  <si>
    <t>#</t>
  </si>
  <si>
    <t>Attribute name</t>
  </si>
  <si>
    <t>Business definition</t>
  </si>
  <si>
    <t>Grain</t>
  </si>
  <si>
    <t>Source system(s)</t>
  </si>
  <si>
    <t>Source table.field</t>
  </si>
  <si>
    <t>3P dependent?</t>
  </si>
  <si>
    <t>Business rule / derivation</t>
  </si>
  <si>
    <t>Target view</t>
  </si>
  <si>
    <t>Comments</t>
  </si>
  <si>
    <t>Last purchase date</t>
  </si>
  <si>
    <t>Date of the customer's most recent completed order</t>
  </si>
  <si>
    <t>Customer</t>
  </si>
  <si>
    <t>Order Management (OMS)</t>
  </si>
  <si>
    <t>oms.orders.order_ts</t>
  </si>
  <si>
    <t>N</t>
  </si>
  <si>
    <t>MAX(order_ts) WHERE order_status = 'COMPLETED', per customer_id</t>
  </si>
  <si>
    <t>gold.v_cja_customer_profile</t>
  </si>
  <si>
    <t>Done</t>
  </si>
  <si>
    <t>In progress</t>
  </si>
  <si>
    <t>BA – TBD</t>
  </si>
  <si>
    <t>Example row – replace</t>
  </si>
  <si>
    <t>Attribute 02</t>
  </si>
  <si>
    <t>TBC</t>
  </si>
  <si>
    <t>Attribute 03</t>
  </si>
  <si>
    <t>Attribute 04</t>
  </si>
  <si>
    <t>Attribute 05</t>
  </si>
  <si>
    <t>Attribute 06</t>
  </si>
  <si>
    <t>Attribute 07</t>
  </si>
  <si>
    <t>Attribute 08</t>
  </si>
  <si>
    <t>Attribute 09</t>
  </si>
  <si>
    <t>Attribute 10</t>
  </si>
  <si>
    <t>Attribute 11</t>
  </si>
  <si>
    <t>Attribute 12</t>
  </si>
  <si>
    <t>Attribute 13</t>
  </si>
  <si>
    <t>Attribute 14</t>
  </si>
  <si>
    <t>Attribute 15</t>
  </si>
  <si>
    <t>Attribute 16</t>
  </si>
  <si>
    <t>Attribute 17</t>
  </si>
  <si>
    <t>Attribute 18</t>
  </si>
  <si>
    <t>Attribute 19</t>
  </si>
  <si>
    <t>Attribute 20</t>
  </si>
  <si>
    <t>Attribute 21</t>
  </si>
  <si>
    <t>Attribute 22</t>
  </si>
  <si>
    <t>Attribute 23</t>
  </si>
  <si>
    <t>Attribute 24</t>
  </si>
  <si>
    <t>Attribute 25</t>
  </si>
  <si>
    <t>Attribute 26</t>
  </si>
  <si>
    <t>Attribute 27</t>
  </si>
  <si>
    <t>Attribute 28</t>
  </si>
  <si>
    <t>Attribute 29</t>
  </si>
  <si>
    <t>Attribute 30</t>
  </si>
  <si>
    <t>Attribute 31</t>
  </si>
  <si>
    <t>Attribute 32</t>
  </si>
  <si>
    <t>Attribute 33</t>
  </si>
  <si>
    <t>Attribute 34</t>
  </si>
  <si>
    <t>Attribute 35</t>
  </si>
  <si>
    <t>Attribute 36</t>
  </si>
  <si>
    <t>Attribute 37</t>
  </si>
  <si>
    <t>Attribute 38</t>
  </si>
  <si>
    <t>Attribute 39</t>
  </si>
  <si>
    <t>Attribute 40</t>
  </si>
  <si>
    <t>Attribute 41</t>
  </si>
  <si>
    <t>Y</t>
  </si>
  <si>
    <t>Attribute 42</t>
  </si>
  <si>
    <t>Attribute 43</t>
  </si>
  <si>
    <t>Attribute 44</t>
  </si>
  <si>
    <t>Attribute 45</t>
  </si>
  <si>
    <t>Attribute 46</t>
  </si>
  <si>
    <t>Attribute 47</t>
  </si>
  <si>
    <t>Attribute 48</t>
  </si>
  <si>
    <t>Attribute 49</t>
  </si>
  <si>
    <t>Attribute 50</t>
  </si>
  <si>
    <t>RAID Log – Risks, Assumptions, Issues, Dependencies</t>
  </si>
  <si>
    <t>Description</t>
  </si>
  <si>
    <t>Impact</t>
  </si>
  <si>
    <t>Likelihood</t>
  </si>
  <si>
    <t>Mitigation / action</t>
  </si>
  <si>
    <t>Due (week)</t>
  </si>
  <si>
    <t>R1</t>
  </si>
  <si>
    <t>Risk</t>
  </si>
  <si>
    <t>Third-party feed (spec, sample, test feed) slips past W4, blocking Batch C build</t>
  </si>
  <si>
    <t>High</t>
  </si>
  <si>
    <t>Contractual dates for spec/sample/test feed; weekly 3P checkpoint; fallback decision at end W4 (descope or stub Batch C attrs)</t>
  </si>
  <si>
    <t>Open</t>
  </si>
  <si>
    <t>R2</t>
  </si>
  <si>
    <t>Source-system and Databricks/UC access requests take longer than 1 week</t>
  </si>
  <si>
    <t>Medium</t>
  </si>
  <si>
    <t>Raise all access requests on day 1; named approver per source; escalate at W1 steering</t>
  </si>
  <si>
    <t>R3</t>
  </si>
  <si>
    <t>Attribute definitions change after batch sign-off, forcing rework</t>
  </si>
  <si>
    <t>BA</t>
  </si>
  <si>
    <t>Batch sign-off baseline; change requests assessed against go-live date</t>
  </si>
  <si>
    <t>R4</t>
  </si>
  <si>
    <t>Customer identity keys don't reconcile across sources, lowering match rate</t>
  </si>
  <si>
    <t>Identity-stitching analysis in W1–W2; agree survivorship / match rules early</t>
  </si>
  <si>
    <t>R5</t>
  </si>
  <si>
    <t>Business SMEs not available for UAT in W7</t>
  </si>
  <si>
    <t>Book UAT testers and slots by W3</t>
  </si>
  <si>
    <t>A1</t>
  </si>
  <si>
    <t>Assumption</t>
  </si>
  <si>
    <t>CJA consumes the Databricks curated views via an agreed connector/export pattern (to be confirmed in W1)</t>
  </si>
  <si>
    <t>-</t>
  </si>
  <si>
    <t>Confirm integration pattern &amp; refresh SLA with CJA admin</t>
  </si>
  <si>
    <t>A2</t>
  </si>
  <si>
    <t>50-attribute scope is fixed; additions go through change control</t>
  </si>
  <si>
    <t>Scope baseline at requirements gate</t>
  </si>
  <si>
    <t>A3</t>
  </si>
  <si>
    <t>Non-prod environments mirror prod closely enough for SIT/UAT</t>
  </si>
  <si>
    <t>Validate env parity during 4.1</t>
  </si>
  <si>
    <t>D1</t>
  </si>
  <si>
    <t>Dependency</t>
  </si>
  <si>
    <t>Third party provides interface spec (W2), sample (W3), test feed (W4), prod feed (W6)</t>
  </si>
  <si>
    <t>Tracked in Gantt section 2</t>
  </si>
  <si>
    <t>D2</t>
  </si>
  <si>
    <t>Source-system owners provide access and SMEs for profiling</t>
  </si>
  <si>
    <t>Named contact per source system</t>
  </si>
</sst>
</file>

<file path=xl/styles.xml><?xml version="1.0" encoding="utf-8"?>
<styleSheet xmlns="http://schemas.openxmlformats.org/spreadsheetml/2006/main">
  <numFmts count="4">
    <numFmt numFmtId="164" formatCode="ddd\ dd\-mmm\-yyyy"/>
    <numFmt numFmtId="165" formatCode="dd\-mmm"/>
    <numFmt numFmtId="166" formatCode="dd\-mmm\-yy"/>
    <numFmt numFmtId="167" formatCode="ddd\ dd\-mmm\-yy"/>
  </numFmts>
  <fonts count="16">
    <font>
      <sz val="11"/>
      <color theme="1"/>
      <name val="Calibri"/>
      <family val="2"/>
      <charset val="1"/>
    </font>
    <font>
      <b/>
      <sz val="16"/>
      <color rgb="FF1F3A5F"/>
      <name val="Arial"/>
      <charset val="1"/>
    </font>
    <font>
      <i/>
      <sz val="10"/>
      <color rgb="FF5A6472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i/>
      <sz val="10"/>
      <color rgb="FF000000"/>
      <name val="Arial"/>
      <charset val="1"/>
    </font>
    <font>
      <b/>
      <sz val="12"/>
      <color rgb="FFC0392B"/>
      <name val="Arial"/>
      <charset val="1"/>
    </font>
    <font>
      <b/>
      <sz val="10"/>
      <color rgb="FF1F3A5F"/>
      <name val="Arial"/>
      <charset val="1"/>
    </font>
    <font>
      <sz val="10"/>
      <color rgb="FF3A4450"/>
      <name val="Arial"/>
      <charset val="1"/>
    </font>
    <font>
      <sz val="10"/>
      <name val="Arial"/>
      <family val="2"/>
    </font>
    <font>
      <b/>
      <sz val="14"/>
      <color rgb="FF1F3A5F"/>
      <name val="Arial"/>
      <charset val="1"/>
    </font>
    <font>
      <sz val="10"/>
      <color rgb="FF008000"/>
      <name val="Arial"/>
      <charset val="1"/>
    </font>
    <font>
      <sz val="1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1C40F"/>
      </patternFill>
    </fill>
    <fill>
      <patternFill patternType="solid">
        <fgColor rgb="FF1F3A5F"/>
        <bgColor rgb="FF34495E"/>
      </patternFill>
    </fill>
    <fill>
      <patternFill patternType="solid">
        <fgColor rgb="FF7F8C9A"/>
        <bgColor rgb="FF9AA5B1"/>
      </patternFill>
    </fill>
    <fill>
      <patternFill patternType="solid">
        <fgColor rgb="FFFFFDE7"/>
        <bgColor rgb="FFFFFFFF"/>
      </patternFill>
    </fill>
    <fill>
      <patternFill patternType="solid">
        <fgColor rgb="FF2E6DB4"/>
        <bgColor rgb="FF0066CC"/>
      </patternFill>
    </fill>
    <fill>
      <patternFill patternType="solid">
        <fgColor rgb="FFC0392B"/>
        <bgColor rgb="FF993366"/>
      </patternFill>
    </fill>
    <fill>
      <patternFill patternType="solid">
        <fgColor rgb="FF7D4CA8"/>
        <bgColor rgb="FF5A6472"/>
      </patternFill>
    </fill>
    <fill>
      <patternFill patternType="solid">
        <fgColor rgb="FF1E8C6E"/>
        <bgColor rgb="FF1D8FA8"/>
      </patternFill>
    </fill>
    <fill>
      <patternFill patternType="solid">
        <fgColor rgb="FFC27C0E"/>
        <bgColor rgb="FFFF6600"/>
      </patternFill>
    </fill>
    <fill>
      <patternFill patternType="solid">
        <fgColor rgb="FF1D8FA8"/>
        <bgColor rgb="FF1E8C6E"/>
      </patternFill>
    </fill>
    <fill>
      <patternFill patternType="solid">
        <fgColor rgb="FF34495E"/>
        <bgColor rgb="FF3A4450"/>
      </patternFill>
    </fill>
  </fills>
  <borders count="3">
    <border>
      <left/>
      <right/>
      <top/>
      <bottom/>
      <diagonal/>
    </border>
    <border>
      <left style="thin">
        <color rgb="FFD0D4DA"/>
      </left>
      <right style="thin">
        <color rgb="FFD0D4DA"/>
      </right>
      <top style="thin">
        <color rgb="FFD0D4DA"/>
      </top>
      <bottom style="thin">
        <color rgb="FFD0D4DA"/>
      </bottom>
      <diagonal/>
    </border>
    <border>
      <left/>
      <right style="thin">
        <color rgb="FFD0D4DA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1" fillId="0" borderId="0" xfId="0" applyFont="1" applyBorder="1"/>
    <xf numFmtId="0" fontId="5" fillId="3" borderId="1" xfId="0" applyFont="1" applyFill="1" applyBorder="1" applyAlignment="1">
      <alignment horizontal="center" vertical="center" wrapText="1"/>
    </xf>
    <xf numFmtId="164" fontId="3" fillId="0" borderId="0" xfId="0" applyNumberFormat="1" applyFont="1" applyBorder="1"/>
    <xf numFmtId="0" fontId="3" fillId="0" borderId="0" xfId="0" applyFont="1" applyBorder="1" applyAlignment="1">
      <alignment horizontal="right"/>
    </xf>
    <xf numFmtId="0" fontId="1" fillId="0" borderId="0" xfId="0" applyFont="1"/>
    <xf numFmtId="0" fontId="2" fillId="0" borderId="0" xfId="0" applyFont="1"/>
    <xf numFmtId="164" fontId="4" fillId="2" borderId="1" xfId="0" applyNumberFormat="1" applyFont="1" applyFill="1" applyBorder="1"/>
    <xf numFmtId="0" fontId="3" fillId="0" borderId="0" xfId="0" applyFont="1" applyAlignment="1">
      <alignment horizontal="right"/>
    </xf>
    <xf numFmtId="0" fontId="5" fillId="3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 indent="1"/>
    </xf>
    <xf numFmtId="0" fontId="7" fillId="0" borderId="1" xfId="0" applyFont="1" applyBorder="1" applyAlignment="1">
      <alignment horizontal="left" vertical="center"/>
    </xf>
    <xf numFmtId="166" fontId="7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9" fontId="7" fillId="5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 indent="1"/>
    </xf>
    <xf numFmtId="0" fontId="9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center" vertical="center"/>
    </xf>
    <xf numFmtId="9" fontId="5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166" fontId="5" fillId="7" borderId="1" xfId="0" applyNumberFormat="1" applyFont="1" applyFill="1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/>
    </xf>
    <xf numFmtId="166" fontId="5" fillId="8" borderId="1" xfId="0" applyNumberFormat="1" applyFont="1" applyFill="1" applyBorder="1" applyAlignment="1">
      <alignment horizontal="center" vertical="center"/>
    </xf>
    <xf numFmtId="9" fontId="5" fillId="8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166" fontId="5" fillId="9" borderId="1" xfId="0" applyNumberFormat="1" applyFont="1" applyFill="1" applyBorder="1" applyAlignment="1">
      <alignment horizontal="center" vertical="center"/>
    </xf>
    <xf numFmtId="9" fontId="5" fillId="9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/>
    </xf>
    <xf numFmtId="166" fontId="5" fillId="10" borderId="1" xfId="0" applyNumberFormat="1" applyFont="1" applyFill="1" applyBorder="1" applyAlignment="1">
      <alignment horizontal="center" vertical="center"/>
    </xf>
    <xf numFmtId="9" fontId="5" fillId="10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/>
    </xf>
    <xf numFmtId="166" fontId="5" fillId="11" borderId="1" xfId="0" applyNumberFormat="1" applyFont="1" applyFill="1" applyBorder="1" applyAlignment="1">
      <alignment horizontal="center" vertical="center"/>
    </xf>
    <xf numFmtId="9" fontId="5" fillId="11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/>
    </xf>
    <xf numFmtId="166" fontId="5" fillId="12" borderId="1" xfId="0" applyNumberFormat="1" applyFont="1" applyFill="1" applyBorder="1" applyAlignment="1">
      <alignment horizontal="center" vertical="center"/>
    </xf>
    <xf numFmtId="9" fontId="5" fillId="12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3" fillId="0" borderId="0" xfId="0" applyFont="1"/>
    <xf numFmtId="0" fontId="5" fillId="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167" fontId="14" fillId="0" borderId="1" xfId="0" applyNumberFormat="1" applyFont="1" applyBorder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5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5" borderId="1" xfId="0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0" fillId="0" borderId="1" xfId="0" applyBorder="1"/>
    <xf numFmtId="0" fontId="3" fillId="0" borderId="2" xfId="0" applyFont="1" applyBorder="1" applyAlignment="1">
      <alignment horizontal="right"/>
    </xf>
  </cellXfs>
  <cellStyles count="1">
    <cellStyle name="Normal" xfId="0" builtinId="0"/>
  </cellStyles>
  <dxfs count="46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ont>
        <b/>
        <color rgb="FF000000"/>
        <name val="Arial"/>
      </font>
      <fill>
        <patternFill>
          <bgColor rgb="FFF1C40F"/>
        </patternFill>
      </fill>
    </dxf>
    <dxf>
      <fill>
        <patternFill>
          <bgColor rgb="FFCCD3DA"/>
        </patternFill>
      </fill>
    </dxf>
    <dxf>
      <fill>
        <patternFill>
          <bgColor rgb="FFCCD3DA"/>
        </patternFill>
      </fill>
      <border diagonalUp="0" diagonalDown="0">
        <left/>
        <right/>
        <top style="thin">
          <color rgb="FF34495E"/>
        </top>
        <bottom style="thin">
          <color rgb="FF34495E"/>
        </bottom>
      </border>
    </dxf>
    <dxf>
      <fill>
        <patternFill>
          <bgColor rgb="FF9AA5B1"/>
        </patternFill>
      </fill>
    </dxf>
    <dxf>
      <fill>
        <patternFill>
          <bgColor rgb="FF34495E"/>
        </patternFill>
      </fill>
    </dxf>
    <dxf>
      <fill>
        <patternFill>
          <bgColor rgb="FFC3E6EE"/>
        </patternFill>
      </fill>
    </dxf>
    <dxf>
      <fill>
        <patternFill>
          <bgColor rgb="FFC3E6EE"/>
        </patternFill>
      </fill>
      <border diagonalUp="0" diagonalDown="0">
        <left/>
        <right/>
        <top style="thin">
          <color rgb="FF1D8FA8"/>
        </top>
        <bottom style="thin">
          <color rgb="FF1D8FA8"/>
        </bottom>
      </border>
    </dxf>
    <dxf>
      <fill>
        <patternFill>
          <bgColor rgb="FF9AA5B1"/>
        </patternFill>
      </fill>
    </dxf>
    <dxf>
      <fill>
        <patternFill>
          <bgColor rgb="FF1D8FA8"/>
        </patternFill>
      </fill>
    </dxf>
    <dxf>
      <fill>
        <patternFill>
          <bgColor rgb="FFF6E1BD"/>
        </patternFill>
      </fill>
    </dxf>
    <dxf>
      <fill>
        <patternFill>
          <bgColor rgb="FFF6E1BD"/>
        </patternFill>
      </fill>
      <border diagonalUp="0" diagonalDown="0">
        <left/>
        <right/>
        <top style="thin">
          <color rgb="FFC27C0E"/>
        </top>
        <bottom style="thin">
          <color rgb="FFC27C0E"/>
        </bottom>
      </border>
    </dxf>
    <dxf>
      <fill>
        <patternFill>
          <bgColor rgb="FF9AA5B1"/>
        </patternFill>
      </fill>
    </dxf>
    <dxf>
      <fill>
        <patternFill>
          <bgColor rgb="FFC27C0E"/>
        </patternFill>
      </fill>
    </dxf>
    <dxf>
      <fill>
        <patternFill>
          <bgColor rgb="FFC5E8DD"/>
        </patternFill>
      </fill>
    </dxf>
    <dxf>
      <fill>
        <patternFill>
          <bgColor rgb="FFC5E8DD"/>
        </patternFill>
      </fill>
      <border diagonalUp="0" diagonalDown="0">
        <left/>
        <right/>
        <top style="thin">
          <color rgb="FF1E8C6E"/>
        </top>
        <bottom style="thin">
          <color rgb="FF1E8C6E"/>
        </bottom>
      </border>
    </dxf>
    <dxf>
      <fill>
        <patternFill>
          <bgColor rgb="FF9AA5B1"/>
        </patternFill>
      </fill>
    </dxf>
    <dxf>
      <fill>
        <patternFill>
          <bgColor rgb="FF1E8C6E"/>
        </patternFill>
      </fill>
    </dxf>
    <dxf>
      <fill>
        <patternFill>
          <bgColor rgb="FFE2D5EF"/>
        </patternFill>
      </fill>
    </dxf>
    <dxf>
      <fill>
        <patternFill>
          <bgColor rgb="FFE2D5EF"/>
        </patternFill>
      </fill>
      <border diagonalUp="0" diagonalDown="0">
        <left/>
        <right/>
        <top style="thin">
          <color rgb="FF7D4CA8"/>
        </top>
        <bottom style="thin">
          <color rgb="FF7D4CA8"/>
        </bottom>
      </border>
    </dxf>
    <dxf>
      <fill>
        <patternFill>
          <bgColor rgb="FF9AA5B1"/>
        </patternFill>
      </fill>
    </dxf>
    <dxf>
      <fill>
        <patternFill>
          <bgColor rgb="FF7D4CA8"/>
        </patternFill>
      </fill>
    </dxf>
    <dxf>
      <fill>
        <patternFill>
          <bgColor rgb="FFF5CFCB"/>
        </patternFill>
      </fill>
    </dxf>
    <dxf>
      <fill>
        <patternFill>
          <bgColor rgb="FFF5CFCB"/>
        </patternFill>
      </fill>
      <border diagonalUp="0" diagonalDown="0">
        <left/>
        <right/>
        <top style="thin">
          <color rgb="FFC0392B"/>
        </top>
        <bottom style="thin">
          <color rgb="FFC0392B"/>
        </bottom>
      </border>
    </dxf>
    <dxf>
      <fill>
        <patternFill>
          <bgColor rgb="FF9AA5B1"/>
        </patternFill>
      </fill>
    </dxf>
    <dxf>
      <fill>
        <patternFill>
          <bgColor rgb="FFC0392B"/>
        </patternFill>
      </fill>
    </dxf>
    <dxf>
      <fill>
        <patternFill>
          <bgColor rgb="FFC9DBF1"/>
        </patternFill>
      </fill>
    </dxf>
    <dxf>
      <fill>
        <patternFill>
          <bgColor rgb="FFC9DBF1"/>
        </patternFill>
      </fill>
      <border diagonalUp="0" diagonalDown="0">
        <left/>
        <right/>
        <top style="thin">
          <color rgb="FF2E6DB4"/>
        </top>
        <bottom style="thin">
          <color rgb="FF2E6DB4"/>
        </bottom>
      </border>
    </dxf>
    <dxf>
      <fill>
        <patternFill>
          <bgColor rgb="FF9AA5B1"/>
        </patternFill>
      </fill>
    </dxf>
    <dxf>
      <fill>
        <patternFill>
          <bgColor rgb="FF2E6DB4"/>
        </patternFill>
      </fill>
    </dxf>
    <dxf>
      <fill>
        <patternFill>
          <bgColor rgb="FFD5DAE0"/>
        </patternFill>
      </fill>
    </dxf>
    <dxf>
      <fill>
        <patternFill>
          <bgColor rgb="FFD5DAE0"/>
        </patternFill>
      </fill>
      <border diagonalUp="0" diagonalDown="0">
        <left/>
        <right/>
        <top style="thin">
          <color rgb="FF7F8C9A"/>
        </top>
        <bottom style="thin">
          <color rgb="FF7F8C9A"/>
        </bottom>
      </border>
    </dxf>
    <dxf>
      <fill>
        <patternFill>
          <bgColor rgb="FF9AA5B1"/>
        </patternFill>
      </fill>
    </dxf>
    <dxf>
      <fill>
        <patternFill>
          <bgColor rgb="FF7F8C9A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27C0E"/>
      <rgbColor rgb="FF800080"/>
      <rgbColor rgb="FF1D8FA8"/>
      <rgbColor rgb="FFCCD3DA"/>
      <rgbColor rgb="FF7F8C9A"/>
      <rgbColor rgb="FFD5DAE0"/>
      <rgbColor rgb="FF7D4CA8"/>
      <rgbColor rgb="FFFFFDE7"/>
      <rgbColor rgb="FFDDEBF7"/>
      <rgbColor rgb="FF660066"/>
      <rgbColor rgb="FFFF8080"/>
      <rgbColor rgb="FF0066CC"/>
      <rgbColor rgb="FFC9DBF1"/>
      <rgbColor rgb="FF000080"/>
      <rgbColor rgb="FFFF00FF"/>
      <rgbColor rgb="FFF6E1BD"/>
      <rgbColor rgb="FF00FFFF"/>
      <rgbColor rgb="FF800080"/>
      <rgbColor rgb="FF800000"/>
      <rgbColor rgb="FF008080"/>
      <rgbColor rgb="FF0000FF"/>
      <rgbColor rgb="FF00CCFF"/>
      <rgbColor rgb="FFC3E6EE"/>
      <rgbColor rgb="FFC6EFCE"/>
      <rgbColor rgb="FFFFEB9C"/>
      <rgbColor rgb="FFD0D4DA"/>
      <rgbColor rgb="FFFFC7CE"/>
      <rgbColor rgb="FFE2D5EF"/>
      <rgbColor rgb="FFF5CFCB"/>
      <rgbColor rgb="FF2E6DB4"/>
      <rgbColor rgb="FF33CCCC"/>
      <rgbColor rgb="FFC5E8DD"/>
      <rgbColor rgb="FFF1C40F"/>
      <rgbColor rgb="FFFF9900"/>
      <rgbColor rgb="FFFF6600"/>
      <rgbColor rgb="FF5A6472"/>
      <rgbColor rgb="FF9AA5B1"/>
      <rgbColor rgb="FF1F3A5F"/>
      <rgbColor rgb="FF1E8C6E"/>
      <rgbColor rgb="FF003300"/>
      <rgbColor rgb="FF333300"/>
      <rgbColor rgb="FFC0392B"/>
      <rgbColor rgb="FF993366"/>
      <rgbColor rgb="FF34495E"/>
      <rgbColor rgb="FF3A44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76"/>
  <sheetViews>
    <sheetView showGridLines="0" tabSelected="1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A2" sqref="A2:XFD2"/>
    </sheetView>
  </sheetViews>
  <sheetFormatPr defaultColWidth="8.7109375" defaultRowHeight="15"/>
  <cols>
    <col min="1" max="1" width="6" customWidth="1"/>
    <col min="2" max="2" width="58" customWidth="1"/>
    <col min="3" max="3" width="24" hidden="1" customWidth="1"/>
    <col min="4" max="4" width="10" hidden="1" customWidth="1"/>
    <col min="5" max="6" width="9" hidden="1" customWidth="1"/>
    <col min="7" max="8" width="11" hidden="1" customWidth="1"/>
    <col min="9" max="9" width="14" hidden="1" customWidth="1"/>
    <col min="10" max="10" width="12" customWidth="1"/>
    <col min="11" max="11" width="9" customWidth="1"/>
    <col min="12" max="19" width="7.42578125" customWidth="1"/>
  </cols>
  <sheetData>
    <row r="1" spans="1:19" ht="20.25">
      <c r="A1" s="5" t="s">
        <v>0</v>
      </c>
    </row>
    <row r="2" spans="1:19">
      <c r="A2" s="4" t="s">
        <v>1</v>
      </c>
      <c r="B2" s="83"/>
      <c r="C2" s="7">
        <v>46300</v>
      </c>
      <c r="D2" s="8" t="s">
        <v>2</v>
      </c>
      <c r="E2" s="3">
        <f>H66</f>
        <v>46350</v>
      </c>
      <c r="F2" s="3"/>
    </row>
    <row r="4" spans="1:19" ht="18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Q4" s="9" t="s">
        <v>19</v>
      </c>
      <c r="R4" s="9" t="s">
        <v>20</v>
      </c>
      <c r="S4" s="9" t="s">
        <v>21</v>
      </c>
    </row>
    <row r="5" spans="1:19" ht="3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10">
        <f>$C$2+0</f>
        <v>46300</v>
      </c>
      <c r="M5" s="10">
        <f>$C$2+7</f>
        <v>46307</v>
      </c>
      <c r="N5" s="10">
        <f>$C$2+14</f>
        <v>46314</v>
      </c>
      <c r="O5" s="10">
        <f>$C$2+21</f>
        <v>46321</v>
      </c>
      <c r="P5" s="10">
        <f>$C$2+28</f>
        <v>46328</v>
      </c>
      <c r="Q5" s="10">
        <f>$C$2+35</f>
        <v>46335</v>
      </c>
      <c r="R5" s="10">
        <f>$C$2+42</f>
        <v>46342</v>
      </c>
      <c r="S5" s="10">
        <f>$C$2+49</f>
        <v>46349</v>
      </c>
    </row>
    <row r="6" spans="1:19">
      <c r="A6" s="11" t="s">
        <v>22</v>
      </c>
      <c r="B6" s="12" t="s">
        <v>23</v>
      </c>
      <c r="C6" s="13"/>
      <c r="D6" s="11" t="s">
        <v>24</v>
      </c>
      <c r="E6" s="11">
        <f>MIN(E7:E10)</f>
        <v>0</v>
      </c>
      <c r="F6" s="11">
        <f>NETWORKDAYS(G6,H6)</f>
        <v>7</v>
      </c>
      <c r="G6" s="14">
        <f>MIN(G7:G10)</f>
        <v>46300</v>
      </c>
      <c r="H6" s="14">
        <f>MAX(H7:H10)</f>
        <v>46308</v>
      </c>
      <c r="I6" s="13"/>
      <c r="J6" s="11"/>
      <c r="K6" s="15">
        <f>IF(SUMIF(D7:D10,"Task",F7:F10)=0,0,SUMPRODUCT((D7:D10="Task")*F7:F10*K7:K10)/SUMIF(D7:D10,"Task",F7:F10))</f>
        <v>0</v>
      </c>
      <c r="L6" s="16"/>
      <c r="M6" s="16"/>
      <c r="N6" s="16"/>
      <c r="O6" s="16"/>
      <c r="P6" s="16"/>
      <c r="Q6" s="16"/>
      <c r="R6" s="16"/>
      <c r="S6" s="16"/>
    </row>
    <row r="7" spans="1:19">
      <c r="A7" s="17" t="s">
        <v>25</v>
      </c>
      <c r="B7" s="18" t="s">
        <v>26</v>
      </c>
      <c r="C7" s="19" t="s">
        <v>27</v>
      </c>
      <c r="D7" s="17" t="s">
        <v>28</v>
      </c>
      <c r="E7" s="17">
        <v>0</v>
      </c>
      <c r="F7" s="17">
        <v>2</v>
      </c>
      <c r="G7" s="20">
        <f>WORKDAY($C$2,E7)</f>
        <v>46300</v>
      </c>
      <c r="H7" s="20">
        <f>WORKDAY(G7,F7-1)</f>
        <v>46301</v>
      </c>
      <c r="I7" s="19"/>
      <c r="J7" s="21" t="s">
        <v>29</v>
      </c>
      <c r="K7" s="22">
        <v>0</v>
      </c>
      <c r="L7" s="17"/>
      <c r="M7" s="17"/>
      <c r="N7" s="17"/>
      <c r="O7" s="17"/>
      <c r="P7" s="17"/>
      <c r="Q7" s="17"/>
      <c r="R7" s="17"/>
      <c r="S7" s="17"/>
    </row>
    <row r="8" spans="1:19" ht="25.5">
      <c r="A8" s="17" t="s">
        <v>30</v>
      </c>
      <c r="B8" s="18" t="s">
        <v>31</v>
      </c>
      <c r="C8" s="19" t="s">
        <v>32</v>
      </c>
      <c r="D8" s="17" t="s">
        <v>28</v>
      </c>
      <c r="E8" s="17">
        <v>0</v>
      </c>
      <c r="F8" s="17">
        <v>7</v>
      </c>
      <c r="G8" s="20">
        <f>WORKDAY($C$2,E8)</f>
        <v>46300</v>
      </c>
      <c r="H8" s="20">
        <f>WORKDAY(G8,F8-1)</f>
        <v>46308</v>
      </c>
      <c r="I8" s="19" t="s">
        <v>25</v>
      </c>
      <c r="J8" s="21" t="s">
        <v>29</v>
      </c>
      <c r="K8" s="22">
        <v>0</v>
      </c>
      <c r="L8" s="17"/>
      <c r="M8" s="17"/>
      <c r="N8" s="17"/>
      <c r="O8" s="17"/>
      <c r="P8" s="17"/>
      <c r="Q8" s="17"/>
      <c r="R8" s="17"/>
      <c r="S8" s="17"/>
    </row>
    <row r="9" spans="1:19">
      <c r="A9" s="17" t="s">
        <v>33</v>
      </c>
      <c r="B9" s="18" t="s">
        <v>34</v>
      </c>
      <c r="C9" s="19" t="s">
        <v>27</v>
      </c>
      <c r="D9" s="17" t="s">
        <v>28</v>
      </c>
      <c r="E9" s="17">
        <v>2</v>
      </c>
      <c r="F9" s="17">
        <v>3</v>
      </c>
      <c r="G9" s="20">
        <f>WORKDAY($C$2,E9)</f>
        <v>46302</v>
      </c>
      <c r="H9" s="20">
        <f>WORKDAY(G9,F9-1)</f>
        <v>46304</v>
      </c>
      <c r="I9" s="19" t="s">
        <v>25</v>
      </c>
      <c r="J9" s="21" t="s">
        <v>29</v>
      </c>
      <c r="K9" s="22">
        <v>0</v>
      </c>
      <c r="L9" s="17"/>
      <c r="M9" s="17"/>
      <c r="N9" s="17"/>
      <c r="O9" s="17"/>
      <c r="P9" s="17"/>
      <c r="Q9" s="17"/>
      <c r="R9" s="17"/>
      <c r="S9" s="17"/>
    </row>
    <row r="10" spans="1:19" ht="15.75">
      <c r="A10" s="17" t="s">
        <v>35</v>
      </c>
      <c r="B10" s="23" t="s">
        <v>36</v>
      </c>
      <c r="C10" s="19" t="s">
        <v>27</v>
      </c>
      <c r="D10" s="17" t="s">
        <v>37</v>
      </c>
      <c r="E10" s="17">
        <v>1</v>
      </c>
      <c r="F10" s="17">
        <v>0</v>
      </c>
      <c r="G10" s="20">
        <f>WORKDAY($C$2,E10)</f>
        <v>46301</v>
      </c>
      <c r="H10" s="20">
        <f>G10</f>
        <v>46301</v>
      </c>
      <c r="I10" s="19" t="s">
        <v>25</v>
      </c>
      <c r="J10" s="21" t="s">
        <v>29</v>
      </c>
      <c r="K10" s="22">
        <v>0</v>
      </c>
      <c r="L10" s="24" t="str">
        <f t="shared" ref="L10:S10" si="0">IF(AND($G10&gt;=L$5,$G10&lt;=L$5+4),"◆","")</f>
        <v>◆</v>
      </c>
      <c r="M10" s="24" t="str">
        <f t="shared" si="0"/>
        <v/>
      </c>
      <c r="N10" s="24" t="str">
        <f t="shared" si="0"/>
        <v/>
      </c>
      <c r="O10" s="24" t="str">
        <f t="shared" si="0"/>
        <v/>
      </c>
      <c r="P10" s="24" t="str">
        <f t="shared" si="0"/>
        <v/>
      </c>
      <c r="Q10" s="24" t="str">
        <f t="shared" si="0"/>
        <v/>
      </c>
      <c r="R10" s="24" t="str">
        <f t="shared" si="0"/>
        <v/>
      </c>
      <c r="S10" s="24" t="str">
        <f t="shared" si="0"/>
        <v/>
      </c>
    </row>
    <row r="11" spans="1:19">
      <c r="A11" s="25" t="s">
        <v>38</v>
      </c>
      <c r="B11" s="26" t="s">
        <v>39</v>
      </c>
      <c r="C11" s="27"/>
      <c r="D11" s="25" t="s">
        <v>24</v>
      </c>
      <c r="E11" s="25">
        <f>MIN(E12:E23)</f>
        <v>0</v>
      </c>
      <c r="F11" s="25">
        <f>NETWORKDAYS(G11,H11)</f>
        <v>20</v>
      </c>
      <c r="G11" s="28">
        <f>MIN(G12:G23)</f>
        <v>46300</v>
      </c>
      <c r="H11" s="28">
        <f>MAX(H12:H23)</f>
        <v>46325</v>
      </c>
      <c r="I11" s="27"/>
      <c r="J11" s="25"/>
      <c r="K11" s="29">
        <f>IF(SUMIF(D12:D23,"Task",F12:F23)=0,0,SUMPRODUCT((D12:D23="Task")*F12:F23*K12:K23)/SUMIF(D12:D23,"Task",F12:F23))</f>
        <v>0</v>
      </c>
      <c r="L11" s="16"/>
      <c r="M11" s="16"/>
      <c r="N11" s="16"/>
      <c r="O11" s="16"/>
      <c r="P11" s="16"/>
      <c r="Q11" s="16"/>
      <c r="R11" s="16"/>
      <c r="S11" s="16"/>
    </row>
    <row r="12" spans="1:19">
      <c r="A12" s="17" t="s">
        <v>40</v>
      </c>
      <c r="B12" s="18" t="s">
        <v>41</v>
      </c>
      <c r="C12" s="19" t="s">
        <v>42</v>
      </c>
      <c r="D12" s="17" t="s">
        <v>28</v>
      </c>
      <c r="E12" s="17">
        <v>0</v>
      </c>
      <c r="F12" s="17">
        <v>5</v>
      </c>
      <c r="G12" s="20">
        <f>WORKDAY($C$2,E12)</f>
        <v>46300</v>
      </c>
      <c r="H12" s="20">
        <f>WORKDAY(G12,F12-1)</f>
        <v>46304</v>
      </c>
      <c r="I12" s="19" t="s">
        <v>25</v>
      </c>
      <c r="J12" s="21" t="s">
        <v>29</v>
      </c>
      <c r="K12" s="22">
        <v>0</v>
      </c>
      <c r="L12" s="17"/>
      <c r="M12" s="17"/>
      <c r="N12" s="17"/>
      <c r="O12" s="17"/>
      <c r="P12" s="17"/>
      <c r="Q12" s="17"/>
      <c r="R12" s="17"/>
      <c r="S12" s="17"/>
    </row>
    <row r="13" spans="1:19">
      <c r="A13" s="17" t="s">
        <v>43</v>
      </c>
      <c r="B13" s="18" t="s">
        <v>44</v>
      </c>
      <c r="C13" s="19" t="s">
        <v>45</v>
      </c>
      <c r="D13" s="17" t="s">
        <v>28</v>
      </c>
      <c r="E13" s="17">
        <v>2</v>
      </c>
      <c r="F13" s="17">
        <v>8</v>
      </c>
      <c r="G13" s="20">
        <f>WORKDAY($C$2,E13)</f>
        <v>46302</v>
      </c>
      <c r="H13" s="20">
        <f>WORKDAY(G13,F13-1)</f>
        <v>46311</v>
      </c>
      <c r="I13" s="19" t="s">
        <v>40</v>
      </c>
      <c r="J13" s="21" t="s">
        <v>29</v>
      </c>
      <c r="K13" s="22">
        <v>0</v>
      </c>
      <c r="L13" s="17"/>
      <c r="M13" s="17"/>
      <c r="N13" s="17"/>
      <c r="O13" s="17"/>
      <c r="P13" s="17"/>
      <c r="Q13" s="17"/>
      <c r="R13" s="17"/>
      <c r="S13" s="17"/>
    </row>
    <row r="14" spans="1:19" ht="15.75">
      <c r="A14" s="17" t="s">
        <v>46</v>
      </c>
      <c r="B14" s="23" t="s">
        <v>47</v>
      </c>
      <c r="C14" s="19" t="s">
        <v>48</v>
      </c>
      <c r="D14" s="17" t="s">
        <v>37</v>
      </c>
      <c r="E14" s="17">
        <v>9</v>
      </c>
      <c r="F14" s="17">
        <v>0</v>
      </c>
      <c r="G14" s="20">
        <f>WORKDAY($C$2,E14)</f>
        <v>46311</v>
      </c>
      <c r="H14" s="20">
        <f>G14</f>
        <v>46311</v>
      </c>
      <c r="I14" s="19" t="s">
        <v>43</v>
      </c>
      <c r="J14" s="21" t="s">
        <v>29</v>
      </c>
      <c r="K14" s="22">
        <v>0</v>
      </c>
      <c r="L14" s="24" t="str">
        <f t="shared" ref="L14:S14" si="1">IF(AND($G14&gt;=L$5,$G14&lt;=L$5+4),"◆","")</f>
        <v/>
      </c>
      <c r="M14" s="24" t="str">
        <f t="shared" si="1"/>
        <v>◆</v>
      </c>
      <c r="N14" s="24" t="str">
        <f t="shared" si="1"/>
        <v/>
      </c>
      <c r="O14" s="24" t="str">
        <f t="shared" si="1"/>
        <v/>
      </c>
      <c r="P14" s="24" t="str">
        <f t="shared" si="1"/>
        <v/>
      </c>
      <c r="Q14" s="24" t="str">
        <f t="shared" si="1"/>
        <v/>
      </c>
      <c r="R14" s="24" t="str">
        <f t="shared" si="1"/>
        <v/>
      </c>
      <c r="S14" s="24" t="str">
        <f t="shared" si="1"/>
        <v/>
      </c>
    </row>
    <row r="15" spans="1:19">
      <c r="A15" s="17" t="s">
        <v>49</v>
      </c>
      <c r="B15" s="18" t="s">
        <v>50</v>
      </c>
      <c r="C15" s="19" t="s">
        <v>42</v>
      </c>
      <c r="D15" s="17" t="s">
        <v>28</v>
      </c>
      <c r="E15" s="17">
        <v>3</v>
      </c>
      <c r="F15" s="17">
        <v>7</v>
      </c>
      <c r="G15" s="20">
        <f>WORKDAY($C$2,E15)</f>
        <v>46303</v>
      </c>
      <c r="H15" s="20">
        <f>WORKDAY(G15,F15-1)</f>
        <v>46311</v>
      </c>
      <c r="I15" s="19" t="s">
        <v>25</v>
      </c>
      <c r="J15" s="21" t="s">
        <v>29</v>
      </c>
      <c r="K15" s="22">
        <v>0</v>
      </c>
      <c r="L15" s="17"/>
      <c r="M15" s="17"/>
      <c r="N15" s="17"/>
      <c r="O15" s="17"/>
      <c r="P15" s="17"/>
      <c r="Q15" s="17"/>
      <c r="R15" s="17"/>
      <c r="S15" s="17"/>
    </row>
    <row r="16" spans="1:19">
      <c r="A16" s="17" t="s">
        <v>51</v>
      </c>
      <c r="B16" s="18" t="s">
        <v>52</v>
      </c>
      <c r="C16" s="19" t="s">
        <v>45</v>
      </c>
      <c r="D16" s="17" t="s">
        <v>28</v>
      </c>
      <c r="E16" s="17">
        <v>5</v>
      </c>
      <c r="F16" s="17">
        <v>10</v>
      </c>
      <c r="G16" s="20">
        <f>WORKDAY($C$2,E16)</f>
        <v>46307</v>
      </c>
      <c r="H16" s="20">
        <f>WORKDAY(G16,F16-1)</f>
        <v>46318</v>
      </c>
      <c r="I16" s="19" t="s">
        <v>49</v>
      </c>
      <c r="J16" s="21" t="s">
        <v>29</v>
      </c>
      <c r="K16" s="22">
        <v>0</v>
      </c>
      <c r="L16" s="17"/>
      <c r="M16" s="17"/>
      <c r="N16" s="17"/>
      <c r="O16" s="17"/>
      <c r="P16" s="17"/>
      <c r="Q16" s="17"/>
      <c r="R16" s="17"/>
      <c r="S16" s="17"/>
    </row>
    <row r="17" spans="1:19" ht="15.75">
      <c r="A17" s="17" t="s">
        <v>53</v>
      </c>
      <c r="B17" s="23" t="s">
        <v>54</v>
      </c>
      <c r="C17" s="19" t="s">
        <v>48</v>
      </c>
      <c r="D17" s="17" t="s">
        <v>37</v>
      </c>
      <c r="E17" s="17">
        <v>14</v>
      </c>
      <c r="F17" s="17">
        <v>0</v>
      </c>
      <c r="G17" s="20">
        <f>WORKDAY($C$2,E17)</f>
        <v>46318</v>
      </c>
      <c r="H17" s="20">
        <f>G17</f>
        <v>46318</v>
      </c>
      <c r="I17" s="19" t="s">
        <v>51</v>
      </c>
      <c r="J17" s="21" t="s">
        <v>29</v>
      </c>
      <c r="K17" s="22">
        <v>0</v>
      </c>
      <c r="L17" s="24" t="str">
        <f t="shared" ref="L17:S17" si="2">IF(AND($G17&gt;=L$5,$G17&lt;=L$5+4),"◆","")</f>
        <v/>
      </c>
      <c r="M17" s="24" t="str">
        <f t="shared" si="2"/>
        <v/>
      </c>
      <c r="N17" s="24" t="str">
        <f t="shared" si="2"/>
        <v>◆</v>
      </c>
      <c r="O17" s="24" t="str">
        <f t="shared" si="2"/>
        <v/>
      </c>
      <c r="P17" s="24" t="str">
        <f t="shared" si="2"/>
        <v/>
      </c>
      <c r="Q17" s="24" t="str">
        <f t="shared" si="2"/>
        <v/>
      </c>
      <c r="R17" s="24" t="str">
        <f t="shared" si="2"/>
        <v/>
      </c>
      <c r="S17" s="24" t="str">
        <f t="shared" si="2"/>
        <v/>
      </c>
    </row>
    <row r="18" spans="1:19">
      <c r="A18" s="17" t="s">
        <v>55</v>
      </c>
      <c r="B18" s="18" t="s">
        <v>56</v>
      </c>
      <c r="C18" s="19" t="s">
        <v>42</v>
      </c>
      <c r="D18" s="17" t="s">
        <v>28</v>
      </c>
      <c r="E18" s="17">
        <v>5</v>
      </c>
      <c r="F18" s="17">
        <v>10</v>
      </c>
      <c r="G18" s="20">
        <f>WORKDAY($C$2,E18)</f>
        <v>46307</v>
      </c>
      <c r="H18" s="20">
        <f>WORKDAY(G18,F18-1)</f>
        <v>46318</v>
      </c>
      <c r="I18" s="19" t="s">
        <v>25</v>
      </c>
      <c r="J18" s="21" t="s">
        <v>29</v>
      </c>
      <c r="K18" s="22">
        <v>0</v>
      </c>
      <c r="L18" s="17"/>
      <c r="M18" s="17"/>
      <c r="N18" s="17"/>
      <c r="O18" s="17"/>
      <c r="P18" s="17"/>
      <c r="Q18" s="17"/>
      <c r="R18" s="17"/>
      <c r="S18" s="17"/>
    </row>
    <row r="19" spans="1:19">
      <c r="A19" s="17" t="s">
        <v>57</v>
      </c>
      <c r="B19" s="18" t="s">
        <v>58</v>
      </c>
      <c r="C19" s="19" t="s">
        <v>45</v>
      </c>
      <c r="D19" s="17" t="s">
        <v>28</v>
      </c>
      <c r="E19" s="17">
        <v>12</v>
      </c>
      <c r="F19" s="17">
        <v>8</v>
      </c>
      <c r="G19" s="20">
        <f>WORKDAY($C$2,E19)</f>
        <v>46316</v>
      </c>
      <c r="H19" s="20">
        <f>WORKDAY(G19,F19-1)</f>
        <v>46325</v>
      </c>
      <c r="I19" s="19" t="s">
        <v>59</v>
      </c>
      <c r="J19" s="21" t="s">
        <v>29</v>
      </c>
      <c r="K19" s="22">
        <v>0</v>
      </c>
      <c r="L19" s="17"/>
      <c r="M19" s="17"/>
      <c r="N19" s="17"/>
      <c r="O19" s="17"/>
      <c r="P19" s="17"/>
      <c r="Q19" s="17"/>
      <c r="R19" s="17"/>
      <c r="S19" s="17"/>
    </row>
    <row r="20" spans="1:19">
      <c r="A20" s="17" t="s">
        <v>60</v>
      </c>
      <c r="B20" s="18" t="s">
        <v>61</v>
      </c>
      <c r="C20" s="19" t="s">
        <v>62</v>
      </c>
      <c r="D20" s="17" t="s">
        <v>28</v>
      </c>
      <c r="E20" s="17">
        <v>3</v>
      </c>
      <c r="F20" s="17">
        <v>9</v>
      </c>
      <c r="G20" s="20">
        <f>WORKDAY($C$2,E20)</f>
        <v>46303</v>
      </c>
      <c r="H20" s="20">
        <f>WORKDAY(G20,F20-1)</f>
        <v>46315</v>
      </c>
      <c r="I20" s="19" t="s">
        <v>40</v>
      </c>
      <c r="J20" s="21" t="s">
        <v>29</v>
      </c>
      <c r="K20" s="22">
        <v>0</v>
      </c>
      <c r="L20" s="17"/>
      <c r="M20" s="17"/>
      <c r="N20" s="17"/>
      <c r="O20" s="17"/>
      <c r="P20" s="17"/>
      <c r="Q20" s="17"/>
      <c r="R20" s="17"/>
      <c r="S20" s="17"/>
    </row>
    <row r="21" spans="1:19">
      <c r="A21" s="17" t="s">
        <v>63</v>
      </c>
      <c r="B21" s="18" t="s">
        <v>64</v>
      </c>
      <c r="C21" s="19" t="s">
        <v>65</v>
      </c>
      <c r="D21" s="17" t="s">
        <v>28</v>
      </c>
      <c r="E21" s="17">
        <v>5</v>
      </c>
      <c r="F21" s="17">
        <v>15</v>
      </c>
      <c r="G21" s="20">
        <f>WORKDAY($C$2,E21)</f>
        <v>46307</v>
      </c>
      <c r="H21" s="20">
        <f>WORKDAY(G21,F21-1)</f>
        <v>46325</v>
      </c>
      <c r="I21" s="19" t="s">
        <v>43</v>
      </c>
      <c r="J21" s="21" t="s">
        <v>29</v>
      </c>
      <c r="K21" s="22">
        <v>0</v>
      </c>
      <c r="L21" s="17"/>
      <c r="M21" s="17"/>
      <c r="N21" s="17"/>
      <c r="O21" s="17"/>
      <c r="P21" s="17"/>
      <c r="Q21" s="17"/>
      <c r="R21" s="17"/>
      <c r="S21" s="17"/>
    </row>
    <row r="22" spans="1:19" ht="15.75">
      <c r="A22" s="17" t="s">
        <v>66</v>
      </c>
      <c r="B22" s="23" t="s">
        <v>67</v>
      </c>
      <c r="C22" s="19" t="s">
        <v>68</v>
      </c>
      <c r="D22" s="17" t="s">
        <v>37</v>
      </c>
      <c r="E22" s="17">
        <v>14</v>
      </c>
      <c r="F22" s="17">
        <v>0</v>
      </c>
      <c r="G22" s="20">
        <f>WORKDAY($C$2,E22)</f>
        <v>46318</v>
      </c>
      <c r="H22" s="20">
        <f>G22</f>
        <v>46318</v>
      </c>
      <c r="I22" s="19" t="s">
        <v>69</v>
      </c>
      <c r="J22" s="21" t="s">
        <v>29</v>
      </c>
      <c r="K22" s="22">
        <v>0</v>
      </c>
      <c r="L22" s="24" t="str">
        <f t="shared" ref="L22:S23" si="3">IF(AND($G22&gt;=L$5,$G22&lt;=L$5+4),"◆","")</f>
        <v/>
      </c>
      <c r="M22" s="24" t="str">
        <f t="shared" si="3"/>
        <v/>
      </c>
      <c r="N22" s="24" t="str">
        <f t="shared" si="3"/>
        <v>◆</v>
      </c>
      <c r="O22" s="24" t="str">
        <f t="shared" si="3"/>
        <v/>
      </c>
      <c r="P22" s="24" t="str">
        <f t="shared" si="3"/>
        <v/>
      </c>
      <c r="Q22" s="24" t="str">
        <f t="shared" si="3"/>
        <v/>
      </c>
      <c r="R22" s="24" t="str">
        <f t="shared" si="3"/>
        <v/>
      </c>
      <c r="S22" s="24" t="str">
        <f t="shared" si="3"/>
        <v/>
      </c>
    </row>
    <row r="23" spans="1:19" ht="15.75">
      <c r="A23" s="17" t="s">
        <v>70</v>
      </c>
      <c r="B23" s="23" t="s">
        <v>71</v>
      </c>
      <c r="C23" s="19" t="s">
        <v>48</v>
      </c>
      <c r="D23" s="17" t="s">
        <v>37</v>
      </c>
      <c r="E23" s="17">
        <v>19</v>
      </c>
      <c r="F23" s="17">
        <v>0</v>
      </c>
      <c r="G23" s="20">
        <f>WORKDAY($C$2,E23)</f>
        <v>46325</v>
      </c>
      <c r="H23" s="20">
        <f>G23</f>
        <v>46325</v>
      </c>
      <c r="I23" s="19" t="s">
        <v>57</v>
      </c>
      <c r="J23" s="21" t="s">
        <v>29</v>
      </c>
      <c r="K23" s="22">
        <v>0</v>
      </c>
      <c r="L23" s="24" t="str">
        <f t="shared" si="3"/>
        <v/>
      </c>
      <c r="M23" s="24" t="str">
        <f t="shared" si="3"/>
        <v/>
      </c>
      <c r="N23" s="24" t="str">
        <f t="shared" si="3"/>
        <v/>
      </c>
      <c r="O23" s="24" t="str">
        <f t="shared" si="3"/>
        <v>◆</v>
      </c>
      <c r="P23" s="24" t="str">
        <f t="shared" si="3"/>
        <v/>
      </c>
      <c r="Q23" s="24" t="str">
        <f t="shared" si="3"/>
        <v/>
      </c>
      <c r="R23" s="24" t="str">
        <f t="shared" si="3"/>
        <v/>
      </c>
      <c r="S23" s="24" t="str">
        <f t="shared" si="3"/>
        <v/>
      </c>
    </row>
    <row r="24" spans="1:19">
      <c r="A24" s="30" t="s">
        <v>72</v>
      </c>
      <c r="B24" s="31" t="s">
        <v>73</v>
      </c>
      <c r="C24" s="32"/>
      <c r="D24" s="30" t="s">
        <v>24</v>
      </c>
      <c r="E24" s="30">
        <f>MIN(E25:E31)</f>
        <v>0</v>
      </c>
      <c r="F24" s="30">
        <f>NETWORKDAYS(G24,H24)</f>
        <v>30</v>
      </c>
      <c r="G24" s="33">
        <f>MIN(G25:G31)</f>
        <v>46300</v>
      </c>
      <c r="H24" s="33">
        <f>MAX(H25:H31)</f>
        <v>46339</v>
      </c>
      <c r="I24" s="32"/>
      <c r="J24" s="30"/>
      <c r="K24" s="34">
        <f>IF(SUMIF(D25:D31,"Task",F25:F31)=0,0,SUMPRODUCT((D25:D31="Task")*F25:F31*K25:K31)/SUMIF(D25:D31,"Task",F25:F31))</f>
        <v>0</v>
      </c>
      <c r="L24" s="16"/>
      <c r="M24" s="16"/>
      <c r="N24" s="16"/>
      <c r="O24" s="16"/>
      <c r="P24" s="16"/>
      <c r="Q24" s="16"/>
      <c r="R24" s="16"/>
      <c r="S24" s="16"/>
    </row>
    <row r="25" spans="1:19">
      <c r="A25" s="17" t="s">
        <v>74</v>
      </c>
      <c r="B25" s="18" t="s">
        <v>75</v>
      </c>
      <c r="C25" s="19" t="s">
        <v>76</v>
      </c>
      <c r="D25" s="17" t="s">
        <v>28</v>
      </c>
      <c r="E25" s="17">
        <v>0</v>
      </c>
      <c r="F25" s="17">
        <v>10</v>
      </c>
      <c r="G25" s="20">
        <f>WORKDAY($C$2,E25)</f>
        <v>46300</v>
      </c>
      <c r="H25" s="20">
        <f>WORKDAY(G25,F25-1)</f>
        <v>46311</v>
      </c>
      <c r="I25" s="19" t="s">
        <v>25</v>
      </c>
      <c r="J25" s="21" t="s">
        <v>29</v>
      </c>
      <c r="K25" s="22">
        <v>0</v>
      </c>
      <c r="L25" s="17"/>
      <c r="M25" s="17"/>
      <c r="N25" s="17"/>
      <c r="O25" s="17"/>
      <c r="P25" s="17"/>
      <c r="Q25" s="17"/>
      <c r="R25" s="17"/>
      <c r="S25" s="17"/>
    </row>
    <row r="26" spans="1:19" ht="15.75">
      <c r="A26" s="17" t="s">
        <v>77</v>
      </c>
      <c r="B26" s="23" t="s">
        <v>78</v>
      </c>
      <c r="C26" s="19" t="s">
        <v>79</v>
      </c>
      <c r="D26" s="17" t="s">
        <v>37</v>
      </c>
      <c r="E26" s="17">
        <v>9</v>
      </c>
      <c r="F26" s="17">
        <v>0</v>
      </c>
      <c r="G26" s="20">
        <f>WORKDAY($C$2,E26)</f>
        <v>46311</v>
      </c>
      <c r="H26" s="20">
        <f>G26</f>
        <v>46311</v>
      </c>
      <c r="I26" s="19" t="s">
        <v>74</v>
      </c>
      <c r="J26" s="21" t="s">
        <v>29</v>
      </c>
      <c r="K26" s="22">
        <v>0</v>
      </c>
      <c r="L26" s="24" t="str">
        <f t="shared" ref="L26:S26" si="4">IF(AND($G26&gt;=L$5,$G26&lt;=L$5+4),"◆","")</f>
        <v/>
      </c>
      <c r="M26" s="24" t="str">
        <f t="shared" si="4"/>
        <v>◆</v>
      </c>
      <c r="N26" s="24" t="str">
        <f t="shared" si="4"/>
        <v/>
      </c>
      <c r="O26" s="24" t="str">
        <f t="shared" si="4"/>
        <v/>
      </c>
      <c r="P26" s="24" t="str">
        <f t="shared" si="4"/>
        <v/>
      </c>
      <c r="Q26" s="24" t="str">
        <f t="shared" si="4"/>
        <v/>
      </c>
      <c r="R26" s="24" t="str">
        <f t="shared" si="4"/>
        <v/>
      </c>
      <c r="S26" s="24" t="str">
        <f t="shared" si="4"/>
        <v/>
      </c>
    </row>
    <row r="27" spans="1:19">
      <c r="A27" s="17" t="s">
        <v>80</v>
      </c>
      <c r="B27" s="18" t="s">
        <v>81</v>
      </c>
      <c r="C27" s="19" t="s">
        <v>82</v>
      </c>
      <c r="D27" s="17" t="s">
        <v>28</v>
      </c>
      <c r="E27" s="17">
        <v>10</v>
      </c>
      <c r="F27" s="17">
        <v>5</v>
      </c>
      <c r="G27" s="20">
        <f>WORKDAY($C$2,E27)</f>
        <v>46314</v>
      </c>
      <c r="H27" s="20">
        <f>WORKDAY(G27,F27-1)</f>
        <v>46318</v>
      </c>
      <c r="I27" s="19" t="s">
        <v>74</v>
      </c>
      <c r="J27" s="21" t="s">
        <v>29</v>
      </c>
      <c r="K27" s="22">
        <v>0</v>
      </c>
      <c r="L27" s="17"/>
      <c r="M27" s="17"/>
      <c r="N27" s="17"/>
      <c r="O27" s="17"/>
      <c r="P27" s="17"/>
      <c r="Q27" s="17"/>
      <c r="R27" s="17"/>
      <c r="S27" s="17"/>
    </row>
    <row r="28" spans="1:19">
      <c r="A28" s="17" t="s">
        <v>83</v>
      </c>
      <c r="B28" s="18" t="s">
        <v>84</v>
      </c>
      <c r="C28" s="19" t="s">
        <v>85</v>
      </c>
      <c r="D28" s="17" t="s">
        <v>28</v>
      </c>
      <c r="E28" s="17">
        <v>15</v>
      </c>
      <c r="F28" s="17">
        <v>5</v>
      </c>
      <c r="G28" s="20">
        <f>WORKDAY($C$2,E28)</f>
        <v>46321</v>
      </c>
      <c r="H28" s="20">
        <f>WORKDAY(G28,F28-1)</f>
        <v>46325</v>
      </c>
      <c r="I28" s="19" t="s">
        <v>80</v>
      </c>
      <c r="J28" s="21" t="s">
        <v>29</v>
      </c>
      <c r="K28" s="22">
        <v>0</v>
      </c>
      <c r="L28" s="17"/>
      <c r="M28" s="17"/>
      <c r="N28" s="17"/>
      <c r="O28" s="17"/>
      <c r="P28" s="17"/>
      <c r="Q28" s="17"/>
      <c r="R28" s="17"/>
      <c r="S28" s="17"/>
    </row>
    <row r="29" spans="1:19" ht="25.5">
      <c r="A29" s="17" t="s">
        <v>86</v>
      </c>
      <c r="B29" s="23" t="s">
        <v>87</v>
      </c>
      <c r="C29" s="19" t="s">
        <v>88</v>
      </c>
      <c r="D29" s="17" t="s">
        <v>37</v>
      </c>
      <c r="E29" s="17">
        <v>19</v>
      </c>
      <c r="F29" s="17">
        <v>0</v>
      </c>
      <c r="G29" s="20">
        <f>WORKDAY($C$2,E29)</f>
        <v>46325</v>
      </c>
      <c r="H29" s="20">
        <f>G29</f>
        <v>46325</v>
      </c>
      <c r="I29" s="19" t="s">
        <v>83</v>
      </c>
      <c r="J29" s="21" t="s">
        <v>29</v>
      </c>
      <c r="K29" s="22">
        <v>0</v>
      </c>
      <c r="L29" s="24" t="str">
        <f t="shared" ref="L29:S29" si="5">IF(AND($G29&gt;=L$5,$G29&lt;=L$5+4),"◆","")</f>
        <v/>
      </c>
      <c r="M29" s="24" t="str">
        <f t="shared" si="5"/>
        <v/>
      </c>
      <c r="N29" s="24" t="str">
        <f t="shared" si="5"/>
        <v/>
      </c>
      <c r="O29" s="24" t="str">
        <f t="shared" si="5"/>
        <v>◆</v>
      </c>
      <c r="P29" s="24" t="str">
        <f t="shared" si="5"/>
        <v/>
      </c>
      <c r="Q29" s="24" t="str">
        <f t="shared" si="5"/>
        <v/>
      </c>
      <c r="R29" s="24" t="str">
        <f t="shared" si="5"/>
        <v/>
      </c>
      <c r="S29" s="24" t="str">
        <f t="shared" si="5"/>
        <v/>
      </c>
    </row>
    <row r="30" spans="1:19">
      <c r="A30" s="17" t="s">
        <v>89</v>
      </c>
      <c r="B30" s="18" t="s">
        <v>90</v>
      </c>
      <c r="C30" s="19" t="s">
        <v>85</v>
      </c>
      <c r="D30" s="17" t="s">
        <v>28</v>
      </c>
      <c r="E30" s="17">
        <v>25</v>
      </c>
      <c r="F30" s="17">
        <v>5</v>
      </c>
      <c r="G30" s="20">
        <f>WORKDAY($C$2,E30)</f>
        <v>46335</v>
      </c>
      <c r="H30" s="20">
        <f>WORKDAY(G30,F30-1)</f>
        <v>46339</v>
      </c>
      <c r="I30" s="19" t="s">
        <v>83</v>
      </c>
      <c r="J30" s="21" t="s">
        <v>29</v>
      </c>
      <c r="K30" s="22">
        <v>0</v>
      </c>
      <c r="L30" s="17"/>
      <c r="M30" s="17"/>
      <c r="N30" s="17"/>
      <c r="O30" s="17"/>
      <c r="P30" s="17"/>
      <c r="Q30" s="17"/>
      <c r="R30" s="17"/>
      <c r="S30" s="17"/>
    </row>
    <row r="31" spans="1:19" ht="15.75">
      <c r="A31" s="17" t="s">
        <v>91</v>
      </c>
      <c r="B31" s="23" t="s">
        <v>92</v>
      </c>
      <c r="C31" s="19" t="s">
        <v>79</v>
      </c>
      <c r="D31" s="17" t="s">
        <v>37</v>
      </c>
      <c r="E31" s="17">
        <v>29</v>
      </c>
      <c r="F31" s="17">
        <v>0</v>
      </c>
      <c r="G31" s="20">
        <f>WORKDAY($C$2,E31)</f>
        <v>46339</v>
      </c>
      <c r="H31" s="20">
        <f>G31</f>
        <v>46339</v>
      </c>
      <c r="I31" s="19" t="s">
        <v>89</v>
      </c>
      <c r="J31" s="21" t="s">
        <v>29</v>
      </c>
      <c r="K31" s="22">
        <v>0</v>
      </c>
      <c r="L31" s="24" t="str">
        <f t="shared" ref="L31:S31" si="6">IF(AND($G31&gt;=L$5,$G31&lt;=L$5+4),"◆","")</f>
        <v/>
      </c>
      <c r="M31" s="24" t="str">
        <f t="shared" si="6"/>
        <v/>
      </c>
      <c r="N31" s="24" t="str">
        <f t="shared" si="6"/>
        <v/>
      </c>
      <c r="O31" s="24" t="str">
        <f t="shared" si="6"/>
        <v/>
      </c>
      <c r="P31" s="24" t="str">
        <f t="shared" si="6"/>
        <v/>
      </c>
      <c r="Q31" s="24" t="str">
        <f t="shared" si="6"/>
        <v>◆</v>
      </c>
      <c r="R31" s="24" t="str">
        <f t="shared" si="6"/>
        <v/>
      </c>
      <c r="S31" s="24" t="str">
        <f t="shared" si="6"/>
        <v/>
      </c>
    </row>
    <row r="32" spans="1:19">
      <c r="A32" s="35" t="s">
        <v>93</v>
      </c>
      <c r="B32" s="36" t="s">
        <v>94</v>
      </c>
      <c r="C32" s="37"/>
      <c r="D32" s="35" t="s">
        <v>24</v>
      </c>
      <c r="E32" s="35">
        <f>MIN(E33:E38)</f>
        <v>5</v>
      </c>
      <c r="F32" s="35">
        <f>NETWORKDAYS(G32,H32)</f>
        <v>20</v>
      </c>
      <c r="G32" s="38">
        <f>MIN(G33:G38)</f>
        <v>46307</v>
      </c>
      <c r="H32" s="38">
        <f>MAX(H33:H38)</f>
        <v>46332</v>
      </c>
      <c r="I32" s="37"/>
      <c r="J32" s="35"/>
      <c r="K32" s="39">
        <f>IF(SUMIF(D33:D38,"Task",F33:F38)=0,0,SUMPRODUCT((D33:D38="Task")*F33:F38*K33:K38)/SUMIF(D33:D38,"Task",F33:F38))</f>
        <v>0</v>
      </c>
      <c r="L32" s="16"/>
      <c r="M32" s="16"/>
      <c r="N32" s="16"/>
      <c r="O32" s="16"/>
      <c r="P32" s="16"/>
      <c r="Q32" s="16"/>
      <c r="R32" s="16"/>
      <c r="S32" s="16"/>
    </row>
    <row r="33" spans="1:19" ht="25.5">
      <c r="A33" s="17" t="s">
        <v>95</v>
      </c>
      <c r="B33" s="18" t="s">
        <v>96</v>
      </c>
      <c r="C33" s="19" t="s">
        <v>62</v>
      </c>
      <c r="D33" s="17" t="s">
        <v>28</v>
      </c>
      <c r="E33" s="17">
        <v>5</v>
      </c>
      <c r="F33" s="17">
        <v>7</v>
      </c>
      <c r="G33" s="20">
        <f>WORKDAY($C$2,E33)</f>
        <v>46307</v>
      </c>
      <c r="H33" s="20">
        <f>WORKDAY(G33,F33-1)</f>
        <v>46315</v>
      </c>
      <c r="I33" s="19" t="s">
        <v>40</v>
      </c>
      <c r="J33" s="21" t="s">
        <v>29</v>
      </c>
      <c r="K33" s="22">
        <v>0</v>
      </c>
      <c r="L33" s="17"/>
      <c r="M33" s="17"/>
      <c r="N33" s="17"/>
      <c r="O33" s="17"/>
      <c r="P33" s="17"/>
      <c r="Q33" s="17"/>
      <c r="R33" s="17"/>
      <c r="S33" s="17"/>
    </row>
    <row r="34" spans="1:19">
      <c r="A34" s="17" t="s">
        <v>97</v>
      </c>
      <c r="B34" s="18" t="s">
        <v>98</v>
      </c>
      <c r="C34" s="19" t="s">
        <v>99</v>
      </c>
      <c r="D34" s="17" t="s">
        <v>28</v>
      </c>
      <c r="E34" s="17">
        <v>7</v>
      </c>
      <c r="F34" s="17">
        <v>8</v>
      </c>
      <c r="G34" s="20">
        <f>WORKDAY($C$2,E34)</f>
        <v>46309</v>
      </c>
      <c r="H34" s="20">
        <f>WORKDAY(G34,F34-1)</f>
        <v>46318</v>
      </c>
      <c r="I34" s="19" t="s">
        <v>43</v>
      </c>
      <c r="J34" s="21" t="s">
        <v>29</v>
      </c>
      <c r="K34" s="22">
        <v>0</v>
      </c>
      <c r="L34" s="17"/>
      <c r="M34" s="17"/>
      <c r="N34" s="17"/>
      <c r="O34" s="17"/>
      <c r="P34" s="17"/>
      <c r="Q34" s="17"/>
      <c r="R34" s="17"/>
      <c r="S34" s="17"/>
    </row>
    <row r="35" spans="1:19">
      <c r="A35" s="17" t="s">
        <v>100</v>
      </c>
      <c r="B35" s="18" t="s">
        <v>101</v>
      </c>
      <c r="C35" s="19" t="s">
        <v>99</v>
      </c>
      <c r="D35" s="17" t="s">
        <v>28</v>
      </c>
      <c r="E35" s="17">
        <v>12</v>
      </c>
      <c r="F35" s="17">
        <v>8</v>
      </c>
      <c r="G35" s="20">
        <f>WORKDAY($C$2,E35)</f>
        <v>46316</v>
      </c>
      <c r="H35" s="20">
        <f>WORKDAY(G35,F35-1)</f>
        <v>46325</v>
      </c>
      <c r="I35" s="19" t="s">
        <v>51</v>
      </c>
      <c r="J35" s="21" t="s">
        <v>29</v>
      </c>
      <c r="K35" s="22">
        <v>0</v>
      </c>
      <c r="L35" s="17"/>
      <c r="M35" s="17"/>
      <c r="N35" s="17"/>
      <c r="O35" s="17"/>
      <c r="P35" s="17"/>
      <c r="Q35" s="17"/>
      <c r="R35" s="17"/>
      <c r="S35" s="17"/>
    </row>
    <row r="36" spans="1:19">
      <c r="A36" s="17" t="s">
        <v>102</v>
      </c>
      <c r="B36" s="18" t="s">
        <v>103</v>
      </c>
      <c r="C36" s="19" t="s">
        <v>99</v>
      </c>
      <c r="D36" s="17" t="s">
        <v>28</v>
      </c>
      <c r="E36" s="17">
        <v>17</v>
      </c>
      <c r="F36" s="17">
        <v>8</v>
      </c>
      <c r="G36" s="20">
        <f>WORKDAY($C$2,E36)</f>
        <v>46323</v>
      </c>
      <c r="H36" s="20">
        <f>WORKDAY(G36,F36-1)</f>
        <v>46332</v>
      </c>
      <c r="I36" s="19" t="s">
        <v>57</v>
      </c>
      <c r="J36" s="21" t="s">
        <v>29</v>
      </c>
      <c r="K36" s="22">
        <v>0</v>
      </c>
      <c r="L36" s="17"/>
      <c r="M36" s="17"/>
      <c r="N36" s="17"/>
      <c r="O36" s="17"/>
      <c r="P36" s="17"/>
      <c r="Q36" s="17"/>
      <c r="R36" s="17"/>
      <c r="S36" s="17"/>
    </row>
    <row r="37" spans="1:19">
      <c r="A37" s="17" t="s">
        <v>104</v>
      </c>
      <c r="B37" s="18" t="s">
        <v>105</v>
      </c>
      <c r="C37" s="19" t="s">
        <v>48</v>
      </c>
      <c r="D37" s="17" t="s">
        <v>28</v>
      </c>
      <c r="E37" s="17">
        <v>12</v>
      </c>
      <c r="F37" s="17">
        <v>13</v>
      </c>
      <c r="G37" s="20">
        <f>WORKDAY($C$2,E37)</f>
        <v>46316</v>
      </c>
      <c r="H37" s="20">
        <f>WORKDAY(G37,F37-1)</f>
        <v>46332</v>
      </c>
      <c r="I37" s="19" t="s">
        <v>97</v>
      </c>
      <c r="J37" s="21" t="s">
        <v>29</v>
      </c>
      <c r="K37" s="22">
        <v>0</v>
      </c>
      <c r="L37" s="17"/>
      <c r="M37" s="17"/>
      <c r="N37" s="17"/>
      <c r="O37" s="17"/>
      <c r="P37" s="17"/>
      <c r="Q37" s="17"/>
      <c r="R37" s="17"/>
      <c r="S37" s="17"/>
    </row>
    <row r="38" spans="1:19" ht="15.75">
      <c r="A38" s="17" t="s">
        <v>106</v>
      </c>
      <c r="B38" s="23" t="s">
        <v>107</v>
      </c>
      <c r="C38" s="19" t="s">
        <v>108</v>
      </c>
      <c r="D38" s="17" t="s">
        <v>37</v>
      </c>
      <c r="E38" s="17">
        <v>24</v>
      </c>
      <c r="F38" s="17">
        <v>0</v>
      </c>
      <c r="G38" s="20">
        <f>WORKDAY($C$2,E38)</f>
        <v>46332</v>
      </c>
      <c r="H38" s="20">
        <f>G38</f>
        <v>46332</v>
      </c>
      <c r="I38" s="19" t="s">
        <v>109</v>
      </c>
      <c r="J38" s="21" t="s">
        <v>29</v>
      </c>
      <c r="K38" s="22">
        <v>0</v>
      </c>
      <c r="L38" s="24" t="str">
        <f t="shared" ref="L38:S38" si="7">IF(AND($G38&gt;=L$5,$G38&lt;=L$5+4),"◆","")</f>
        <v/>
      </c>
      <c r="M38" s="24" t="str">
        <f t="shared" si="7"/>
        <v/>
      </c>
      <c r="N38" s="24" t="str">
        <f t="shared" si="7"/>
        <v/>
      </c>
      <c r="O38" s="24" t="str">
        <f t="shared" si="7"/>
        <v/>
      </c>
      <c r="P38" s="24" t="str">
        <f t="shared" si="7"/>
        <v>◆</v>
      </c>
      <c r="Q38" s="24" t="str">
        <f t="shared" si="7"/>
        <v/>
      </c>
      <c r="R38" s="24" t="str">
        <f t="shared" si="7"/>
        <v/>
      </c>
      <c r="S38" s="24" t="str">
        <f t="shared" si="7"/>
        <v/>
      </c>
    </row>
    <row r="39" spans="1:19">
      <c r="A39" s="40" t="s">
        <v>110</v>
      </c>
      <c r="B39" s="41" t="s">
        <v>111</v>
      </c>
      <c r="C39" s="42"/>
      <c r="D39" s="40" t="s">
        <v>24</v>
      </c>
      <c r="E39" s="40">
        <f>MIN(E40:E48)</f>
        <v>5</v>
      </c>
      <c r="F39" s="40">
        <f>NETWORKDAYS(G39,H39)</f>
        <v>25</v>
      </c>
      <c r="G39" s="43">
        <f>MIN(G40:G48)</f>
        <v>46307</v>
      </c>
      <c r="H39" s="43">
        <f>MAX(H40:H48)</f>
        <v>46339</v>
      </c>
      <c r="I39" s="42"/>
      <c r="J39" s="40"/>
      <c r="K39" s="44">
        <f>IF(SUMIF(D40:D48,"Task",F40:F48)=0,0,SUMPRODUCT((D40:D48="Task")*F40:F48*K40:K48)/SUMIF(D40:D48,"Task",F40:F48))</f>
        <v>0</v>
      </c>
      <c r="L39" s="16"/>
      <c r="M39" s="16"/>
      <c r="N39" s="16"/>
      <c r="O39" s="16"/>
      <c r="P39" s="16"/>
      <c r="Q39" s="16"/>
      <c r="R39" s="16"/>
      <c r="S39" s="16"/>
    </row>
    <row r="40" spans="1:19" ht="25.5">
      <c r="A40" s="17" t="s">
        <v>112</v>
      </c>
      <c r="B40" s="18" t="s">
        <v>113</v>
      </c>
      <c r="C40" s="19" t="s">
        <v>32</v>
      </c>
      <c r="D40" s="17" t="s">
        <v>28</v>
      </c>
      <c r="E40" s="17">
        <v>5</v>
      </c>
      <c r="F40" s="17">
        <v>10</v>
      </c>
      <c r="G40" s="20">
        <f>WORKDAY($C$2,E40)</f>
        <v>46307</v>
      </c>
      <c r="H40" s="20">
        <f t="shared" ref="H40:H47" si="8">WORKDAY(G40,F40-1)</f>
        <v>46318</v>
      </c>
      <c r="I40" s="19" t="s">
        <v>30</v>
      </c>
      <c r="J40" s="21" t="s">
        <v>29</v>
      </c>
      <c r="K40" s="22">
        <v>0</v>
      </c>
      <c r="L40" s="17"/>
      <c r="M40" s="17"/>
      <c r="N40" s="17"/>
      <c r="O40" s="17"/>
      <c r="P40" s="17"/>
      <c r="Q40" s="17"/>
      <c r="R40" s="17"/>
      <c r="S40" s="17"/>
    </row>
    <row r="41" spans="1:19">
      <c r="A41" s="17" t="s">
        <v>114</v>
      </c>
      <c r="B41" s="18" t="s">
        <v>115</v>
      </c>
      <c r="C41" s="19" t="s">
        <v>116</v>
      </c>
      <c r="D41" s="17" t="s">
        <v>28</v>
      </c>
      <c r="E41" s="17">
        <v>12</v>
      </c>
      <c r="F41" s="17">
        <v>8</v>
      </c>
      <c r="G41" s="20">
        <f>WORKDAY($C$2,E41)</f>
        <v>46316</v>
      </c>
      <c r="H41" s="20">
        <f t="shared" si="8"/>
        <v>46325</v>
      </c>
      <c r="I41" s="19" t="s">
        <v>117</v>
      </c>
      <c r="J41" s="21" t="s">
        <v>29</v>
      </c>
      <c r="K41" s="22">
        <v>0</v>
      </c>
      <c r="L41" s="17"/>
      <c r="M41" s="17"/>
      <c r="N41" s="17"/>
      <c r="O41" s="17"/>
      <c r="P41" s="17"/>
      <c r="Q41" s="17"/>
      <c r="R41" s="17"/>
      <c r="S41" s="17"/>
    </row>
    <row r="42" spans="1:19">
      <c r="A42" s="17" t="s">
        <v>118</v>
      </c>
      <c r="B42" s="18" t="s">
        <v>119</v>
      </c>
      <c r="C42" s="19" t="s">
        <v>116</v>
      </c>
      <c r="D42" s="17" t="s">
        <v>28</v>
      </c>
      <c r="E42" s="17">
        <v>15</v>
      </c>
      <c r="F42" s="17">
        <v>5</v>
      </c>
      <c r="G42" s="20">
        <f>WORKDAY($C$2,E42)</f>
        <v>46321</v>
      </c>
      <c r="H42" s="20">
        <f t="shared" si="8"/>
        <v>46325</v>
      </c>
      <c r="I42" s="19" t="s">
        <v>114</v>
      </c>
      <c r="J42" s="21" t="s">
        <v>29</v>
      </c>
      <c r="K42" s="22">
        <v>0</v>
      </c>
      <c r="L42" s="17"/>
      <c r="M42" s="17"/>
      <c r="N42" s="17"/>
      <c r="O42" s="17"/>
      <c r="P42" s="17"/>
      <c r="Q42" s="17"/>
      <c r="R42" s="17"/>
      <c r="S42" s="17"/>
    </row>
    <row r="43" spans="1:19">
      <c r="A43" s="17" t="s">
        <v>120</v>
      </c>
      <c r="B43" s="18" t="s">
        <v>121</v>
      </c>
      <c r="C43" s="19" t="s">
        <v>116</v>
      </c>
      <c r="D43" s="17" t="s">
        <v>28</v>
      </c>
      <c r="E43" s="17">
        <v>17</v>
      </c>
      <c r="F43" s="17">
        <v>8</v>
      </c>
      <c r="G43" s="20">
        <f>WORKDAY($C$2,E43)</f>
        <v>46323</v>
      </c>
      <c r="H43" s="20">
        <f t="shared" si="8"/>
        <v>46332</v>
      </c>
      <c r="I43" s="19" t="s">
        <v>100</v>
      </c>
      <c r="J43" s="21" t="s">
        <v>29</v>
      </c>
      <c r="K43" s="22">
        <v>0</v>
      </c>
      <c r="L43" s="17"/>
      <c r="M43" s="17"/>
      <c r="N43" s="17"/>
      <c r="O43" s="17"/>
      <c r="P43" s="17"/>
      <c r="Q43" s="17"/>
      <c r="R43" s="17"/>
      <c r="S43" s="17"/>
    </row>
    <row r="44" spans="1:19">
      <c r="A44" s="17" t="s">
        <v>122</v>
      </c>
      <c r="B44" s="18" t="s">
        <v>123</v>
      </c>
      <c r="C44" s="19" t="s">
        <v>116</v>
      </c>
      <c r="D44" s="17" t="s">
        <v>28</v>
      </c>
      <c r="E44" s="17">
        <v>20</v>
      </c>
      <c r="F44" s="17">
        <v>5</v>
      </c>
      <c r="G44" s="20">
        <f>WORKDAY($C$2,E44)</f>
        <v>46328</v>
      </c>
      <c r="H44" s="20">
        <f t="shared" si="8"/>
        <v>46332</v>
      </c>
      <c r="I44" s="19" t="s">
        <v>120</v>
      </c>
      <c r="J44" s="21" t="s">
        <v>29</v>
      </c>
      <c r="K44" s="22">
        <v>0</v>
      </c>
      <c r="L44" s="17"/>
      <c r="M44" s="17"/>
      <c r="N44" s="17"/>
      <c r="O44" s="17"/>
      <c r="P44" s="17"/>
      <c r="Q44" s="17"/>
      <c r="R44" s="17"/>
      <c r="S44" s="17"/>
    </row>
    <row r="45" spans="1:19">
      <c r="A45" s="17" t="s">
        <v>124</v>
      </c>
      <c r="B45" s="18" t="s">
        <v>125</v>
      </c>
      <c r="C45" s="19" t="s">
        <v>116</v>
      </c>
      <c r="D45" s="17" t="s">
        <v>28</v>
      </c>
      <c r="E45" s="17">
        <v>22</v>
      </c>
      <c r="F45" s="17">
        <v>8</v>
      </c>
      <c r="G45" s="20">
        <f>WORKDAY($C$2,E45)</f>
        <v>46330</v>
      </c>
      <c r="H45" s="20">
        <f t="shared" si="8"/>
        <v>46339</v>
      </c>
      <c r="I45" s="19" t="s">
        <v>126</v>
      </c>
      <c r="J45" s="21" t="s">
        <v>29</v>
      </c>
      <c r="K45" s="22">
        <v>0</v>
      </c>
      <c r="L45" s="17"/>
      <c r="M45" s="17"/>
      <c r="N45" s="17"/>
      <c r="O45" s="17"/>
      <c r="P45" s="17"/>
      <c r="Q45" s="17"/>
      <c r="R45" s="17"/>
      <c r="S45" s="17"/>
    </row>
    <row r="46" spans="1:19">
      <c r="A46" s="17" t="s">
        <v>127</v>
      </c>
      <c r="B46" s="18" t="s">
        <v>128</v>
      </c>
      <c r="C46" s="19" t="s">
        <v>116</v>
      </c>
      <c r="D46" s="17" t="s">
        <v>28</v>
      </c>
      <c r="E46" s="17">
        <v>25</v>
      </c>
      <c r="F46" s="17">
        <v>5</v>
      </c>
      <c r="G46" s="20">
        <f>WORKDAY($C$2,E46)</f>
        <v>46335</v>
      </c>
      <c r="H46" s="20">
        <f t="shared" si="8"/>
        <v>46339</v>
      </c>
      <c r="I46" s="19" t="s">
        <v>124</v>
      </c>
      <c r="J46" s="21" t="s">
        <v>29</v>
      </c>
      <c r="K46" s="22">
        <v>0</v>
      </c>
      <c r="L46" s="17"/>
      <c r="M46" s="17"/>
      <c r="N46" s="17"/>
      <c r="O46" s="17"/>
      <c r="P46" s="17"/>
      <c r="Q46" s="17"/>
      <c r="R46" s="17"/>
      <c r="S46" s="17"/>
    </row>
    <row r="47" spans="1:19">
      <c r="A47" s="17" t="s">
        <v>129</v>
      </c>
      <c r="B47" s="18" t="s">
        <v>130</v>
      </c>
      <c r="C47" s="19" t="s">
        <v>116</v>
      </c>
      <c r="D47" s="17" t="s">
        <v>28</v>
      </c>
      <c r="E47" s="17">
        <v>20</v>
      </c>
      <c r="F47" s="17">
        <v>10</v>
      </c>
      <c r="G47" s="20">
        <f>WORKDAY($C$2,E47)</f>
        <v>46328</v>
      </c>
      <c r="H47" s="20">
        <f t="shared" si="8"/>
        <v>46339</v>
      </c>
      <c r="I47" s="19" t="s">
        <v>114</v>
      </c>
      <c r="J47" s="21" t="s">
        <v>29</v>
      </c>
      <c r="K47" s="22">
        <v>0</v>
      </c>
      <c r="L47" s="17"/>
      <c r="M47" s="17"/>
      <c r="N47" s="17"/>
      <c r="O47" s="17"/>
      <c r="P47" s="17"/>
      <c r="Q47" s="17"/>
      <c r="R47" s="17"/>
      <c r="S47" s="17"/>
    </row>
    <row r="48" spans="1:19" ht="15.75">
      <c r="A48" s="17" t="s">
        <v>131</v>
      </c>
      <c r="B48" s="23" t="s">
        <v>132</v>
      </c>
      <c r="C48" s="19" t="s">
        <v>133</v>
      </c>
      <c r="D48" s="17" t="s">
        <v>37</v>
      </c>
      <c r="E48" s="17">
        <v>29</v>
      </c>
      <c r="F48" s="17">
        <v>0</v>
      </c>
      <c r="G48" s="20">
        <f>WORKDAY($C$2,E48)</f>
        <v>46339</v>
      </c>
      <c r="H48" s="20">
        <f>G48</f>
        <v>46339</v>
      </c>
      <c r="I48" s="19" t="s">
        <v>134</v>
      </c>
      <c r="J48" s="21" t="s">
        <v>29</v>
      </c>
      <c r="K48" s="22">
        <v>0</v>
      </c>
      <c r="L48" s="24" t="str">
        <f t="shared" ref="L48:S48" si="9">IF(AND($G48&gt;=L$5,$G48&lt;=L$5+4),"◆","")</f>
        <v/>
      </c>
      <c r="M48" s="24" t="str">
        <f t="shared" si="9"/>
        <v/>
      </c>
      <c r="N48" s="24" t="str">
        <f t="shared" si="9"/>
        <v/>
      </c>
      <c r="O48" s="24" t="str">
        <f t="shared" si="9"/>
        <v/>
      </c>
      <c r="P48" s="24" t="str">
        <f t="shared" si="9"/>
        <v/>
      </c>
      <c r="Q48" s="24" t="str">
        <f t="shared" si="9"/>
        <v>◆</v>
      </c>
      <c r="R48" s="24" t="str">
        <f t="shared" si="9"/>
        <v/>
      </c>
      <c r="S48" s="24" t="str">
        <f t="shared" si="9"/>
        <v/>
      </c>
    </row>
    <row r="49" spans="1:19">
      <c r="A49" s="45" t="s">
        <v>135</v>
      </c>
      <c r="B49" s="46" t="s">
        <v>136</v>
      </c>
      <c r="C49" s="47"/>
      <c r="D49" s="45" t="s">
        <v>24</v>
      </c>
      <c r="E49" s="45">
        <f>MIN(E50:E56)</f>
        <v>15</v>
      </c>
      <c r="F49" s="45">
        <f>NETWORKDAYS(G49,H49)</f>
        <v>20</v>
      </c>
      <c r="G49" s="48">
        <f>MIN(G50:G56)</f>
        <v>46321</v>
      </c>
      <c r="H49" s="48">
        <f>MAX(H50:H56)</f>
        <v>46346</v>
      </c>
      <c r="I49" s="47"/>
      <c r="J49" s="45"/>
      <c r="K49" s="49">
        <f>IF(SUMIF(D50:D56,"Task",F50:F56)=0,0,SUMPRODUCT((D50:D56="Task")*F50:F56*K50:K56)/SUMIF(D50:D56,"Task",F50:F56))</f>
        <v>0</v>
      </c>
      <c r="L49" s="16"/>
      <c r="M49" s="16"/>
      <c r="N49" s="16"/>
      <c r="O49" s="16"/>
      <c r="P49" s="16"/>
      <c r="Q49" s="16"/>
      <c r="R49" s="16"/>
      <c r="S49" s="16"/>
    </row>
    <row r="50" spans="1:19">
      <c r="A50" s="17" t="s">
        <v>137</v>
      </c>
      <c r="B50" s="18" t="s">
        <v>138</v>
      </c>
      <c r="C50" s="19" t="s">
        <v>116</v>
      </c>
      <c r="D50" s="17" t="s">
        <v>28</v>
      </c>
      <c r="E50" s="17">
        <v>15</v>
      </c>
      <c r="F50" s="17">
        <v>15</v>
      </c>
      <c r="G50" s="20">
        <f>WORKDAY($C$2,E50)</f>
        <v>46321</v>
      </c>
      <c r="H50" s="20">
        <f t="shared" ref="H50:H55" si="10">WORKDAY(G50,F50-1)</f>
        <v>46339</v>
      </c>
      <c r="I50" s="19" t="s">
        <v>114</v>
      </c>
      <c r="J50" s="21" t="s">
        <v>29</v>
      </c>
      <c r="K50" s="22">
        <v>0</v>
      </c>
      <c r="L50" s="17"/>
      <c r="M50" s="17"/>
      <c r="N50" s="17"/>
      <c r="O50" s="17"/>
      <c r="P50" s="17"/>
      <c r="Q50" s="17"/>
      <c r="R50" s="17"/>
      <c r="S50" s="17"/>
    </row>
    <row r="51" spans="1:19">
      <c r="A51" s="17" t="s">
        <v>139</v>
      </c>
      <c r="B51" s="18" t="s">
        <v>140</v>
      </c>
      <c r="C51" s="19" t="s">
        <v>141</v>
      </c>
      <c r="D51" s="17" t="s">
        <v>28</v>
      </c>
      <c r="E51" s="17">
        <v>20</v>
      </c>
      <c r="F51" s="17">
        <v>5</v>
      </c>
      <c r="G51" s="20">
        <f>WORKDAY($C$2,E51)</f>
        <v>46328</v>
      </c>
      <c r="H51" s="20">
        <f t="shared" si="10"/>
        <v>46332</v>
      </c>
      <c r="I51" s="19" t="s">
        <v>118</v>
      </c>
      <c r="J51" s="21" t="s">
        <v>29</v>
      </c>
      <c r="K51" s="22">
        <v>0</v>
      </c>
      <c r="L51" s="17"/>
      <c r="M51" s="17"/>
      <c r="N51" s="17"/>
      <c r="O51" s="17"/>
      <c r="P51" s="17"/>
      <c r="Q51" s="17"/>
      <c r="R51" s="17"/>
      <c r="S51" s="17"/>
    </row>
    <row r="52" spans="1:19">
      <c r="A52" s="17" t="s">
        <v>142</v>
      </c>
      <c r="B52" s="18" t="s">
        <v>143</v>
      </c>
      <c r="C52" s="19" t="s">
        <v>141</v>
      </c>
      <c r="D52" s="17" t="s">
        <v>28</v>
      </c>
      <c r="E52" s="17">
        <v>25</v>
      </c>
      <c r="F52" s="17">
        <v>8</v>
      </c>
      <c r="G52" s="20">
        <f>WORKDAY($C$2,E52)</f>
        <v>46335</v>
      </c>
      <c r="H52" s="20">
        <f t="shared" si="10"/>
        <v>46344</v>
      </c>
      <c r="I52" s="19" t="s">
        <v>144</v>
      </c>
      <c r="J52" s="21" t="s">
        <v>29</v>
      </c>
      <c r="K52" s="22">
        <v>0</v>
      </c>
      <c r="L52" s="17"/>
      <c r="M52" s="17"/>
      <c r="N52" s="17"/>
      <c r="O52" s="17"/>
      <c r="P52" s="17"/>
      <c r="Q52" s="17"/>
      <c r="R52" s="17"/>
      <c r="S52" s="17"/>
    </row>
    <row r="53" spans="1:19">
      <c r="A53" s="17" t="s">
        <v>145</v>
      </c>
      <c r="B53" s="18" t="s">
        <v>146</v>
      </c>
      <c r="C53" s="19" t="s">
        <v>147</v>
      </c>
      <c r="D53" s="17" t="s">
        <v>28</v>
      </c>
      <c r="E53" s="17">
        <v>22</v>
      </c>
      <c r="F53" s="17">
        <v>11</v>
      </c>
      <c r="G53" s="20">
        <f>WORKDAY($C$2,E53)</f>
        <v>46330</v>
      </c>
      <c r="H53" s="20">
        <f t="shared" si="10"/>
        <v>46344</v>
      </c>
      <c r="I53" s="19" t="s">
        <v>139</v>
      </c>
      <c r="J53" s="21" t="s">
        <v>29</v>
      </c>
      <c r="K53" s="22">
        <v>0</v>
      </c>
      <c r="L53" s="17"/>
      <c r="M53" s="17"/>
      <c r="N53" s="17"/>
      <c r="O53" s="17"/>
      <c r="P53" s="17"/>
      <c r="Q53" s="17"/>
      <c r="R53" s="17"/>
      <c r="S53" s="17"/>
    </row>
    <row r="54" spans="1:19">
      <c r="A54" s="17" t="s">
        <v>148</v>
      </c>
      <c r="B54" s="18" t="s">
        <v>149</v>
      </c>
      <c r="C54" s="19" t="s">
        <v>150</v>
      </c>
      <c r="D54" s="17" t="s">
        <v>28</v>
      </c>
      <c r="E54" s="17">
        <v>28</v>
      </c>
      <c r="F54" s="17">
        <v>5</v>
      </c>
      <c r="G54" s="20">
        <f>WORKDAY($C$2,E54)</f>
        <v>46338</v>
      </c>
      <c r="H54" s="20">
        <f t="shared" si="10"/>
        <v>46344</v>
      </c>
      <c r="I54" s="19" t="s">
        <v>129</v>
      </c>
      <c r="J54" s="21" t="s">
        <v>29</v>
      </c>
      <c r="K54" s="22">
        <v>0</v>
      </c>
      <c r="L54" s="17"/>
      <c r="M54" s="17"/>
      <c r="N54" s="17"/>
      <c r="O54" s="17"/>
      <c r="P54" s="17"/>
      <c r="Q54" s="17"/>
      <c r="R54" s="17"/>
      <c r="S54" s="17"/>
    </row>
    <row r="55" spans="1:19">
      <c r="A55" s="17" t="s">
        <v>151</v>
      </c>
      <c r="B55" s="18" t="s">
        <v>152</v>
      </c>
      <c r="C55" s="19" t="s">
        <v>116</v>
      </c>
      <c r="D55" s="17" t="s">
        <v>28</v>
      </c>
      <c r="E55" s="17">
        <v>22</v>
      </c>
      <c r="F55" s="17">
        <v>13</v>
      </c>
      <c r="G55" s="20">
        <f>WORKDAY($C$2,E55)</f>
        <v>46330</v>
      </c>
      <c r="H55" s="20">
        <f t="shared" si="10"/>
        <v>46346</v>
      </c>
      <c r="I55" s="19" t="s">
        <v>139</v>
      </c>
      <c r="J55" s="21" t="s">
        <v>29</v>
      </c>
      <c r="K55" s="22">
        <v>0</v>
      </c>
      <c r="L55" s="17"/>
      <c r="M55" s="17"/>
      <c r="N55" s="17"/>
      <c r="O55" s="17"/>
      <c r="P55" s="17"/>
      <c r="Q55" s="17"/>
      <c r="R55" s="17"/>
      <c r="S55" s="17"/>
    </row>
    <row r="56" spans="1:19" ht="15.75">
      <c r="A56" s="17" t="s">
        <v>153</v>
      </c>
      <c r="B56" s="23" t="s">
        <v>154</v>
      </c>
      <c r="C56" s="19" t="s">
        <v>155</v>
      </c>
      <c r="D56" s="17" t="s">
        <v>37</v>
      </c>
      <c r="E56" s="17">
        <v>32</v>
      </c>
      <c r="F56" s="17">
        <v>0</v>
      </c>
      <c r="G56" s="20">
        <f>WORKDAY($C$2,E56)</f>
        <v>46344</v>
      </c>
      <c r="H56" s="20">
        <f>G56</f>
        <v>46344</v>
      </c>
      <c r="I56" s="19" t="s">
        <v>156</v>
      </c>
      <c r="J56" s="21" t="s">
        <v>29</v>
      </c>
      <c r="K56" s="22">
        <v>0</v>
      </c>
      <c r="L56" s="24" t="str">
        <f t="shared" ref="L56:S56" si="11">IF(AND($G56&gt;=L$5,$G56&lt;=L$5+4),"◆","")</f>
        <v/>
      </c>
      <c r="M56" s="24" t="str">
        <f t="shared" si="11"/>
        <v/>
      </c>
      <c r="N56" s="24" t="str">
        <f t="shared" si="11"/>
        <v/>
      </c>
      <c r="O56" s="24" t="str">
        <f t="shared" si="11"/>
        <v/>
      </c>
      <c r="P56" s="24" t="str">
        <f t="shared" si="11"/>
        <v/>
      </c>
      <c r="Q56" s="24" t="str">
        <f t="shared" si="11"/>
        <v/>
      </c>
      <c r="R56" s="24" t="str">
        <f t="shared" si="11"/>
        <v>◆</v>
      </c>
      <c r="S56" s="24" t="str">
        <f t="shared" si="11"/>
        <v/>
      </c>
    </row>
    <row r="57" spans="1:19">
      <c r="A57" s="50" t="s">
        <v>157</v>
      </c>
      <c r="B57" s="51" t="s">
        <v>158</v>
      </c>
      <c r="C57" s="52"/>
      <c r="D57" s="50" t="s">
        <v>24</v>
      </c>
      <c r="E57" s="50">
        <f>MIN(E58:E62)</f>
        <v>25</v>
      </c>
      <c r="F57" s="50">
        <f>NETWORKDAYS(G57,H57)</f>
        <v>10</v>
      </c>
      <c r="G57" s="53">
        <f>MIN(G58:G62)</f>
        <v>46335</v>
      </c>
      <c r="H57" s="53">
        <f>MAX(H58:H62)</f>
        <v>46346</v>
      </c>
      <c r="I57" s="52"/>
      <c r="J57" s="50"/>
      <c r="K57" s="54">
        <f>IF(SUMIF(D58:D62,"Task",F58:F62)=0,0,SUMPRODUCT((D58:D62="Task")*F58:F62*K58:K62)/SUMIF(D58:D62,"Task",F58:F62))</f>
        <v>0</v>
      </c>
      <c r="L57" s="16"/>
      <c r="M57" s="16"/>
      <c r="N57" s="16"/>
      <c r="O57" s="16"/>
      <c r="P57" s="16"/>
      <c r="Q57" s="16"/>
      <c r="R57" s="16"/>
      <c r="S57" s="16"/>
    </row>
    <row r="58" spans="1:19">
      <c r="A58" s="17" t="s">
        <v>159</v>
      </c>
      <c r="B58" s="18" t="s">
        <v>160</v>
      </c>
      <c r="C58" s="19" t="s">
        <v>161</v>
      </c>
      <c r="D58" s="17" t="s">
        <v>28</v>
      </c>
      <c r="E58" s="17">
        <v>25</v>
      </c>
      <c r="F58" s="17">
        <v>8</v>
      </c>
      <c r="G58" s="20">
        <f>WORKDAY($C$2,E58)</f>
        <v>46335</v>
      </c>
      <c r="H58" s="20">
        <f>WORKDAY(G58,F58-1)</f>
        <v>46344</v>
      </c>
      <c r="I58" s="19" t="s">
        <v>122</v>
      </c>
      <c r="J58" s="21" t="s">
        <v>29</v>
      </c>
      <c r="K58" s="22">
        <v>0</v>
      </c>
      <c r="L58" s="17"/>
      <c r="M58" s="17"/>
      <c r="N58" s="17"/>
      <c r="O58" s="17"/>
      <c r="P58" s="17"/>
      <c r="Q58" s="17"/>
      <c r="R58" s="17"/>
      <c r="S58" s="17"/>
    </row>
    <row r="59" spans="1:19">
      <c r="A59" s="17" t="s">
        <v>162</v>
      </c>
      <c r="B59" s="18" t="s">
        <v>163</v>
      </c>
      <c r="C59" s="19" t="s">
        <v>48</v>
      </c>
      <c r="D59" s="17" t="s">
        <v>28</v>
      </c>
      <c r="E59" s="17">
        <v>30</v>
      </c>
      <c r="F59" s="17">
        <v>5</v>
      </c>
      <c r="G59" s="20">
        <f>WORKDAY($C$2,E59)</f>
        <v>46342</v>
      </c>
      <c r="H59" s="20">
        <f>WORKDAY(G59,F59-1)</f>
        <v>46346</v>
      </c>
      <c r="I59" s="19" t="s">
        <v>164</v>
      </c>
      <c r="J59" s="21" t="s">
        <v>29</v>
      </c>
      <c r="K59" s="22">
        <v>0</v>
      </c>
      <c r="L59" s="17"/>
      <c r="M59" s="17"/>
      <c r="N59" s="17"/>
      <c r="O59" s="17"/>
      <c r="P59" s="17"/>
      <c r="Q59" s="17"/>
      <c r="R59" s="17"/>
      <c r="S59" s="17"/>
    </row>
    <row r="60" spans="1:19">
      <c r="A60" s="17" t="s">
        <v>165</v>
      </c>
      <c r="B60" s="18" t="s">
        <v>166</v>
      </c>
      <c r="C60" s="19" t="s">
        <v>167</v>
      </c>
      <c r="D60" s="17" t="s">
        <v>28</v>
      </c>
      <c r="E60" s="17">
        <v>30</v>
      </c>
      <c r="F60" s="17">
        <v>5</v>
      </c>
      <c r="G60" s="20">
        <f>WORKDAY($C$2,E60)</f>
        <v>46342</v>
      </c>
      <c r="H60" s="20">
        <f>WORKDAY(G60,F60-1)</f>
        <v>46346</v>
      </c>
      <c r="I60" s="19" t="s">
        <v>159</v>
      </c>
      <c r="J60" s="21" t="s">
        <v>29</v>
      </c>
      <c r="K60" s="22">
        <v>0</v>
      </c>
      <c r="L60" s="17"/>
      <c r="M60" s="17"/>
      <c r="N60" s="17"/>
      <c r="O60" s="17"/>
      <c r="P60" s="17"/>
      <c r="Q60" s="17"/>
      <c r="R60" s="17"/>
      <c r="S60" s="17"/>
    </row>
    <row r="61" spans="1:19">
      <c r="A61" s="17" t="s">
        <v>168</v>
      </c>
      <c r="B61" s="18" t="s">
        <v>169</v>
      </c>
      <c r="C61" s="19" t="s">
        <v>116</v>
      </c>
      <c r="D61" s="17" t="s">
        <v>28</v>
      </c>
      <c r="E61" s="17">
        <v>31</v>
      </c>
      <c r="F61" s="17">
        <v>4</v>
      </c>
      <c r="G61" s="20">
        <f>WORKDAY($C$2,E61)</f>
        <v>46343</v>
      </c>
      <c r="H61" s="20">
        <f>WORKDAY(G61,F61-1)</f>
        <v>46346</v>
      </c>
      <c r="I61" s="19" t="s">
        <v>162</v>
      </c>
      <c r="J61" s="21" t="s">
        <v>29</v>
      </c>
      <c r="K61" s="22">
        <v>0</v>
      </c>
      <c r="L61" s="17"/>
      <c r="M61" s="17"/>
      <c r="N61" s="17"/>
      <c r="O61" s="17"/>
      <c r="P61" s="17"/>
      <c r="Q61" s="17"/>
      <c r="R61" s="17"/>
      <c r="S61" s="17"/>
    </row>
    <row r="62" spans="1:19" ht="15.75">
      <c r="A62" s="17" t="s">
        <v>170</v>
      </c>
      <c r="B62" s="23" t="s">
        <v>171</v>
      </c>
      <c r="C62" s="19" t="s">
        <v>48</v>
      </c>
      <c r="D62" s="17" t="s">
        <v>37</v>
      </c>
      <c r="E62" s="17">
        <v>34</v>
      </c>
      <c r="F62" s="17">
        <v>0</v>
      </c>
      <c r="G62" s="20">
        <f>WORKDAY($C$2,E62)</f>
        <v>46346</v>
      </c>
      <c r="H62" s="20">
        <f>G62</f>
        <v>46346</v>
      </c>
      <c r="I62" s="19" t="s">
        <v>172</v>
      </c>
      <c r="J62" s="21" t="s">
        <v>29</v>
      </c>
      <c r="K62" s="22">
        <v>0</v>
      </c>
      <c r="L62" s="24" t="str">
        <f t="shared" ref="L62:S62" si="12">IF(AND($G62&gt;=L$5,$G62&lt;=L$5+4),"◆","")</f>
        <v/>
      </c>
      <c r="M62" s="24" t="str">
        <f t="shared" si="12"/>
        <v/>
      </c>
      <c r="N62" s="24" t="str">
        <f t="shared" si="12"/>
        <v/>
      </c>
      <c r="O62" s="24" t="str">
        <f t="shared" si="12"/>
        <v/>
      </c>
      <c r="P62" s="24" t="str">
        <f t="shared" si="12"/>
        <v/>
      </c>
      <c r="Q62" s="24" t="str">
        <f t="shared" si="12"/>
        <v/>
      </c>
      <c r="R62" s="24" t="str">
        <f t="shared" si="12"/>
        <v>◆</v>
      </c>
      <c r="S62" s="24" t="str">
        <f t="shared" si="12"/>
        <v/>
      </c>
    </row>
    <row r="63" spans="1:19">
      <c r="A63" s="55" t="s">
        <v>173</v>
      </c>
      <c r="B63" s="56" t="s">
        <v>174</v>
      </c>
      <c r="C63" s="57"/>
      <c r="D63" s="55" t="s">
        <v>24</v>
      </c>
      <c r="E63" s="55">
        <f>MIN(E64:E68)</f>
        <v>32</v>
      </c>
      <c r="F63" s="55">
        <f>NETWORKDAYS(G63,H63)</f>
        <v>8</v>
      </c>
      <c r="G63" s="58">
        <f>MIN(G64:G68)</f>
        <v>46344</v>
      </c>
      <c r="H63" s="58">
        <f>MAX(H64:H68)</f>
        <v>46353</v>
      </c>
      <c r="I63" s="57"/>
      <c r="J63" s="55"/>
      <c r="K63" s="59">
        <f>IF(SUMIF(D64:D68,"Task",F64:F68)=0,0,SUMPRODUCT((D64:D68="Task")*F64:F68*K64:K68)/SUMIF(D64:D68,"Task",F64:F68))</f>
        <v>0</v>
      </c>
      <c r="L63" s="16"/>
      <c r="M63" s="16"/>
      <c r="N63" s="16"/>
      <c r="O63" s="16"/>
      <c r="P63" s="16"/>
      <c r="Q63" s="16"/>
      <c r="R63" s="16"/>
      <c r="S63" s="16"/>
    </row>
    <row r="64" spans="1:19">
      <c r="A64" s="17" t="s">
        <v>175</v>
      </c>
      <c r="B64" s="18" t="s">
        <v>176</v>
      </c>
      <c r="C64" s="19" t="s">
        <v>177</v>
      </c>
      <c r="D64" s="17" t="s">
        <v>28</v>
      </c>
      <c r="E64" s="17">
        <v>32</v>
      </c>
      <c r="F64" s="17">
        <v>5</v>
      </c>
      <c r="G64" s="20">
        <f>WORKDAY($C$2,E64)</f>
        <v>46344</v>
      </c>
      <c r="H64" s="20">
        <f>WORKDAY(G64,F64-1)</f>
        <v>46350</v>
      </c>
      <c r="I64" s="19" t="s">
        <v>153</v>
      </c>
      <c r="J64" s="21" t="s">
        <v>29</v>
      </c>
      <c r="K64" s="22">
        <v>0</v>
      </c>
      <c r="L64" s="17"/>
      <c r="M64" s="17"/>
      <c r="N64" s="17"/>
      <c r="O64" s="17"/>
      <c r="P64" s="17"/>
      <c r="Q64" s="17"/>
      <c r="R64" s="17"/>
      <c r="S64" s="17"/>
    </row>
    <row r="65" spans="1:19">
      <c r="A65" s="17" t="s">
        <v>178</v>
      </c>
      <c r="B65" s="18" t="s">
        <v>179</v>
      </c>
      <c r="C65" s="19" t="s">
        <v>32</v>
      </c>
      <c r="D65" s="17" t="s">
        <v>28</v>
      </c>
      <c r="E65" s="17">
        <v>35</v>
      </c>
      <c r="F65" s="17">
        <v>2</v>
      </c>
      <c r="G65" s="20">
        <f>WORKDAY($C$2,E65)</f>
        <v>46349</v>
      </c>
      <c r="H65" s="20">
        <f>WORKDAY(G65,F65-1)</f>
        <v>46350</v>
      </c>
      <c r="I65" s="19" t="s">
        <v>170</v>
      </c>
      <c r="J65" s="21" t="s">
        <v>29</v>
      </c>
      <c r="K65" s="22">
        <v>0</v>
      </c>
      <c r="L65" s="17"/>
      <c r="M65" s="17"/>
      <c r="N65" s="17"/>
      <c r="O65" s="17"/>
      <c r="P65" s="17"/>
      <c r="Q65" s="17"/>
      <c r="R65" s="17"/>
      <c r="S65" s="17"/>
    </row>
    <row r="66" spans="1:19" ht="15.75">
      <c r="A66" s="17" t="s">
        <v>180</v>
      </c>
      <c r="B66" s="23" t="s">
        <v>181</v>
      </c>
      <c r="C66" s="19" t="s">
        <v>27</v>
      </c>
      <c r="D66" s="17" t="s">
        <v>37</v>
      </c>
      <c r="E66" s="17">
        <v>36</v>
      </c>
      <c r="F66" s="17">
        <v>0</v>
      </c>
      <c r="G66" s="20">
        <f>WORKDAY($C$2,E66)</f>
        <v>46350</v>
      </c>
      <c r="H66" s="20">
        <f>G66</f>
        <v>46350</v>
      </c>
      <c r="I66" s="19" t="s">
        <v>178</v>
      </c>
      <c r="J66" s="21" t="s">
        <v>29</v>
      </c>
      <c r="K66" s="22">
        <v>0</v>
      </c>
      <c r="L66" s="24" t="str">
        <f t="shared" ref="L66:S66" si="13">IF(AND($G66&gt;=L$5,$G66&lt;=L$5+4),"◆","")</f>
        <v/>
      </c>
      <c r="M66" s="24" t="str">
        <f t="shared" si="13"/>
        <v/>
      </c>
      <c r="N66" s="24" t="str">
        <f t="shared" si="13"/>
        <v/>
      </c>
      <c r="O66" s="24" t="str">
        <f t="shared" si="13"/>
        <v/>
      </c>
      <c r="P66" s="24" t="str">
        <f t="shared" si="13"/>
        <v/>
      </c>
      <c r="Q66" s="24" t="str">
        <f t="shared" si="13"/>
        <v/>
      </c>
      <c r="R66" s="24" t="str">
        <f t="shared" si="13"/>
        <v/>
      </c>
      <c r="S66" s="24" t="str">
        <f t="shared" si="13"/>
        <v>◆</v>
      </c>
    </row>
    <row r="67" spans="1:19">
      <c r="A67" s="17" t="s">
        <v>182</v>
      </c>
      <c r="B67" s="18" t="s">
        <v>183</v>
      </c>
      <c r="C67" s="19" t="s">
        <v>177</v>
      </c>
      <c r="D67" s="17" t="s">
        <v>28</v>
      </c>
      <c r="E67" s="17">
        <v>36</v>
      </c>
      <c r="F67" s="17">
        <v>4</v>
      </c>
      <c r="G67" s="20">
        <f>WORKDAY($C$2,E67)</f>
        <v>46350</v>
      </c>
      <c r="H67" s="20">
        <f>WORKDAY(G67,F67-1)</f>
        <v>46353</v>
      </c>
      <c r="I67" s="19" t="s">
        <v>180</v>
      </c>
      <c r="J67" s="21" t="s">
        <v>29</v>
      </c>
      <c r="K67" s="22">
        <v>0</v>
      </c>
      <c r="L67" s="17"/>
      <c r="M67" s="17"/>
      <c r="N67" s="17"/>
      <c r="O67" s="17"/>
      <c r="P67" s="17"/>
      <c r="Q67" s="17"/>
      <c r="R67" s="17"/>
      <c r="S67" s="17"/>
    </row>
    <row r="68" spans="1:19" ht="15.75">
      <c r="A68" s="17" t="s">
        <v>184</v>
      </c>
      <c r="B68" s="23" t="s">
        <v>185</v>
      </c>
      <c r="C68" s="19" t="s">
        <v>27</v>
      </c>
      <c r="D68" s="17" t="s">
        <v>37</v>
      </c>
      <c r="E68" s="17">
        <v>39</v>
      </c>
      <c r="F68" s="17">
        <v>0</v>
      </c>
      <c r="G68" s="20">
        <f>WORKDAY($C$2,E68)</f>
        <v>46353</v>
      </c>
      <c r="H68" s="20">
        <f>G68</f>
        <v>46353</v>
      </c>
      <c r="I68" s="19" t="s">
        <v>182</v>
      </c>
      <c r="J68" s="21" t="s">
        <v>29</v>
      </c>
      <c r="K68" s="22">
        <v>0</v>
      </c>
      <c r="L68" s="24" t="str">
        <f t="shared" ref="L68:S68" si="14">IF(AND($G68&gt;=L$5,$G68&lt;=L$5+4),"◆","")</f>
        <v/>
      </c>
      <c r="M68" s="24" t="str">
        <f t="shared" si="14"/>
        <v/>
      </c>
      <c r="N68" s="24" t="str">
        <f t="shared" si="14"/>
        <v/>
      </c>
      <c r="O68" s="24" t="str">
        <f t="shared" si="14"/>
        <v/>
      </c>
      <c r="P68" s="24" t="str">
        <f t="shared" si="14"/>
        <v/>
      </c>
      <c r="Q68" s="24" t="str">
        <f t="shared" si="14"/>
        <v/>
      </c>
      <c r="R68" s="24" t="str">
        <f t="shared" si="14"/>
        <v/>
      </c>
      <c r="S68" s="24" t="str">
        <f t="shared" si="14"/>
        <v>◆</v>
      </c>
    </row>
    <row r="70" spans="1:19">
      <c r="B70" s="60" t="s">
        <v>186</v>
      </c>
    </row>
    <row r="71" spans="1:19">
      <c r="B71" s="1" t="s">
        <v>187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>
      <c r="B72" s="1" t="s">
        <v>188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>
      <c r="B73" s="1" t="s">
        <v>189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>
      <c r="B74" s="1" t="s">
        <v>190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>
      <c r="B75" s="1" t="s">
        <v>191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>
      <c r="B76" s="1" t="s">
        <v>192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</sheetData>
  <mergeCells count="19">
    <mergeCell ref="B76:S76"/>
    <mergeCell ref="B71:S71"/>
    <mergeCell ref="B72:S72"/>
    <mergeCell ref="B73:S73"/>
    <mergeCell ref="B74:S74"/>
    <mergeCell ref="B75:S75"/>
    <mergeCell ref="G4:G5"/>
    <mergeCell ref="H4:H5"/>
    <mergeCell ref="I4:I5"/>
    <mergeCell ref="J4:J5"/>
    <mergeCell ref="K4:K5"/>
    <mergeCell ref="A2:B2"/>
    <mergeCell ref="E2:F2"/>
    <mergeCell ref="A4:A5"/>
    <mergeCell ref="B4:B5"/>
    <mergeCell ref="C4:C5"/>
    <mergeCell ref="D4:D5"/>
    <mergeCell ref="E4:E5"/>
    <mergeCell ref="F4:F5"/>
  </mergeCells>
  <conditionalFormatting sqref="L6:S10">
    <cfRule type="expression" dxfId="36" priority="2">
      <formula>AND($D6="Phase",$G6&lt;=L$5+4,$H6&gt;=L$5)</formula>
    </cfRule>
    <cfRule type="expression" dxfId="35" priority="3">
      <formula>AND($D6="Task",$K6&gt;=1,$G6&lt;=L$5+4,$H6&gt;=L$5)</formula>
    </cfRule>
    <cfRule type="expression" dxfId="34" priority="4">
      <formula>AND($D6="Task",$G6&lt;=L$5+4,$H6&gt;=L$5)</formula>
    </cfRule>
    <cfRule type="expression" dxfId="33" priority="5">
      <formula>AND($D6="Task",$G6&lt;=L$5+4,$H6&gt;=L$5)</formula>
    </cfRule>
  </conditionalFormatting>
  <conditionalFormatting sqref="L11:S23">
    <cfRule type="expression" dxfId="32" priority="6">
      <formula>AND($D11="Phase",$G11&lt;=L$5+4,$H11&gt;=L$5)</formula>
    </cfRule>
    <cfRule type="expression" dxfId="31" priority="7">
      <formula>AND($D11="Task",$K11&gt;=1,$G11&lt;=L$5+4,$H11&gt;=L$5)</formula>
    </cfRule>
    <cfRule type="expression" dxfId="30" priority="8">
      <formula>AND($D11="Task",$G11&lt;=L$5+4,$H11&gt;=L$5)</formula>
    </cfRule>
    <cfRule type="expression" dxfId="29" priority="9">
      <formula>AND($D11="Task",$G11&lt;=L$5+4,$H11&gt;=L$5)</formula>
    </cfRule>
  </conditionalFormatting>
  <conditionalFormatting sqref="L24:S31">
    <cfRule type="expression" dxfId="28" priority="10">
      <formula>AND($D24="Phase",$G24&lt;=L$5+4,$H24&gt;=L$5)</formula>
    </cfRule>
    <cfRule type="expression" dxfId="27" priority="11">
      <formula>AND($D24="Task",$K24&gt;=1,$G24&lt;=L$5+4,$H24&gt;=L$5)</formula>
    </cfRule>
    <cfRule type="expression" dxfId="26" priority="12">
      <formula>AND($D24="Task",$G24&lt;=L$5+4,$H24&gt;=L$5)</formula>
    </cfRule>
    <cfRule type="expression" dxfId="25" priority="13">
      <formula>AND($D24="Task",$G24&lt;=L$5+4,$H24&gt;=L$5)</formula>
    </cfRule>
  </conditionalFormatting>
  <conditionalFormatting sqref="L32:S38">
    <cfRule type="expression" dxfId="24" priority="14">
      <formula>AND($D32="Phase",$G32&lt;=L$5+4,$H32&gt;=L$5)</formula>
    </cfRule>
    <cfRule type="expression" dxfId="23" priority="15">
      <formula>AND($D32="Task",$K32&gt;=1,$G32&lt;=L$5+4,$H32&gt;=L$5)</formula>
    </cfRule>
    <cfRule type="expression" dxfId="22" priority="16">
      <formula>AND($D32="Task",$G32&lt;=L$5+4,$H32&gt;=L$5)</formula>
    </cfRule>
    <cfRule type="expression" dxfId="21" priority="17">
      <formula>AND($D32="Task",$G32&lt;=L$5+4,$H32&gt;=L$5)</formula>
    </cfRule>
  </conditionalFormatting>
  <conditionalFormatting sqref="L39:S48">
    <cfRule type="expression" dxfId="20" priority="18">
      <formula>AND($D39="Phase",$G39&lt;=L$5+4,$H39&gt;=L$5)</formula>
    </cfRule>
    <cfRule type="expression" dxfId="19" priority="19">
      <formula>AND($D39="Task",$K39&gt;=1,$G39&lt;=L$5+4,$H39&gt;=L$5)</formula>
    </cfRule>
    <cfRule type="expression" dxfId="18" priority="20">
      <formula>AND($D39="Task",$G39&lt;=L$5+4,$H39&gt;=L$5)</formula>
    </cfRule>
    <cfRule type="expression" dxfId="17" priority="21">
      <formula>AND($D39="Task",$G39&lt;=L$5+4,$H39&gt;=L$5)</formula>
    </cfRule>
  </conditionalFormatting>
  <conditionalFormatting sqref="L49:S56">
    <cfRule type="expression" dxfId="16" priority="22">
      <formula>AND($D49="Phase",$G49&lt;=L$5+4,$H49&gt;=L$5)</formula>
    </cfRule>
    <cfRule type="expression" dxfId="15" priority="23">
      <formula>AND($D49="Task",$K49&gt;=1,$G49&lt;=L$5+4,$H49&gt;=L$5)</formula>
    </cfRule>
    <cfRule type="expression" dxfId="14" priority="24">
      <formula>AND($D49="Task",$G49&lt;=L$5+4,$H49&gt;=L$5)</formula>
    </cfRule>
    <cfRule type="expression" dxfId="13" priority="25">
      <formula>AND($D49="Task",$G49&lt;=L$5+4,$H49&gt;=L$5)</formula>
    </cfRule>
  </conditionalFormatting>
  <conditionalFormatting sqref="L57:S62">
    <cfRule type="expression" dxfId="12" priority="26">
      <formula>AND($D57="Phase",$G57&lt;=L$5+4,$H57&gt;=L$5)</formula>
    </cfRule>
    <cfRule type="expression" dxfId="11" priority="27">
      <formula>AND($D57="Task",$K57&gt;=1,$G57&lt;=L$5+4,$H57&gt;=L$5)</formula>
    </cfRule>
    <cfRule type="expression" dxfId="10" priority="28">
      <formula>AND($D57="Task",$G57&lt;=L$5+4,$H57&gt;=L$5)</formula>
    </cfRule>
    <cfRule type="expression" dxfId="9" priority="29">
      <formula>AND($D57="Task",$G57&lt;=L$5+4,$H57&gt;=L$5)</formula>
    </cfRule>
  </conditionalFormatting>
  <conditionalFormatting sqref="L63:S68">
    <cfRule type="expression" dxfId="8" priority="30">
      <formula>AND($D63="Phase",$G63&lt;=L$5+4,$H63&gt;=L$5)</formula>
    </cfRule>
    <cfRule type="expression" dxfId="7" priority="31">
      <formula>AND($D63="Task",$K63&gt;=1,$G63&lt;=L$5+4,$H63&gt;=L$5)</formula>
    </cfRule>
    <cfRule type="expression" dxfId="6" priority="32">
      <formula>AND($D63="Task",$G63&lt;=L$5+4,$H63&gt;=L$5)</formula>
    </cfRule>
    <cfRule type="expression" dxfId="5" priority="33">
      <formula>AND($D63="Task",$G63&lt;=L$5+4,$H63&gt;=L$5)</formula>
    </cfRule>
  </conditionalFormatting>
  <conditionalFormatting sqref="L4:S5">
    <cfRule type="expression" dxfId="4" priority="34">
      <formula>AND(TODAY()&gt;=L$5,TODAY()&lt;=L$5+6)</formula>
    </cfRule>
  </conditionalFormatting>
  <conditionalFormatting sqref="J6:J68">
    <cfRule type="cellIs" dxfId="3" priority="35" operator="equal">
      <formula>"Done"</formula>
    </cfRule>
    <cfRule type="cellIs" dxfId="2" priority="36" operator="equal">
      <formula>"In progress"</formula>
    </cfRule>
    <cfRule type="cellIs" dxfId="1" priority="37" operator="equal">
      <formula>"At risk"</formula>
    </cfRule>
    <cfRule type="cellIs" dxfId="0" priority="38" operator="equal">
      <formula>"Blocked"</formula>
    </cfRule>
  </conditionalFormatting>
  <dataValidations count="2">
    <dataValidation type="list" allowBlank="1" sqref="J7:J10 J12:J23 J25:J31 J33:J38 J40:J48 J50:J56 J58:J62 J64:J68">
      <formula1>"Not started,In progress,At risk,Blocked,Done"</formula1>
      <formula2>0</formula2>
    </dataValidation>
    <dataValidation type="decimal" sqref="K7:K10 K12:K23 K25:K31 K33:K38 K40:K48 K50:K56 K58:K62 K64:K68">
      <formula1>0</formula1>
      <formula2>1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showGridLines="0" workbookViewId="0">
      <pane ySplit="3" topLeftCell="A4" activePane="bottomLeft" state="frozen"/>
      <selection pane="bottomLeft" activeCell="G17" sqref="A1:G17"/>
    </sheetView>
  </sheetViews>
  <sheetFormatPr defaultColWidth="8.7109375" defaultRowHeight="15"/>
  <cols>
    <col min="1" max="1" width="7" customWidth="1"/>
    <col min="2" max="2" width="62" customWidth="1"/>
    <col min="3" max="3" width="28" customWidth="1"/>
    <col min="4" max="4" width="15" customWidth="1"/>
    <col min="5" max="5" width="8" customWidth="1"/>
    <col min="6" max="6" width="12" customWidth="1"/>
    <col min="7" max="7" width="11" customWidth="1"/>
  </cols>
  <sheetData>
    <row r="1" spans="1:7" ht="18">
      <c r="A1" s="61" t="s">
        <v>193</v>
      </c>
    </row>
    <row r="3" spans="1:7">
      <c r="A3" s="62" t="s">
        <v>3</v>
      </c>
      <c r="B3" s="62" t="s">
        <v>194</v>
      </c>
      <c r="C3" s="62" t="s">
        <v>195</v>
      </c>
      <c r="D3" s="62" t="s">
        <v>196</v>
      </c>
      <c r="E3" s="62" t="s">
        <v>197</v>
      </c>
      <c r="F3" s="62" t="s">
        <v>12</v>
      </c>
      <c r="G3" s="62" t="s">
        <v>198</v>
      </c>
    </row>
    <row r="4" spans="1:7">
      <c r="A4" s="63" t="str">
        <f>Gantt!A10</f>
        <v>M0</v>
      </c>
      <c r="B4" s="64" t="str">
        <f>Gantt!B10</f>
        <v>Kickoff complete</v>
      </c>
      <c r="C4" s="64" t="str">
        <f>Gantt!C10</f>
        <v>PM</v>
      </c>
      <c r="D4" s="65">
        <f>Gantt!G10</f>
        <v>46301</v>
      </c>
      <c r="E4" s="63" t="str">
        <f>"W"&amp;(INT((D4-Gantt!$C$2)/7)+1)</f>
        <v>W1</v>
      </c>
      <c r="F4" s="63" t="str">
        <f>Gantt!J10</f>
        <v>Not started</v>
      </c>
      <c r="G4" s="63">
        <f t="shared" ref="G4:G17" ca="1" si="0">IF(F4="Done","-",NETWORKDAYS(TODAY(),D4)-1)</f>
        <v>4</v>
      </c>
    </row>
    <row r="5" spans="1:7">
      <c r="A5" s="63" t="str">
        <f>Gantt!A14</f>
        <v>M1A</v>
      </c>
      <c r="B5" s="64" t="str">
        <f>Gantt!B14</f>
        <v>Batch A requirements + analysis sign-off</v>
      </c>
      <c r="C5" s="64" t="str">
        <f>Gantt!C14</f>
        <v>Business SME</v>
      </c>
      <c r="D5" s="65">
        <f>Gantt!G14</f>
        <v>46311</v>
      </c>
      <c r="E5" s="63" t="str">
        <f>"W"&amp;(INT((D5-Gantt!$C$2)/7)+1)</f>
        <v>W2</v>
      </c>
      <c r="F5" s="63" t="str">
        <f>Gantt!J14</f>
        <v>Not started</v>
      </c>
      <c r="G5" s="63">
        <f t="shared" ca="1" si="0"/>
        <v>12</v>
      </c>
    </row>
    <row r="6" spans="1:7">
      <c r="A6" s="63" t="str">
        <f>Gantt!A17</f>
        <v>M1B</v>
      </c>
      <c r="B6" s="64" t="str">
        <f>Gantt!B17</f>
        <v>Batch B requirements + analysis sign-off</v>
      </c>
      <c r="C6" s="64" t="str">
        <f>Gantt!C17</f>
        <v>Business SME</v>
      </c>
      <c r="D6" s="65">
        <f>Gantt!G17</f>
        <v>46318</v>
      </c>
      <c r="E6" s="63" t="str">
        <f>"W"&amp;(INT((D6-Gantt!$C$2)/7)+1)</f>
        <v>W3</v>
      </c>
      <c r="F6" s="63" t="str">
        <f>Gantt!J17</f>
        <v>Not started</v>
      </c>
      <c r="G6" s="63">
        <f t="shared" ca="1" si="0"/>
        <v>17</v>
      </c>
    </row>
    <row r="7" spans="1:7">
      <c r="A7" s="63" t="str">
        <f>Gantt!A22</f>
        <v>M1R</v>
      </c>
      <c r="B7" s="64" t="str">
        <f>Gantt!B22</f>
        <v>Requirements baseline gate (Batch C conditional)</v>
      </c>
      <c r="C7" s="64" t="str">
        <f>Gantt!C22</f>
        <v>PM / Business SME</v>
      </c>
      <c r="D7" s="65">
        <f>Gantt!G22</f>
        <v>46318</v>
      </c>
      <c r="E7" s="63" t="str">
        <f>"W"&amp;(INT((D7-Gantt!$C$2)/7)+1)</f>
        <v>W3</v>
      </c>
      <c r="F7" s="63" t="str">
        <f>Gantt!J22</f>
        <v>Not started</v>
      </c>
      <c r="G7" s="63">
        <f t="shared" ca="1" si="0"/>
        <v>17</v>
      </c>
    </row>
    <row r="8" spans="1:7">
      <c r="A8" s="63" t="str">
        <f>Gantt!A23</f>
        <v>M1C</v>
      </c>
      <c r="B8" s="64" t="str">
        <f>Gantt!B23</f>
        <v>Batch C sign-off</v>
      </c>
      <c r="C8" s="64" t="str">
        <f>Gantt!C23</f>
        <v>Business SME</v>
      </c>
      <c r="D8" s="65">
        <f>Gantt!G23</f>
        <v>46325</v>
      </c>
      <c r="E8" s="63" t="str">
        <f>"W"&amp;(INT((D8-Gantt!$C$2)/7)+1)</f>
        <v>W4</v>
      </c>
      <c r="F8" s="63" t="str">
        <f>Gantt!J23</f>
        <v>Not started</v>
      </c>
      <c r="G8" s="63">
        <f t="shared" ca="1" si="0"/>
        <v>22</v>
      </c>
    </row>
    <row r="9" spans="1:7">
      <c r="A9" s="63" t="str">
        <f>Gantt!A26</f>
        <v>M2S</v>
      </c>
      <c r="B9" s="64" t="str">
        <f>Gantt!B26</f>
        <v>3P interface spec signed</v>
      </c>
      <c r="C9" s="64" t="str">
        <f>Gantt!C26</f>
        <v>Third party</v>
      </c>
      <c r="D9" s="65">
        <f>Gantt!G26</f>
        <v>46311</v>
      </c>
      <c r="E9" s="63" t="str">
        <f>"W"&amp;(INT((D9-Gantt!$C$2)/7)+1)</f>
        <v>W2</v>
      </c>
      <c r="F9" s="63" t="str">
        <f>Gantt!J26</f>
        <v>Not started</v>
      </c>
      <c r="G9" s="63">
        <f t="shared" ca="1" si="0"/>
        <v>12</v>
      </c>
    </row>
    <row r="10" spans="1:7">
      <c r="A10" s="63" t="str">
        <f>Gantt!A29</f>
        <v>M2F</v>
      </c>
      <c r="B10" s="64" t="str">
        <f>Gantt!B29</f>
        <v>Fallback decision: descope / stub 3P attrs if test feed not validated</v>
      </c>
      <c r="C10" s="64" t="str">
        <f>Gantt!C29</f>
        <v>Steering</v>
      </c>
      <c r="D10" s="65">
        <f>Gantt!G29</f>
        <v>46325</v>
      </c>
      <c r="E10" s="63" t="str">
        <f>"W"&amp;(INT((D10-Gantt!$C$2)/7)+1)</f>
        <v>W4</v>
      </c>
      <c r="F10" s="63" t="str">
        <f>Gantt!J29</f>
        <v>Not started</v>
      </c>
      <c r="G10" s="63">
        <f t="shared" ca="1" si="0"/>
        <v>22</v>
      </c>
    </row>
    <row r="11" spans="1:7">
      <c r="A11" s="63" t="str">
        <f>Gantt!A31</f>
        <v>M2P</v>
      </c>
      <c r="B11" s="64" t="str">
        <f>Gantt!B31</f>
        <v>3P production feed live</v>
      </c>
      <c r="C11" s="64" t="str">
        <f>Gantt!C31</f>
        <v>Third party</v>
      </c>
      <c r="D11" s="65">
        <f>Gantt!G31</f>
        <v>46339</v>
      </c>
      <c r="E11" s="63" t="str">
        <f>"W"&amp;(INT((D11-Gantt!$C$2)/7)+1)</f>
        <v>W6</v>
      </c>
      <c r="F11" s="63" t="str">
        <f>Gantt!J31</f>
        <v>Not started</v>
      </c>
      <c r="G11" s="63">
        <f t="shared" ca="1" si="0"/>
        <v>32</v>
      </c>
    </row>
    <row r="12" spans="1:7">
      <c r="A12" s="63" t="str">
        <f>Gantt!A38</f>
        <v>M3</v>
      </c>
      <c r="B12" s="64" t="str">
        <f>Gantt!B38</f>
        <v>Design sign-off (all batches)</v>
      </c>
      <c r="C12" s="64" t="str">
        <f>Gantt!C38</f>
        <v>Data Architect / Business SME</v>
      </c>
      <c r="D12" s="65">
        <f>Gantt!G38</f>
        <v>46332</v>
      </c>
      <c r="E12" s="63" t="str">
        <f>"W"&amp;(INT((D12-Gantt!$C$2)/7)+1)</f>
        <v>W5</v>
      </c>
      <c r="F12" s="63" t="str">
        <f>Gantt!J38</f>
        <v>Not started</v>
      </c>
      <c r="G12" s="63">
        <f t="shared" ca="1" si="0"/>
        <v>27</v>
      </c>
    </row>
    <row r="13" spans="1:7">
      <c r="A13" s="63" t="str">
        <f>Gantt!A48</f>
        <v>M4</v>
      </c>
      <c r="B13" s="64" t="str">
        <f>Gantt!B48</f>
        <v>Build complete</v>
      </c>
      <c r="C13" s="64" t="str">
        <f>Gantt!C48</f>
        <v>Data Engineering Lead</v>
      </c>
      <c r="D13" s="65">
        <f>Gantt!G48</f>
        <v>46339</v>
      </c>
      <c r="E13" s="63" t="str">
        <f>"W"&amp;(INT((D13-Gantt!$C$2)/7)+1)</f>
        <v>W6</v>
      </c>
      <c r="F13" s="63" t="str">
        <f>Gantt!J48</f>
        <v>Not started</v>
      </c>
      <c r="G13" s="63">
        <f t="shared" ca="1" si="0"/>
        <v>32</v>
      </c>
    </row>
    <row r="14" spans="1:7">
      <c r="A14" s="63" t="str">
        <f>Gantt!A56</f>
        <v>M5</v>
      </c>
      <c r="B14" s="64" t="str">
        <f>Gantt!B56</f>
        <v>SIT exit</v>
      </c>
      <c r="C14" s="64" t="str">
        <f>Gantt!C56</f>
        <v>QA Lead</v>
      </c>
      <c r="D14" s="65">
        <f>Gantt!G56</f>
        <v>46344</v>
      </c>
      <c r="E14" s="63" t="str">
        <f>"W"&amp;(INT((D14-Gantt!$C$2)/7)+1)</f>
        <v>W7</v>
      </c>
      <c r="F14" s="63" t="str">
        <f>Gantt!J56</f>
        <v>Not started</v>
      </c>
      <c r="G14" s="63">
        <f t="shared" ca="1" si="0"/>
        <v>35</v>
      </c>
    </row>
    <row r="15" spans="1:7">
      <c r="A15" s="63" t="str">
        <f>Gantt!A62</f>
        <v>M6</v>
      </c>
      <c r="B15" s="64" t="str">
        <f>Gantt!B62</f>
        <v>UAT sign-off</v>
      </c>
      <c r="C15" s="64" t="str">
        <f>Gantt!C62</f>
        <v>Business SME</v>
      </c>
      <c r="D15" s="65">
        <f>Gantt!G62</f>
        <v>46346</v>
      </c>
      <c r="E15" s="63" t="str">
        <f>"W"&amp;(INT((D15-Gantt!$C$2)/7)+1)</f>
        <v>W7</v>
      </c>
      <c r="F15" s="63" t="str">
        <f>Gantt!J62</f>
        <v>Not started</v>
      </c>
      <c r="G15" s="63">
        <f t="shared" ca="1" si="0"/>
        <v>37</v>
      </c>
    </row>
    <row r="16" spans="1:7">
      <c r="A16" s="63" t="str">
        <f>Gantt!A66</f>
        <v>M7G</v>
      </c>
      <c r="B16" s="64" t="str">
        <f>Gantt!B66</f>
        <v>Go-live</v>
      </c>
      <c r="C16" s="64" t="str">
        <f>Gantt!C66</f>
        <v>PM</v>
      </c>
      <c r="D16" s="65">
        <f>Gantt!G66</f>
        <v>46350</v>
      </c>
      <c r="E16" s="63" t="str">
        <f>"W"&amp;(INT((D16-Gantt!$C$2)/7)+1)</f>
        <v>W8</v>
      </c>
      <c r="F16" s="63" t="str">
        <f>Gantt!J66</f>
        <v>Not started</v>
      </c>
      <c r="G16" s="63">
        <f t="shared" ca="1" si="0"/>
        <v>39</v>
      </c>
    </row>
    <row r="17" spans="1:7">
      <c r="A17" s="63" t="str">
        <f>Gantt!A68</f>
        <v>M7C</v>
      </c>
      <c r="B17" s="64" t="str">
        <f>Gantt!B68</f>
        <v>Project close</v>
      </c>
      <c r="C17" s="64" t="str">
        <f>Gantt!C68</f>
        <v>PM</v>
      </c>
      <c r="D17" s="65">
        <f>Gantt!G68</f>
        <v>46353</v>
      </c>
      <c r="E17" s="63" t="str">
        <f>"W"&amp;(INT((D17-Gantt!$C$2)/7)+1)</f>
        <v>W8</v>
      </c>
      <c r="F17" s="63" t="str">
        <f>Gantt!J68</f>
        <v>Not started</v>
      </c>
      <c r="G17" s="63">
        <f t="shared" ca="1" si="0"/>
        <v>42</v>
      </c>
    </row>
    <row r="19" spans="1:7">
      <c r="B19" s="6" t="s">
        <v>199</v>
      </c>
    </row>
  </sheetData>
  <conditionalFormatting sqref="F4:F17">
    <cfRule type="cellIs" dxfId="45" priority="2" operator="equal">
      <formula>"Done"</formula>
    </cfRule>
    <cfRule type="cellIs" dxfId="44" priority="3" operator="equal">
      <formula>"At risk"</formula>
    </cfRule>
    <cfRule type="cellIs" dxfId="43" priority="4" operator="equal">
      <formula>"Blocked"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R62"/>
  <sheetViews>
    <sheetView showGridLines="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/>
    </sheetView>
  </sheetViews>
  <sheetFormatPr defaultColWidth="8.7109375" defaultRowHeight="15"/>
  <cols>
    <col min="1" max="1" width="5" customWidth="1"/>
    <col min="2" max="2" width="26" customWidth="1"/>
    <col min="3" max="3" width="36" customWidth="1"/>
    <col min="4" max="4" width="7" customWidth="1"/>
    <col min="5" max="5" width="11" customWidth="1"/>
    <col min="6" max="7" width="22" customWidth="1"/>
    <col min="8" max="8" width="9" customWidth="1"/>
    <col min="9" max="9" width="38" customWidth="1"/>
    <col min="10" max="10" width="26" customWidth="1"/>
    <col min="11" max="12" width="12" customWidth="1"/>
    <col min="13" max="16" width="11" customWidth="1"/>
    <col min="17" max="17" width="14" customWidth="1"/>
    <col min="18" max="18" width="24" customWidth="1"/>
  </cols>
  <sheetData>
    <row r="1" spans="1:18" ht="18">
      <c r="A1" s="61" t="s">
        <v>200</v>
      </c>
    </row>
    <row r="2" spans="1:18">
      <c r="A2" s="6" t="s">
        <v>201</v>
      </c>
    </row>
    <row r="4" spans="1:18">
      <c r="A4" s="60" t="s">
        <v>202</v>
      </c>
    </row>
    <row r="5" spans="1:18">
      <c r="A5" s="66" t="s">
        <v>203</v>
      </c>
      <c r="B5" s="67" t="s">
        <v>204</v>
      </c>
      <c r="C5" s="67" t="s">
        <v>205</v>
      </c>
      <c r="D5" s="67" t="s">
        <v>206</v>
      </c>
      <c r="E5" s="67" t="s">
        <v>207</v>
      </c>
      <c r="F5" s="67" t="s">
        <v>208</v>
      </c>
      <c r="G5" s="67" t="s">
        <v>158</v>
      </c>
      <c r="H5" s="66" t="s">
        <v>209</v>
      </c>
    </row>
    <row r="6" spans="1:18">
      <c r="A6" s="68" t="s">
        <v>210</v>
      </c>
      <c r="B6" s="69">
        <f t="shared" ref="B6:G6" si="0">COUNTIFS($D$13:$D$62,"A",K13:K62,"Done")</f>
        <v>1</v>
      </c>
      <c r="C6" s="69">
        <f t="shared" si="0"/>
        <v>0</v>
      </c>
      <c r="D6" s="69">
        <f t="shared" si="0"/>
        <v>0</v>
      </c>
      <c r="E6" s="69">
        <f t="shared" si="0"/>
        <v>0</v>
      </c>
      <c r="F6" s="69">
        <f t="shared" si="0"/>
        <v>0</v>
      </c>
      <c r="G6" s="69">
        <f t="shared" si="0"/>
        <v>0</v>
      </c>
      <c r="H6" s="69">
        <f>COUNTIF($D$13:$D$62,"A")</f>
        <v>20</v>
      </c>
    </row>
    <row r="7" spans="1:18">
      <c r="A7" s="68" t="s">
        <v>211</v>
      </c>
      <c r="B7" s="69">
        <f t="shared" ref="B7:G7" si="1">COUNTIFS($D$13:$D$62,"B",K13:K62,"Done")</f>
        <v>0</v>
      </c>
      <c r="C7" s="69">
        <f t="shared" si="1"/>
        <v>0</v>
      </c>
      <c r="D7" s="69">
        <f t="shared" si="1"/>
        <v>0</v>
      </c>
      <c r="E7" s="69">
        <f t="shared" si="1"/>
        <v>0</v>
      </c>
      <c r="F7" s="69">
        <f t="shared" si="1"/>
        <v>0</v>
      </c>
      <c r="G7" s="69">
        <f t="shared" si="1"/>
        <v>0</v>
      </c>
      <c r="H7" s="69">
        <f>COUNTIF($D$13:$D$62,"B")</f>
        <v>20</v>
      </c>
    </row>
    <row r="8" spans="1:18">
      <c r="A8" s="68" t="s">
        <v>212</v>
      </c>
      <c r="B8" s="69">
        <f t="shared" ref="B8:G8" si="2">COUNTIFS($D$13:$D$62,"C",K13:K62,"Done")</f>
        <v>0</v>
      </c>
      <c r="C8" s="69">
        <f t="shared" si="2"/>
        <v>0</v>
      </c>
      <c r="D8" s="69">
        <f t="shared" si="2"/>
        <v>0</v>
      </c>
      <c r="E8" s="69">
        <f t="shared" si="2"/>
        <v>0</v>
      </c>
      <c r="F8" s="69">
        <f t="shared" si="2"/>
        <v>0</v>
      </c>
      <c r="G8" s="69">
        <f t="shared" si="2"/>
        <v>0</v>
      </c>
      <c r="H8" s="69">
        <f>COUNTIF($D$13:$D$62,"C")</f>
        <v>10</v>
      </c>
    </row>
    <row r="9" spans="1:18">
      <c r="A9" s="68" t="s">
        <v>213</v>
      </c>
      <c r="B9" s="70">
        <f t="shared" ref="B9:G9" si="3">COUNTIF(K13:K62,"Done")</f>
        <v>1</v>
      </c>
      <c r="C9" s="70">
        <f t="shared" si="3"/>
        <v>0</v>
      </c>
      <c r="D9" s="70">
        <f t="shared" si="3"/>
        <v>0</v>
      </c>
      <c r="E9" s="70">
        <f t="shared" si="3"/>
        <v>0</v>
      </c>
      <c r="F9" s="70">
        <f t="shared" si="3"/>
        <v>0</v>
      </c>
      <c r="G9" s="70">
        <f t="shared" si="3"/>
        <v>0</v>
      </c>
      <c r="H9" s="70">
        <f>COUNTA($B$13:$B$62)</f>
        <v>50</v>
      </c>
    </row>
    <row r="12" spans="1:18" ht="30" customHeight="1">
      <c r="A12" s="9" t="s">
        <v>214</v>
      </c>
      <c r="B12" s="9" t="s">
        <v>215</v>
      </c>
      <c r="C12" s="9" t="s">
        <v>216</v>
      </c>
      <c r="D12" s="9" t="s">
        <v>203</v>
      </c>
      <c r="E12" s="9" t="s">
        <v>217</v>
      </c>
      <c r="F12" s="9" t="s">
        <v>218</v>
      </c>
      <c r="G12" s="9" t="s">
        <v>219</v>
      </c>
      <c r="H12" s="9" t="s">
        <v>220</v>
      </c>
      <c r="I12" s="9" t="s">
        <v>221</v>
      </c>
      <c r="J12" s="9" t="s">
        <v>222</v>
      </c>
      <c r="K12" s="9" t="s">
        <v>204</v>
      </c>
      <c r="L12" s="9" t="s">
        <v>205</v>
      </c>
      <c r="M12" s="9" t="s">
        <v>206</v>
      </c>
      <c r="N12" s="9" t="s">
        <v>207</v>
      </c>
      <c r="O12" s="9" t="s">
        <v>208</v>
      </c>
      <c r="P12" s="9" t="s">
        <v>158</v>
      </c>
      <c r="Q12" s="9" t="s">
        <v>195</v>
      </c>
      <c r="R12" s="9" t="s">
        <v>223</v>
      </c>
    </row>
    <row r="13" spans="1:18" ht="25.5">
      <c r="A13" s="71">
        <v>1</v>
      </c>
      <c r="B13" s="72" t="s">
        <v>224</v>
      </c>
      <c r="C13" s="72" t="s">
        <v>225</v>
      </c>
      <c r="D13" s="71" t="s">
        <v>210</v>
      </c>
      <c r="E13" s="71" t="s">
        <v>226</v>
      </c>
      <c r="F13" s="73" t="s">
        <v>227</v>
      </c>
      <c r="G13" s="73" t="s">
        <v>228</v>
      </c>
      <c r="H13" s="71" t="s">
        <v>229</v>
      </c>
      <c r="I13" s="72" t="s">
        <v>230</v>
      </c>
      <c r="J13" s="73" t="s">
        <v>231</v>
      </c>
      <c r="K13" s="74" t="s">
        <v>232</v>
      </c>
      <c r="L13" s="74" t="s">
        <v>233</v>
      </c>
      <c r="M13" s="74" t="s">
        <v>29</v>
      </c>
      <c r="N13" s="74" t="s">
        <v>29</v>
      </c>
      <c r="O13" s="74" t="s">
        <v>29</v>
      </c>
      <c r="P13" s="74" t="s">
        <v>29</v>
      </c>
      <c r="Q13" s="73" t="s">
        <v>234</v>
      </c>
      <c r="R13" s="72" t="s">
        <v>235</v>
      </c>
    </row>
    <row r="14" spans="1:18">
      <c r="A14" s="75">
        <v>2</v>
      </c>
      <c r="B14" s="76" t="s">
        <v>236</v>
      </c>
      <c r="C14" s="76"/>
      <c r="D14" s="75" t="s">
        <v>210</v>
      </c>
      <c r="E14" s="75"/>
      <c r="F14" s="77"/>
      <c r="G14" s="77"/>
      <c r="H14" s="75" t="s">
        <v>237</v>
      </c>
      <c r="I14" s="76"/>
      <c r="J14" s="77"/>
      <c r="K14" s="78" t="s">
        <v>29</v>
      </c>
      <c r="L14" s="78" t="s">
        <v>29</v>
      </c>
      <c r="M14" s="78" t="s">
        <v>29</v>
      </c>
      <c r="N14" s="78" t="s">
        <v>29</v>
      </c>
      <c r="O14" s="78" t="s">
        <v>29</v>
      </c>
      <c r="P14" s="78" t="s">
        <v>29</v>
      </c>
      <c r="Q14" s="77"/>
      <c r="R14" s="76"/>
    </row>
    <row r="15" spans="1:18">
      <c r="A15" s="75">
        <v>3</v>
      </c>
      <c r="B15" s="76" t="s">
        <v>238</v>
      </c>
      <c r="C15" s="76"/>
      <c r="D15" s="75" t="s">
        <v>210</v>
      </c>
      <c r="E15" s="75"/>
      <c r="F15" s="77"/>
      <c r="G15" s="77"/>
      <c r="H15" s="75" t="s">
        <v>237</v>
      </c>
      <c r="I15" s="76"/>
      <c r="J15" s="77"/>
      <c r="K15" s="78" t="s">
        <v>29</v>
      </c>
      <c r="L15" s="78" t="s">
        <v>29</v>
      </c>
      <c r="M15" s="78" t="s">
        <v>29</v>
      </c>
      <c r="N15" s="78" t="s">
        <v>29</v>
      </c>
      <c r="O15" s="78" t="s">
        <v>29</v>
      </c>
      <c r="P15" s="78" t="s">
        <v>29</v>
      </c>
      <c r="Q15" s="77"/>
      <c r="R15" s="76"/>
    </row>
    <row r="16" spans="1:18">
      <c r="A16" s="75">
        <v>4</v>
      </c>
      <c r="B16" s="76" t="s">
        <v>239</v>
      </c>
      <c r="C16" s="76"/>
      <c r="D16" s="75" t="s">
        <v>210</v>
      </c>
      <c r="E16" s="75"/>
      <c r="F16" s="77"/>
      <c r="G16" s="77"/>
      <c r="H16" s="75" t="s">
        <v>237</v>
      </c>
      <c r="I16" s="76"/>
      <c r="J16" s="77"/>
      <c r="K16" s="78" t="s">
        <v>29</v>
      </c>
      <c r="L16" s="78" t="s">
        <v>29</v>
      </c>
      <c r="M16" s="78" t="s">
        <v>29</v>
      </c>
      <c r="N16" s="78" t="s">
        <v>29</v>
      </c>
      <c r="O16" s="78" t="s">
        <v>29</v>
      </c>
      <c r="P16" s="78" t="s">
        <v>29</v>
      </c>
      <c r="Q16" s="77"/>
      <c r="R16" s="76"/>
    </row>
    <row r="17" spans="1:18">
      <c r="A17" s="75">
        <v>5</v>
      </c>
      <c r="B17" s="76" t="s">
        <v>240</v>
      </c>
      <c r="C17" s="76"/>
      <c r="D17" s="75" t="s">
        <v>210</v>
      </c>
      <c r="E17" s="75"/>
      <c r="F17" s="77"/>
      <c r="G17" s="77"/>
      <c r="H17" s="75" t="s">
        <v>237</v>
      </c>
      <c r="I17" s="76"/>
      <c r="J17" s="77"/>
      <c r="K17" s="78" t="s">
        <v>29</v>
      </c>
      <c r="L17" s="78" t="s">
        <v>29</v>
      </c>
      <c r="M17" s="78" t="s">
        <v>29</v>
      </c>
      <c r="N17" s="78" t="s">
        <v>29</v>
      </c>
      <c r="O17" s="78" t="s">
        <v>29</v>
      </c>
      <c r="P17" s="78" t="s">
        <v>29</v>
      </c>
      <c r="Q17" s="77"/>
      <c r="R17" s="76"/>
    </row>
    <row r="18" spans="1:18">
      <c r="A18" s="75">
        <v>6</v>
      </c>
      <c r="B18" s="76" t="s">
        <v>241</v>
      </c>
      <c r="C18" s="76"/>
      <c r="D18" s="75" t="s">
        <v>210</v>
      </c>
      <c r="E18" s="75"/>
      <c r="F18" s="77"/>
      <c r="G18" s="77"/>
      <c r="H18" s="75" t="s">
        <v>237</v>
      </c>
      <c r="I18" s="76"/>
      <c r="J18" s="77"/>
      <c r="K18" s="78" t="s">
        <v>29</v>
      </c>
      <c r="L18" s="78" t="s">
        <v>29</v>
      </c>
      <c r="M18" s="78" t="s">
        <v>29</v>
      </c>
      <c r="N18" s="78" t="s">
        <v>29</v>
      </c>
      <c r="O18" s="78" t="s">
        <v>29</v>
      </c>
      <c r="P18" s="78" t="s">
        <v>29</v>
      </c>
      <c r="Q18" s="77"/>
      <c r="R18" s="76"/>
    </row>
    <row r="19" spans="1:18">
      <c r="A19" s="75">
        <v>7</v>
      </c>
      <c r="B19" s="76" t="s">
        <v>242</v>
      </c>
      <c r="C19" s="76"/>
      <c r="D19" s="75" t="s">
        <v>210</v>
      </c>
      <c r="E19" s="75"/>
      <c r="F19" s="77"/>
      <c r="G19" s="77"/>
      <c r="H19" s="75" t="s">
        <v>237</v>
      </c>
      <c r="I19" s="76"/>
      <c r="J19" s="77"/>
      <c r="K19" s="78" t="s">
        <v>29</v>
      </c>
      <c r="L19" s="78" t="s">
        <v>29</v>
      </c>
      <c r="M19" s="78" t="s">
        <v>29</v>
      </c>
      <c r="N19" s="78" t="s">
        <v>29</v>
      </c>
      <c r="O19" s="78" t="s">
        <v>29</v>
      </c>
      <c r="P19" s="78" t="s">
        <v>29</v>
      </c>
      <c r="Q19" s="77"/>
      <c r="R19" s="76"/>
    </row>
    <row r="20" spans="1:18">
      <c r="A20" s="75">
        <v>8</v>
      </c>
      <c r="B20" s="76" t="s">
        <v>243</v>
      </c>
      <c r="C20" s="76"/>
      <c r="D20" s="75" t="s">
        <v>210</v>
      </c>
      <c r="E20" s="75"/>
      <c r="F20" s="77"/>
      <c r="G20" s="77"/>
      <c r="H20" s="75" t="s">
        <v>237</v>
      </c>
      <c r="I20" s="76"/>
      <c r="J20" s="77"/>
      <c r="K20" s="78" t="s">
        <v>29</v>
      </c>
      <c r="L20" s="78" t="s">
        <v>29</v>
      </c>
      <c r="M20" s="78" t="s">
        <v>29</v>
      </c>
      <c r="N20" s="78" t="s">
        <v>29</v>
      </c>
      <c r="O20" s="78" t="s">
        <v>29</v>
      </c>
      <c r="P20" s="78" t="s">
        <v>29</v>
      </c>
      <c r="Q20" s="77"/>
      <c r="R20" s="76"/>
    </row>
    <row r="21" spans="1:18">
      <c r="A21" s="75">
        <v>9</v>
      </c>
      <c r="B21" s="76" t="s">
        <v>244</v>
      </c>
      <c r="C21" s="76"/>
      <c r="D21" s="75" t="s">
        <v>210</v>
      </c>
      <c r="E21" s="75"/>
      <c r="F21" s="77"/>
      <c r="G21" s="77"/>
      <c r="H21" s="75" t="s">
        <v>237</v>
      </c>
      <c r="I21" s="76"/>
      <c r="J21" s="77"/>
      <c r="K21" s="78" t="s">
        <v>29</v>
      </c>
      <c r="L21" s="78" t="s">
        <v>29</v>
      </c>
      <c r="M21" s="78" t="s">
        <v>29</v>
      </c>
      <c r="N21" s="78" t="s">
        <v>29</v>
      </c>
      <c r="O21" s="78" t="s">
        <v>29</v>
      </c>
      <c r="P21" s="78" t="s">
        <v>29</v>
      </c>
      <c r="Q21" s="77"/>
      <c r="R21" s="76"/>
    </row>
    <row r="22" spans="1:18">
      <c r="A22" s="75">
        <v>10</v>
      </c>
      <c r="B22" s="76" t="s">
        <v>245</v>
      </c>
      <c r="C22" s="76"/>
      <c r="D22" s="75" t="s">
        <v>210</v>
      </c>
      <c r="E22" s="75"/>
      <c r="F22" s="77"/>
      <c r="G22" s="77"/>
      <c r="H22" s="75" t="s">
        <v>237</v>
      </c>
      <c r="I22" s="76"/>
      <c r="J22" s="77"/>
      <c r="K22" s="78" t="s">
        <v>29</v>
      </c>
      <c r="L22" s="78" t="s">
        <v>29</v>
      </c>
      <c r="M22" s="78" t="s">
        <v>29</v>
      </c>
      <c r="N22" s="78" t="s">
        <v>29</v>
      </c>
      <c r="O22" s="78" t="s">
        <v>29</v>
      </c>
      <c r="P22" s="78" t="s">
        <v>29</v>
      </c>
      <c r="Q22" s="77"/>
      <c r="R22" s="76"/>
    </row>
    <row r="23" spans="1:18">
      <c r="A23" s="75">
        <v>11</v>
      </c>
      <c r="B23" s="76" t="s">
        <v>246</v>
      </c>
      <c r="C23" s="76"/>
      <c r="D23" s="75" t="s">
        <v>210</v>
      </c>
      <c r="E23" s="75"/>
      <c r="F23" s="77"/>
      <c r="G23" s="77"/>
      <c r="H23" s="75" t="s">
        <v>237</v>
      </c>
      <c r="I23" s="76"/>
      <c r="J23" s="77"/>
      <c r="K23" s="78" t="s">
        <v>29</v>
      </c>
      <c r="L23" s="78" t="s">
        <v>29</v>
      </c>
      <c r="M23" s="78" t="s">
        <v>29</v>
      </c>
      <c r="N23" s="78" t="s">
        <v>29</v>
      </c>
      <c r="O23" s="78" t="s">
        <v>29</v>
      </c>
      <c r="P23" s="78" t="s">
        <v>29</v>
      </c>
      <c r="Q23" s="77"/>
      <c r="R23" s="76"/>
    </row>
    <row r="24" spans="1:18">
      <c r="A24" s="75">
        <v>12</v>
      </c>
      <c r="B24" s="76" t="s">
        <v>247</v>
      </c>
      <c r="C24" s="76"/>
      <c r="D24" s="75" t="s">
        <v>210</v>
      </c>
      <c r="E24" s="75"/>
      <c r="F24" s="77"/>
      <c r="G24" s="77"/>
      <c r="H24" s="75" t="s">
        <v>237</v>
      </c>
      <c r="I24" s="76"/>
      <c r="J24" s="77"/>
      <c r="K24" s="78" t="s">
        <v>29</v>
      </c>
      <c r="L24" s="78" t="s">
        <v>29</v>
      </c>
      <c r="M24" s="78" t="s">
        <v>29</v>
      </c>
      <c r="N24" s="78" t="s">
        <v>29</v>
      </c>
      <c r="O24" s="78" t="s">
        <v>29</v>
      </c>
      <c r="P24" s="78" t="s">
        <v>29</v>
      </c>
      <c r="Q24" s="77"/>
      <c r="R24" s="76"/>
    </row>
    <row r="25" spans="1:18">
      <c r="A25" s="75">
        <v>13</v>
      </c>
      <c r="B25" s="76" t="s">
        <v>248</v>
      </c>
      <c r="C25" s="76"/>
      <c r="D25" s="75" t="s">
        <v>210</v>
      </c>
      <c r="E25" s="75"/>
      <c r="F25" s="77"/>
      <c r="G25" s="77"/>
      <c r="H25" s="75" t="s">
        <v>237</v>
      </c>
      <c r="I25" s="76"/>
      <c r="J25" s="77"/>
      <c r="K25" s="78" t="s">
        <v>29</v>
      </c>
      <c r="L25" s="78" t="s">
        <v>29</v>
      </c>
      <c r="M25" s="78" t="s">
        <v>29</v>
      </c>
      <c r="N25" s="78" t="s">
        <v>29</v>
      </c>
      <c r="O25" s="78" t="s">
        <v>29</v>
      </c>
      <c r="P25" s="78" t="s">
        <v>29</v>
      </c>
      <c r="Q25" s="77"/>
      <c r="R25" s="76"/>
    </row>
    <row r="26" spans="1:18">
      <c r="A26" s="75">
        <v>14</v>
      </c>
      <c r="B26" s="76" t="s">
        <v>249</v>
      </c>
      <c r="C26" s="76"/>
      <c r="D26" s="75" t="s">
        <v>210</v>
      </c>
      <c r="E26" s="75"/>
      <c r="F26" s="77"/>
      <c r="G26" s="77"/>
      <c r="H26" s="75" t="s">
        <v>237</v>
      </c>
      <c r="I26" s="76"/>
      <c r="J26" s="77"/>
      <c r="K26" s="78" t="s">
        <v>29</v>
      </c>
      <c r="L26" s="78" t="s">
        <v>29</v>
      </c>
      <c r="M26" s="78" t="s">
        <v>29</v>
      </c>
      <c r="N26" s="78" t="s">
        <v>29</v>
      </c>
      <c r="O26" s="78" t="s">
        <v>29</v>
      </c>
      <c r="P26" s="78" t="s">
        <v>29</v>
      </c>
      <c r="Q26" s="77"/>
      <c r="R26" s="76"/>
    </row>
    <row r="27" spans="1:18">
      <c r="A27" s="75">
        <v>15</v>
      </c>
      <c r="B27" s="76" t="s">
        <v>250</v>
      </c>
      <c r="C27" s="76"/>
      <c r="D27" s="75" t="s">
        <v>210</v>
      </c>
      <c r="E27" s="75"/>
      <c r="F27" s="77"/>
      <c r="G27" s="77"/>
      <c r="H27" s="75" t="s">
        <v>237</v>
      </c>
      <c r="I27" s="76"/>
      <c r="J27" s="77"/>
      <c r="K27" s="78" t="s">
        <v>29</v>
      </c>
      <c r="L27" s="78" t="s">
        <v>29</v>
      </c>
      <c r="M27" s="78" t="s">
        <v>29</v>
      </c>
      <c r="N27" s="78" t="s">
        <v>29</v>
      </c>
      <c r="O27" s="78" t="s">
        <v>29</v>
      </c>
      <c r="P27" s="78" t="s">
        <v>29</v>
      </c>
      <c r="Q27" s="77"/>
      <c r="R27" s="76"/>
    </row>
    <row r="28" spans="1:18">
      <c r="A28" s="75">
        <v>16</v>
      </c>
      <c r="B28" s="76" t="s">
        <v>251</v>
      </c>
      <c r="C28" s="76"/>
      <c r="D28" s="75" t="s">
        <v>210</v>
      </c>
      <c r="E28" s="75"/>
      <c r="F28" s="77"/>
      <c r="G28" s="77"/>
      <c r="H28" s="75" t="s">
        <v>237</v>
      </c>
      <c r="I28" s="76"/>
      <c r="J28" s="77"/>
      <c r="K28" s="78" t="s">
        <v>29</v>
      </c>
      <c r="L28" s="78" t="s">
        <v>29</v>
      </c>
      <c r="M28" s="78" t="s">
        <v>29</v>
      </c>
      <c r="N28" s="78" t="s">
        <v>29</v>
      </c>
      <c r="O28" s="78" t="s">
        <v>29</v>
      </c>
      <c r="P28" s="78" t="s">
        <v>29</v>
      </c>
      <c r="Q28" s="77"/>
      <c r="R28" s="76"/>
    </row>
    <row r="29" spans="1:18">
      <c r="A29" s="75">
        <v>17</v>
      </c>
      <c r="B29" s="76" t="s">
        <v>252</v>
      </c>
      <c r="C29" s="76"/>
      <c r="D29" s="75" t="s">
        <v>210</v>
      </c>
      <c r="E29" s="75"/>
      <c r="F29" s="77"/>
      <c r="G29" s="77"/>
      <c r="H29" s="75" t="s">
        <v>237</v>
      </c>
      <c r="I29" s="76"/>
      <c r="J29" s="77"/>
      <c r="K29" s="78" t="s">
        <v>29</v>
      </c>
      <c r="L29" s="78" t="s">
        <v>29</v>
      </c>
      <c r="M29" s="78" t="s">
        <v>29</v>
      </c>
      <c r="N29" s="78" t="s">
        <v>29</v>
      </c>
      <c r="O29" s="78" t="s">
        <v>29</v>
      </c>
      <c r="P29" s="78" t="s">
        <v>29</v>
      </c>
      <c r="Q29" s="77"/>
      <c r="R29" s="76"/>
    </row>
    <row r="30" spans="1:18">
      <c r="A30" s="75">
        <v>18</v>
      </c>
      <c r="B30" s="76" t="s">
        <v>253</v>
      </c>
      <c r="C30" s="76"/>
      <c r="D30" s="75" t="s">
        <v>210</v>
      </c>
      <c r="E30" s="75"/>
      <c r="F30" s="77"/>
      <c r="G30" s="77"/>
      <c r="H30" s="75" t="s">
        <v>237</v>
      </c>
      <c r="I30" s="76"/>
      <c r="J30" s="77"/>
      <c r="K30" s="78" t="s">
        <v>29</v>
      </c>
      <c r="L30" s="78" t="s">
        <v>29</v>
      </c>
      <c r="M30" s="78" t="s">
        <v>29</v>
      </c>
      <c r="N30" s="78" t="s">
        <v>29</v>
      </c>
      <c r="O30" s="78" t="s">
        <v>29</v>
      </c>
      <c r="P30" s="78" t="s">
        <v>29</v>
      </c>
      <c r="Q30" s="77"/>
      <c r="R30" s="76"/>
    </row>
    <row r="31" spans="1:18">
      <c r="A31" s="75">
        <v>19</v>
      </c>
      <c r="B31" s="76" t="s">
        <v>254</v>
      </c>
      <c r="C31" s="76"/>
      <c r="D31" s="75" t="s">
        <v>210</v>
      </c>
      <c r="E31" s="75"/>
      <c r="F31" s="77"/>
      <c r="G31" s="77"/>
      <c r="H31" s="75" t="s">
        <v>237</v>
      </c>
      <c r="I31" s="76"/>
      <c r="J31" s="77"/>
      <c r="K31" s="78" t="s">
        <v>29</v>
      </c>
      <c r="L31" s="78" t="s">
        <v>29</v>
      </c>
      <c r="M31" s="78" t="s">
        <v>29</v>
      </c>
      <c r="N31" s="78" t="s">
        <v>29</v>
      </c>
      <c r="O31" s="78" t="s">
        <v>29</v>
      </c>
      <c r="P31" s="78" t="s">
        <v>29</v>
      </c>
      <c r="Q31" s="77"/>
      <c r="R31" s="76"/>
    </row>
    <row r="32" spans="1:18">
      <c r="A32" s="75">
        <v>20</v>
      </c>
      <c r="B32" s="76" t="s">
        <v>255</v>
      </c>
      <c r="C32" s="76"/>
      <c r="D32" s="75" t="s">
        <v>210</v>
      </c>
      <c r="E32" s="75"/>
      <c r="F32" s="77"/>
      <c r="G32" s="77"/>
      <c r="H32" s="75" t="s">
        <v>237</v>
      </c>
      <c r="I32" s="76"/>
      <c r="J32" s="77"/>
      <c r="K32" s="78" t="s">
        <v>29</v>
      </c>
      <c r="L32" s="78" t="s">
        <v>29</v>
      </c>
      <c r="M32" s="78" t="s">
        <v>29</v>
      </c>
      <c r="N32" s="78" t="s">
        <v>29</v>
      </c>
      <c r="O32" s="78" t="s">
        <v>29</v>
      </c>
      <c r="P32" s="78" t="s">
        <v>29</v>
      </c>
      <c r="Q32" s="77"/>
      <c r="R32" s="76"/>
    </row>
    <row r="33" spans="1:18">
      <c r="A33" s="75">
        <v>21</v>
      </c>
      <c r="B33" s="76" t="s">
        <v>256</v>
      </c>
      <c r="C33" s="76"/>
      <c r="D33" s="75" t="s">
        <v>211</v>
      </c>
      <c r="E33" s="75"/>
      <c r="F33" s="77"/>
      <c r="G33" s="77"/>
      <c r="H33" s="75" t="s">
        <v>237</v>
      </c>
      <c r="I33" s="76"/>
      <c r="J33" s="77"/>
      <c r="K33" s="78" t="s">
        <v>29</v>
      </c>
      <c r="L33" s="78" t="s">
        <v>29</v>
      </c>
      <c r="M33" s="78" t="s">
        <v>29</v>
      </c>
      <c r="N33" s="78" t="s">
        <v>29</v>
      </c>
      <c r="O33" s="78" t="s">
        <v>29</v>
      </c>
      <c r="P33" s="78" t="s">
        <v>29</v>
      </c>
      <c r="Q33" s="77"/>
      <c r="R33" s="76"/>
    </row>
    <row r="34" spans="1:18">
      <c r="A34" s="75">
        <v>22</v>
      </c>
      <c r="B34" s="76" t="s">
        <v>257</v>
      </c>
      <c r="C34" s="76"/>
      <c r="D34" s="75" t="s">
        <v>211</v>
      </c>
      <c r="E34" s="75"/>
      <c r="F34" s="77"/>
      <c r="G34" s="77"/>
      <c r="H34" s="75" t="s">
        <v>237</v>
      </c>
      <c r="I34" s="76"/>
      <c r="J34" s="77"/>
      <c r="K34" s="78" t="s">
        <v>29</v>
      </c>
      <c r="L34" s="78" t="s">
        <v>29</v>
      </c>
      <c r="M34" s="78" t="s">
        <v>29</v>
      </c>
      <c r="N34" s="78" t="s">
        <v>29</v>
      </c>
      <c r="O34" s="78" t="s">
        <v>29</v>
      </c>
      <c r="P34" s="78" t="s">
        <v>29</v>
      </c>
      <c r="Q34" s="77"/>
      <c r="R34" s="76"/>
    </row>
    <row r="35" spans="1:18">
      <c r="A35" s="75">
        <v>23</v>
      </c>
      <c r="B35" s="76" t="s">
        <v>258</v>
      </c>
      <c r="C35" s="76"/>
      <c r="D35" s="75" t="s">
        <v>211</v>
      </c>
      <c r="E35" s="75"/>
      <c r="F35" s="77"/>
      <c r="G35" s="77"/>
      <c r="H35" s="75" t="s">
        <v>237</v>
      </c>
      <c r="I35" s="76"/>
      <c r="J35" s="77"/>
      <c r="K35" s="78" t="s">
        <v>29</v>
      </c>
      <c r="L35" s="78" t="s">
        <v>29</v>
      </c>
      <c r="M35" s="78" t="s">
        <v>29</v>
      </c>
      <c r="N35" s="78" t="s">
        <v>29</v>
      </c>
      <c r="O35" s="78" t="s">
        <v>29</v>
      </c>
      <c r="P35" s="78" t="s">
        <v>29</v>
      </c>
      <c r="Q35" s="77"/>
      <c r="R35" s="76"/>
    </row>
    <row r="36" spans="1:18">
      <c r="A36" s="75">
        <v>24</v>
      </c>
      <c r="B36" s="76" t="s">
        <v>259</v>
      </c>
      <c r="C36" s="76"/>
      <c r="D36" s="75" t="s">
        <v>211</v>
      </c>
      <c r="E36" s="75"/>
      <c r="F36" s="77"/>
      <c r="G36" s="77"/>
      <c r="H36" s="75" t="s">
        <v>237</v>
      </c>
      <c r="I36" s="76"/>
      <c r="J36" s="77"/>
      <c r="K36" s="78" t="s">
        <v>29</v>
      </c>
      <c r="L36" s="78" t="s">
        <v>29</v>
      </c>
      <c r="M36" s="78" t="s">
        <v>29</v>
      </c>
      <c r="N36" s="78" t="s">
        <v>29</v>
      </c>
      <c r="O36" s="78" t="s">
        <v>29</v>
      </c>
      <c r="P36" s="78" t="s">
        <v>29</v>
      </c>
      <c r="Q36" s="77"/>
      <c r="R36" s="76"/>
    </row>
    <row r="37" spans="1:18">
      <c r="A37" s="75">
        <v>25</v>
      </c>
      <c r="B37" s="76" t="s">
        <v>260</v>
      </c>
      <c r="C37" s="76"/>
      <c r="D37" s="75" t="s">
        <v>211</v>
      </c>
      <c r="E37" s="75"/>
      <c r="F37" s="77"/>
      <c r="G37" s="77"/>
      <c r="H37" s="75" t="s">
        <v>237</v>
      </c>
      <c r="I37" s="76"/>
      <c r="J37" s="77"/>
      <c r="K37" s="78" t="s">
        <v>29</v>
      </c>
      <c r="L37" s="78" t="s">
        <v>29</v>
      </c>
      <c r="M37" s="78" t="s">
        <v>29</v>
      </c>
      <c r="N37" s="78" t="s">
        <v>29</v>
      </c>
      <c r="O37" s="78" t="s">
        <v>29</v>
      </c>
      <c r="P37" s="78" t="s">
        <v>29</v>
      </c>
      <c r="Q37" s="77"/>
      <c r="R37" s="76"/>
    </row>
    <row r="38" spans="1:18">
      <c r="A38" s="75">
        <v>26</v>
      </c>
      <c r="B38" s="76" t="s">
        <v>261</v>
      </c>
      <c r="C38" s="76"/>
      <c r="D38" s="75" t="s">
        <v>211</v>
      </c>
      <c r="E38" s="75"/>
      <c r="F38" s="77"/>
      <c r="G38" s="77"/>
      <c r="H38" s="75" t="s">
        <v>237</v>
      </c>
      <c r="I38" s="76"/>
      <c r="J38" s="77"/>
      <c r="K38" s="78" t="s">
        <v>29</v>
      </c>
      <c r="L38" s="78" t="s">
        <v>29</v>
      </c>
      <c r="M38" s="78" t="s">
        <v>29</v>
      </c>
      <c r="N38" s="78" t="s">
        <v>29</v>
      </c>
      <c r="O38" s="78" t="s">
        <v>29</v>
      </c>
      <c r="P38" s="78" t="s">
        <v>29</v>
      </c>
      <c r="Q38" s="77"/>
      <c r="R38" s="76"/>
    </row>
    <row r="39" spans="1:18">
      <c r="A39" s="75">
        <v>27</v>
      </c>
      <c r="B39" s="76" t="s">
        <v>262</v>
      </c>
      <c r="C39" s="76"/>
      <c r="D39" s="75" t="s">
        <v>211</v>
      </c>
      <c r="E39" s="75"/>
      <c r="F39" s="77"/>
      <c r="G39" s="77"/>
      <c r="H39" s="75" t="s">
        <v>237</v>
      </c>
      <c r="I39" s="76"/>
      <c r="J39" s="77"/>
      <c r="K39" s="78" t="s">
        <v>29</v>
      </c>
      <c r="L39" s="78" t="s">
        <v>29</v>
      </c>
      <c r="M39" s="78" t="s">
        <v>29</v>
      </c>
      <c r="N39" s="78" t="s">
        <v>29</v>
      </c>
      <c r="O39" s="78" t="s">
        <v>29</v>
      </c>
      <c r="P39" s="78" t="s">
        <v>29</v>
      </c>
      <c r="Q39" s="77"/>
      <c r="R39" s="76"/>
    </row>
    <row r="40" spans="1:18">
      <c r="A40" s="75">
        <v>28</v>
      </c>
      <c r="B40" s="76" t="s">
        <v>263</v>
      </c>
      <c r="C40" s="76"/>
      <c r="D40" s="75" t="s">
        <v>211</v>
      </c>
      <c r="E40" s="75"/>
      <c r="F40" s="77"/>
      <c r="G40" s="77"/>
      <c r="H40" s="75" t="s">
        <v>237</v>
      </c>
      <c r="I40" s="76"/>
      <c r="J40" s="77"/>
      <c r="K40" s="78" t="s">
        <v>29</v>
      </c>
      <c r="L40" s="78" t="s">
        <v>29</v>
      </c>
      <c r="M40" s="78" t="s">
        <v>29</v>
      </c>
      <c r="N40" s="78" t="s">
        <v>29</v>
      </c>
      <c r="O40" s="78" t="s">
        <v>29</v>
      </c>
      <c r="P40" s="78" t="s">
        <v>29</v>
      </c>
      <c r="Q40" s="77"/>
      <c r="R40" s="76"/>
    </row>
    <row r="41" spans="1:18">
      <c r="A41" s="75">
        <v>29</v>
      </c>
      <c r="B41" s="76" t="s">
        <v>264</v>
      </c>
      <c r="C41" s="76"/>
      <c r="D41" s="75" t="s">
        <v>211</v>
      </c>
      <c r="E41" s="75"/>
      <c r="F41" s="77"/>
      <c r="G41" s="77"/>
      <c r="H41" s="75" t="s">
        <v>237</v>
      </c>
      <c r="I41" s="76"/>
      <c r="J41" s="77"/>
      <c r="K41" s="78" t="s">
        <v>29</v>
      </c>
      <c r="L41" s="78" t="s">
        <v>29</v>
      </c>
      <c r="M41" s="78" t="s">
        <v>29</v>
      </c>
      <c r="N41" s="78" t="s">
        <v>29</v>
      </c>
      <c r="O41" s="78" t="s">
        <v>29</v>
      </c>
      <c r="P41" s="78" t="s">
        <v>29</v>
      </c>
      <c r="Q41" s="77"/>
      <c r="R41" s="76"/>
    </row>
    <row r="42" spans="1:18">
      <c r="A42" s="75">
        <v>30</v>
      </c>
      <c r="B42" s="76" t="s">
        <v>265</v>
      </c>
      <c r="C42" s="76"/>
      <c r="D42" s="75" t="s">
        <v>211</v>
      </c>
      <c r="E42" s="75"/>
      <c r="F42" s="77"/>
      <c r="G42" s="77"/>
      <c r="H42" s="75" t="s">
        <v>237</v>
      </c>
      <c r="I42" s="76"/>
      <c r="J42" s="77"/>
      <c r="K42" s="78" t="s">
        <v>29</v>
      </c>
      <c r="L42" s="78" t="s">
        <v>29</v>
      </c>
      <c r="M42" s="78" t="s">
        <v>29</v>
      </c>
      <c r="N42" s="78" t="s">
        <v>29</v>
      </c>
      <c r="O42" s="78" t="s">
        <v>29</v>
      </c>
      <c r="P42" s="78" t="s">
        <v>29</v>
      </c>
      <c r="Q42" s="77"/>
      <c r="R42" s="76"/>
    </row>
    <row r="43" spans="1:18">
      <c r="A43" s="75">
        <v>31</v>
      </c>
      <c r="B43" s="76" t="s">
        <v>266</v>
      </c>
      <c r="C43" s="76"/>
      <c r="D43" s="75" t="s">
        <v>211</v>
      </c>
      <c r="E43" s="75"/>
      <c r="F43" s="77"/>
      <c r="G43" s="77"/>
      <c r="H43" s="75" t="s">
        <v>237</v>
      </c>
      <c r="I43" s="76"/>
      <c r="J43" s="77"/>
      <c r="K43" s="78" t="s">
        <v>29</v>
      </c>
      <c r="L43" s="78" t="s">
        <v>29</v>
      </c>
      <c r="M43" s="78" t="s">
        <v>29</v>
      </c>
      <c r="N43" s="78" t="s">
        <v>29</v>
      </c>
      <c r="O43" s="78" t="s">
        <v>29</v>
      </c>
      <c r="P43" s="78" t="s">
        <v>29</v>
      </c>
      <c r="Q43" s="77"/>
      <c r="R43" s="76"/>
    </row>
    <row r="44" spans="1:18">
      <c r="A44" s="75">
        <v>32</v>
      </c>
      <c r="B44" s="76" t="s">
        <v>267</v>
      </c>
      <c r="C44" s="76"/>
      <c r="D44" s="75" t="s">
        <v>211</v>
      </c>
      <c r="E44" s="75"/>
      <c r="F44" s="77"/>
      <c r="G44" s="77"/>
      <c r="H44" s="75" t="s">
        <v>237</v>
      </c>
      <c r="I44" s="76"/>
      <c r="J44" s="77"/>
      <c r="K44" s="78" t="s">
        <v>29</v>
      </c>
      <c r="L44" s="78" t="s">
        <v>29</v>
      </c>
      <c r="M44" s="78" t="s">
        <v>29</v>
      </c>
      <c r="N44" s="78" t="s">
        <v>29</v>
      </c>
      <c r="O44" s="78" t="s">
        <v>29</v>
      </c>
      <c r="P44" s="78" t="s">
        <v>29</v>
      </c>
      <c r="Q44" s="77"/>
      <c r="R44" s="76"/>
    </row>
    <row r="45" spans="1:18">
      <c r="A45" s="75">
        <v>33</v>
      </c>
      <c r="B45" s="76" t="s">
        <v>268</v>
      </c>
      <c r="C45" s="76"/>
      <c r="D45" s="75" t="s">
        <v>211</v>
      </c>
      <c r="E45" s="75"/>
      <c r="F45" s="77"/>
      <c r="G45" s="77"/>
      <c r="H45" s="75" t="s">
        <v>237</v>
      </c>
      <c r="I45" s="76"/>
      <c r="J45" s="77"/>
      <c r="K45" s="78" t="s">
        <v>29</v>
      </c>
      <c r="L45" s="78" t="s">
        <v>29</v>
      </c>
      <c r="M45" s="78" t="s">
        <v>29</v>
      </c>
      <c r="N45" s="78" t="s">
        <v>29</v>
      </c>
      <c r="O45" s="78" t="s">
        <v>29</v>
      </c>
      <c r="P45" s="78" t="s">
        <v>29</v>
      </c>
      <c r="Q45" s="77"/>
      <c r="R45" s="76"/>
    </row>
    <row r="46" spans="1:18">
      <c r="A46" s="75">
        <v>34</v>
      </c>
      <c r="B46" s="76" t="s">
        <v>269</v>
      </c>
      <c r="C46" s="76"/>
      <c r="D46" s="75" t="s">
        <v>211</v>
      </c>
      <c r="E46" s="75"/>
      <c r="F46" s="77"/>
      <c r="G46" s="77"/>
      <c r="H46" s="75" t="s">
        <v>237</v>
      </c>
      <c r="I46" s="76"/>
      <c r="J46" s="77"/>
      <c r="K46" s="78" t="s">
        <v>29</v>
      </c>
      <c r="L46" s="78" t="s">
        <v>29</v>
      </c>
      <c r="M46" s="78" t="s">
        <v>29</v>
      </c>
      <c r="N46" s="78" t="s">
        <v>29</v>
      </c>
      <c r="O46" s="78" t="s">
        <v>29</v>
      </c>
      <c r="P46" s="78" t="s">
        <v>29</v>
      </c>
      <c r="Q46" s="77"/>
      <c r="R46" s="76"/>
    </row>
    <row r="47" spans="1:18">
      <c r="A47" s="75">
        <v>35</v>
      </c>
      <c r="B47" s="76" t="s">
        <v>270</v>
      </c>
      <c r="C47" s="76"/>
      <c r="D47" s="75" t="s">
        <v>211</v>
      </c>
      <c r="E47" s="75"/>
      <c r="F47" s="77"/>
      <c r="G47" s="77"/>
      <c r="H47" s="75" t="s">
        <v>237</v>
      </c>
      <c r="I47" s="76"/>
      <c r="J47" s="77"/>
      <c r="K47" s="78" t="s">
        <v>29</v>
      </c>
      <c r="L47" s="78" t="s">
        <v>29</v>
      </c>
      <c r="M47" s="78" t="s">
        <v>29</v>
      </c>
      <c r="N47" s="78" t="s">
        <v>29</v>
      </c>
      <c r="O47" s="78" t="s">
        <v>29</v>
      </c>
      <c r="P47" s="78" t="s">
        <v>29</v>
      </c>
      <c r="Q47" s="77"/>
      <c r="R47" s="76"/>
    </row>
    <row r="48" spans="1:18">
      <c r="A48" s="75">
        <v>36</v>
      </c>
      <c r="B48" s="76" t="s">
        <v>271</v>
      </c>
      <c r="C48" s="76"/>
      <c r="D48" s="75" t="s">
        <v>211</v>
      </c>
      <c r="E48" s="75"/>
      <c r="F48" s="77"/>
      <c r="G48" s="77"/>
      <c r="H48" s="75" t="s">
        <v>237</v>
      </c>
      <c r="I48" s="76"/>
      <c r="J48" s="77"/>
      <c r="K48" s="78" t="s">
        <v>29</v>
      </c>
      <c r="L48" s="78" t="s">
        <v>29</v>
      </c>
      <c r="M48" s="78" t="s">
        <v>29</v>
      </c>
      <c r="N48" s="78" t="s">
        <v>29</v>
      </c>
      <c r="O48" s="78" t="s">
        <v>29</v>
      </c>
      <c r="P48" s="78" t="s">
        <v>29</v>
      </c>
      <c r="Q48" s="77"/>
      <c r="R48" s="76"/>
    </row>
    <row r="49" spans="1:18">
      <c r="A49" s="75">
        <v>37</v>
      </c>
      <c r="B49" s="76" t="s">
        <v>272</v>
      </c>
      <c r="C49" s="76"/>
      <c r="D49" s="75" t="s">
        <v>211</v>
      </c>
      <c r="E49" s="75"/>
      <c r="F49" s="77"/>
      <c r="G49" s="77"/>
      <c r="H49" s="75" t="s">
        <v>237</v>
      </c>
      <c r="I49" s="76"/>
      <c r="J49" s="77"/>
      <c r="K49" s="78" t="s">
        <v>29</v>
      </c>
      <c r="L49" s="78" t="s">
        <v>29</v>
      </c>
      <c r="M49" s="78" t="s">
        <v>29</v>
      </c>
      <c r="N49" s="78" t="s">
        <v>29</v>
      </c>
      <c r="O49" s="78" t="s">
        <v>29</v>
      </c>
      <c r="P49" s="78" t="s">
        <v>29</v>
      </c>
      <c r="Q49" s="77"/>
      <c r="R49" s="76"/>
    </row>
    <row r="50" spans="1:18">
      <c r="A50" s="75">
        <v>38</v>
      </c>
      <c r="B50" s="76" t="s">
        <v>273</v>
      </c>
      <c r="C50" s="76"/>
      <c r="D50" s="75" t="s">
        <v>211</v>
      </c>
      <c r="E50" s="75"/>
      <c r="F50" s="77"/>
      <c r="G50" s="77"/>
      <c r="H50" s="75" t="s">
        <v>237</v>
      </c>
      <c r="I50" s="76"/>
      <c r="J50" s="77"/>
      <c r="K50" s="78" t="s">
        <v>29</v>
      </c>
      <c r="L50" s="78" t="s">
        <v>29</v>
      </c>
      <c r="M50" s="78" t="s">
        <v>29</v>
      </c>
      <c r="N50" s="78" t="s">
        <v>29</v>
      </c>
      <c r="O50" s="78" t="s">
        <v>29</v>
      </c>
      <c r="P50" s="78" t="s">
        <v>29</v>
      </c>
      <c r="Q50" s="77"/>
      <c r="R50" s="76"/>
    </row>
    <row r="51" spans="1:18">
      <c r="A51" s="75">
        <v>39</v>
      </c>
      <c r="B51" s="76" t="s">
        <v>274</v>
      </c>
      <c r="C51" s="76"/>
      <c r="D51" s="75" t="s">
        <v>211</v>
      </c>
      <c r="E51" s="75"/>
      <c r="F51" s="77"/>
      <c r="G51" s="77"/>
      <c r="H51" s="75" t="s">
        <v>237</v>
      </c>
      <c r="I51" s="76"/>
      <c r="J51" s="77"/>
      <c r="K51" s="78" t="s">
        <v>29</v>
      </c>
      <c r="L51" s="78" t="s">
        <v>29</v>
      </c>
      <c r="M51" s="78" t="s">
        <v>29</v>
      </c>
      <c r="N51" s="78" t="s">
        <v>29</v>
      </c>
      <c r="O51" s="78" t="s">
        <v>29</v>
      </c>
      <c r="P51" s="78" t="s">
        <v>29</v>
      </c>
      <c r="Q51" s="77"/>
      <c r="R51" s="76"/>
    </row>
    <row r="52" spans="1:18">
      <c r="A52" s="75">
        <v>40</v>
      </c>
      <c r="B52" s="76" t="s">
        <v>275</v>
      </c>
      <c r="C52" s="76"/>
      <c r="D52" s="75" t="s">
        <v>211</v>
      </c>
      <c r="E52" s="75"/>
      <c r="F52" s="77"/>
      <c r="G52" s="77"/>
      <c r="H52" s="75" t="s">
        <v>237</v>
      </c>
      <c r="I52" s="76"/>
      <c r="J52" s="77"/>
      <c r="K52" s="78" t="s">
        <v>29</v>
      </c>
      <c r="L52" s="78" t="s">
        <v>29</v>
      </c>
      <c r="M52" s="78" t="s">
        <v>29</v>
      </c>
      <c r="N52" s="78" t="s">
        <v>29</v>
      </c>
      <c r="O52" s="78" t="s">
        <v>29</v>
      </c>
      <c r="P52" s="78" t="s">
        <v>29</v>
      </c>
      <c r="Q52" s="77"/>
      <c r="R52" s="76"/>
    </row>
    <row r="53" spans="1:18">
      <c r="A53" s="75">
        <v>41</v>
      </c>
      <c r="B53" s="76" t="s">
        <v>276</v>
      </c>
      <c r="C53" s="76"/>
      <c r="D53" s="75" t="s">
        <v>212</v>
      </c>
      <c r="E53" s="75"/>
      <c r="F53" s="77"/>
      <c r="G53" s="77"/>
      <c r="H53" s="75" t="s">
        <v>277</v>
      </c>
      <c r="I53" s="76"/>
      <c r="J53" s="77"/>
      <c r="K53" s="78" t="s">
        <v>29</v>
      </c>
      <c r="L53" s="78" t="s">
        <v>29</v>
      </c>
      <c r="M53" s="78" t="s">
        <v>29</v>
      </c>
      <c r="N53" s="78" t="s">
        <v>29</v>
      </c>
      <c r="O53" s="78" t="s">
        <v>29</v>
      </c>
      <c r="P53" s="78" t="s">
        <v>29</v>
      </c>
      <c r="Q53" s="77"/>
      <c r="R53" s="76"/>
    </row>
    <row r="54" spans="1:18">
      <c r="A54" s="75">
        <v>42</v>
      </c>
      <c r="B54" s="76" t="s">
        <v>278</v>
      </c>
      <c r="C54" s="76"/>
      <c r="D54" s="75" t="s">
        <v>212</v>
      </c>
      <c r="E54" s="75"/>
      <c r="F54" s="77"/>
      <c r="G54" s="77"/>
      <c r="H54" s="75" t="s">
        <v>277</v>
      </c>
      <c r="I54" s="76"/>
      <c r="J54" s="77"/>
      <c r="K54" s="78" t="s">
        <v>29</v>
      </c>
      <c r="L54" s="78" t="s">
        <v>29</v>
      </c>
      <c r="M54" s="78" t="s">
        <v>29</v>
      </c>
      <c r="N54" s="78" t="s">
        <v>29</v>
      </c>
      <c r="O54" s="78" t="s">
        <v>29</v>
      </c>
      <c r="P54" s="78" t="s">
        <v>29</v>
      </c>
      <c r="Q54" s="77"/>
      <c r="R54" s="76"/>
    </row>
    <row r="55" spans="1:18">
      <c r="A55" s="75">
        <v>43</v>
      </c>
      <c r="B55" s="76" t="s">
        <v>279</v>
      </c>
      <c r="C55" s="76"/>
      <c r="D55" s="75" t="s">
        <v>212</v>
      </c>
      <c r="E55" s="75"/>
      <c r="F55" s="77"/>
      <c r="G55" s="77"/>
      <c r="H55" s="75" t="s">
        <v>277</v>
      </c>
      <c r="I55" s="76"/>
      <c r="J55" s="77"/>
      <c r="K55" s="78" t="s">
        <v>29</v>
      </c>
      <c r="L55" s="78" t="s">
        <v>29</v>
      </c>
      <c r="M55" s="78" t="s">
        <v>29</v>
      </c>
      <c r="N55" s="78" t="s">
        <v>29</v>
      </c>
      <c r="O55" s="78" t="s">
        <v>29</v>
      </c>
      <c r="P55" s="78" t="s">
        <v>29</v>
      </c>
      <c r="Q55" s="77"/>
      <c r="R55" s="76"/>
    </row>
    <row r="56" spans="1:18">
      <c r="A56" s="75">
        <v>44</v>
      </c>
      <c r="B56" s="76" t="s">
        <v>280</v>
      </c>
      <c r="C56" s="76"/>
      <c r="D56" s="75" t="s">
        <v>212</v>
      </c>
      <c r="E56" s="75"/>
      <c r="F56" s="77"/>
      <c r="G56" s="77"/>
      <c r="H56" s="75" t="s">
        <v>277</v>
      </c>
      <c r="I56" s="76"/>
      <c r="J56" s="77"/>
      <c r="K56" s="78" t="s">
        <v>29</v>
      </c>
      <c r="L56" s="78" t="s">
        <v>29</v>
      </c>
      <c r="M56" s="78" t="s">
        <v>29</v>
      </c>
      <c r="N56" s="78" t="s">
        <v>29</v>
      </c>
      <c r="O56" s="78" t="s">
        <v>29</v>
      </c>
      <c r="P56" s="78" t="s">
        <v>29</v>
      </c>
      <c r="Q56" s="77"/>
      <c r="R56" s="76"/>
    </row>
    <row r="57" spans="1:18">
      <c r="A57" s="75">
        <v>45</v>
      </c>
      <c r="B57" s="76" t="s">
        <v>281</v>
      </c>
      <c r="C57" s="76"/>
      <c r="D57" s="75" t="s">
        <v>212</v>
      </c>
      <c r="E57" s="75"/>
      <c r="F57" s="77"/>
      <c r="G57" s="77"/>
      <c r="H57" s="75" t="s">
        <v>277</v>
      </c>
      <c r="I57" s="76"/>
      <c r="J57" s="77"/>
      <c r="K57" s="78" t="s">
        <v>29</v>
      </c>
      <c r="L57" s="78" t="s">
        <v>29</v>
      </c>
      <c r="M57" s="78" t="s">
        <v>29</v>
      </c>
      <c r="N57" s="78" t="s">
        <v>29</v>
      </c>
      <c r="O57" s="78" t="s">
        <v>29</v>
      </c>
      <c r="P57" s="78" t="s">
        <v>29</v>
      </c>
      <c r="Q57" s="77"/>
      <c r="R57" s="76"/>
    </row>
    <row r="58" spans="1:18">
      <c r="A58" s="75">
        <v>46</v>
      </c>
      <c r="B58" s="76" t="s">
        <v>282</v>
      </c>
      <c r="C58" s="76"/>
      <c r="D58" s="75" t="s">
        <v>212</v>
      </c>
      <c r="E58" s="75"/>
      <c r="F58" s="77"/>
      <c r="G58" s="77"/>
      <c r="H58" s="75" t="s">
        <v>277</v>
      </c>
      <c r="I58" s="76"/>
      <c r="J58" s="77"/>
      <c r="K58" s="78" t="s">
        <v>29</v>
      </c>
      <c r="L58" s="78" t="s">
        <v>29</v>
      </c>
      <c r="M58" s="78" t="s">
        <v>29</v>
      </c>
      <c r="N58" s="78" t="s">
        <v>29</v>
      </c>
      <c r="O58" s="78" t="s">
        <v>29</v>
      </c>
      <c r="P58" s="78" t="s">
        <v>29</v>
      </c>
      <c r="Q58" s="77"/>
      <c r="R58" s="76"/>
    </row>
    <row r="59" spans="1:18">
      <c r="A59" s="75">
        <v>47</v>
      </c>
      <c r="B59" s="76" t="s">
        <v>283</v>
      </c>
      <c r="C59" s="76"/>
      <c r="D59" s="75" t="s">
        <v>212</v>
      </c>
      <c r="E59" s="75"/>
      <c r="F59" s="77"/>
      <c r="G59" s="77"/>
      <c r="H59" s="75" t="s">
        <v>277</v>
      </c>
      <c r="I59" s="76"/>
      <c r="J59" s="77"/>
      <c r="K59" s="78" t="s">
        <v>29</v>
      </c>
      <c r="L59" s="78" t="s">
        <v>29</v>
      </c>
      <c r="M59" s="78" t="s">
        <v>29</v>
      </c>
      <c r="N59" s="78" t="s">
        <v>29</v>
      </c>
      <c r="O59" s="78" t="s">
        <v>29</v>
      </c>
      <c r="P59" s="78" t="s">
        <v>29</v>
      </c>
      <c r="Q59" s="77"/>
      <c r="R59" s="76"/>
    </row>
    <row r="60" spans="1:18">
      <c r="A60" s="75">
        <v>48</v>
      </c>
      <c r="B60" s="76" t="s">
        <v>284</v>
      </c>
      <c r="C60" s="76"/>
      <c r="D60" s="75" t="s">
        <v>212</v>
      </c>
      <c r="E60" s="75"/>
      <c r="F60" s="77"/>
      <c r="G60" s="77"/>
      <c r="H60" s="75" t="s">
        <v>277</v>
      </c>
      <c r="I60" s="76"/>
      <c r="J60" s="77"/>
      <c r="K60" s="78" t="s">
        <v>29</v>
      </c>
      <c r="L60" s="78" t="s">
        <v>29</v>
      </c>
      <c r="M60" s="78" t="s">
        <v>29</v>
      </c>
      <c r="N60" s="78" t="s">
        <v>29</v>
      </c>
      <c r="O60" s="78" t="s">
        <v>29</v>
      </c>
      <c r="P60" s="78" t="s">
        <v>29</v>
      </c>
      <c r="Q60" s="77"/>
      <c r="R60" s="76"/>
    </row>
    <row r="61" spans="1:18">
      <c r="A61" s="75">
        <v>49</v>
      </c>
      <c r="B61" s="76" t="s">
        <v>285</v>
      </c>
      <c r="C61" s="76"/>
      <c r="D61" s="75" t="s">
        <v>212</v>
      </c>
      <c r="E61" s="75"/>
      <c r="F61" s="77"/>
      <c r="G61" s="77"/>
      <c r="H61" s="75" t="s">
        <v>277</v>
      </c>
      <c r="I61" s="76"/>
      <c r="J61" s="77"/>
      <c r="K61" s="78" t="s">
        <v>29</v>
      </c>
      <c r="L61" s="78" t="s">
        <v>29</v>
      </c>
      <c r="M61" s="78" t="s">
        <v>29</v>
      </c>
      <c r="N61" s="78" t="s">
        <v>29</v>
      </c>
      <c r="O61" s="78" t="s">
        <v>29</v>
      </c>
      <c r="P61" s="78" t="s">
        <v>29</v>
      </c>
      <c r="Q61" s="77"/>
      <c r="R61" s="76"/>
    </row>
    <row r="62" spans="1:18">
      <c r="A62" s="75">
        <v>50</v>
      </c>
      <c r="B62" s="76" t="s">
        <v>286</v>
      </c>
      <c r="C62" s="76"/>
      <c r="D62" s="75" t="s">
        <v>212</v>
      </c>
      <c r="E62" s="75"/>
      <c r="F62" s="77"/>
      <c r="G62" s="77"/>
      <c r="H62" s="75" t="s">
        <v>277</v>
      </c>
      <c r="I62" s="76"/>
      <c r="J62" s="77"/>
      <c r="K62" s="78" t="s">
        <v>29</v>
      </c>
      <c r="L62" s="78" t="s">
        <v>29</v>
      </c>
      <c r="M62" s="78" t="s">
        <v>29</v>
      </c>
      <c r="N62" s="78" t="s">
        <v>29</v>
      </c>
      <c r="O62" s="78" t="s">
        <v>29</v>
      </c>
      <c r="P62" s="78" t="s">
        <v>29</v>
      </c>
      <c r="Q62" s="77"/>
      <c r="R62" s="76"/>
    </row>
  </sheetData>
  <autoFilter ref="A12:R62"/>
  <conditionalFormatting sqref="K13:P62">
    <cfRule type="cellIs" dxfId="42" priority="2" operator="equal">
      <formula>"Done"</formula>
    </cfRule>
    <cfRule type="cellIs" dxfId="41" priority="3" operator="equal">
      <formula>"In progress"</formula>
    </cfRule>
    <cfRule type="cellIs" dxfId="40" priority="4" operator="equal">
      <formula>"At risk"</formula>
    </cfRule>
    <cfRule type="cellIs" dxfId="39" priority="5" operator="equal">
      <formula>"Blocked"</formula>
    </cfRule>
  </conditionalFormatting>
  <dataValidations count="4">
    <dataValidation type="list" allowBlank="1" sqref="K13:P62">
      <formula1>"Not started,In progress,At risk,Blocked,Done,N/A"</formula1>
      <formula2>0</formula2>
    </dataValidation>
    <dataValidation type="list" sqref="D13:D62">
      <formula1>"A,B,C"</formula1>
      <formula2>0</formula2>
    </dataValidation>
    <dataValidation type="list" sqref="H13:H62">
      <formula1>"Y,N,TBC"</formula1>
      <formula2>0</formula2>
    </dataValidation>
    <dataValidation type="list" allowBlank="1" sqref="E13:E62">
      <formula1>"Customer,Journey,Event,Account,Household"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showGridLines="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6" customWidth="1"/>
    <col min="2" max="2" width="13" customWidth="1"/>
    <col min="3" max="3" width="58" customWidth="1"/>
    <col min="4" max="4" width="9" customWidth="1"/>
    <col min="5" max="5" width="11" customWidth="1"/>
    <col min="6" max="6" width="18" customWidth="1"/>
    <col min="7" max="7" width="58" customWidth="1"/>
    <col min="8" max="8" width="10" customWidth="1"/>
    <col min="9" max="9" width="11" customWidth="1"/>
  </cols>
  <sheetData>
    <row r="1" spans="1:9" ht="18">
      <c r="A1" s="61" t="s">
        <v>287</v>
      </c>
    </row>
    <row r="3" spans="1:9">
      <c r="A3" s="62" t="s">
        <v>3</v>
      </c>
      <c r="B3" s="62" t="s">
        <v>6</v>
      </c>
      <c r="C3" s="62" t="s">
        <v>288</v>
      </c>
      <c r="D3" s="62" t="s">
        <v>289</v>
      </c>
      <c r="E3" s="62" t="s">
        <v>290</v>
      </c>
      <c r="F3" s="62" t="s">
        <v>195</v>
      </c>
      <c r="G3" s="62" t="s">
        <v>291</v>
      </c>
      <c r="H3" s="62" t="s">
        <v>292</v>
      </c>
      <c r="I3" s="62" t="s">
        <v>12</v>
      </c>
    </row>
    <row r="4" spans="1:9" ht="38.25">
      <c r="A4" s="79" t="s">
        <v>293</v>
      </c>
      <c r="B4" s="79" t="s">
        <v>294</v>
      </c>
      <c r="C4" s="80" t="s">
        <v>295</v>
      </c>
      <c r="D4" s="79" t="s">
        <v>296</v>
      </c>
      <c r="E4" s="79" t="s">
        <v>296</v>
      </c>
      <c r="F4" s="81" t="s">
        <v>27</v>
      </c>
      <c r="G4" s="80" t="s">
        <v>297</v>
      </c>
      <c r="H4" s="79" t="s">
        <v>17</v>
      </c>
      <c r="I4" s="79" t="s">
        <v>298</v>
      </c>
    </row>
    <row r="5" spans="1:9" ht="25.5">
      <c r="A5" s="79" t="s">
        <v>299</v>
      </c>
      <c r="B5" s="79" t="s">
        <v>294</v>
      </c>
      <c r="C5" s="80" t="s">
        <v>300</v>
      </c>
      <c r="D5" s="79" t="s">
        <v>296</v>
      </c>
      <c r="E5" s="79" t="s">
        <v>301</v>
      </c>
      <c r="F5" s="81" t="s">
        <v>32</v>
      </c>
      <c r="G5" s="80" t="s">
        <v>302</v>
      </c>
      <c r="H5" s="79" t="s">
        <v>14</v>
      </c>
      <c r="I5" s="79" t="s">
        <v>298</v>
      </c>
    </row>
    <row r="6" spans="1:9" ht="25.5">
      <c r="A6" s="79" t="s">
        <v>303</v>
      </c>
      <c r="B6" s="79" t="s">
        <v>294</v>
      </c>
      <c r="C6" s="80" t="s">
        <v>304</v>
      </c>
      <c r="D6" s="79" t="s">
        <v>301</v>
      </c>
      <c r="E6" s="79" t="s">
        <v>301</v>
      </c>
      <c r="F6" s="81" t="s">
        <v>305</v>
      </c>
      <c r="G6" s="80" t="s">
        <v>306</v>
      </c>
      <c r="H6" s="79" t="s">
        <v>16</v>
      </c>
      <c r="I6" s="79" t="s">
        <v>298</v>
      </c>
    </row>
    <row r="7" spans="1:9" ht="25.5">
      <c r="A7" s="79" t="s">
        <v>307</v>
      </c>
      <c r="B7" s="79" t="s">
        <v>294</v>
      </c>
      <c r="C7" s="80" t="s">
        <v>308</v>
      </c>
      <c r="D7" s="79" t="s">
        <v>296</v>
      </c>
      <c r="E7" s="79" t="s">
        <v>301</v>
      </c>
      <c r="F7" s="81" t="s">
        <v>62</v>
      </c>
      <c r="G7" s="80" t="s">
        <v>309</v>
      </c>
      <c r="H7" s="79" t="s">
        <v>15</v>
      </c>
      <c r="I7" s="79" t="s">
        <v>298</v>
      </c>
    </row>
    <row r="8" spans="1:9">
      <c r="A8" s="79" t="s">
        <v>310</v>
      </c>
      <c r="B8" s="79" t="s">
        <v>294</v>
      </c>
      <c r="C8" s="80" t="s">
        <v>311</v>
      </c>
      <c r="D8" s="79" t="s">
        <v>301</v>
      </c>
      <c r="E8" s="79" t="s">
        <v>301</v>
      </c>
      <c r="F8" s="81" t="s">
        <v>27</v>
      </c>
      <c r="G8" s="80" t="s">
        <v>312</v>
      </c>
      <c r="H8" s="79" t="s">
        <v>16</v>
      </c>
      <c r="I8" s="79" t="s">
        <v>298</v>
      </c>
    </row>
    <row r="9" spans="1:9" ht="25.5">
      <c r="A9" s="79" t="s">
        <v>313</v>
      </c>
      <c r="B9" s="79" t="s">
        <v>314</v>
      </c>
      <c r="C9" s="80" t="s">
        <v>315</v>
      </c>
      <c r="D9" s="79" t="s">
        <v>296</v>
      </c>
      <c r="E9" s="79" t="s">
        <v>316</v>
      </c>
      <c r="F9" s="81" t="s">
        <v>62</v>
      </c>
      <c r="G9" s="80" t="s">
        <v>317</v>
      </c>
      <c r="H9" s="79" t="s">
        <v>14</v>
      </c>
      <c r="I9" s="79" t="s">
        <v>298</v>
      </c>
    </row>
    <row r="10" spans="1:9">
      <c r="A10" s="79" t="s">
        <v>318</v>
      </c>
      <c r="B10" s="79" t="s">
        <v>314</v>
      </c>
      <c r="C10" s="80" t="s">
        <v>319</v>
      </c>
      <c r="D10" s="79" t="s">
        <v>301</v>
      </c>
      <c r="E10" s="79" t="s">
        <v>316</v>
      </c>
      <c r="F10" s="81" t="s">
        <v>27</v>
      </c>
      <c r="G10" s="80" t="s">
        <v>320</v>
      </c>
      <c r="H10" s="79" t="s">
        <v>16</v>
      </c>
      <c r="I10" s="79" t="s">
        <v>298</v>
      </c>
    </row>
    <row r="11" spans="1:9">
      <c r="A11" s="79" t="s">
        <v>321</v>
      </c>
      <c r="B11" s="79" t="s">
        <v>314</v>
      </c>
      <c r="C11" s="80" t="s">
        <v>322</v>
      </c>
      <c r="D11" s="79" t="s">
        <v>301</v>
      </c>
      <c r="E11" s="79" t="s">
        <v>316</v>
      </c>
      <c r="F11" s="81" t="s">
        <v>32</v>
      </c>
      <c r="G11" s="80" t="s">
        <v>323</v>
      </c>
      <c r="H11" s="79" t="s">
        <v>16</v>
      </c>
      <c r="I11" s="79" t="s">
        <v>298</v>
      </c>
    </row>
    <row r="12" spans="1:9" ht="25.5">
      <c r="A12" s="79" t="s">
        <v>324</v>
      </c>
      <c r="B12" s="79" t="s">
        <v>325</v>
      </c>
      <c r="C12" s="80" t="s">
        <v>326</v>
      </c>
      <c r="D12" s="79" t="s">
        <v>296</v>
      </c>
      <c r="E12" s="79" t="s">
        <v>316</v>
      </c>
      <c r="F12" s="81" t="s">
        <v>79</v>
      </c>
      <c r="G12" s="80" t="s">
        <v>327</v>
      </c>
      <c r="H12" s="79" t="s">
        <v>19</v>
      </c>
      <c r="I12" s="79" t="s">
        <v>298</v>
      </c>
    </row>
    <row r="13" spans="1:9">
      <c r="A13" s="79" t="s">
        <v>328</v>
      </c>
      <c r="B13" s="79" t="s">
        <v>325</v>
      </c>
      <c r="C13" s="80" t="s">
        <v>329</v>
      </c>
      <c r="D13" s="79" t="s">
        <v>296</v>
      </c>
      <c r="E13" s="79" t="s">
        <v>316</v>
      </c>
      <c r="F13" s="81" t="s">
        <v>27</v>
      </c>
      <c r="G13" s="80" t="s">
        <v>330</v>
      </c>
      <c r="H13" s="79" t="s">
        <v>14</v>
      </c>
      <c r="I13" s="79" t="s">
        <v>298</v>
      </c>
    </row>
    <row r="14" spans="1:9">
      <c r="A14" s="82"/>
      <c r="B14" s="82"/>
      <c r="C14" s="82"/>
      <c r="D14" s="82"/>
      <c r="E14" s="82"/>
      <c r="F14" s="82"/>
      <c r="G14" s="82"/>
      <c r="H14" s="82"/>
      <c r="I14" s="82"/>
    </row>
    <row r="15" spans="1:9">
      <c r="A15" s="82"/>
      <c r="B15" s="82"/>
      <c r="C15" s="82"/>
      <c r="D15" s="82"/>
      <c r="E15" s="82"/>
      <c r="F15" s="82"/>
      <c r="G15" s="82"/>
      <c r="H15" s="82"/>
      <c r="I15" s="82"/>
    </row>
    <row r="16" spans="1:9">
      <c r="A16" s="82"/>
      <c r="B16" s="82"/>
      <c r="C16" s="82"/>
      <c r="D16" s="82"/>
      <c r="E16" s="82"/>
      <c r="F16" s="82"/>
      <c r="G16" s="82"/>
      <c r="H16" s="82"/>
      <c r="I16" s="82"/>
    </row>
    <row r="17" spans="1:9">
      <c r="A17" s="82"/>
      <c r="B17" s="82"/>
      <c r="C17" s="82"/>
      <c r="D17" s="82"/>
      <c r="E17" s="82"/>
      <c r="F17" s="82"/>
      <c r="G17" s="82"/>
      <c r="H17" s="82"/>
      <c r="I17" s="82"/>
    </row>
    <row r="18" spans="1:9">
      <c r="A18" s="82"/>
      <c r="B18" s="82"/>
      <c r="C18" s="82"/>
      <c r="D18" s="82"/>
      <c r="E18" s="82"/>
      <c r="F18" s="82"/>
      <c r="G18" s="82"/>
      <c r="H18" s="82"/>
      <c r="I18" s="82"/>
    </row>
    <row r="19" spans="1:9">
      <c r="A19" s="82"/>
      <c r="B19" s="82"/>
      <c r="C19" s="82"/>
      <c r="D19" s="82"/>
      <c r="E19" s="82"/>
      <c r="F19" s="82"/>
      <c r="G19" s="82"/>
      <c r="H19" s="82"/>
      <c r="I19" s="82"/>
    </row>
    <row r="20" spans="1:9">
      <c r="A20" s="82"/>
      <c r="B20" s="82"/>
      <c r="C20" s="82"/>
      <c r="D20" s="82"/>
      <c r="E20" s="82"/>
      <c r="F20" s="82"/>
      <c r="G20" s="82"/>
      <c r="H20" s="82"/>
      <c r="I20" s="82"/>
    </row>
    <row r="21" spans="1:9">
      <c r="A21" s="82"/>
      <c r="B21" s="82"/>
      <c r="C21" s="82"/>
      <c r="D21" s="82"/>
      <c r="E21" s="82"/>
      <c r="F21" s="82"/>
      <c r="G21" s="82"/>
      <c r="H21" s="82"/>
      <c r="I21" s="82"/>
    </row>
    <row r="22" spans="1:9">
      <c r="A22" s="82"/>
      <c r="B22" s="82"/>
      <c r="C22" s="82"/>
      <c r="D22" s="82"/>
      <c r="E22" s="82"/>
      <c r="F22" s="82"/>
      <c r="G22" s="82"/>
      <c r="H22" s="82"/>
      <c r="I22" s="82"/>
    </row>
    <row r="23" spans="1:9">
      <c r="A23" s="82"/>
      <c r="B23" s="82"/>
      <c r="C23" s="82"/>
      <c r="D23" s="82"/>
      <c r="E23" s="82"/>
      <c r="F23" s="82"/>
      <c r="G23" s="82"/>
      <c r="H23" s="82"/>
      <c r="I23" s="82"/>
    </row>
  </sheetData>
  <conditionalFormatting sqref="D4:E40">
    <cfRule type="cellIs" dxfId="38" priority="2" operator="equal">
      <formula>"High"</formula>
    </cfRule>
    <cfRule type="cellIs" dxfId="37" priority="3" operator="equal">
      <formula>"Medium"</formula>
    </cfRule>
  </conditionalFormatting>
  <dataValidations count="3">
    <dataValidation type="list" sqref="B4:B40">
      <formula1>"Risk,Assumption,Issue,Dependency"</formula1>
      <formula2>0</formula2>
    </dataValidation>
    <dataValidation type="list" sqref="D4:E40">
      <formula1>"High,Medium,Low,-"</formula1>
      <formula2>0</formula2>
    </dataValidation>
    <dataValidation type="list" sqref="I4:I40">
      <formula1>"Open,Mitigating,Closed"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Gantt</vt:lpstr>
      <vt:lpstr>Milestones</vt:lpstr>
      <vt:lpstr>Attribute Tracker</vt:lpstr>
      <vt:lpstr>RAID Log</vt:lpstr>
      <vt:lpstr>Gantt!Print_Titles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Kalra</cp:lastModifiedBy>
  <cp:revision>0</cp:revision>
  <dcterms:created xsi:type="dcterms:W3CDTF">2026-09-24T13:35:47Z</dcterms:created>
  <dcterms:modified xsi:type="dcterms:W3CDTF">2026-09-30T10:30:10Z</dcterms:modified>
  <dc:language>en-US</dc:language>
</cp:coreProperties>
</file>